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mo\OneDrive\Documentos\MEGA\MARMOL-MEGA\1_Personal\Estudios\MUSI\TFM\git\"/>
    </mc:Choice>
  </mc:AlternateContent>
  <xr:revisionPtr revIDLastSave="0" documentId="13_ncr:1_{16BCA065-87C1-453C-BEB1-2468C8E318AF}" xr6:coauthVersionLast="47" xr6:coauthVersionMax="47" xr10:uidLastSave="{00000000-0000-0000-0000-000000000000}"/>
  <bookViews>
    <workbookView xWindow="-108" yWindow="-108" windowWidth="23256" windowHeight="12576" tabRatio="966" xr2:uid="{00000000-000D-0000-FFFF-FFFF00000000}"/>
  </bookViews>
  <sheets>
    <sheet name="Sheet1" sheetId="1" r:id="rId1"/>
    <sheet name="Flujo de caja" sheetId="2" r:id="rId2"/>
    <sheet name="dataset" sheetId="16" r:id="rId3"/>
    <sheet name="results" sheetId="17" r:id="rId4"/>
    <sheet name="2017-23 - Analisis volatilidad" sheetId="13" r:id="rId5"/>
    <sheet name="RL" sheetId="18" r:id="rId6"/>
    <sheet name="RP" sheetId="19" r:id="rId7"/>
    <sheet name="SVR" sheetId="20" r:id="rId8"/>
    <sheet name="AD" sheetId="21" r:id="rId9"/>
    <sheet name="RF" sheetId="22" r:id="rId10"/>
    <sheet name="predicciones" sheetId="24" r:id="rId11"/>
    <sheet name="Ideal - Simple" sheetId="9" r:id="rId12"/>
    <sheet name="Ideal - Compuesta" sheetId="11" r:id="rId13"/>
    <sheet name="Real - Simple" sheetId="10" r:id="rId14"/>
    <sheet name="Real - Compuesta" sheetId="12" r:id="rId15"/>
    <sheet name="Hoja1" sheetId="3" r:id="rId16"/>
  </sheets>
  <definedNames>
    <definedName name="_xlnm._FilterDatabase" localSheetId="0" hidden="1">Sheet1!$O$21:$AH$93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4" i="1" l="1"/>
  <c r="F54" i="1" s="1"/>
  <c r="I54" i="1"/>
  <c r="E55" i="1"/>
  <c r="H55" i="1" s="1"/>
  <c r="I55" i="1"/>
  <c r="E56" i="1"/>
  <c r="I56" i="1"/>
  <c r="E57" i="1"/>
  <c r="F57" i="1" s="1"/>
  <c r="I57" i="1"/>
  <c r="E58" i="1"/>
  <c r="F58" i="1" s="1"/>
  <c r="I58" i="1"/>
  <c r="E59" i="1"/>
  <c r="H59" i="1" s="1"/>
  <c r="I59" i="1"/>
  <c r="E60" i="1"/>
  <c r="I60" i="1"/>
  <c r="E61" i="1"/>
  <c r="F61" i="1" s="1"/>
  <c r="I61" i="1"/>
  <c r="E62" i="1"/>
  <c r="F62" i="1" s="1"/>
  <c r="I62" i="1"/>
  <c r="E63" i="1"/>
  <c r="H63" i="1" s="1"/>
  <c r="I63" i="1"/>
  <c r="E64" i="1"/>
  <c r="I64" i="1"/>
  <c r="E65" i="1"/>
  <c r="F65" i="1" s="1"/>
  <c r="I65" i="1"/>
  <c r="E66" i="1"/>
  <c r="F66" i="1" s="1"/>
  <c r="I66" i="1"/>
  <c r="E67" i="1"/>
  <c r="H67" i="1" s="1"/>
  <c r="I67" i="1"/>
  <c r="E68" i="1"/>
  <c r="I68" i="1"/>
  <c r="E69" i="1"/>
  <c r="F69" i="1" s="1"/>
  <c r="I69" i="1"/>
  <c r="E70" i="1"/>
  <c r="F70" i="1" s="1"/>
  <c r="I70" i="1"/>
  <c r="E71" i="1"/>
  <c r="H71" i="1" s="1"/>
  <c r="I71" i="1"/>
  <c r="E72" i="1"/>
  <c r="I72" i="1"/>
  <c r="E73" i="1"/>
  <c r="F73" i="1" s="1"/>
  <c r="I73" i="1"/>
  <c r="E74" i="1"/>
  <c r="F74" i="1" s="1"/>
  <c r="I74" i="1"/>
  <c r="E75" i="1"/>
  <c r="H75" i="1" s="1"/>
  <c r="I75" i="1"/>
  <c r="E76" i="1"/>
  <c r="I76" i="1"/>
  <c r="E77" i="1"/>
  <c r="F77" i="1" s="1"/>
  <c r="I77" i="1"/>
  <c r="E78" i="1"/>
  <c r="F78" i="1" s="1"/>
  <c r="I78" i="1"/>
  <c r="E79" i="1"/>
  <c r="H79" i="1" s="1"/>
  <c r="I79" i="1"/>
  <c r="E80" i="1"/>
  <c r="I80" i="1"/>
  <c r="E81" i="1"/>
  <c r="F81" i="1" s="1"/>
  <c r="I81" i="1"/>
  <c r="E82" i="1"/>
  <c r="F82" i="1" s="1"/>
  <c r="I82" i="1"/>
  <c r="E83" i="1"/>
  <c r="H83" i="1" s="1"/>
  <c r="I83" i="1"/>
  <c r="E84" i="1"/>
  <c r="I84" i="1"/>
  <c r="E85" i="1"/>
  <c r="F85" i="1" s="1"/>
  <c r="I85" i="1"/>
  <c r="E86" i="1"/>
  <c r="F86" i="1" s="1"/>
  <c r="I86" i="1"/>
  <c r="E87" i="1"/>
  <c r="H87" i="1" s="1"/>
  <c r="I87" i="1"/>
  <c r="E88" i="1"/>
  <c r="I88" i="1"/>
  <c r="E89" i="1"/>
  <c r="F89" i="1" s="1"/>
  <c r="I89" i="1"/>
  <c r="E90" i="1"/>
  <c r="F90" i="1" s="1"/>
  <c r="I90" i="1"/>
  <c r="E91" i="1"/>
  <c r="H91" i="1" s="1"/>
  <c r="I91" i="1"/>
  <c r="E92" i="1"/>
  <c r="I92" i="1"/>
  <c r="E93" i="1"/>
  <c r="F93" i="1" s="1"/>
  <c r="I93" i="1"/>
  <c r="E94" i="1"/>
  <c r="F94" i="1" s="1"/>
  <c r="I94" i="1"/>
  <c r="E95" i="1"/>
  <c r="H95" i="1" s="1"/>
  <c r="I95" i="1"/>
  <c r="E96" i="1"/>
  <c r="I96" i="1"/>
  <c r="E97" i="1"/>
  <c r="F97" i="1" s="1"/>
  <c r="I97" i="1"/>
  <c r="E98" i="1"/>
  <c r="F98" i="1" s="1"/>
  <c r="I98" i="1"/>
  <c r="E99" i="1"/>
  <c r="H99" i="1" s="1"/>
  <c r="I99" i="1"/>
  <c r="E100" i="1"/>
  <c r="H100" i="1" s="1"/>
  <c r="I100" i="1"/>
  <c r="E101" i="1"/>
  <c r="F101" i="1" s="1"/>
  <c r="I101" i="1"/>
  <c r="E102" i="1"/>
  <c r="I102" i="1"/>
  <c r="E103" i="1"/>
  <c r="H103" i="1" s="1"/>
  <c r="I103" i="1"/>
  <c r="E104" i="1"/>
  <c r="H104" i="1" s="1"/>
  <c r="I104" i="1"/>
  <c r="E105" i="1"/>
  <c r="F105" i="1" s="1"/>
  <c r="I105" i="1"/>
  <c r="E106" i="1"/>
  <c r="I106" i="1"/>
  <c r="E107" i="1"/>
  <c r="H107" i="1" s="1"/>
  <c r="I107" i="1"/>
  <c r="E108" i="1"/>
  <c r="I108" i="1"/>
  <c r="E109" i="1"/>
  <c r="F109" i="1" s="1"/>
  <c r="I109" i="1"/>
  <c r="E110" i="1"/>
  <c r="I110" i="1"/>
  <c r="E111" i="1"/>
  <c r="H111" i="1" s="1"/>
  <c r="I111" i="1"/>
  <c r="E112" i="1"/>
  <c r="H112" i="1" s="1"/>
  <c r="I112" i="1"/>
  <c r="E113" i="1"/>
  <c r="F113" i="1" s="1"/>
  <c r="I113" i="1"/>
  <c r="E114" i="1"/>
  <c r="I114" i="1"/>
  <c r="E115" i="1"/>
  <c r="H115" i="1" s="1"/>
  <c r="I115" i="1"/>
  <c r="E116" i="1"/>
  <c r="H116" i="1" s="1"/>
  <c r="I116" i="1"/>
  <c r="E117" i="1"/>
  <c r="F117" i="1" s="1"/>
  <c r="I117" i="1"/>
  <c r="E118" i="1"/>
  <c r="I118" i="1"/>
  <c r="E119" i="1"/>
  <c r="H119" i="1" s="1"/>
  <c r="I119" i="1"/>
  <c r="E120" i="1"/>
  <c r="H120" i="1" s="1"/>
  <c r="I120" i="1"/>
  <c r="E121" i="1"/>
  <c r="F121" i="1" s="1"/>
  <c r="I121" i="1"/>
  <c r="E122" i="1"/>
  <c r="I122" i="1"/>
  <c r="E123" i="1"/>
  <c r="H123" i="1" s="1"/>
  <c r="I123" i="1"/>
  <c r="E124" i="1"/>
  <c r="H124" i="1" s="1"/>
  <c r="I124" i="1"/>
  <c r="E125" i="1"/>
  <c r="F125" i="1" s="1"/>
  <c r="I125" i="1"/>
  <c r="E126" i="1"/>
  <c r="I126" i="1"/>
  <c r="E127" i="1"/>
  <c r="H127" i="1" s="1"/>
  <c r="I127" i="1"/>
  <c r="E128" i="1"/>
  <c r="H128" i="1" s="1"/>
  <c r="I128" i="1"/>
  <c r="E129" i="1"/>
  <c r="F129" i="1" s="1"/>
  <c r="I129" i="1"/>
  <c r="E130" i="1"/>
  <c r="I130" i="1"/>
  <c r="E131" i="1"/>
  <c r="H131" i="1" s="1"/>
  <c r="I131" i="1"/>
  <c r="E132" i="1"/>
  <c r="H132" i="1" s="1"/>
  <c r="I132" i="1"/>
  <c r="E133" i="1"/>
  <c r="F133" i="1" s="1"/>
  <c r="I133" i="1"/>
  <c r="E134" i="1"/>
  <c r="I134" i="1"/>
  <c r="E135" i="1"/>
  <c r="H135" i="1" s="1"/>
  <c r="I135" i="1"/>
  <c r="E136" i="1"/>
  <c r="H136" i="1" s="1"/>
  <c r="I136" i="1"/>
  <c r="E137" i="1"/>
  <c r="F137" i="1" s="1"/>
  <c r="I137" i="1"/>
  <c r="E138" i="1"/>
  <c r="I138" i="1"/>
  <c r="E139" i="1"/>
  <c r="H139" i="1" s="1"/>
  <c r="I139" i="1"/>
  <c r="E140" i="1"/>
  <c r="I140" i="1"/>
  <c r="E141" i="1"/>
  <c r="F141" i="1" s="1"/>
  <c r="I141" i="1"/>
  <c r="E142" i="1"/>
  <c r="I142" i="1"/>
  <c r="E143" i="1"/>
  <c r="H143" i="1" s="1"/>
  <c r="I143" i="1"/>
  <c r="E144" i="1"/>
  <c r="H144" i="1" s="1"/>
  <c r="I144" i="1"/>
  <c r="E145" i="1"/>
  <c r="F145" i="1" s="1"/>
  <c r="I145" i="1"/>
  <c r="E146" i="1"/>
  <c r="G146" i="1" s="1"/>
  <c r="I147" i="2" s="1"/>
  <c r="I146" i="1"/>
  <c r="E147" i="1"/>
  <c r="F147" i="1" s="1"/>
  <c r="I147" i="1"/>
  <c r="E148" i="1"/>
  <c r="G148" i="1" s="1"/>
  <c r="I149" i="2" s="1"/>
  <c r="N149" i="2" s="1"/>
  <c r="I148" i="1"/>
  <c r="E149" i="1"/>
  <c r="I149" i="1"/>
  <c r="E150" i="1"/>
  <c r="G150" i="1" s="1"/>
  <c r="I151" i="2" s="1"/>
  <c r="I150" i="1"/>
  <c r="E151" i="1"/>
  <c r="F151" i="1" s="1"/>
  <c r="I151" i="1"/>
  <c r="E152" i="1"/>
  <c r="G152" i="1" s="1"/>
  <c r="I153" i="2" s="1"/>
  <c r="N153" i="2" s="1"/>
  <c r="I152" i="1"/>
  <c r="E153" i="1"/>
  <c r="G153" i="1" s="1"/>
  <c r="I154" i="2" s="1"/>
  <c r="N154" i="2" s="1"/>
  <c r="I153" i="1"/>
  <c r="E154" i="1"/>
  <c r="G154" i="1" s="1"/>
  <c r="I155" i="2" s="1"/>
  <c r="I154" i="1"/>
  <c r="E155" i="1"/>
  <c r="F155" i="1" s="1"/>
  <c r="I155" i="1"/>
  <c r="E156" i="1"/>
  <c r="G156" i="1" s="1"/>
  <c r="I157" i="2" s="1"/>
  <c r="N157" i="2" s="1"/>
  <c r="I156" i="1"/>
  <c r="E157" i="1"/>
  <c r="G157" i="1" s="1"/>
  <c r="I158" i="2" s="1"/>
  <c r="N158" i="2" s="1"/>
  <c r="I157" i="1"/>
  <c r="E158" i="1"/>
  <c r="G158" i="1" s="1"/>
  <c r="I159" i="2" s="1"/>
  <c r="I158" i="1"/>
  <c r="E159" i="1"/>
  <c r="F159" i="1" s="1"/>
  <c r="I159" i="1"/>
  <c r="E160" i="1"/>
  <c r="I160" i="1"/>
  <c r="E161" i="1"/>
  <c r="G161" i="1" s="1"/>
  <c r="I162" i="2" s="1"/>
  <c r="N162" i="2" s="1"/>
  <c r="I161" i="1"/>
  <c r="E162" i="1"/>
  <c r="I162" i="1"/>
  <c r="E163" i="1"/>
  <c r="F163" i="1" s="1"/>
  <c r="I163" i="1"/>
  <c r="E164" i="1"/>
  <c r="G164" i="1" s="1"/>
  <c r="I165" i="2" s="1"/>
  <c r="N165" i="2" s="1"/>
  <c r="I164" i="1"/>
  <c r="E165" i="1"/>
  <c r="G165" i="1" s="1"/>
  <c r="I166" i="2" s="1"/>
  <c r="N166" i="2" s="1"/>
  <c r="I165" i="1"/>
  <c r="E166" i="1"/>
  <c r="G166" i="1" s="1"/>
  <c r="I167" i="2" s="1"/>
  <c r="I166" i="1"/>
  <c r="E167" i="1"/>
  <c r="F167" i="1" s="1"/>
  <c r="I167" i="1"/>
  <c r="E168" i="1"/>
  <c r="F168" i="1" s="1"/>
  <c r="I168" i="1"/>
  <c r="E3" i="1"/>
  <c r="F3" i="1" s="1"/>
  <c r="I3" i="1"/>
  <c r="E4" i="1"/>
  <c r="F4" i="1" s="1"/>
  <c r="I4" i="1"/>
  <c r="E5" i="1"/>
  <c r="F5" i="1" s="1"/>
  <c r="I5" i="1"/>
  <c r="E6" i="1"/>
  <c r="F6" i="1" s="1"/>
  <c r="I6" i="1"/>
  <c r="E7" i="1"/>
  <c r="F7" i="1" s="1"/>
  <c r="I7" i="1"/>
  <c r="E8" i="1"/>
  <c r="F8" i="1" s="1"/>
  <c r="I8" i="1"/>
  <c r="E9" i="1"/>
  <c r="F9" i="1" s="1"/>
  <c r="I9" i="1"/>
  <c r="E10" i="1"/>
  <c r="F10" i="1" s="1"/>
  <c r="I10" i="1"/>
  <c r="E11" i="1"/>
  <c r="F11" i="1" s="1"/>
  <c r="I11" i="1"/>
  <c r="E12" i="1"/>
  <c r="F12" i="1" s="1"/>
  <c r="I12" i="1"/>
  <c r="E13" i="1"/>
  <c r="I13" i="1"/>
  <c r="E14" i="1"/>
  <c r="F14" i="1" s="1"/>
  <c r="I14" i="1"/>
  <c r="E15" i="1"/>
  <c r="H15" i="1" s="1"/>
  <c r="I15" i="1"/>
  <c r="E16" i="1"/>
  <c r="F16" i="1" s="1"/>
  <c r="I16" i="1"/>
  <c r="E17" i="1"/>
  <c r="F17" i="1" s="1"/>
  <c r="I17" i="1"/>
  <c r="E18" i="1"/>
  <c r="F18" i="1" s="1"/>
  <c r="I18" i="1"/>
  <c r="E19" i="1"/>
  <c r="H19" i="1" s="1"/>
  <c r="I19" i="1"/>
  <c r="E20" i="1"/>
  <c r="F20" i="1" s="1"/>
  <c r="I20" i="1"/>
  <c r="E21" i="1"/>
  <c r="F21" i="1" s="1"/>
  <c r="I21" i="1"/>
  <c r="E22" i="1"/>
  <c r="F22" i="1" s="1"/>
  <c r="I22" i="1"/>
  <c r="E23" i="1"/>
  <c r="H23" i="1" s="1"/>
  <c r="I23" i="1"/>
  <c r="E24" i="1"/>
  <c r="I24" i="1"/>
  <c r="E25" i="1"/>
  <c r="F25" i="1" s="1"/>
  <c r="I25" i="1"/>
  <c r="E26" i="1"/>
  <c r="F26" i="1" s="1"/>
  <c r="I26" i="1"/>
  <c r="E27" i="1"/>
  <c r="H27" i="1" s="1"/>
  <c r="I27" i="1"/>
  <c r="E28" i="1"/>
  <c r="F28" i="1" s="1"/>
  <c r="I28" i="1"/>
  <c r="E29" i="1"/>
  <c r="F29" i="1" s="1"/>
  <c r="I29" i="1"/>
  <c r="E30" i="1"/>
  <c r="F30" i="1" s="1"/>
  <c r="I30" i="1"/>
  <c r="E31" i="1"/>
  <c r="H31" i="1" s="1"/>
  <c r="I31" i="1"/>
  <c r="E32" i="1"/>
  <c r="F32" i="1" s="1"/>
  <c r="I32" i="1"/>
  <c r="E33" i="1"/>
  <c r="F33" i="1" s="1"/>
  <c r="I33" i="1"/>
  <c r="E34" i="1"/>
  <c r="F34" i="1" s="1"/>
  <c r="I34" i="1"/>
  <c r="E35" i="1"/>
  <c r="H35" i="1" s="1"/>
  <c r="I35" i="1"/>
  <c r="E36" i="1"/>
  <c r="F36" i="1" s="1"/>
  <c r="I36" i="1"/>
  <c r="E37" i="1"/>
  <c r="F37" i="1" s="1"/>
  <c r="I37" i="1"/>
  <c r="E38" i="1"/>
  <c r="F38" i="1" s="1"/>
  <c r="I38" i="1"/>
  <c r="E39" i="1"/>
  <c r="H39" i="1" s="1"/>
  <c r="I39" i="1"/>
  <c r="E40" i="1"/>
  <c r="F40" i="1" s="1"/>
  <c r="I40" i="1"/>
  <c r="E41" i="1"/>
  <c r="F41" i="1" s="1"/>
  <c r="I41" i="1"/>
  <c r="E42" i="1"/>
  <c r="F42" i="1" s="1"/>
  <c r="I42" i="1"/>
  <c r="E43" i="1"/>
  <c r="H43" i="1" s="1"/>
  <c r="I43" i="1"/>
  <c r="E44" i="1"/>
  <c r="F44" i="1" s="1"/>
  <c r="I44" i="1"/>
  <c r="E45" i="1"/>
  <c r="F45" i="1" s="1"/>
  <c r="I45" i="1"/>
  <c r="E46" i="1"/>
  <c r="F46" i="1" s="1"/>
  <c r="I46" i="1"/>
  <c r="E47" i="1"/>
  <c r="H47" i="1" s="1"/>
  <c r="I47" i="1"/>
  <c r="E48" i="1"/>
  <c r="F48" i="1" s="1"/>
  <c r="I48" i="1"/>
  <c r="E49" i="1"/>
  <c r="F49" i="1" s="1"/>
  <c r="I49" i="1"/>
  <c r="E50" i="1"/>
  <c r="F50" i="1" s="1"/>
  <c r="I50" i="1"/>
  <c r="E51" i="1"/>
  <c r="H51" i="1" s="1"/>
  <c r="I51" i="1"/>
  <c r="E52" i="1"/>
  <c r="F52" i="1" s="1"/>
  <c r="I52" i="1"/>
  <c r="E53" i="1"/>
  <c r="I53" i="1"/>
  <c r="E2" i="1"/>
  <c r="G2" i="1" s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I2" i="1"/>
  <c r="J149" i="1" l="1"/>
  <c r="J96" i="1"/>
  <c r="J92" i="1"/>
  <c r="J88" i="1"/>
  <c r="J84" i="1"/>
  <c r="J80" i="1"/>
  <c r="J76" i="1"/>
  <c r="J72" i="1"/>
  <c r="J68" i="1"/>
  <c r="J64" i="1"/>
  <c r="J60" i="1"/>
  <c r="J56" i="1"/>
  <c r="N167" i="2"/>
  <c r="N159" i="2"/>
  <c r="N155" i="2"/>
  <c r="N151" i="2"/>
  <c r="N147" i="2"/>
  <c r="H56" i="1"/>
  <c r="G143" i="1"/>
  <c r="F71" i="1"/>
  <c r="G75" i="1"/>
  <c r="F63" i="1"/>
  <c r="H96" i="1"/>
  <c r="G135" i="1"/>
  <c r="H80" i="1"/>
  <c r="G159" i="1"/>
  <c r="I160" i="2" s="1"/>
  <c r="N160" i="2" s="1"/>
  <c r="J85" i="1"/>
  <c r="G123" i="1"/>
  <c r="H72" i="1"/>
  <c r="G149" i="1"/>
  <c r="I150" i="2" s="1"/>
  <c r="N150" i="2" s="1"/>
  <c r="G131" i="1"/>
  <c r="G117" i="1"/>
  <c r="F87" i="1"/>
  <c r="J73" i="1"/>
  <c r="G63" i="1"/>
  <c r="G151" i="1"/>
  <c r="I152" i="2" s="1"/>
  <c r="N152" i="2" s="1"/>
  <c r="F119" i="1"/>
  <c r="G107" i="1"/>
  <c r="H88" i="1"/>
  <c r="G139" i="1"/>
  <c r="J117" i="1"/>
  <c r="G85" i="1"/>
  <c r="G61" i="1"/>
  <c r="G141" i="1"/>
  <c r="G133" i="1"/>
  <c r="J101" i="1"/>
  <c r="F95" i="1"/>
  <c r="G83" i="1"/>
  <c r="G77" i="1"/>
  <c r="G71" i="1"/>
  <c r="G65" i="1"/>
  <c r="F143" i="1"/>
  <c r="J137" i="1"/>
  <c r="F135" i="1"/>
  <c r="J129" i="1"/>
  <c r="J113" i="1"/>
  <c r="G101" i="1"/>
  <c r="F79" i="1"/>
  <c r="G103" i="1"/>
  <c r="H64" i="1"/>
  <c r="J61" i="1"/>
  <c r="G155" i="1"/>
  <c r="I156" i="2" s="1"/>
  <c r="N156" i="2" s="1"/>
  <c r="G137" i="1"/>
  <c r="G129" i="1"/>
  <c r="G113" i="1"/>
  <c r="F103" i="1"/>
  <c r="J93" i="1"/>
  <c r="G87" i="1"/>
  <c r="J141" i="1"/>
  <c r="F139" i="1"/>
  <c r="J133" i="1"/>
  <c r="F131" i="1"/>
  <c r="F115" i="1"/>
  <c r="G93" i="1"/>
  <c r="J77" i="1"/>
  <c r="G69" i="1"/>
  <c r="J65" i="1"/>
  <c r="G57" i="1"/>
  <c r="J157" i="1"/>
  <c r="J125" i="1"/>
  <c r="F123" i="1"/>
  <c r="G115" i="1"/>
  <c r="G105" i="1"/>
  <c r="J97" i="1"/>
  <c r="G95" i="1"/>
  <c r="F83" i="1"/>
  <c r="G73" i="1"/>
  <c r="H68" i="1"/>
  <c r="J145" i="1"/>
  <c r="G125" i="1"/>
  <c r="J109" i="1"/>
  <c r="F107" i="1"/>
  <c r="G97" i="1"/>
  <c r="H92" i="1"/>
  <c r="J89" i="1"/>
  <c r="F75" i="1"/>
  <c r="H60" i="1"/>
  <c r="J57" i="1"/>
  <c r="G55" i="1"/>
  <c r="G127" i="1"/>
  <c r="G99" i="1"/>
  <c r="J69" i="1"/>
  <c r="G67" i="1"/>
  <c r="F55" i="1"/>
  <c r="J165" i="1"/>
  <c r="G145" i="1"/>
  <c r="F127" i="1"/>
  <c r="J121" i="1"/>
  <c r="G119" i="1"/>
  <c r="G109" i="1"/>
  <c r="F99" i="1"/>
  <c r="G89" i="1"/>
  <c r="H84" i="1"/>
  <c r="J81" i="1"/>
  <c r="G79" i="1"/>
  <c r="F67" i="1"/>
  <c r="H156" i="1"/>
  <c r="G111" i="1"/>
  <c r="G91" i="1"/>
  <c r="G59" i="1"/>
  <c r="J161" i="1"/>
  <c r="G121" i="1"/>
  <c r="F111" i="1"/>
  <c r="J105" i="1"/>
  <c r="F91" i="1"/>
  <c r="G81" i="1"/>
  <c r="H76" i="1"/>
  <c r="F59" i="1"/>
  <c r="J167" i="1"/>
  <c r="F166" i="1"/>
  <c r="H166" i="1"/>
  <c r="J166" i="1"/>
  <c r="J164" i="1"/>
  <c r="F164" i="1"/>
  <c r="F149" i="1"/>
  <c r="H149" i="1"/>
  <c r="H147" i="1"/>
  <c r="J147" i="1"/>
  <c r="F142" i="1"/>
  <c r="G142" i="1"/>
  <c r="H142" i="1"/>
  <c r="J142" i="1"/>
  <c r="J120" i="1"/>
  <c r="F120" i="1"/>
  <c r="G120" i="1"/>
  <c r="F110" i="1"/>
  <c r="G110" i="1"/>
  <c r="H110" i="1"/>
  <c r="J110" i="1"/>
  <c r="F122" i="1"/>
  <c r="G122" i="1"/>
  <c r="H122" i="1"/>
  <c r="J122" i="1"/>
  <c r="J100" i="1"/>
  <c r="J160" i="1"/>
  <c r="F160" i="1"/>
  <c r="J140" i="1"/>
  <c r="F140" i="1"/>
  <c r="G140" i="1"/>
  <c r="J108" i="1"/>
  <c r="F108" i="1"/>
  <c r="G108" i="1"/>
  <c r="F153" i="1"/>
  <c r="H153" i="1"/>
  <c r="H151" i="1"/>
  <c r="J151" i="1"/>
  <c r="J132" i="1"/>
  <c r="F132" i="1"/>
  <c r="G132" i="1"/>
  <c r="J168" i="1"/>
  <c r="H167" i="1"/>
  <c r="G163" i="1"/>
  <c r="I164" i="2" s="1"/>
  <c r="N164" i="2" s="1"/>
  <c r="F157" i="1"/>
  <c r="H157" i="1"/>
  <c r="H155" i="1"/>
  <c r="J155" i="1"/>
  <c r="H148" i="1"/>
  <c r="J144" i="1"/>
  <c r="F144" i="1"/>
  <c r="G144" i="1"/>
  <c r="F134" i="1"/>
  <c r="G134" i="1"/>
  <c r="H134" i="1"/>
  <c r="J134" i="1"/>
  <c r="J112" i="1"/>
  <c r="F112" i="1"/>
  <c r="G112" i="1"/>
  <c r="F102" i="1"/>
  <c r="G102" i="1"/>
  <c r="H102" i="1"/>
  <c r="J102" i="1"/>
  <c r="G167" i="1"/>
  <c r="I168" i="2" s="1"/>
  <c r="N168" i="2" s="1"/>
  <c r="F161" i="1"/>
  <c r="H161" i="1"/>
  <c r="H159" i="1"/>
  <c r="J159" i="1"/>
  <c r="H152" i="1"/>
  <c r="F146" i="1"/>
  <c r="H146" i="1"/>
  <c r="J146" i="1"/>
  <c r="J124" i="1"/>
  <c r="F124" i="1"/>
  <c r="G124" i="1"/>
  <c r="F114" i="1"/>
  <c r="G114" i="1"/>
  <c r="H114" i="1"/>
  <c r="J114" i="1"/>
  <c r="H168" i="1"/>
  <c r="F165" i="1"/>
  <c r="H165" i="1"/>
  <c r="H163" i="1"/>
  <c r="J163" i="1"/>
  <c r="F150" i="1"/>
  <c r="H150" i="1"/>
  <c r="J150" i="1"/>
  <c r="J148" i="1"/>
  <c r="F148" i="1"/>
  <c r="J136" i="1"/>
  <c r="F136" i="1"/>
  <c r="G136" i="1"/>
  <c r="F126" i="1"/>
  <c r="G126" i="1"/>
  <c r="H126" i="1"/>
  <c r="J126" i="1"/>
  <c r="J104" i="1"/>
  <c r="F104" i="1"/>
  <c r="G104" i="1"/>
  <c r="F162" i="1"/>
  <c r="H162" i="1"/>
  <c r="J162" i="1"/>
  <c r="F130" i="1"/>
  <c r="G130" i="1"/>
  <c r="H130" i="1"/>
  <c r="J130" i="1"/>
  <c r="G168" i="1"/>
  <c r="I169" i="2" s="1"/>
  <c r="N169" i="2" s="1"/>
  <c r="H160" i="1"/>
  <c r="F154" i="1"/>
  <c r="H154" i="1"/>
  <c r="J154" i="1"/>
  <c r="J152" i="1"/>
  <c r="F152" i="1"/>
  <c r="F138" i="1"/>
  <c r="G138" i="1"/>
  <c r="H138" i="1"/>
  <c r="J138" i="1"/>
  <c r="J116" i="1"/>
  <c r="F116" i="1"/>
  <c r="G116" i="1"/>
  <c r="F106" i="1"/>
  <c r="G106" i="1"/>
  <c r="H106" i="1"/>
  <c r="J106" i="1"/>
  <c r="H164" i="1"/>
  <c r="G162" i="1"/>
  <c r="I163" i="2" s="1"/>
  <c r="N163" i="2" s="1"/>
  <c r="G160" i="1"/>
  <c r="I161" i="2" s="1"/>
  <c r="N161" i="2" s="1"/>
  <c r="F158" i="1"/>
  <c r="H158" i="1"/>
  <c r="J158" i="1"/>
  <c r="J156" i="1"/>
  <c r="F156" i="1"/>
  <c r="J153" i="1"/>
  <c r="G147" i="1"/>
  <c r="I148" i="2" s="1"/>
  <c r="N148" i="2" s="1"/>
  <c r="H140" i="1"/>
  <c r="J128" i="1"/>
  <c r="F128" i="1"/>
  <c r="G128" i="1"/>
  <c r="F118" i="1"/>
  <c r="G118" i="1"/>
  <c r="H118" i="1"/>
  <c r="J118" i="1"/>
  <c r="H108" i="1"/>
  <c r="G100" i="1"/>
  <c r="G96" i="1"/>
  <c r="G92" i="1"/>
  <c r="G88" i="1"/>
  <c r="G84" i="1"/>
  <c r="G80" i="1"/>
  <c r="G76" i="1"/>
  <c r="G72" i="1"/>
  <c r="G68" i="1"/>
  <c r="G64" i="1"/>
  <c r="G60" i="1"/>
  <c r="G56" i="1"/>
  <c r="H145" i="1"/>
  <c r="H141" i="1"/>
  <c r="H137" i="1"/>
  <c r="H133" i="1"/>
  <c r="H129" i="1"/>
  <c r="H125" i="1"/>
  <c r="H121" i="1"/>
  <c r="H117" i="1"/>
  <c r="H113" i="1"/>
  <c r="H109" i="1"/>
  <c r="H105" i="1"/>
  <c r="H101" i="1"/>
  <c r="F100" i="1"/>
  <c r="J98" i="1"/>
  <c r="H97" i="1"/>
  <c r="F96" i="1"/>
  <c r="J94" i="1"/>
  <c r="H93" i="1"/>
  <c r="F92" i="1"/>
  <c r="J90" i="1"/>
  <c r="H89" i="1"/>
  <c r="F88" i="1"/>
  <c r="J86" i="1"/>
  <c r="H85" i="1"/>
  <c r="F84" i="1"/>
  <c r="J82" i="1"/>
  <c r="H81" i="1"/>
  <c r="F80" i="1"/>
  <c r="J78" i="1"/>
  <c r="H77" i="1"/>
  <c r="F76" i="1"/>
  <c r="J74" i="1"/>
  <c r="H73" i="1"/>
  <c r="F72" i="1"/>
  <c r="J70" i="1"/>
  <c r="H69" i="1"/>
  <c r="F68" i="1"/>
  <c r="J66" i="1"/>
  <c r="H65" i="1"/>
  <c r="F64" i="1"/>
  <c r="J62" i="1"/>
  <c r="H61" i="1"/>
  <c r="F60" i="1"/>
  <c r="J58" i="1"/>
  <c r="H57" i="1"/>
  <c r="F56" i="1"/>
  <c r="J54" i="1"/>
  <c r="J143" i="1"/>
  <c r="J139" i="1"/>
  <c r="J135" i="1"/>
  <c r="J131" i="1"/>
  <c r="J127" i="1"/>
  <c r="J123" i="1"/>
  <c r="J119" i="1"/>
  <c r="J115" i="1"/>
  <c r="J111" i="1"/>
  <c r="J107" i="1"/>
  <c r="J103" i="1"/>
  <c r="J99" i="1"/>
  <c r="H98" i="1"/>
  <c r="J95" i="1"/>
  <c r="H94" i="1"/>
  <c r="J91" i="1"/>
  <c r="H90" i="1"/>
  <c r="J87" i="1"/>
  <c r="H86" i="1"/>
  <c r="J83" i="1"/>
  <c r="H82" i="1"/>
  <c r="J79" i="1"/>
  <c r="H78" i="1"/>
  <c r="J75" i="1"/>
  <c r="H74" i="1"/>
  <c r="J71" i="1"/>
  <c r="H70" i="1"/>
  <c r="J67" i="1"/>
  <c r="H66" i="1"/>
  <c r="J63" i="1"/>
  <c r="H62" i="1"/>
  <c r="J59" i="1"/>
  <c r="H58" i="1"/>
  <c r="J55" i="1"/>
  <c r="H54" i="1"/>
  <c r="G98" i="1"/>
  <c r="G94" i="1"/>
  <c r="G90" i="1"/>
  <c r="G86" i="1"/>
  <c r="G82" i="1"/>
  <c r="G78" i="1"/>
  <c r="G74" i="1"/>
  <c r="G70" i="1"/>
  <c r="G66" i="1"/>
  <c r="G62" i="1"/>
  <c r="G58" i="1"/>
  <c r="G54" i="1"/>
  <c r="H10" i="1"/>
  <c r="J15" i="1"/>
  <c r="F15" i="1"/>
  <c r="J34" i="1"/>
  <c r="J17" i="1"/>
  <c r="H52" i="1"/>
  <c r="H44" i="1"/>
  <c r="H28" i="1"/>
  <c r="J42" i="1"/>
  <c r="H20" i="1"/>
  <c r="H17" i="1"/>
  <c r="J26" i="1"/>
  <c r="G17" i="1"/>
  <c r="G15" i="1"/>
  <c r="J50" i="1"/>
  <c r="J22" i="1"/>
  <c r="H36" i="1"/>
  <c r="J18" i="1"/>
  <c r="J7" i="1"/>
  <c r="H50" i="1"/>
  <c r="J10" i="1"/>
  <c r="H46" i="1"/>
  <c r="H42" i="1"/>
  <c r="H38" i="1"/>
  <c r="H34" i="1"/>
  <c r="H30" i="1"/>
  <c r="H26" i="1"/>
  <c r="H22" i="1"/>
  <c r="H18" i="1"/>
  <c r="G10" i="1"/>
  <c r="G7" i="1"/>
  <c r="G5" i="1"/>
  <c r="J51" i="1"/>
  <c r="J49" i="1"/>
  <c r="G46" i="1"/>
  <c r="G38" i="1"/>
  <c r="G30" i="1"/>
  <c r="G22" i="1"/>
  <c r="G18" i="1"/>
  <c r="J14" i="1"/>
  <c r="G51" i="1"/>
  <c r="J47" i="1"/>
  <c r="J43" i="1"/>
  <c r="J41" i="1"/>
  <c r="J39" i="1"/>
  <c r="J35" i="1"/>
  <c r="J33" i="1"/>
  <c r="J31" i="1"/>
  <c r="J27" i="1"/>
  <c r="J25" i="1"/>
  <c r="J23" i="1"/>
  <c r="J19" i="1"/>
  <c r="H14" i="1"/>
  <c r="J11" i="1"/>
  <c r="J6" i="1"/>
  <c r="F51" i="1"/>
  <c r="H49" i="1"/>
  <c r="G43" i="1"/>
  <c r="G35" i="1"/>
  <c r="G27" i="1"/>
  <c r="G19" i="1"/>
  <c r="G14" i="1"/>
  <c r="G49" i="1"/>
  <c r="G47" i="1"/>
  <c r="F43" i="1"/>
  <c r="H41" i="1"/>
  <c r="G39" i="1"/>
  <c r="F35" i="1"/>
  <c r="H33" i="1"/>
  <c r="G31" i="1"/>
  <c r="F27" i="1"/>
  <c r="H25" i="1"/>
  <c r="G23" i="1"/>
  <c r="F19" i="1"/>
  <c r="G11" i="1"/>
  <c r="H6" i="1"/>
  <c r="F47" i="1"/>
  <c r="G41" i="1"/>
  <c r="F39" i="1"/>
  <c r="G33" i="1"/>
  <c r="F31" i="1"/>
  <c r="G25" i="1"/>
  <c r="F23" i="1"/>
  <c r="G6" i="1"/>
  <c r="J3" i="1"/>
  <c r="G16" i="1"/>
  <c r="J16" i="1"/>
  <c r="H16" i="1"/>
  <c r="G24" i="1"/>
  <c r="J24" i="1"/>
  <c r="H24" i="1"/>
  <c r="F24" i="1"/>
  <c r="G53" i="1"/>
  <c r="H53" i="1"/>
  <c r="J53" i="1"/>
  <c r="F53" i="1"/>
  <c r="G45" i="1"/>
  <c r="H45" i="1"/>
  <c r="J45" i="1"/>
  <c r="G37" i="1"/>
  <c r="H37" i="1"/>
  <c r="J37" i="1"/>
  <c r="J5" i="1"/>
  <c r="H5" i="1"/>
  <c r="G29" i="1"/>
  <c r="H29" i="1"/>
  <c r="J29" i="1"/>
  <c r="G21" i="1"/>
  <c r="H21" i="1"/>
  <c r="J21" i="1"/>
  <c r="J9" i="1"/>
  <c r="G9" i="1"/>
  <c r="H9" i="1"/>
  <c r="G48" i="1"/>
  <c r="J48" i="1"/>
  <c r="H48" i="1"/>
  <c r="J13" i="1"/>
  <c r="F13" i="1"/>
  <c r="G13" i="1"/>
  <c r="H13" i="1"/>
  <c r="G40" i="1"/>
  <c r="J40" i="1"/>
  <c r="H40" i="1"/>
  <c r="G32" i="1"/>
  <c r="J32" i="1"/>
  <c r="H32" i="1"/>
  <c r="G12" i="1"/>
  <c r="H12" i="1"/>
  <c r="J12" i="1"/>
  <c r="G8" i="1"/>
  <c r="H8" i="1"/>
  <c r="J8" i="1"/>
  <c r="G52" i="1"/>
  <c r="J52" i="1"/>
  <c r="G44" i="1"/>
  <c r="J44" i="1"/>
  <c r="G36" i="1"/>
  <c r="J36" i="1"/>
  <c r="G28" i="1"/>
  <c r="J28" i="1"/>
  <c r="G20" i="1"/>
  <c r="J20" i="1"/>
  <c r="G4" i="1"/>
  <c r="H4" i="1"/>
  <c r="J4" i="1"/>
  <c r="G50" i="1"/>
  <c r="G42" i="1"/>
  <c r="G34" i="1"/>
  <c r="G26" i="1"/>
  <c r="J46" i="1"/>
  <c r="J38" i="1"/>
  <c r="J30" i="1"/>
  <c r="H11" i="1"/>
  <c r="H7" i="1"/>
  <c r="H3" i="1"/>
  <c r="G3" i="1"/>
  <c r="J2" i="1"/>
  <c r="P2" i="1"/>
  <c r="P1" i="1"/>
  <c r="Q1" i="1" l="1"/>
  <c r="O3" i="2"/>
  <c r="P159" i="2" s="1"/>
  <c r="Q3" i="2"/>
  <c r="K3" i="3"/>
  <c r="K4" i="3"/>
  <c r="K5" i="3"/>
  <c r="K6" i="3"/>
  <c r="L3" i="2"/>
  <c r="J3" i="2"/>
  <c r="I52" i="2"/>
  <c r="I41" i="2"/>
  <c r="I4" i="2"/>
  <c r="N4" i="2" s="1"/>
  <c r="F2" i="1"/>
  <c r="P147" i="2" l="1"/>
  <c r="K156" i="2"/>
  <c r="K160" i="2"/>
  <c r="K164" i="2"/>
  <c r="K168" i="2"/>
  <c r="K150" i="2"/>
  <c r="K154" i="2"/>
  <c r="K158" i="2"/>
  <c r="K162" i="2"/>
  <c r="K166" i="2"/>
  <c r="K155" i="2"/>
  <c r="K159" i="2"/>
  <c r="K163" i="2"/>
  <c r="K151" i="2"/>
  <c r="K161" i="2"/>
  <c r="K147" i="2"/>
  <c r="K157" i="2"/>
  <c r="K167" i="2"/>
  <c r="K152" i="2"/>
  <c r="K165" i="2"/>
  <c r="K153" i="2"/>
  <c r="K169" i="2"/>
  <c r="K148" i="2"/>
  <c r="K149" i="2"/>
  <c r="P155" i="2"/>
  <c r="P4" i="2"/>
  <c r="P152" i="2"/>
  <c r="P148" i="2"/>
  <c r="P150" i="2"/>
  <c r="P164" i="2"/>
  <c r="P161" i="2"/>
  <c r="P154" i="2"/>
  <c r="P166" i="2"/>
  <c r="P165" i="2"/>
  <c r="P149" i="2"/>
  <c r="P162" i="2"/>
  <c r="P157" i="2"/>
  <c r="P160" i="2"/>
  <c r="P169" i="2"/>
  <c r="P158" i="2"/>
  <c r="P153" i="2"/>
  <c r="P156" i="2"/>
  <c r="P168" i="2"/>
  <c r="P167" i="2"/>
  <c r="P163" i="2"/>
  <c r="P151" i="2"/>
  <c r="I12" i="2"/>
  <c r="N12" i="2" s="1"/>
  <c r="P12" i="2" s="1"/>
  <c r="I43" i="2"/>
  <c r="K43" i="2" s="1"/>
  <c r="I13" i="2"/>
  <c r="K13" i="2" s="1"/>
  <c r="K4" i="2"/>
  <c r="I74" i="2"/>
  <c r="N74" i="2" s="1"/>
  <c r="P74" i="2" s="1"/>
  <c r="I75" i="2"/>
  <c r="N75" i="2" s="1"/>
  <c r="P75" i="2" s="1"/>
  <c r="I27" i="2"/>
  <c r="N27" i="2" s="1"/>
  <c r="P27" i="2" s="1"/>
  <c r="I60" i="2"/>
  <c r="N60" i="2" s="1"/>
  <c r="P60" i="2" s="1"/>
  <c r="I9" i="2"/>
  <c r="N9" i="2" s="1"/>
  <c r="P9" i="2" s="1"/>
  <c r="I19" i="2"/>
  <c r="N19" i="2" s="1"/>
  <c r="P19" i="2" s="1"/>
  <c r="I20" i="2"/>
  <c r="N20" i="2" s="1"/>
  <c r="P20" i="2" s="1"/>
  <c r="I30" i="2"/>
  <c r="N30" i="2" s="1"/>
  <c r="P30" i="2" s="1"/>
  <c r="I38" i="2"/>
  <c r="K38" i="2" s="1"/>
  <c r="I55" i="2"/>
  <c r="K55" i="2" s="1"/>
  <c r="I76" i="2"/>
  <c r="N76" i="2" s="1"/>
  <c r="P76" i="2" s="1"/>
  <c r="I87" i="2"/>
  <c r="N87" i="2" s="1"/>
  <c r="P87" i="2" s="1"/>
  <c r="I95" i="2"/>
  <c r="N95" i="2" s="1"/>
  <c r="P95" i="2" s="1"/>
  <c r="I138" i="2"/>
  <c r="K138" i="2" s="1"/>
  <c r="I83" i="2"/>
  <c r="K83" i="2" s="1"/>
  <c r="I45" i="2"/>
  <c r="N45" i="2" s="1"/>
  <c r="P45" i="2" s="1"/>
  <c r="I15" i="2"/>
  <c r="N15" i="2" s="1"/>
  <c r="P15" i="2" s="1"/>
  <c r="I25" i="2"/>
  <c r="K25" i="2" s="1"/>
  <c r="I118" i="2"/>
  <c r="K118" i="2" s="1"/>
  <c r="I49" i="2"/>
  <c r="N49" i="2" s="1"/>
  <c r="P49" i="2" s="1"/>
  <c r="I36" i="2"/>
  <c r="N36" i="2" s="1"/>
  <c r="P36" i="2" s="1"/>
  <c r="I62" i="2"/>
  <c r="N62" i="2" s="1"/>
  <c r="P62" i="2" s="1"/>
  <c r="I110" i="2"/>
  <c r="N110" i="2" s="1"/>
  <c r="P110" i="2" s="1"/>
  <c r="I28" i="2"/>
  <c r="N28" i="2" s="1"/>
  <c r="P28" i="2" s="1"/>
  <c r="I37" i="2"/>
  <c r="N37" i="2" s="1"/>
  <c r="P37" i="2" s="1"/>
  <c r="I94" i="2"/>
  <c r="K94" i="2" s="1"/>
  <c r="I111" i="2"/>
  <c r="K111" i="2" s="1"/>
  <c r="I47" i="2"/>
  <c r="N47" i="2" s="1"/>
  <c r="P47" i="2" s="1"/>
  <c r="I21" i="2"/>
  <c r="K21" i="2" s="1"/>
  <c r="I67" i="2"/>
  <c r="N67" i="2" s="1"/>
  <c r="P67" i="2" s="1"/>
  <c r="I131" i="2"/>
  <c r="K131" i="2" s="1"/>
  <c r="I79" i="2"/>
  <c r="N79" i="2" s="1"/>
  <c r="P79" i="2" s="1"/>
  <c r="I54" i="2"/>
  <c r="N54" i="2" s="1"/>
  <c r="P54" i="2" s="1"/>
  <c r="I44" i="2"/>
  <c r="N44" i="2" s="1"/>
  <c r="P44" i="2" s="1"/>
  <c r="I39" i="2"/>
  <c r="N39" i="2" s="1"/>
  <c r="P39" i="2" s="1"/>
  <c r="I29" i="2"/>
  <c r="N29" i="2" s="1"/>
  <c r="P29" i="2" s="1"/>
  <c r="I103" i="2"/>
  <c r="N103" i="2" s="1"/>
  <c r="P103" i="2" s="1"/>
  <c r="I86" i="2"/>
  <c r="N86" i="2" s="1"/>
  <c r="P86" i="2" s="1"/>
  <c r="I22" i="2"/>
  <c r="K22" i="2" s="1"/>
  <c r="I57" i="2"/>
  <c r="N57" i="2" s="1"/>
  <c r="P57" i="2" s="1"/>
  <c r="I78" i="2"/>
  <c r="N78" i="2" s="1"/>
  <c r="P78" i="2" s="1"/>
  <c r="I114" i="2"/>
  <c r="K114" i="2" s="1"/>
  <c r="I132" i="2"/>
  <c r="N132" i="2" s="1"/>
  <c r="P132" i="2" s="1"/>
  <c r="I140" i="2"/>
  <c r="N140" i="2" s="1"/>
  <c r="P140" i="2" s="1"/>
  <c r="I17" i="2"/>
  <c r="N17" i="2" s="1"/>
  <c r="P17" i="2" s="1"/>
  <c r="I92" i="2"/>
  <c r="K92" i="2" s="1"/>
  <c r="I126" i="2"/>
  <c r="N126" i="2" s="1"/>
  <c r="P126" i="2" s="1"/>
  <c r="I68" i="2"/>
  <c r="I84" i="2"/>
  <c r="K84" i="2" s="1"/>
  <c r="I66" i="2"/>
  <c r="N66" i="2" s="1"/>
  <c r="P66" i="2" s="1"/>
  <c r="I63" i="2"/>
  <c r="N63" i="2" s="1"/>
  <c r="P63" i="2" s="1"/>
  <c r="I23" i="2"/>
  <c r="K23" i="2" s="1"/>
  <c r="I70" i="2"/>
  <c r="K70" i="2" s="1"/>
  <c r="I99" i="2"/>
  <c r="K99" i="2" s="1"/>
  <c r="I107" i="2"/>
  <c r="K107" i="2" s="1"/>
  <c r="I115" i="2"/>
  <c r="N115" i="2" s="1"/>
  <c r="P115" i="2" s="1"/>
  <c r="I124" i="2"/>
  <c r="N124" i="2" s="1"/>
  <c r="P124" i="2" s="1"/>
  <c r="I35" i="2"/>
  <c r="K35" i="2" s="1"/>
  <c r="I82" i="2"/>
  <c r="N82" i="2" s="1"/>
  <c r="P82" i="2" s="1"/>
  <c r="I102" i="2"/>
  <c r="N102" i="2" s="1"/>
  <c r="P102" i="2" s="1"/>
  <c r="I10" i="2"/>
  <c r="K10" i="2" s="1"/>
  <c r="I5" i="2"/>
  <c r="N5" i="2" s="1"/>
  <c r="P5" i="2" s="1"/>
  <c r="I6" i="2"/>
  <c r="N6" i="2" s="1"/>
  <c r="P6" i="2" s="1"/>
  <c r="I14" i="2"/>
  <c r="N14" i="2" s="1"/>
  <c r="P14" i="2" s="1"/>
  <c r="I33" i="2"/>
  <c r="K33" i="2" s="1"/>
  <c r="I7" i="2"/>
  <c r="N7" i="2" s="1"/>
  <c r="P7" i="2" s="1"/>
  <c r="I34" i="2"/>
  <c r="K34" i="2" s="1"/>
  <c r="I46" i="2"/>
  <c r="K46" i="2" s="1"/>
  <c r="I59" i="2"/>
  <c r="N59" i="2" s="1"/>
  <c r="P59" i="2" s="1"/>
  <c r="I91" i="2"/>
  <c r="N91" i="2" s="1"/>
  <c r="P91" i="2" s="1"/>
  <c r="I100" i="2"/>
  <c r="K100" i="2" s="1"/>
  <c r="I108" i="2"/>
  <c r="K108" i="2" s="1"/>
  <c r="I116" i="2"/>
  <c r="N116" i="2" s="1"/>
  <c r="P116" i="2" s="1"/>
  <c r="I71" i="2"/>
  <c r="N71" i="2" s="1"/>
  <c r="P71" i="2" s="1"/>
  <c r="P4" i="1"/>
  <c r="P3" i="1"/>
  <c r="N41" i="2"/>
  <c r="P41" i="2" s="1"/>
  <c r="N52" i="2"/>
  <c r="P52" i="2" s="1"/>
  <c r="I142" i="2"/>
  <c r="N142" i="2" s="1"/>
  <c r="P142" i="2" s="1"/>
  <c r="I134" i="2"/>
  <c r="N134" i="2" s="1"/>
  <c r="P134" i="2" s="1"/>
  <c r="I90" i="2"/>
  <c r="H2" i="1"/>
  <c r="I3" i="2"/>
  <c r="I106" i="2"/>
  <c r="I139" i="2"/>
  <c r="I146" i="2"/>
  <c r="I122" i="2"/>
  <c r="I18" i="2"/>
  <c r="I11" i="2"/>
  <c r="I50" i="2"/>
  <c r="I26" i="2"/>
  <c r="I123" i="2"/>
  <c r="I130" i="2"/>
  <c r="I42" i="2"/>
  <c r="I96" i="2"/>
  <c r="I51" i="2"/>
  <c r="I31" i="2"/>
  <c r="I48" i="2"/>
  <c r="I58" i="2"/>
  <c r="I88" i="2"/>
  <c r="I98" i="2"/>
  <c r="I24" i="2"/>
  <c r="I93" i="2"/>
  <c r="I113" i="2"/>
  <c r="I16" i="2"/>
  <c r="I64" i="2"/>
  <c r="I89" i="2"/>
  <c r="I119" i="2"/>
  <c r="I135" i="2"/>
  <c r="I65" i="2"/>
  <c r="I109" i="2"/>
  <c r="I145" i="2"/>
  <c r="I104" i="2"/>
  <c r="I80" i="2"/>
  <c r="I105" i="2"/>
  <c r="I120" i="2"/>
  <c r="I125" i="2"/>
  <c r="I136" i="2"/>
  <c r="I141" i="2"/>
  <c r="I69" i="2"/>
  <c r="I8" i="2"/>
  <c r="I56" i="2"/>
  <c r="I85" i="2"/>
  <c r="I61" i="2"/>
  <c r="I81" i="2"/>
  <c r="I121" i="2"/>
  <c r="I137" i="2"/>
  <c r="I127" i="2"/>
  <c r="I143" i="2"/>
  <c r="I53" i="2"/>
  <c r="I77" i="2"/>
  <c r="I97" i="2"/>
  <c r="I129" i="2"/>
  <c r="I101" i="2"/>
  <c r="I40" i="2"/>
  <c r="I72" i="2"/>
  <c r="I32" i="2"/>
  <c r="I73" i="2"/>
  <c r="I112" i="2"/>
  <c r="I117" i="2"/>
  <c r="I128" i="2"/>
  <c r="I133" i="2"/>
  <c r="I144" i="2"/>
  <c r="K52" i="2"/>
  <c r="K41" i="2"/>
  <c r="K5" i="2" l="1"/>
  <c r="N43" i="2"/>
  <c r="P43" i="2" s="1"/>
  <c r="K126" i="2"/>
  <c r="K86" i="2"/>
  <c r="K29" i="2"/>
  <c r="N94" i="2"/>
  <c r="P94" i="2" s="1"/>
  <c r="K57" i="2"/>
  <c r="K95" i="2"/>
  <c r="K19" i="2"/>
  <c r="N55" i="2"/>
  <c r="P55" i="2" s="1"/>
  <c r="N99" i="2"/>
  <c r="P99" i="2" s="1"/>
  <c r="K62" i="2"/>
  <c r="K27" i="2"/>
  <c r="N33" i="2"/>
  <c r="P33" i="2" s="1"/>
  <c r="N22" i="2"/>
  <c r="P22" i="2" s="1"/>
  <c r="K66" i="2"/>
  <c r="K87" i="2"/>
  <c r="N83" i="2"/>
  <c r="P83" i="2" s="1"/>
  <c r="N10" i="2"/>
  <c r="P10" i="2" s="1"/>
  <c r="K37" i="2"/>
  <c r="K36" i="2"/>
  <c r="N38" i="2"/>
  <c r="P38" i="2" s="1"/>
  <c r="P9" i="1"/>
  <c r="Q9" i="1"/>
  <c r="N21" i="2"/>
  <c r="P21" i="2" s="1"/>
  <c r="N25" i="2"/>
  <c r="P25" i="2" s="1"/>
  <c r="N23" i="2"/>
  <c r="P23" i="2" s="1"/>
  <c r="N138" i="2"/>
  <c r="P138" i="2" s="1"/>
  <c r="N131" i="2"/>
  <c r="P131" i="2" s="1"/>
  <c r="K124" i="2"/>
  <c r="K14" i="2"/>
  <c r="N34" i="2"/>
  <c r="P34" i="2" s="1"/>
  <c r="K91" i="2"/>
  <c r="Q10" i="1"/>
  <c r="T15" i="1" s="1"/>
  <c r="K47" i="2"/>
  <c r="K49" i="2"/>
  <c r="N111" i="2"/>
  <c r="P111" i="2" s="1"/>
  <c r="K17" i="2"/>
  <c r="K78" i="2"/>
  <c r="K7" i="2"/>
  <c r="N107" i="2"/>
  <c r="P107" i="2" s="1"/>
  <c r="K103" i="2"/>
  <c r="K9" i="2"/>
  <c r="N46" i="2"/>
  <c r="P46" i="2" s="1"/>
  <c r="N118" i="2"/>
  <c r="P118" i="2" s="1"/>
  <c r="K110" i="2"/>
  <c r="N92" i="2"/>
  <c r="P92" i="2" s="1"/>
  <c r="N100" i="2"/>
  <c r="P100" i="2" s="1"/>
  <c r="K75" i="2"/>
  <c r="K30" i="2"/>
  <c r="K15" i="2"/>
  <c r="N35" i="2"/>
  <c r="P35" i="2" s="1"/>
  <c r="N108" i="2"/>
  <c r="P108" i="2" s="1"/>
  <c r="K59" i="2"/>
  <c r="K44" i="2"/>
  <c r="N68" i="2"/>
  <c r="P68" i="2" s="1"/>
  <c r="K68" i="2"/>
  <c r="P10" i="1"/>
  <c r="K116" i="2"/>
  <c r="K63" i="2"/>
  <c r="N84" i="2"/>
  <c r="P84" i="2" s="1"/>
  <c r="K67" i="2"/>
  <c r="Q3" i="1"/>
  <c r="K115" i="2"/>
  <c r="K28" i="2"/>
  <c r="K39" i="2"/>
  <c r="K134" i="2"/>
  <c r="K54" i="2"/>
  <c r="K79" i="2"/>
  <c r="K71" i="2"/>
  <c r="N13" i="2"/>
  <c r="P13" i="2" s="1"/>
  <c r="K45" i="2"/>
  <c r="K12" i="2"/>
  <c r="K142" i="2"/>
  <c r="K74" i="2"/>
  <c r="K6" i="2"/>
  <c r="K132" i="2"/>
  <c r="K60" i="2"/>
  <c r="K140" i="2"/>
  <c r="K76" i="2"/>
  <c r="K102" i="2"/>
  <c r="K20" i="2"/>
  <c r="N70" i="2"/>
  <c r="P70" i="2" s="1"/>
  <c r="K3" i="2"/>
  <c r="J4" i="2" s="1"/>
  <c r="N114" i="2"/>
  <c r="P114" i="2" s="1"/>
  <c r="K82" i="2"/>
  <c r="K117" i="2"/>
  <c r="N117" i="2"/>
  <c r="P117" i="2" s="1"/>
  <c r="K40" i="2"/>
  <c r="N40" i="2"/>
  <c r="P40" i="2" s="1"/>
  <c r="K8" i="2"/>
  <c r="N8" i="2"/>
  <c r="P8" i="2" s="1"/>
  <c r="K105" i="2"/>
  <c r="N105" i="2"/>
  <c r="P105" i="2" s="1"/>
  <c r="K145" i="2"/>
  <c r="N145" i="2"/>
  <c r="P145" i="2" s="1"/>
  <c r="K88" i="2"/>
  <c r="N88" i="2"/>
  <c r="P88" i="2" s="1"/>
  <c r="K123" i="2"/>
  <c r="N123" i="2"/>
  <c r="P123" i="2" s="1"/>
  <c r="K72" i="2"/>
  <c r="N72" i="2"/>
  <c r="P72" i="2" s="1"/>
  <c r="K56" i="2"/>
  <c r="N56" i="2"/>
  <c r="P56" i="2" s="1"/>
  <c r="K112" i="2"/>
  <c r="N112" i="2"/>
  <c r="P112" i="2" s="1"/>
  <c r="K101" i="2"/>
  <c r="N101" i="2"/>
  <c r="P101" i="2" s="1"/>
  <c r="K129" i="2"/>
  <c r="N129" i="2"/>
  <c r="P129" i="2" s="1"/>
  <c r="K97" i="2"/>
  <c r="N97" i="2"/>
  <c r="P97" i="2" s="1"/>
  <c r="K80" i="2"/>
  <c r="N80" i="2"/>
  <c r="P80" i="2" s="1"/>
  <c r="K113" i="2"/>
  <c r="N113" i="2"/>
  <c r="P113" i="2" s="1"/>
  <c r="K51" i="2"/>
  <c r="N51" i="2"/>
  <c r="P51" i="2" s="1"/>
  <c r="K130" i="2"/>
  <c r="N130" i="2"/>
  <c r="P130" i="2" s="1"/>
  <c r="K11" i="2"/>
  <c r="N11" i="2"/>
  <c r="P11" i="2" s="1"/>
  <c r="K73" i="2"/>
  <c r="N73" i="2"/>
  <c r="P73" i="2" s="1"/>
  <c r="K77" i="2"/>
  <c r="N77" i="2"/>
  <c r="P77" i="2" s="1"/>
  <c r="K137" i="2"/>
  <c r="N137" i="2"/>
  <c r="P137" i="2" s="1"/>
  <c r="K104" i="2"/>
  <c r="N104" i="2"/>
  <c r="P104" i="2" s="1"/>
  <c r="K135" i="2"/>
  <c r="N135" i="2"/>
  <c r="P135" i="2" s="1"/>
  <c r="K26" i="2"/>
  <c r="N26" i="2"/>
  <c r="P26" i="2" s="1"/>
  <c r="K146" i="2"/>
  <c r="N146" i="2"/>
  <c r="P146" i="2" s="1"/>
  <c r="K32" i="2"/>
  <c r="N32" i="2"/>
  <c r="P32" i="2" s="1"/>
  <c r="K53" i="2"/>
  <c r="N53" i="2"/>
  <c r="P53" i="2" s="1"/>
  <c r="K127" i="2"/>
  <c r="N127" i="2"/>
  <c r="P127" i="2" s="1"/>
  <c r="K121" i="2"/>
  <c r="N121" i="2"/>
  <c r="P121" i="2" s="1"/>
  <c r="K69" i="2"/>
  <c r="N69" i="2"/>
  <c r="P69" i="2" s="1"/>
  <c r="K119" i="2"/>
  <c r="N119" i="2"/>
  <c r="P119" i="2" s="1"/>
  <c r="K93" i="2"/>
  <c r="N93" i="2"/>
  <c r="P93" i="2" s="1"/>
  <c r="K122" i="2"/>
  <c r="N122" i="2"/>
  <c r="P122" i="2" s="1"/>
  <c r="K139" i="2"/>
  <c r="N139" i="2"/>
  <c r="P139" i="2" s="1"/>
  <c r="K98" i="2"/>
  <c r="N98" i="2"/>
  <c r="P98" i="2" s="1"/>
  <c r="K143" i="2"/>
  <c r="N143" i="2"/>
  <c r="P143" i="2" s="1"/>
  <c r="K81" i="2"/>
  <c r="N81" i="2"/>
  <c r="P81" i="2" s="1"/>
  <c r="K141" i="2"/>
  <c r="N141" i="2"/>
  <c r="P141" i="2" s="1"/>
  <c r="K89" i="2"/>
  <c r="N89" i="2"/>
  <c r="P89" i="2" s="1"/>
  <c r="K58" i="2"/>
  <c r="N58" i="2"/>
  <c r="P58" i="2" s="1"/>
  <c r="K31" i="2"/>
  <c r="N31" i="2"/>
  <c r="P31" i="2" s="1"/>
  <c r="K96" i="2"/>
  <c r="N96" i="2"/>
  <c r="P96" i="2" s="1"/>
  <c r="K50" i="2"/>
  <c r="N50" i="2"/>
  <c r="P50" i="2" s="1"/>
  <c r="K18" i="2"/>
  <c r="N18" i="2"/>
  <c r="P18" i="2" s="1"/>
  <c r="K65" i="2"/>
  <c r="N65" i="2"/>
  <c r="P65" i="2" s="1"/>
  <c r="K144" i="2"/>
  <c r="N144" i="2"/>
  <c r="P144" i="2" s="1"/>
  <c r="K61" i="2"/>
  <c r="N61" i="2"/>
  <c r="P61" i="2" s="1"/>
  <c r="K136" i="2"/>
  <c r="N136" i="2"/>
  <c r="P136" i="2" s="1"/>
  <c r="K64" i="2"/>
  <c r="N64" i="2"/>
  <c r="P64" i="2" s="1"/>
  <c r="K48" i="2"/>
  <c r="N48" i="2"/>
  <c r="P48" i="2" s="1"/>
  <c r="K42" i="2"/>
  <c r="N42" i="2"/>
  <c r="P42" i="2" s="1"/>
  <c r="K106" i="2"/>
  <c r="N106" i="2"/>
  <c r="P106" i="2" s="1"/>
  <c r="K128" i="2"/>
  <c r="N128" i="2"/>
  <c r="P128" i="2" s="1"/>
  <c r="K120" i="2"/>
  <c r="N120" i="2"/>
  <c r="P120" i="2" s="1"/>
  <c r="K90" i="2"/>
  <c r="N90" i="2"/>
  <c r="P90" i="2" s="1"/>
  <c r="K133" i="2"/>
  <c r="N133" i="2"/>
  <c r="P133" i="2" s="1"/>
  <c r="K85" i="2"/>
  <c r="N85" i="2"/>
  <c r="P85" i="2" s="1"/>
  <c r="K125" i="2"/>
  <c r="N125" i="2"/>
  <c r="P125" i="2" s="1"/>
  <c r="K109" i="2"/>
  <c r="N109" i="2"/>
  <c r="P109" i="2" s="1"/>
  <c r="K16" i="2"/>
  <c r="N16" i="2"/>
  <c r="P16" i="2" s="1"/>
  <c r="K24" i="2"/>
  <c r="N24" i="2"/>
  <c r="P24" i="2" s="1"/>
  <c r="S1" i="1"/>
  <c r="S2" i="1"/>
  <c r="P16" i="1" l="1"/>
  <c r="X22" i="1" s="1"/>
  <c r="T13" i="1"/>
  <c r="U12" i="1" s="1"/>
  <c r="R10" i="1"/>
  <c r="T14" i="1"/>
  <c r="Q17" i="1"/>
  <c r="AB22" i="1" s="1"/>
  <c r="Q11" i="1"/>
  <c r="R9" i="1"/>
  <c r="Q16" i="1"/>
  <c r="P17" i="1"/>
  <c r="Y22" i="1" s="1"/>
  <c r="T16" i="1"/>
  <c r="P11" i="1"/>
  <c r="N3" i="2"/>
  <c r="P3" i="2" s="1"/>
  <c r="O4" i="2" s="1"/>
  <c r="O5" i="2" s="1"/>
  <c r="O6" i="2" s="1"/>
  <c r="O7" i="2" s="1"/>
  <c r="O8" i="2" s="1"/>
  <c r="O9" i="2" s="1"/>
  <c r="O10" i="2" s="1"/>
  <c r="O11" i="2" s="1"/>
  <c r="O12" i="2" s="1"/>
  <c r="O13" i="2" s="1"/>
  <c r="O14" i="2" s="1"/>
  <c r="O15" i="2" s="1"/>
  <c r="O16" i="2" s="1"/>
  <c r="O17" i="2" s="1"/>
  <c r="O18" i="2" s="1"/>
  <c r="O19" i="2" s="1"/>
  <c r="O20" i="2" s="1"/>
  <c r="O21" i="2" s="1"/>
  <c r="O22" i="2" s="1"/>
  <c r="O23" i="2" s="1"/>
  <c r="O24" i="2" s="1"/>
  <c r="O25" i="2" s="1"/>
  <c r="O26" i="2" s="1"/>
  <c r="O27" i="2" s="1"/>
  <c r="O28" i="2" s="1"/>
  <c r="O29" i="2" s="1"/>
  <c r="O30" i="2" s="1"/>
  <c r="O31" i="2" s="1"/>
  <c r="O32" i="2" s="1"/>
  <c r="O33" i="2" s="1"/>
  <c r="O34" i="2" s="1"/>
  <c r="O35" i="2" s="1"/>
  <c r="O36" i="2" s="1"/>
  <c r="O37" i="2" s="1"/>
  <c r="O38" i="2" s="1"/>
  <c r="O39" i="2" s="1"/>
  <c r="O40" i="2" s="1"/>
  <c r="O41" i="2" s="1"/>
  <c r="O42" i="2" s="1"/>
  <c r="O43" i="2" s="1"/>
  <c r="O44" i="2" s="1"/>
  <c r="O45" i="2" s="1"/>
  <c r="O46" i="2" s="1"/>
  <c r="O47" i="2" s="1"/>
  <c r="O48" i="2" s="1"/>
  <c r="O49" i="2" s="1"/>
  <c r="O50" i="2" s="1"/>
  <c r="O51" i="2" s="1"/>
  <c r="O52" i="2" s="1"/>
  <c r="O53" i="2" s="1"/>
  <c r="O54" i="2" s="1"/>
  <c r="O55" i="2" s="1"/>
  <c r="O56" i="2" s="1"/>
  <c r="O57" i="2" s="1"/>
  <c r="O58" i="2" s="1"/>
  <c r="O59" i="2" s="1"/>
  <c r="O60" i="2" s="1"/>
  <c r="O61" i="2" s="1"/>
  <c r="O62" i="2" s="1"/>
  <c r="O63" i="2" s="1"/>
  <c r="O64" i="2" s="1"/>
  <c r="O65" i="2" s="1"/>
  <c r="O66" i="2" s="1"/>
  <c r="O67" i="2" s="1"/>
  <c r="O68" i="2" s="1"/>
  <c r="O69" i="2" s="1"/>
  <c r="O70" i="2" s="1"/>
  <c r="O71" i="2" s="1"/>
  <c r="O72" i="2" s="1"/>
  <c r="O73" i="2" s="1"/>
  <c r="O74" i="2" s="1"/>
  <c r="O75" i="2" s="1"/>
  <c r="O76" i="2" s="1"/>
  <c r="O77" i="2" s="1"/>
  <c r="O78" i="2" s="1"/>
  <c r="O79" i="2" s="1"/>
  <c r="O80" i="2" s="1"/>
  <c r="O81" i="2" s="1"/>
  <c r="O82" i="2" s="1"/>
  <c r="O83" i="2" s="1"/>
  <c r="O84" i="2" s="1"/>
  <c r="O85" i="2" s="1"/>
  <c r="O86" i="2" s="1"/>
  <c r="O87" i="2" s="1"/>
  <c r="O88" i="2" s="1"/>
  <c r="O89" i="2" s="1"/>
  <c r="O90" i="2" s="1"/>
  <c r="O91" i="2" s="1"/>
  <c r="O92" i="2" s="1"/>
  <c r="O93" i="2" s="1"/>
  <c r="O94" i="2" s="1"/>
  <c r="O95" i="2" s="1"/>
  <c r="O96" i="2" s="1"/>
  <c r="O97" i="2" s="1"/>
  <c r="O98" i="2" s="1"/>
  <c r="O99" i="2" s="1"/>
  <c r="O100" i="2" s="1"/>
  <c r="O101" i="2" s="1"/>
  <c r="O102" i="2" s="1"/>
  <c r="O103" i="2" s="1"/>
  <c r="O104" i="2" s="1"/>
  <c r="O105" i="2" s="1"/>
  <c r="O106" i="2" s="1"/>
  <c r="O107" i="2" s="1"/>
  <c r="O108" i="2" s="1"/>
  <c r="O109" i="2" s="1"/>
  <c r="O110" i="2" s="1"/>
  <c r="O111" i="2" s="1"/>
  <c r="O112" i="2" s="1"/>
  <c r="O113" i="2" s="1"/>
  <c r="O114" i="2" s="1"/>
  <c r="O115" i="2" s="1"/>
  <c r="O116" i="2" s="1"/>
  <c r="O117" i="2" s="1"/>
  <c r="O118" i="2" s="1"/>
  <c r="O119" i="2" s="1"/>
  <c r="O120" i="2" s="1"/>
  <c r="O121" i="2" s="1"/>
  <c r="O122" i="2" s="1"/>
  <c r="O123" i="2" s="1"/>
  <c r="O124" i="2" s="1"/>
  <c r="O125" i="2" s="1"/>
  <c r="O126" i="2" s="1"/>
  <c r="O127" i="2" s="1"/>
  <c r="O128" i="2" s="1"/>
  <c r="O129" i="2" s="1"/>
  <c r="O130" i="2" s="1"/>
  <c r="O131" i="2" s="1"/>
  <c r="O132" i="2" s="1"/>
  <c r="O133" i="2" s="1"/>
  <c r="O134" i="2" s="1"/>
  <c r="O135" i="2" s="1"/>
  <c r="O136" i="2" s="1"/>
  <c r="O137" i="2" s="1"/>
  <c r="O138" i="2" s="1"/>
  <c r="O139" i="2" s="1"/>
  <c r="O140" i="2" s="1"/>
  <c r="O141" i="2" s="1"/>
  <c r="O142" i="2" s="1"/>
  <c r="O143" i="2" s="1"/>
  <c r="O144" i="2" s="1"/>
  <c r="O145" i="2" s="1"/>
  <c r="O146" i="2" s="1"/>
  <c r="O147" i="2" s="1"/>
  <c r="O148" i="2" s="1"/>
  <c r="O149" i="2" s="1"/>
  <c r="O150" i="2" s="1"/>
  <c r="O151" i="2" s="1"/>
  <c r="O152" i="2" s="1"/>
  <c r="O153" i="2" s="1"/>
  <c r="O154" i="2" s="1"/>
  <c r="O155" i="2" s="1"/>
  <c r="O156" i="2" s="1"/>
  <c r="O157" i="2" s="1"/>
  <c r="O158" i="2" s="1"/>
  <c r="O159" i="2" s="1"/>
  <c r="O160" i="2" s="1"/>
  <c r="O161" i="2" s="1"/>
  <c r="O162" i="2" s="1"/>
  <c r="O163" i="2" s="1"/>
  <c r="O164" i="2" s="1"/>
  <c r="O165" i="2" s="1"/>
  <c r="O166" i="2" s="1"/>
  <c r="O167" i="2" s="1"/>
  <c r="O168" i="2" s="1"/>
  <c r="O169" i="2" s="1"/>
  <c r="M3" i="2"/>
  <c r="L4" i="2" s="1"/>
  <c r="M4" i="2" s="1"/>
  <c r="J5" i="2"/>
  <c r="J6" i="2" s="1"/>
  <c r="J7" i="2" s="1"/>
  <c r="J8" i="2" s="1"/>
  <c r="J9" i="2" s="1"/>
  <c r="U20" i="1" l="1"/>
  <c r="U22" i="1" s="1"/>
  <c r="S10" i="1"/>
  <c r="U17" i="1"/>
  <c r="Q12" i="1"/>
  <c r="P14" i="1" s="1"/>
  <c r="W22" i="1" s="1"/>
  <c r="P18" i="1"/>
  <c r="Z22" i="1" s="1"/>
  <c r="AA22" i="1"/>
  <c r="Q18" i="1"/>
  <c r="AC22" i="1" s="1"/>
  <c r="T17" i="1"/>
  <c r="R3" i="2"/>
  <c r="Q4" i="2" s="1"/>
  <c r="J10" i="2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 s="1"/>
  <c r="J138" i="2" s="1"/>
  <c r="J139" i="2" s="1"/>
  <c r="J140" i="2" s="1"/>
  <c r="J141" i="2" s="1"/>
  <c r="J142" i="2" s="1"/>
  <c r="J143" i="2" s="1"/>
  <c r="J144" i="2" s="1"/>
  <c r="J145" i="2" s="1"/>
  <c r="J146" i="2" s="1"/>
  <c r="L5" i="2"/>
  <c r="M5" i="2" s="1"/>
  <c r="J147" i="2" l="1"/>
  <c r="J148" i="2" s="1"/>
  <c r="J149" i="2" s="1"/>
  <c r="J150" i="2" s="1"/>
  <c r="J151" i="2" s="1"/>
  <c r="J152" i="2" s="1"/>
  <c r="J153" i="2" s="1"/>
  <c r="J154" i="2" s="1"/>
  <c r="J155" i="2" s="1"/>
  <c r="J156" i="2" s="1"/>
  <c r="J157" i="2" s="1"/>
  <c r="J158" i="2" s="1"/>
  <c r="J159" i="2" s="1"/>
  <c r="J160" i="2" s="1"/>
  <c r="J161" i="2" s="1"/>
  <c r="J162" i="2" s="1"/>
  <c r="J163" i="2" s="1"/>
  <c r="J164" i="2" s="1"/>
  <c r="J165" i="2" s="1"/>
  <c r="J166" i="2" s="1"/>
  <c r="J167" i="2" s="1"/>
  <c r="J168" i="2" s="1"/>
  <c r="J169" i="2" s="1"/>
  <c r="R4" i="2"/>
  <c r="Q5" i="2" s="1"/>
  <c r="L6" i="2"/>
  <c r="M6" i="2" s="1"/>
  <c r="L7" i="2" s="1"/>
  <c r="Q20" i="1" l="1"/>
  <c r="M7" i="2"/>
  <c r="L8" i="2" s="1"/>
  <c r="Q22" i="1" l="1"/>
  <c r="R5" i="2"/>
  <c r="M8" i="2"/>
  <c r="L9" i="2" s="1"/>
  <c r="Q6" i="2" l="1"/>
  <c r="M9" i="2"/>
  <c r="L10" i="2" s="1"/>
  <c r="R6" i="2" l="1"/>
  <c r="M10" i="2"/>
  <c r="L11" i="2" s="1"/>
  <c r="Q7" i="2" l="1"/>
  <c r="M11" i="2"/>
  <c r="L12" i="2" s="1"/>
  <c r="R7" i="2" l="1"/>
  <c r="M12" i="2"/>
  <c r="L13" i="2" s="1"/>
  <c r="Q8" i="2" l="1"/>
  <c r="M13" i="2"/>
  <c r="L14" i="2" s="1"/>
  <c r="R8" i="2" l="1"/>
  <c r="M14" i="2"/>
  <c r="L15" i="2" s="1"/>
  <c r="Q9" i="2" l="1"/>
  <c r="M15" i="2"/>
  <c r="L16" i="2" s="1"/>
  <c r="R9" i="2" l="1"/>
  <c r="Q10" i="2" s="1"/>
  <c r="M16" i="2"/>
  <c r="L17" i="2" s="1"/>
  <c r="R10" i="2" l="1"/>
  <c r="Q11" i="2" s="1"/>
  <c r="M17" i="2"/>
  <c r="L18" i="2" s="1"/>
  <c r="R11" i="2" l="1"/>
  <c r="Q12" i="2" s="1"/>
  <c r="M18" i="2"/>
  <c r="L19" i="2" s="1"/>
  <c r="R12" i="2" l="1"/>
  <c r="Q13" i="2" s="1"/>
  <c r="M19" i="2"/>
  <c r="L20" i="2" s="1"/>
  <c r="R13" i="2" l="1"/>
  <c r="Q14" i="2" s="1"/>
  <c r="M20" i="2"/>
  <c r="L21" i="2" s="1"/>
  <c r="R14" i="2" l="1"/>
  <c r="Q15" i="2" s="1"/>
  <c r="M21" i="2"/>
  <c r="L22" i="2" s="1"/>
  <c r="R15" i="2" l="1"/>
  <c r="Q16" i="2" s="1"/>
  <c r="M22" i="2"/>
  <c r="L23" i="2" s="1"/>
  <c r="R16" i="2" l="1"/>
  <c r="Q17" i="2" s="1"/>
  <c r="M23" i="2"/>
  <c r="L24" i="2" s="1"/>
  <c r="R17" i="2" l="1"/>
  <c r="Q18" i="2" s="1"/>
  <c r="M24" i="2"/>
  <c r="L25" i="2" s="1"/>
  <c r="R18" i="2" l="1"/>
  <c r="Q19" i="2" s="1"/>
  <c r="M25" i="2"/>
  <c r="L26" i="2" s="1"/>
  <c r="R19" i="2" l="1"/>
  <c r="Q20" i="2" s="1"/>
  <c r="M26" i="2"/>
  <c r="L27" i="2" s="1"/>
  <c r="R20" i="2" l="1"/>
  <c r="Q21" i="2" s="1"/>
  <c r="M27" i="2"/>
  <c r="L28" i="2" s="1"/>
  <c r="R21" i="2" l="1"/>
  <c r="Q22" i="2" s="1"/>
  <c r="M28" i="2"/>
  <c r="L29" i="2" s="1"/>
  <c r="R22" i="2" l="1"/>
  <c r="Q23" i="2" s="1"/>
  <c r="M29" i="2"/>
  <c r="L30" i="2" s="1"/>
  <c r="R23" i="2" l="1"/>
  <c r="Q24" i="2" s="1"/>
  <c r="M30" i="2"/>
  <c r="L31" i="2" s="1"/>
  <c r="R24" i="2" l="1"/>
  <c r="Q25" i="2" s="1"/>
  <c r="M31" i="2"/>
  <c r="L32" i="2" s="1"/>
  <c r="R25" i="2" l="1"/>
  <c r="Q26" i="2" s="1"/>
  <c r="M32" i="2"/>
  <c r="L33" i="2" s="1"/>
  <c r="R26" i="2" l="1"/>
  <c r="Q27" i="2" s="1"/>
  <c r="M33" i="2"/>
  <c r="L34" i="2" s="1"/>
  <c r="R27" i="2" l="1"/>
  <c r="Q28" i="2" s="1"/>
  <c r="M34" i="2"/>
  <c r="L35" i="2" s="1"/>
  <c r="R28" i="2" l="1"/>
  <c r="Q29" i="2" s="1"/>
  <c r="M35" i="2"/>
  <c r="L36" i="2" s="1"/>
  <c r="R29" i="2" l="1"/>
  <c r="Q30" i="2" s="1"/>
  <c r="M36" i="2"/>
  <c r="L37" i="2" s="1"/>
  <c r="R30" i="2" l="1"/>
  <c r="Q31" i="2" s="1"/>
  <c r="M37" i="2"/>
  <c r="L38" i="2" s="1"/>
  <c r="R31" i="2" l="1"/>
  <c r="Q32" i="2" s="1"/>
  <c r="M38" i="2"/>
  <c r="L39" i="2" s="1"/>
  <c r="R32" i="2" l="1"/>
  <c r="Q33" i="2" s="1"/>
  <c r="M39" i="2"/>
  <c r="L40" i="2" s="1"/>
  <c r="R33" i="2" l="1"/>
  <c r="Q34" i="2" s="1"/>
  <c r="M40" i="2"/>
  <c r="L41" i="2" s="1"/>
  <c r="R34" i="2" l="1"/>
  <c r="Q35" i="2" s="1"/>
  <c r="M41" i="2"/>
  <c r="L42" i="2" s="1"/>
  <c r="R35" i="2" l="1"/>
  <c r="Q36" i="2" s="1"/>
  <c r="M42" i="2"/>
  <c r="L43" i="2" s="1"/>
  <c r="R36" i="2" l="1"/>
  <c r="Q37" i="2" s="1"/>
  <c r="M43" i="2"/>
  <c r="L44" i="2" s="1"/>
  <c r="R37" i="2" l="1"/>
  <c r="Q38" i="2" s="1"/>
  <c r="M44" i="2"/>
  <c r="L45" i="2" s="1"/>
  <c r="R38" i="2" l="1"/>
  <c r="Q39" i="2" s="1"/>
  <c r="M45" i="2"/>
  <c r="L46" i="2" s="1"/>
  <c r="R39" i="2" l="1"/>
  <c r="Q40" i="2" s="1"/>
  <c r="M46" i="2"/>
  <c r="L47" i="2" s="1"/>
  <c r="R40" i="2" l="1"/>
  <c r="Q41" i="2" s="1"/>
  <c r="M47" i="2"/>
  <c r="L48" i="2" s="1"/>
  <c r="R41" i="2" l="1"/>
  <c r="Q42" i="2" s="1"/>
  <c r="M48" i="2"/>
  <c r="L49" i="2" s="1"/>
  <c r="R42" i="2" l="1"/>
  <c r="Q43" i="2" s="1"/>
  <c r="M49" i="2"/>
  <c r="L50" i="2" s="1"/>
  <c r="R43" i="2" l="1"/>
  <c r="Q44" i="2" s="1"/>
  <c r="M50" i="2"/>
  <c r="L51" i="2" s="1"/>
  <c r="R44" i="2" l="1"/>
  <c r="Q45" i="2" s="1"/>
  <c r="M51" i="2"/>
  <c r="L52" i="2" s="1"/>
  <c r="R45" i="2" l="1"/>
  <c r="Q46" i="2" s="1"/>
  <c r="M52" i="2"/>
  <c r="L53" i="2" s="1"/>
  <c r="R46" i="2" l="1"/>
  <c r="Q47" i="2" s="1"/>
  <c r="M53" i="2"/>
  <c r="L54" i="2" s="1"/>
  <c r="R47" i="2" l="1"/>
  <c r="Q48" i="2" s="1"/>
  <c r="M54" i="2"/>
  <c r="L55" i="2" s="1"/>
  <c r="R48" i="2" l="1"/>
  <c r="Q49" i="2" s="1"/>
  <c r="M55" i="2"/>
  <c r="L56" i="2" s="1"/>
  <c r="R49" i="2" l="1"/>
  <c r="Q50" i="2" s="1"/>
  <c r="M56" i="2"/>
  <c r="L57" i="2" s="1"/>
  <c r="R50" i="2" l="1"/>
  <c r="Q51" i="2" s="1"/>
  <c r="M57" i="2"/>
  <c r="L58" i="2" s="1"/>
  <c r="R51" i="2" l="1"/>
  <c r="Q52" i="2" s="1"/>
  <c r="M58" i="2"/>
  <c r="L59" i="2" s="1"/>
  <c r="R52" i="2" l="1"/>
  <c r="Q53" i="2" s="1"/>
  <c r="M59" i="2"/>
  <c r="L60" i="2" s="1"/>
  <c r="R53" i="2" l="1"/>
  <c r="Q54" i="2" s="1"/>
  <c r="M60" i="2"/>
  <c r="L61" i="2" s="1"/>
  <c r="R54" i="2" l="1"/>
  <c r="Q55" i="2" s="1"/>
  <c r="M61" i="2"/>
  <c r="L62" i="2" s="1"/>
  <c r="R55" i="2" l="1"/>
  <c r="Q56" i="2" s="1"/>
  <c r="M62" i="2"/>
  <c r="L63" i="2" s="1"/>
  <c r="R56" i="2" l="1"/>
  <c r="Q57" i="2" s="1"/>
  <c r="M63" i="2"/>
  <c r="L64" i="2" s="1"/>
  <c r="R57" i="2" l="1"/>
  <c r="Q58" i="2" s="1"/>
  <c r="M64" i="2"/>
  <c r="L65" i="2" s="1"/>
  <c r="R58" i="2" l="1"/>
  <c r="Q59" i="2" s="1"/>
  <c r="M65" i="2"/>
  <c r="L66" i="2" s="1"/>
  <c r="R59" i="2" l="1"/>
  <c r="Q60" i="2" s="1"/>
  <c r="M66" i="2"/>
  <c r="L67" i="2" s="1"/>
  <c r="R60" i="2" l="1"/>
  <c r="Q61" i="2" s="1"/>
  <c r="M67" i="2"/>
  <c r="L68" i="2" s="1"/>
  <c r="R61" i="2" l="1"/>
  <c r="Q62" i="2" s="1"/>
  <c r="M68" i="2"/>
  <c r="L69" i="2" s="1"/>
  <c r="R62" i="2" l="1"/>
  <c r="Q63" i="2" s="1"/>
  <c r="M69" i="2"/>
  <c r="L70" i="2" s="1"/>
  <c r="R63" i="2" l="1"/>
  <c r="Q64" i="2" s="1"/>
  <c r="M70" i="2"/>
  <c r="L71" i="2" s="1"/>
  <c r="R64" i="2" l="1"/>
  <c r="Q65" i="2" s="1"/>
  <c r="M71" i="2"/>
  <c r="L72" i="2" s="1"/>
  <c r="R65" i="2" l="1"/>
  <c r="Q66" i="2" s="1"/>
  <c r="M72" i="2"/>
  <c r="L73" i="2" s="1"/>
  <c r="R66" i="2" l="1"/>
  <c r="Q67" i="2" s="1"/>
  <c r="M73" i="2"/>
  <c r="L74" i="2" s="1"/>
  <c r="R67" i="2" l="1"/>
  <c r="Q68" i="2" s="1"/>
  <c r="M74" i="2"/>
  <c r="L75" i="2" s="1"/>
  <c r="R68" i="2" l="1"/>
  <c r="Q69" i="2" s="1"/>
  <c r="M75" i="2"/>
  <c r="L76" i="2" s="1"/>
  <c r="R69" i="2" l="1"/>
  <c r="Q70" i="2" s="1"/>
  <c r="M76" i="2"/>
  <c r="L77" i="2" s="1"/>
  <c r="R70" i="2" l="1"/>
  <c r="Q71" i="2" s="1"/>
  <c r="M77" i="2"/>
  <c r="L78" i="2" s="1"/>
  <c r="R71" i="2" l="1"/>
  <c r="Q72" i="2" s="1"/>
  <c r="M78" i="2"/>
  <c r="L79" i="2" s="1"/>
  <c r="R72" i="2" l="1"/>
  <c r="Q73" i="2" s="1"/>
  <c r="M79" i="2"/>
  <c r="L80" i="2" s="1"/>
  <c r="R73" i="2" l="1"/>
  <c r="Q74" i="2" s="1"/>
  <c r="M80" i="2"/>
  <c r="L81" i="2" s="1"/>
  <c r="R74" i="2" l="1"/>
  <c r="Q75" i="2" s="1"/>
  <c r="M81" i="2"/>
  <c r="L82" i="2" s="1"/>
  <c r="R75" i="2" l="1"/>
  <c r="Q76" i="2" s="1"/>
  <c r="M82" i="2"/>
  <c r="L83" i="2" s="1"/>
  <c r="R76" i="2" l="1"/>
  <c r="Q77" i="2" s="1"/>
  <c r="M83" i="2"/>
  <c r="L84" i="2" s="1"/>
  <c r="R77" i="2" l="1"/>
  <c r="Q78" i="2" s="1"/>
  <c r="M84" i="2"/>
  <c r="L85" i="2" s="1"/>
  <c r="R78" i="2" l="1"/>
  <c r="Q79" i="2" s="1"/>
  <c r="M85" i="2"/>
  <c r="L86" i="2" s="1"/>
  <c r="R79" i="2" l="1"/>
  <c r="Q80" i="2" s="1"/>
  <c r="M86" i="2"/>
  <c r="L87" i="2" s="1"/>
  <c r="R80" i="2" l="1"/>
  <c r="Q81" i="2" s="1"/>
  <c r="M87" i="2"/>
  <c r="L88" i="2" s="1"/>
  <c r="R81" i="2" l="1"/>
  <c r="Q82" i="2" s="1"/>
  <c r="M88" i="2"/>
  <c r="L89" i="2" s="1"/>
  <c r="R82" i="2" l="1"/>
  <c r="Q83" i="2" s="1"/>
  <c r="M89" i="2"/>
  <c r="L90" i="2" s="1"/>
  <c r="R83" i="2" l="1"/>
  <c r="Q84" i="2" s="1"/>
  <c r="M90" i="2"/>
  <c r="L91" i="2" s="1"/>
  <c r="R84" i="2" l="1"/>
  <c r="Q85" i="2" s="1"/>
  <c r="M91" i="2"/>
  <c r="L92" i="2" s="1"/>
  <c r="R85" i="2" l="1"/>
  <c r="Q86" i="2" s="1"/>
  <c r="M92" i="2"/>
  <c r="L93" i="2" s="1"/>
  <c r="R86" i="2" l="1"/>
  <c r="Q87" i="2" s="1"/>
  <c r="M93" i="2"/>
  <c r="L94" i="2" s="1"/>
  <c r="R87" i="2" l="1"/>
  <c r="Q88" i="2" s="1"/>
  <c r="M94" i="2"/>
  <c r="L95" i="2" s="1"/>
  <c r="R88" i="2" l="1"/>
  <c r="Q89" i="2" s="1"/>
  <c r="M95" i="2"/>
  <c r="L96" i="2" s="1"/>
  <c r="R89" i="2" l="1"/>
  <c r="Q90" i="2" s="1"/>
  <c r="M96" i="2"/>
  <c r="L97" i="2" s="1"/>
  <c r="R90" i="2" l="1"/>
  <c r="Q91" i="2" s="1"/>
  <c r="M97" i="2"/>
  <c r="L98" i="2" s="1"/>
  <c r="R91" i="2" l="1"/>
  <c r="Q92" i="2" s="1"/>
  <c r="M98" i="2"/>
  <c r="L99" i="2" s="1"/>
  <c r="R92" i="2" l="1"/>
  <c r="Q93" i="2" s="1"/>
  <c r="M99" i="2"/>
  <c r="L100" i="2" s="1"/>
  <c r="R93" i="2" l="1"/>
  <c r="Q94" i="2" s="1"/>
  <c r="M100" i="2"/>
  <c r="L101" i="2" s="1"/>
  <c r="R94" i="2" l="1"/>
  <c r="Q95" i="2" s="1"/>
  <c r="M101" i="2"/>
  <c r="L102" i="2" s="1"/>
  <c r="R95" i="2" l="1"/>
  <c r="Q96" i="2" s="1"/>
  <c r="M102" i="2"/>
  <c r="L103" i="2" s="1"/>
  <c r="R96" i="2" l="1"/>
  <c r="Q97" i="2" s="1"/>
  <c r="M103" i="2"/>
  <c r="L104" i="2" s="1"/>
  <c r="R97" i="2" l="1"/>
  <c r="Q98" i="2" s="1"/>
  <c r="M104" i="2"/>
  <c r="L105" i="2" s="1"/>
  <c r="R98" i="2" l="1"/>
  <c r="Q99" i="2" s="1"/>
  <c r="M105" i="2"/>
  <c r="L106" i="2" s="1"/>
  <c r="R99" i="2" l="1"/>
  <c r="Q100" i="2" s="1"/>
  <c r="M106" i="2"/>
  <c r="L107" i="2" s="1"/>
  <c r="R100" i="2" l="1"/>
  <c r="Q101" i="2" s="1"/>
  <c r="M107" i="2"/>
  <c r="L108" i="2" s="1"/>
  <c r="R101" i="2" l="1"/>
  <c r="Q102" i="2" s="1"/>
  <c r="M108" i="2"/>
  <c r="L109" i="2" s="1"/>
  <c r="R102" i="2" l="1"/>
  <c r="Q103" i="2" s="1"/>
  <c r="M109" i="2"/>
  <c r="L110" i="2" s="1"/>
  <c r="R103" i="2" l="1"/>
  <c r="Q104" i="2" s="1"/>
  <c r="M110" i="2"/>
  <c r="L111" i="2" s="1"/>
  <c r="R104" i="2" l="1"/>
  <c r="Q105" i="2" s="1"/>
  <c r="M111" i="2"/>
  <c r="L112" i="2" s="1"/>
  <c r="R105" i="2" l="1"/>
  <c r="Q106" i="2" s="1"/>
  <c r="M112" i="2"/>
  <c r="L113" i="2" s="1"/>
  <c r="R106" i="2" l="1"/>
  <c r="Q107" i="2" s="1"/>
  <c r="M113" i="2"/>
  <c r="L114" i="2" s="1"/>
  <c r="R107" i="2" l="1"/>
  <c r="Q108" i="2" s="1"/>
  <c r="M114" i="2"/>
  <c r="L115" i="2" s="1"/>
  <c r="R108" i="2" l="1"/>
  <c r="Q109" i="2" s="1"/>
  <c r="M115" i="2"/>
  <c r="L116" i="2" s="1"/>
  <c r="R109" i="2" l="1"/>
  <c r="Q110" i="2" s="1"/>
  <c r="M116" i="2"/>
  <c r="L117" i="2" s="1"/>
  <c r="R110" i="2" l="1"/>
  <c r="Q111" i="2" s="1"/>
  <c r="M117" i="2"/>
  <c r="L118" i="2" s="1"/>
  <c r="R111" i="2" l="1"/>
  <c r="Q112" i="2" s="1"/>
  <c r="M118" i="2"/>
  <c r="L119" i="2" s="1"/>
  <c r="R112" i="2" l="1"/>
  <c r="Q113" i="2" s="1"/>
  <c r="M119" i="2"/>
  <c r="L120" i="2" s="1"/>
  <c r="R113" i="2" l="1"/>
  <c r="Q114" i="2" s="1"/>
  <c r="M120" i="2"/>
  <c r="L121" i="2" s="1"/>
  <c r="R114" i="2" l="1"/>
  <c r="Q115" i="2" s="1"/>
  <c r="M121" i="2"/>
  <c r="L122" i="2" s="1"/>
  <c r="R115" i="2" l="1"/>
  <c r="Q116" i="2" s="1"/>
  <c r="M122" i="2"/>
  <c r="L123" i="2" s="1"/>
  <c r="R116" i="2" l="1"/>
  <c r="Q117" i="2" s="1"/>
  <c r="M123" i="2"/>
  <c r="L124" i="2" s="1"/>
  <c r="R117" i="2" l="1"/>
  <c r="Q118" i="2" s="1"/>
  <c r="M124" i="2"/>
  <c r="L125" i="2" s="1"/>
  <c r="R118" i="2" l="1"/>
  <c r="Q119" i="2" s="1"/>
  <c r="M125" i="2"/>
  <c r="L126" i="2" s="1"/>
  <c r="R119" i="2" l="1"/>
  <c r="Q120" i="2" s="1"/>
  <c r="M126" i="2"/>
  <c r="L127" i="2" s="1"/>
  <c r="R120" i="2" l="1"/>
  <c r="Q121" i="2" s="1"/>
  <c r="M127" i="2"/>
  <c r="L128" i="2" s="1"/>
  <c r="R121" i="2" l="1"/>
  <c r="Q122" i="2" s="1"/>
  <c r="M128" i="2"/>
  <c r="L129" i="2" s="1"/>
  <c r="R122" i="2" l="1"/>
  <c r="Q123" i="2" s="1"/>
  <c r="M129" i="2"/>
  <c r="L130" i="2" s="1"/>
  <c r="R123" i="2" l="1"/>
  <c r="Q124" i="2" s="1"/>
  <c r="M130" i="2"/>
  <c r="L131" i="2" s="1"/>
  <c r="R124" i="2" l="1"/>
  <c r="Q125" i="2" s="1"/>
  <c r="M131" i="2"/>
  <c r="L132" i="2" s="1"/>
  <c r="R125" i="2" l="1"/>
  <c r="Q126" i="2" s="1"/>
  <c r="M132" i="2"/>
  <c r="L133" i="2" s="1"/>
  <c r="R126" i="2" l="1"/>
  <c r="Q127" i="2" s="1"/>
  <c r="M133" i="2"/>
  <c r="L134" i="2" s="1"/>
  <c r="R127" i="2" l="1"/>
  <c r="Q128" i="2" s="1"/>
  <c r="M134" i="2"/>
  <c r="L135" i="2" s="1"/>
  <c r="R128" i="2" l="1"/>
  <c r="Q129" i="2" s="1"/>
  <c r="M135" i="2"/>
  <c r="L136" i="2" s="1"/>
  <c r="R129" i="2" l="1"/>
  <c r="Q130" i="2" s="1"/>
  <c r="M136" i="2"/>
  <c r="L137" i="2" s="1"/>
  <c r="R130" i="2" l="1"/>
  <c r="Q131" i="2" s="1"/>
  <c r="M137" i="2"/>
  <c r="L138" i="2" s="1"/>
  <c r="R131" i="2" l="1"/>
  <c r="Q132" i="2" s="1"/>
  <c r="M138" i="2"/>
  <c r="L139" i="2" s="1"/>
  <c r="R132" i="2" l="1"/>
  <c r="Q133" i="2" s="1"/>
  <c r="M139" i="2"/>
  <c r="L140" i="2" s="1"/>
  <c r="R133" i="2" l="1"/>
  <c r="Q134" i="2" s="1"/>
  <c r="M140" i="2"/>
  <c r="L141" i="2" s="1"/>
  <c r="R134" i="2" l="1"/>
  <c r="Q135" i="2" s="1"/>
  <c r="M141" i="2"/>
  <c r="L142" i="2" s="1"/>
  <c r="R135" i="2" l="1"/>
  <c r="Q136" i="2" s="1"/>
  <c r="M142" i="2"/>
  <c r="L143" i="2" s="1"/>
  <c r="R136" i="2" l="1"/>
  <c r="Q137" i="2" s="1"/>
  <c r="M143" i="2"/>
  <c r="L144" i="2" s="1"/>
  <c r="R137" i="2" l="1"/>
  <c r="Q138" i="2" s="1"/>
  <c r="M144" i="2"/>
  <c r="L145" i="2" s="1"/>
  <c r="R138" i="2" l="1"/>
  <c r="Q139" i="2" s="1"/>
  <c r="M145" i="2"/>
  <c r="R139" i="2" l="1"/>
  <c r="Q140" i="2" s="1"/>
  <c r="L146" i="2"/>
  <c r="R140" i="2" l="1"/>
  <c r="Q141" i="2" s="1"/>
  <c r="M146" i="2"/>
  <c r="L147" i="2" s="1"/>
  <c r="R141" i="2" l="1"/>
  <c r="Q142" i="2" s="1"/>
  <c r="M147" i="2"/>
  <c r="L148" i="2" s="1"/>
  <c r="M148" i="2" s="1"/>
  <c r="L149" i="2" s="1"/>
  <c r="R142" i="2" l="1"/>
  <c r="Q143" i="2" s="1"/>
  <c r="M149" i="2"/>
  <c r="L150" i="2" s="1"/>
  <c r="M150" i="2" s="1"/>
  <c r="L151" i="2" s="1"/>
  <c r="M151" i="2" s="1"/>
  <c r="L152" i="2" s="1"/>
  <c r="R143" i="2" l="1"/>
  <c r="Q144" i="2" s="1"/>
  <c r="M152" i="2"/>
  <c r="L153" i="2" s="1"/>
  <c r="M153" i="2" s="1"/>
  <c r="L154" i="2" s="1"/>
  <c r="M154" i="2" s="1"/>
  <c r="L155" i="2" s="1"/>
  <c r="M155" i="2" s="1"/>
  <c r="L156" i="2" s="1"/>
  <c r="R144" i="2" l="1"/>
  <c r="Q145" i="2" s="1"/>
  <c r="M156" i="2"/>
  <c r="L157" i="2" s="1"/>
  <c r="R145" i="2" l="1"/>
  <c r="Q146" i="2" s="1"/>
  <c r="M157" i="2"/>
  <c r="L158" i="2" s="1"/>
  <c r="M158" i="2" s="1"/>
  <c r="L159" i="2" s="1"/>
  <c r="R146" i="2" l="1"/>
  <c r="M159" i="2"/>
  <c r="L160" i="2" s="1"/>
  <c r="Q147" i="2" l="1"/>
  <c r="M160" i="2"/>
  <c r="L161" i="2" s="1"/>
  <c r="R147" i="2" l="1"/>
  <c r="Q148" i="2" s="1"/>
  <c r="M161" i="2"/>
  <c r="L162" i="2" s="1"/>
  <c r="R148" i="2" l="1"/>
  <c r="M162" i="2"/>
  <c r="L163" i="2" s="1"/>
  <c r="M163" i="2" s="1"/>
  <c r="L164" i="2" s="1"/>
  <c r="M164" i="2" s="1"/>
  <c r="L165" i="2" s="1"/>
  <c r="M165" i="2" s="1"/>
  <c r="L166" i="2" s="1"/>
  <c r="M166" i="2" s="1"/>
  <c r="L167" i="2" s="1"/>
  <c r="Q149" i="2" l="1"/>
  <c r="M167" i="2"/>
  <c r="L168" i="2" s="1"/>
  <c r="R149" i="2" l="1"/>
  <c r="M168" i="2"/>
  <c r="L169" i="2" s="1"/>
  <c r="R20" i="1" s="1"/>
  <c r="Q150" i="2" l="1"/>
  <c r="M169" i="2"/>
  <c r="R150" i="2" l="1"/>
  <c r="Q151" i="2" s="1"/>
  <c r="R151" i="2" l="1"/>
  <c r="Q152" i="2" s="1"/>
  <c r="R152" i="2" l="1"/>
  <c r="Q153" i="2" s="1"/>
  <c r="R153" i="2" l="1"/>
  <c r="Q154" i="2" l="1"/>
  <c r="R154" i="2" l="1"/>
  <c r="Q155" i="2" l="1"/>
  <c r="R155" i="2" l="1"/>
  <c r="Q156" i="2" s="1"/>
  <c r="R156" i="2" l="1"/>
  <c r="Q157" i="2" s="1"/>
  <c r="R157" i="2" l="1"/>
  <c r="Q158" i="2" l="1"/>
  <c r="R158" i="2" l="1"/>
  <c r="Q159" i="2" s="1"/>
  <c r="R159" i="2" l="1"/>
  <c r="Q160" i="2" s="1"/>
  <c r="R160" i="2" l="1"/>
  <c r="Q161" i="2" s="1"/>
  <c r="R161" i="2" l="1"/>
  <c r="Q162" i="2" l="1"/>
  <c r="R162" i="2" l="1"/>
  <c r="Q163" i="2" s="1"/>
  <c r="R163" i="2" l="1"/>
  <c r="Q164" i="2" s="1"/>
  <c r="R164" i="2" l="1"/>
  <c r="Q165" i="2" s="1"/>
  <c r="R165" i="2" l="1"/>
  <c r="Q166" i="2" l="1"/>
  <c r="R166" i="2" l="1"/>
  <c r="Q167" i="2" s="1"/>
  <c r="R167" i="2" l="1"/>
  <c r="Q168" i="2" s="1"/>
  <c r="R168" i="2" l="1"/>
  <c r="Q169" i="2" s="1"/>
  <c r="V20" i="1" s="1"/>
  <c r="R169" i="2" l="1"/>
  <c r="R22" i="1" l="1"/>
  <c r="V22" i="1" l="1"/>
</calcChain>
</file>

<file path=xl/sharedStrings.xml><?xml version="1.0" encoding="utf-8"?>
<sst xmlns="http://schemas.openxmlformats.org/spreadsheetml/2006/main" count="1532" uniqueCount="343">
  <si>
    <t>apertura</t>
  </si>
  <si>
    <t>cierre</t>
  </si>
  <si>
    <t>prediccion</t>
  </si>
  <si>
    <t>Orden</t>
  </si>
  <si>
    <t>Resultado</t>
  </si>
  <si>
    <t>Rentabilidad</t>
  </si>
  <si>
    <t>Aciertos</t>
  </si>
  <si>
    <t>Errores</t>
  </si>
  <si>
    <t>Monto inicial</t>
  </si>
  <si>
    <t>Rentabilidad simple</t>
  </si>
  <si>
    <t>Rentabilidad compuesta</t>
  </si>
  <si>
    <t>%</t>
  </si>
  <si>
    <t>Monto actual</t>
  </si>
  <si>
    <t>Profit</t>
  </si>
  <si>
    <t>Dia 0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</si>
  <si>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</si>
  <si>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</si>
  <si>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</si>
  <si>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</si>
  <si>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</si>
  <si>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</si>
  <si>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</si>
  <si>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</si>
  <si>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</si>
  <si>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</si>
  <si>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</si>
  <si>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</si>
  <si>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</si>
  <si>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</si>
  <si>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</si>
  <si>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</si>
  <si>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</si>
  <si>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</si>
  <si>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</si>
  <si>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</si>
  <si>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Dia 21</t>
  </si>
  <si>
    <t>Dia 22</t>
  </si>
  <si>
    <t>Dia 23</t>
  </si>
  <si>
    <t>Dia 24</t>
  </si>
  <si>
    <t>Dia 25</t>
  </si>
  <si>
    <t>Dia 26</t>
  </si>
  <si>
    <t>Dia 27</t>
  </si>
  <si>
    <t>Dia 28</t>
  </si>
  <si>
    <t>Dia 29</t>
  </si>
  <si>
    <t>Dia 30</t>
  </si>
  <si>
    <t>Dia 31</t>
  </si>
  <si>
    <t>Dia 32</t>
  </si>
  <si>
    <t>Dia 33</t>
  </si>
  <si>
    <t>Dia 34</t>
  </si>
  <si>
    <t>Dia 35</t>
  </si>
  <si>
    <t>Dia 36</t>
  </si>
  <si>
    <t>Dia 37</t>
  </si>
  <si>
    <t>Dia 38</t>
  </si>
  <si>
    <t>Dia 39</t>
  </si>
  <si>
    <t>Dia 40</t>
  </si>
  <si>
    <t>Dia 41</t>
  </si>
  <si>
    <t>Dia 42</t>
  </si>
  <si>
    <t>Dia 43</t>
  </si>
  <si>
    <t>Dia 44</t>
  </si>
  <si>
    <t>Dia 45</t>
  </si>
  <si>
    <t>Dia 46</t>
  </si>
  <si>
    <t>Dia 47</t>
  </si>
  <si>
    <t>Dia 48</t>
  </si>
  <si>
    <t>Dia 49</t>
  </si>
  <si>
    <t>Dia 50</t>
  </si>
  <si>
    <t>Dia 51</t>
  </si>
  <si>
    <t>Dia 52</t>
  </si>
  <si>
    <t>Dia 53</t>
  </si>
  <si>
    <t>Dia 54</t>
  </si>
  <si>
    <t>Dia 55</t>
  </si>
  <si>
    <t>Dia 56</t>
  </si>
  <si>
    <t>Dia 57</t>
  </si>
  <si>
    <t>Dia 58</t>
  </si>
  <si>
    <t>Dia 59</t>
  </si>
  <si>
    <t>Dia 60</t>
  </si>
  <si>
    <t>Dia 61</t>
  </si>
  <si>
    <t>Dia 62</t>
  </si>
  <si>
    <t>Dia 63</t>
  </si>
  <si>
    <t>Dia 64</t>
  </si>
  <si>
    <t>Dia 65</t>
  </si>
  <si>
    <t>Dia 66</t>
  </si>
  <si>
    <t>Dia 67</t>
  </si>
  <si>
    <t>Dia 68</t>
  </si>
  <si>
    <t>Dia 69</t>
  </si>
  <si>
    <t>Dia 70</t>
  </si>
  <si>
    <t>Dia 71</t>
  </si>
  <si>
    <t>Dia 72</t>
  </si>
  <si>
    <t>Dia 73</t>
  </si>
  <si>
    <t>Dia 74</t>
  </si>
  <si>
    <t>Dia 75</t>
  </si>
  <si>
    <t>Dia 76</t>
  </si>
  <si>
    <t>Dia 77</t>
  </si>
  <si>
    <t>Dia 78</t>
  </si>
  <si>
    <t>Dia 79</t>
  </si>
  <si>
    <t>Dia 80</t>
  </si>
  <si>
    <t>Dia 81</t>
  </si>
  <si>
    <t>Dia 82</t>
  </si>
  <si>
    <t>Dia 83</t>
  </si>
  <si>
    <t>Dia 84</t>
  </si>
  <si>
    <t>Dia 85</t>
  </si>
  <si>
    <t>Dia 86</t>
  </si>
  <si>
    <t>Dia 87</t>
  </si>
  <si>
    <t>Dia 88</t>
  </si>
  <si>
    <t>Dia 89</t>
  </si>
  <si>
    <t>Dia 90</t>
  </si>
  <si>
    <t>Dia 91</t>
  </si>
  <si>
    <t>Dia 92</t>
  </si>
  <si>
    <t>Dia 93</t>
  </si>
  <si>
    <t>Dia 94</t>
  </si>
  <si>
    <t>Dia 95</t>
  </si>
  <si>
    <t>Dia 96</t>
  </si>
  <si>
    <t>Dia 97</t>
  </si>
  <si>
    <t>Dia 98</t>
  </si>
  <si>
    <t>Dia 99</t>
  </si>
  <si>
    <t>Dia 100</t>
  </si>
  <si>
    <t>Dia 101</t>
  </si>
  <si>
    <t>Dia 102</t>
  </si>
  <si>
    <t>Dia 103</t>
  </si>
  <si>
    <t>Dia 104</t>
  </si>
  <si>
    <t>Dia 105</t>
  </si>
  <si>
    <t>Dia 106</t>
  </si>
  <si>
    <t>Dia 107</t>
  </si>
  <si>
    <t>Dia 108</t>
  </si>
  <si>
    <t>Dia 109</t>
  </si>
  <si>
    <t>Dia 110</t>
  </si>
  <si>
    <t>Dia 111</t>
  </si>
  <si>
    <t>Dia 112</t>
  </si>
  <si>
    <t>Dia 113</t>
  </si>
  <si>
    <t>Dia 114</t>
  </si>
  <si>
    <t>Dia 115</t>
  </si>
  <si>
    <t>Dia 116</t>
  </si>
  <si>
    <t>Dia 117</t>
  </si>
  <si>
    <t>Dia 118</t>
  </si>
  <si>
    <t>Dia 119</t>
  </si>
  <si>
    <t>Dia 120</t>
  </si>
  <si>
    <t>Dia 121</t>
  </si>
  <si>
    <t>Dia 122</t>
  </si>
  <si>
    <t>Dia 123</t>
  </si>
  <si>
    <t>Dia 124</t>
  </si>
  <si>
    <t>Dia 125</t>
  </si>
  <si>
    <t>Dia 126</t>
  </si>
  <si>
    <t>Dia 127</t>
  </si>
  <si>
    <t>Dia 128</t>
  </si>
  <si>
    <t>Dia 129</t>
  </si>
  <si>
    <t>Dia 130</t>
  </si>
  <si>
    <t>Dia 131</t>
  </si>
  <si>
    <t>Dia 132</t>
  </si>
  <si>
    <t>Dia 133</t>
  </si>
  <si>
    <t>Dia 134</t>
  </si>
  <si>
    <t>Dia 135</t>
  </si>
  <si>
    <t>Dia 136</t>
  </si>
  <si>
    <t>Dia 137</t>
  </si>
  <si>
    <t>Dia 138</t>
  </si>
  <si>
    <t>Dia 139</t>
  </si>
  <si>
    <t>Dia 140</t>
  </si>
  <si>
    <t>Dia 141</t>
  </si>
  <si>
    <t>Dia 142</t>
  </si>
  <si>
    <t>Dia 143</t>
  </si>
  <si>
    <t>Market    </t>
  </si>
  <si>
    <t>Comisión por volumen</t>
  </si>
  <si>
    <t>Min. commission</t>
  </si>
  <si>
    <t>Austria</t>
  </si>
  <si>
    <t>EUR 0.10% of trade value</t>
  </si>
  <si>
    <t>EUR 8.00</t>
  </si>
  <si>
    <t>Bélgica</t>
  </si>
  <si>
    <t>Dinamarca</t>
  </si>
  <si>
    <t>DKK 0.10% of trade value</t>
  </si>
  <si>
    <t>DKK 60.00</t>
  </si>
  <si>
    <t>Finlandia</t>
  </si>
  <si>
    <t>Francia</t>
  </si>
  <si>
    <t>Alemania</t>
  </si>
  <si>
    <t>Hong Kong</t>
  </si>
  <si>
    <t>HKD 0.15% of trade value</t>
  </si>
  <si>
    <t>HKD 30.00</t>
  </si>
  <si>
    <t>Japón</t>
  </si>
  <si>
    <t>   JPY 0.18% of trade value</t>
  </si>
  <si>
    <t>JPY 1'000.00</t>
  </si>
  <si>
    <t>Mexico</t>
  </si>
  <si>
    <t>MXN 0.18% of trade value</t>
  </si>
  <si>
    <t>MXN 110.00</t>
  </si>
  <si>
    <t>Paises Bajos</t>
  </si>
  <si>
    <t>Noruega</t>
  </si>
  <si>
    <t>NOK 0.10% of trade value</t>
  </si>
  <si>
    <t>NOK 80.00</t>
  </si>
  <si>
    <t>Portugal</t>
  </si>
  <si>
    <t>España</t>
  </si>
  <si>
    <t>Suecia</t>
  </si>
  <si>
    <t>SEK 0.10% of trade value</t>
  </si>
  <si>
    <t>SEK 80.00</t>
  </si>
  <si>
    <t>Suiza</t>
  </si>
  <si>
    <t>CHF 0.10% of trade value</t>
  </si>
  <si>
    <t>CHF 8.00</t>
  </si>
  <si>
    <t>Re</t>
  </si>
  <si>
    <t>GBP 0.10% of trade value</t>
  </si>
  <si>
    <t>GBP 7.00</t>
  </si>
  <si>
    <t>Estados Unidos</t>
  </si>
  <si>
    <t>USD 0.02 per share</t>
  </si>
  <si>
    <t>USD 10.00</t>
  </si>
  <si>
    <t>Spread</t>
  </si>
  <si>
    <t>Rentabilidad Estimada</t>
  </si>
  <si>
    <t>Dukascopy Bank - 01.01.2022 - 31.12.2022</t>
  </si>
  <si>
    <t>Temporalidad</t>
  </si>
  <si>
    <t>Comision</t>
  </si>
  <si>
    <t>% Spread</t>
  </si>
  <si>
    <t>% Volatilidad</t>
  </si>
  <si>
    <t>Nº Muestras</t>
  </si>
  <si>
    <t>% Perdida</t>
  </si>
  <si>
    <t>10 Minutaria</t>
  </si>
  <si>
    <t>30 Minutaria</t>
  </si>
  <si>
    <t>Horaria</t>
  </si>
  <si>
    <t>Diaria</t>
  </si>
  <si>
    <t>*Modelo Ganador - Kernel svr rbf</t>
  </si>
  <si>
    <t>Comisiones (€)</t>
  </si>
  <si>
    <t>Regresion Lineal</t>
  </si>
  <si>
    <t>Regresion Polinomica</t>
  </si>
  <si>
    <t>SVR</t>
  </si>
  <si>
    <t>Arbol de decisión</t>
  </si>
  <si>
    <t>Bosques aleatorios</t>
  </si>
  <si>
    <t>Acierto</t>
  </si>
  <si>
    <t>Modelo</t>
  </si>
  <si>
    <t>Bosques Aleatorios</t>
  </si>
  <si>
    <t>Arbol de decision</t>
  </si>
  <si>
    <t>Regresión Polinomica</t>
  </si>
  <si>
    <t>Arbol de Decision</t>
  </si>
  <si>
    <t>Monto Inicial</t>
  </si>
  <si>
    <t>Real</t>
  </si>
  <si>
    <t>Prediccion</t>
  </si>
  <si>
    <t>Compra</t>
  </si>
  <si>
    <t>Venta</t>
  </si>
  <si>
    <t>Predicción</t>
  </si>
  <si>
    <t>Compra&amp;Compra</t>
  </si>
  <si>
    <t>Exactitud</t>
  </si>
  <si>
    <t>Precisión</t>
  </si>
  <si>
    <t>Sensibilidad</t>
  </si>
  <si>
    <t>F1-Score</t>
  </si>
  <si>
    <t>TP</t>
  </si>
  <si>
    <t>FP</t>
  </si>
  <si>
    <t>FN</t>
  </si>
  <si>
    <t>TN</t>
  </si>
  <si>
    <t>Metricas</t>
  </si>
  <si>
    <t>2017</t>
  </si>
  <si>
    <t>2018</t>
  </si>
  <si>
    <t>2019</t>
  </si>
  <si>
    <t>2020</t>
  </si>
  <si>
    <t>2021</t>
  </si>
  <si>
    <t>2022</t>
  </si>
  <si>
    <t>2023</t>
  </si>
  <si>
    <t>Media</t>
  </si>
  <si>
    <t>Mediana</t>
  </si>
  <si>
    <t>Cuartil 25</t>
  </si>
  <si>
    <t>Cuartil 50</t>
  </si>
  <si>
    <t>Cuartil 75</t>
  </si>
  <si>
    <t>Amplitud</t>
  </si>
  <si>
    <t>Varianza</t>
  </si>
  <si>
    <t>Desviacion Estandar</t>
  </si>
  <si>
    <t>2017/2018</t>
  </si>
  <si>
    <t>2018/2019</t>
  </si>
  <si>
    <t>2019/2020</t>
  </si>
  <si>
    <t>2021/2022</t>
  </si>
  <si>
    <t>2021-22/2023</t>
  </si>
  <si>
    <t>2017/2018 - RL</t>
  </si>
  <si>
    <t>2017/2018 - RP</t>
  </si>
  <si>
    <t>2017/2018 - SVR</t>
  </si>
  <si>
    <t>2017/2018 - AD</t>
  </si>
  <si>
    <t>2017/2018 - RF</t>
  </si>
  <si>
    <t>2019/2020 - RL</t>
  </si>
  <si>
    <t>2019/2020 - RP</t>
  </si>
  <si>
    <t>2019/2020 - SVR</t>
  </si>
  <si>
    <t>2019/2020 - AD</t>
  </si>
  <si>
    <t>2019/2020 - RF</t>
  </si>
  <si>
    <t>2018/2019 - RL</t>
  </si>
  <si>
    <t>2018/2019 - RP</t>
  </si>
  <si>
    <t>2018/2019 - SVR</t>
  </si>
  <si>
    <t>2018/2019 - AD</t>
  </si>
  <si>
    <t>2018/2019 - RF</t>
  </si>
  <si>
    <t>2020/2021 - RL</t>
  </si>
  <si>
    <t>2020/2021 - RP</t>
  </si>
  <si>
    <t>2020/2021 - SVR</t>
  </si>
  <si>
    <t>2020/2021 - AD</t>
  </si>
  <si>
    <t>2020/2021 - RF</t>
  </si>
  <si>
    <t>2021-22/2023 - RL</t>
  </si>
  <si>
    <t>2021-22/2023 - RP</t>
  </si>
  <si>
    <t>2021-22/2023 - SVR</t>
  </si>
  <si>
    <t>2021-22/2023 - AD</t>
  </si>
  <si>
    <t>2021-22/2023 - RF</t>
  </si>
  <si>
    <t>compra</t>
  </si>
  <si>
    <t>venta</t>
  </si>
  <si>
    <t>RMS</t>
  </si>
  <si>
    <t>MAE</t>
  </si>
  <si>
    <t>MAPE</t>
  </si>
  <si>
    <t>R2</t>
  </si>
  <si>
    <t>R2_adj</t>
  </si>
  <si>
    <t>2020/2021</t>
  </si>
  <si>
    <t>sc</t>
  </si>
  <si>
    <t>2021/2022 - RL</t>
  </si>
  <si>
    <t>2021/2022 - RP</t>
  </si>
  <si>
    <t>2021/2022 - SVR</t>
  </si>
  <si>
    <t>2021/2022 - AD</t>
  </si>
  <si>
    <t>2021/2022 - RF</t>
  </si>
  <si>
    <t>2022/2023 - RL</t>
  </si>
  <si>
    <t>2022/2023 - RP</t>
  </si>
  <si>
    <t>2022/2023 - SVR</t>
  </si>
  <si>
    <t>2022/2023 - AD</t>
  </si>
  <si>
    <t>2022/2023 - RF</t>
  </si>
  <si>
    <t>X_test</t>
  </si>
  <si>
    <t>y_test</t>
  </si>
  <si>
    <t>Dia 144</t>
  </si>
  <si>
    <t>Dia 145</t>
  </si>
  <si>
    <t>Dia 146</t>
  </si>
  <si>
    <t>Dia 147</t>
  </si>
  <si>
    <t>Dia 148</t>
  </si>
  <si>
    <t>Dia 149</t>
  </si>
  <si>
    <t>Dia 150</t>
  </si>
  <si>
    <t>Dia 151</t>
  </si>
  <si>
    <t>Dia 152</t>
  </si>
  <si>
    <t>Dia 153</t>
  </si>
  <si>
    <t>Dia 154</t>
  </si>
  <si>
    <t>Dia 155</t>
  </si>
  <si>
    <t>Dia 156</t>
  </si>
  <si>
    <t>Dia 157</t>
  </si>
  <si>
    <t>Dia 158</t>
  </si>
  <si>
    <t>Dia 159</t>
  </si>
  <si>
    <t>Dia 160</t>
  </si>
  <si>
    <t>Dia 161</t>
  </si>
  <si>
    <t>Dia 162</t>
  </si>
  <si>
    <t>Dia 163</t>
  </si>
  <si>
    <t>Dia 164</t>
  </si>
  <si>
    <t>Dia 165</t>
  </si>
  <si>
    <t>Dia 166</t>
  </si>
  <si>
    <t>2020-22/2023 - RL</t>
  </si>
  <si>
    <t>2020-22/2023 - RP</t>
  </si>
  <si>
    <t>2020-22/2023 - SVR</t>
  </si>
  <si>
    <t>2020-22/2023 - AD</t>
  </si>
  <si>
    <t>2020-22/2023 - RF</t>
  </si>
  <si>
    <t>Valor Real</t>
  </si>
  <si>
    <t>RL</t>
  </si>
  <si>
    <t>RP</t>
  </si>
  <si>
    <t>AD</t>
  </si>
  <si>
    <t>RF</t>
  </si>
  <si>
    <t>2022/2023</t>
  </si>
  <si>
    <t>2020-22/2023</t>
  </si>
  <si>
    <t>Periodo</t>
  </si>
  <si>
    <t>R2 adj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</si>
</sst>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%"/>
    <numFmt numFmtId="165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14171E"/>
      <name val="Open Sans"/>
      <family val="2"/>
    </font>
    <font>
      <sz val="10"/>
      <color rgb="FF14171E"/>
      <name val="Open Sans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7F9F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rgb="FFC7CED6"/>
      </left>
      <right style="medium">
        <color rgb="FFC7CED6"/>
      </right>
      <top style="medium">
        <color rgb="FFC7CED6"/>
      </top>
      <bottom style="medium">
        <color rgb="FFC7CED6"/>
      </bottom>
      <diagonal/>
    </border>
    <border>
      <left style="medium">
        <color rgb="FFC7CED6"/>
      </left>
      <right style="medium">
        <color rgb="FFC7CED6"/>
      </right>
      <top style="medium">
        <color rgb="FFC7CED6"/>
      </top>
      <bottom/>
      <diagonal/>
    </border>
    <border>
      <left style="medium">
        <color rgb="FFC7CED6"/>
      </left>
      <right style="medium">
        <color rgb="FFC7CED6"/>
      </right>
      <top/>
      <bottom/>
      <diagonal/>
    </border>
    <border>
      <left style="medium">
        <color rgb="FFC7CED6"/>
      </left>
      <right style="medium">
        <color rgb="FFC7CED6"/>
      </right>
      <top/>
      <bottom style="medium">
        <color rgb="FFC7CED6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95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10" fontId="0" fillId="0" borderId="0" xfId="0" applyNumberFormat="1"/>
    <xf numFmtId="0" fontId="1" fillId="0" borderId="1" xfId="0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0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2" fillId="2" borderId="6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2" fontId="0" fillId="0" borderId="0" xfId="0" applyNumberFormat="1"/>
    <xf numFmtId="0" fontId="4" fillId="0" borderId="13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10" fontId="5" fillId="0" borderId="14" xfId="0" applyNumberFormat="1" applyFont="1" applyBorder="1" applyAlignment="1">
      <alignment horizontal="right" vertical="center"/>
    </xf>
    <xf numFmtId="0" fontId="5" fillId="0" borderId="14" xfId="0" applyFont="1" applyBorder="1" applyAlignment="1">
      <alignment horizontal="right" vertical="center"/>
    </xf>
    <xf numFmtId="1" fontId="5" fillId="0" borderId="14" xfId="0" applyNumberFormat="1" applyFont="1" applyBorder="1" applyAlignment="1">
      <alignment horizontal="right" vertical="center"/>
    </xf>
    <xf numFmtId="164" fontId="5" fillId="0" borderId="14" xfId="0" applyNumberFormat="1" applyFont="1" applyBorder="1" applyAlignment="1">
      <alignment horizontal="right" vertical="center"/>
    </xf>
    <xf numFmtId="10" fontId="1" fillId="0" borderId="0" xfId="0" applyNumberFormat="1" applyFont="1"/>
    <xf numFmtId="0" fontId="1" fillId="0" borderId="0" xfId="0" applyFon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0" fontId="0" fillId="0" borderId="0" xfId="0" quotePrefix="1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9" fontId="0" fillId="0" borderId="0" xfId="1" quotePrefix="1" applyFont="1" applyAlignment="1">
      <alignment horizontal="center" vertical="center"/>
    </xf>
    <xf numFmtId="10" fontId="0" fillId="0" borderId="0" xfId="1" quotePrefix="1" applyNumberFormat="1" applyFon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5" fontId="6" fillId="0" borderId="0" xfId="1" applyNumberFormat="1" applyFont="1" applyBorder="1" applyAlignment="1">
      <alignment horizontal="center" vertical="center"/>
    </xf>
    <xf numFmtId="10" fontId="6" fillId="0" borderId="0" xfId="1" applyNumberFormat="1" applyFont="1" applyBorder="1" applyAlignment="1">
      <alignment horizontal="center" vertical="center"/>
    </xf>
    <xf numFmtId="10" fontId="6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6" xfId="0" applyBorder="1" applyAlignment="1">
      <alignment horizontal="center" vertical="top"/>
    </xf>
    <xf numFmtId="0" fontId="0" fillId="0" borderId="16" xfId="0" applyBorder="1"/>
    <xf numFmtId="0" fontId="0" fillId="0" borderId="17" xfId="0" applyBorder="1"/>
    <xf numFmtId="0" fontId="0" fillId="0" borderId="18" xfId="0" applyBorder="1" applyAlignment="1">
      <alignment horizontal="center" vertical="top"/>
    </xf>
    <xf numFmtId="0" fontId="0" fillId="0" borderId="2" xfId="0" applyBorder="1"/>
    <xf numFmtId="10" fontId="1" fillId="0" borderId="0" xfId="0" applyNumberFormat="1" applyFont="1" applyAlignment="1">
      <alignment horizontal="center" vertical="top"/>
    </xf>
    <xf numFmtId="0" fontId="0" fillId="0" borderId="19" xfId="0" applyBorder="1" applyAlignment="1">
      <alignment horizontal="center" vertical="top"/>
    </xf>
    <xf numFmtId="0" fontId="1" fillId="0" borderId="20" xfId="0" applyFont="1" applyBorder="1" applyAlignment="1">
      <alignment horizontal="center" vertical="top"/>
    </xf>
    <xf numFmtId="10" fontId="1" fillId="0" borderId="20" xfId="0" applyNumberFormat="1" applyFont="1" applyBorder="1" applyAlignment="1">
      <alignment horizontal="center" vertical="top"/>
    </xf>
    <xf numFmtId="0" fontId="0" fillId="0" borderId="20" xfId="0" applyBorder="1"/>
    <xf numFmtId="0" fontId="0" fillId="0" borderId="21" xfId="0" applyBorder="1"/>
    <xf numFmtId="0" fontId="0" fillId="0" borderId="15" xfId="0" applyBorder="1"/>
    <xf numFmtId="0" fontId="1" fillId="0" borderId="16" xfId="0" applyFont="1" applyBorder="1" applyAlignment="1">
      <alignment horizontal="center" vertical="center"/>
    </xf>
    <xf numFmtId="0" fontId="0" fillId="0" borderId="18" xfId="0" applyBorder="1"/>
    <xf numFmtId="165" fontId="0" fillId="0" borderId="0" xfId="0" applyNumberFormat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0" fontId="0" fillId="0" borderId="0" xfId="1" applyNumberFormat="1" applyFont="1" applyBorder="1"/>
    <xf numFmtId="0" fontId="1" fillId="0" borderId="16" xfId="0" applyFont="1" applyBorder="1" applyAlignment="1">
      <alignment horizontal="center" vertical="top"/>
    </xf>
    <xf numFmtId="0" fontId="1" fillId="0" borderId="17" xfId="0" applyFont="1" applyBorder="1" applyAlignment="1">
      <alignment horizontal="center" vertical="top"/>
    </xf>
    <xf numFmtId="10" fontId="0" fillId="0" borderId="2" xfId="0" applyNumberFormat="1" applyBorder="1"/>
    <xf numFmtId="2" fontId="1" fillId="0" borderId="0" xfId="0" applyNumberFormat="1" applyFont="1"/>
    <xf numFmtId="0" fontId="1" fillId="0" borderId="15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top"/>
    </xf>
    <xf numFmtId="0" fontId="0" fillId="5" borderId="0" xfId="0" applyFill="1"/>
    <xf numFmtId="1" fontId="0" fillId="0" borderId="0" xfId="0" applyNumberFormat="1" applyAlignment="1">
      <alignment horizontal="center" vertical="center"/>
    </xf>
    <xf numFmtId="10" fontId="0" fillId="0" borderId="0" xfId="1" applyNumberFormat="1" applyFont="1" applyBorder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2" xfId="0" applyNumberFormat="1" applyBorder="1" applyAlignment="1">
      <alignment horizontal="center"/>
    </xf>
    <xf numFmtId="0" fontId="1" fillId="0" borderId="18" xfId="0" applyFont="1" applyBorder="1" applyAlignment="1">
      <alignment horizontal="center" vertical="top"/>
    </xf>
    <xf numFmtId="0" fontId="1" fillId="0" borderId="18" xfId="0" applyFont="1" applyBorder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0" fontId="1" fillId="0" borderId="2" xfId="0" applyNumberFormat="1" applyFont="1" applyBorder="1" applyAlignment="1">
      <alignment horizontal="center" vertical="center"/>
    </xf>
    <xf numFmtId="10" fontId="1" fillId="0" borderId="0" xfId="1" applyNumberFormat="1" applyFont="1" applyBorder="1"/>
    <xf numFmtId="10" fontId="1" fillId="0" borderId="2" xfId="0" applyNumberFormat="1" applyFont="1" applyBorder="1"/>
    <xf numFmtId="0" fontId="1" fillId="5" borderId="18" xfId="0" applyFont="1" applyFill="1" applyBorder="1" applyAlignment="1">
      <alignment horizontal="center" vertical="top"/>
    </xf>
    <xf numFmtId="2" fontId="0" fillId="0" borderId="0" xfId="0" applyNumberFormat="1" applyAlignment="1">
      <alignment horizontal="center"/>
    </xf>
    <xf numFmtId="2" fontId="1" fillId="0" borderId="0" xfId="0" applyNumberFormat="1" applyFont="1" applyAlignment="1">
      <alignment horizontal="center"/>
    </xf>
    <xf numFmtId="10" fontId="0" fillId="0" borderId="18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Operativa ideal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'Flujo de caja'!$J$1:$K$1</c:f>
              <c:strCache>
                <c:ptCount val="1"/>
                <c:pt idx="0">
                  <c:v>Rentabilidad simple</c:v>
                </c:pt>
              </c:strCache>
            </c:strRef>
          </c:tx>
          <c:spPr>
            <a:ln w="12700" cap="sq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'Flujo de caja'!$H$3:$H$4704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'Flujo de caja'!$J$3:$J$4704</c:f>
              <c:numCache>
                <c:formatCode>0</c:formatCode>
                <c:ptCount val="4702"/>
                <c:pt idx="0" formatCode="General">
                  <c:v>100000</c:v>
                </c:pt>
                <c:pt idx="1">
                  <c:v>98586.940014811145</c:v>
                </c:pt>
                <c:pt idx="2">
                  <c:v>97048.200000193145</c:v>
                </c:pt>
                <c:pt idx="3">
                  <c:v>94928.872830730732</c:v>
                </c:pt>
                <c:pt idx="4">
                  <c:v>95662.120142558691</c:v>
                </c:pt>
                <c:pt idx="5">
                  <c:v>95755.282769266487</c:v>
                </c:pt>
                <c:pt idx="6">
                  <c:v>96203.538952197865</c:v>
                </c:pt>
                <c:pt idx="7">
                  <c:v>97946.243615410305</c:v>
                </c:pt>
                <c:pt idx="8">
                  <c:v>99194.594578989549</c:v>
                </c:pt>
                <c:pt idx="9">
                  <c:v>100087.08233551202</c:v>
                </c:pt>
                <c:pt idx="10">
                  <c:v>101099.96849336586</c:v>
                </c:pt>
                <c:pt idx="11">
                  <c:v>98640.919763325321</c:v>
                </c:pt>
                <c:pt idx="12">
                  <c:v>97564.146332157718</c:v>
                </c:pt>
                <c:pt idx="13">
                  <c:v>99762.964583626177</c:v>
                </c:pt>
                <c:pt idx="14">
                  <c:v>100427.26985268215</c:v>
                </c:pt>
                <c:pt idx="15">
                  <c:v>100046.77655035083</c:v>
                </c:pt>
                <c:pt idx="16">
                  <c:v>102880.15611707304</c:v>
                </c:pt>
                <c:pt idx="17">
                  <c:v>104562.992172903</c:v>
                </c:pt>
                <c:pt idx="18">
                  <c:v>104347.95114860199</c:v>
                </c:pt>
                <c:pt idx="19">
                  <c:v>103748.38216155817</c:v>
                </c:pt>
                <c:pt idx="20">
                  <c:v>105489.2415096163</c:v>
                </c:pt>
                <c:pt idx="21">
                  <c:v>107439.87287623253</c:v>
                </c:pt>
                <c:pt idx="22">
                  <c:v>105327.18820371397</c:v>
                </c:pt>
                <c:pt idx="23">
                  <c:v>104855.05059681053</c:v>
                </c:pt>
                <c:pt idx="24">
                  <c:v>104897.72945266269</c:v>
                </c:pt>
                <c:pt idx="25">
                  <c:v>107625.14468607793</c:v>
                </c:pt>
                <c:pt idx="26">
                  <c:v>109868.18774389738</c:v>
                </c:pt>
                <c:pt idx="27">
                  <c:v>106117.84715677894</c:v>
                </c:pt>
                <c:pt idx="28">
                  <c:v>106573.87319824674</c:v>
                </c:pt>
                <c:pt idx="29">
                  <c:v>105136.17777929826</c:v>
                </c:pt>
                <c:pt idx="30">
                  <c:v>105225.6116362943</c:v>
                </c:pt>
                <c:pt idx="31">
                  <c:v>104990.78294154805</c:v>
                </c:pt>
                <c:pt idx="32">
                  <c:v>105679.75340056943</c:v>
                </c:pt>
                <c:pt idx="33">
                  <c:v>105120.70295157726</c:v>
                </c:pt>
                <c:pt idx="34">
                  <c:v>104448.54720082563</c:v>
                </c:pt>
                <c:pt idx="35">
                  <c:v>103517.40498481477</c:v>
                </c:pt>
                <c:pt idx="36">
                  <c:v>103810.80032364027</c:v>
                </c:pt>
                <c:pt idx="37">
                  <c:v>103604.60413137185</c:v>
                </c:pt>
                <c:pt idx="38">
                  <c:v>102573.73421862427</c:v>
                </c:pt>
                <c:pt idx="39">
                  <c:v>102784.71061239624</c:v>
                </c:pt>
                <c:pt idx="40">
                  <c:v>104619.86153097912</c:v>
                </c:pt>
                <c:pt idx="41">
                  <c:v>102761.70913920731</c:v>
                </c:pt>
                <c:pt idx="42">
                  <c:v>101516.93245595755</c:v>
                </c:pt>
                <c:pt idx="43">
                  <c:v>101327.64656897086</c:v>
                </c:pt>
                <c:pt idx="44">
                  <c:v>102084.76697024338</c:v>
                </c:pt>
                <c:pt idx="45">
                  <c:v>102204.70659793435</c:v>
                </c:pt>
                <c:pt idx="46">
                  <c:v>103615.10952060852</c:v>
                </c:pt>
                <c:pt idx="47">
                  <c:v>102653.16273497957</c:v>
                </c:pt>
                <c:pt idx="48">
                  <c:v>105269.75582895246</c:v>
                </c:pt>
                <c:pt idx="49">
                  <c:v>103876.32636796783</c:v>
                </c:pt>
                <c:pt idx="50">
                  <c:v>101804.79930244076</c:v>
                </c:pt>
                <c:pt idx="51">
                  <c:v>97638.107929506965</c:v>
                </c:pt>
                <c:pt idx="52">
                  <c:v>97213.367027686429</c:v>
                </c:pt>
                <c:pt idx="53">
                  <c:v>95374.523775472029</c:v>
                </c:pt>
                <c:pt idx="54">
                  <c:v>94931.771032118864</c:v>
                </c:pt>
                <c:pt idx="55">
                  <c:v>94434.096597361669</c:v>
                </c:pt>
                <c:pt idx="56">
                  <c:v>94370.502241608527</c:v>
                </c:pt>
                <c:pt idx="57">
                  <c:v>95485.626971240825</c:v>
                </c:pt>
                <c:pt idx="58">
                  <c:v>93979.056683245391</c:v>
                </c:pt>
                <c:pt idx="59">
                  <c:v>93797.20461653042</c:v>
                </c:pt>
                <c:pt idx="60">
                  <c:v>94260.385519793199</c:v>
                </c:pt>
                <c:pt idx="61">
                  <c:v>94268.466804006326</c:v>
                </c:pt>
                <c:pt idx="62">
                  <c:v>95873.522098103233</c:v>
                </c:pt>
                <c:pt idx="63">
                  <c:v>96141.623847465991</c:v>
                </c:pt>
                <c:pt idx="64">
                  <c:v>96269.786550234639</c:v>
                </c:pt>
                <c:pt idx="65">
                  <c:v>95733.853185420114</c:v>
                </c:pt>
                <c:pt idx="66">
                  <c:v>92574.708002725238</c:v>
                </c:pt>
                <c:pt idx="67">
                  <c:v>92490.881607470932</c:v>
                </c:pt>
                <c:pt idx="68">
                  <c:v>93466.611972863626</c:v>
                </c:pt>
                <c:pt idx="69">
                  <c:v>93857.493119253078</c:v>
                </c:pt>
                <c:pt idx="70">
                  <c:v>91632.680836416257</c:v>
                </c:pt>
                <c:pt idx="71">
                  <c:v>91903.708452062259</c:v>
                </c:pt>
                <c:pt idx="72">
                  <c:v>92327.026198919964</c:v>
                </c:pt>
                <c:pt idx="73">
                  <c:v>93389.875170388739</c:v>
                </c:pt>
                <c:pt idx="74">
                  <c:v>92488.253570514687</c:v>
                </c:pt>
                <c:pt idx="75">
                  <c:v>92154.424953004782</c:v>
                </c:pt>
                <c:pt idx="76">
                  <c:v>91825.447947563342</c:v>
                </c:pt>
                <c:pt idx="77">
                  <c:v>91879.735911248717</c:v>
                </c:pt>
                <c:pt idx="78">
                  <c:v>93096.610651634008</c:v>
                </c:pt>
                <c:pt idx="79">
                  <c:v>93480.115929346197</c:v>
                </c:pt>
                <c:pt idx="80">
                  <c:v>90586.28534874029</c:v>
                </c:pt>
                <c:pt idx="81">
                  <c:v>89434.907999564763</c:v>
                </c:pt>
                <c:pt idx="82">
                  <c:v>89807.152423720239</c:v>
                </c:pt>
                <c:pt idx="83">
                  <c:v>90591.94223925675</c:v>
                </c:pt>
                <c:pt idx="84">
                  <c:v>89748.535917979461</c:v>
                </c:pt>
                <c:pt idx="85">
                  <c:v>89478.145403397182</c:v>
                </c:pt>
                <c:pt idx="86">
                  <c:v>91179.546323396513</c:v>
                </c:pt>
                <c:pt idx="87">
                  <c:v>91639.607701583547</c:v>
                </c:pt>
                <c:pt idx="88">
                  <c:v>91354.246334661875</c:v>
                </c:pt>
                <c:pt idx="89">
                  <c:v>92418.016034770277</c:v>
                </c:pt>
                <c:pt idx="90">
                  <c:v>92452.321063225623</c:v>
                </c:pt>
                <c:pt idx="91">
                  <c:v>92028.962828054733</c:v>
                </c:pt>
                <c:pt idx="92">
                  <c:v>92165.330005948999</c:v>
                </c:pt>
                <c:pt idx="93">
                  <c:v>92728.712395419454</c:v>
                </c:pt>
                <c:pt idx="94">
                  <c:v>93342.626536509997</c:v>
                </c:pt>
                <c:pt idx="95">
                  <c:v>94592.22906678752</c:v>
                </c:pt>
                <c:pt idx="96">
                  <c:v>94152.40669732861</c:v>
                </c:pt>
                <c:pt idx="97">
                  <c:v>93211.607011546977</c:v>
                </c:pt>
                <c:pt idx="98">
                  <c:v>91738.55704748111</c:v>
                </c:pt>
                <c:pt idx="99">
                  <c:v>91541.753765664675</c:v>
                </c:pt>
                <c:pt idx="100">
                  <c:v>90766.059325084148</c:v>
                </c:pt>
                <c:pt idx="101">
                  <c:v>88022.024721512658</c:v>
                </c:pt>
                <c:pt idx="102">
                  <c:v>89297.464702440062</c:v>
                </c:pt>
                <c:pt idx="103">
                  <c:v>90344.872476589429</c:v>
                </c:pt>
                <c:pt idx="104">
                  <c:v>88342.797171505721</c:v>
                </c:pt>
                <c:pt idx="105">
                  <c:v>87979.242902547106</c:v>
                </c:pt>
                <c:pt idx="106">
                  <c:v>87742.041100664661</c:v>
                </c:pt>
                <c:pt idx="107">
                  <c:v>88245.948512213625</c:v>
                </c:pt>
                <c:pt idx="108">
                  <c:v>90702.215365849741</c:v>
                </c:pt>
                <c:pt idx="109">
                  <c:v>90315.024878635828</c:v>
                </c:pt>
                <c:pt idx="110">
                  <c:v>89659.29431666508</c:v>
                </c:pt>
                <c:pt idx="111">
                  <c:v>88595.230193412033</c:v>
                </c:pt>
                <c:pt idx="112">
                  <c:v>88610.163833772094</c:v>
                </c:pt>
                <c:pt idx="113">
                  <c:v>87712.802264018566</c:v>
                </c:pt>
                <c:pt idx="114">
                  <c:v>84522.154961114007</c:v>
                </c:pt>
                <c:pt idx="115">
                  <c:v>87040.523513230699</c:v>
                </c:pt>
                <c:pt idx="116">
                  <c:v>87382.293218952691</c:v>
                </c:pt>
                <c:pt idx="117">
                  <c:v>88157.217833696544</c:v>
                </c:pt>
                <c:pt idx="118">
                  <c:v>86445.642894716875</c:v>
                </c:pt>
                <c:pt idx="119">
                  <c:v>86272.221336201546</c:v>
                </c:pt>
                <c:pt idx="120">
                  <c:v>87768.550470602335</c:v>
                </c:pt>
                <c:pt idx="121">
                  <c:v>87015.85489959098</c:v>
                </c:pt>
                <c:pt idx="122">
                  <c:v>86585.315315759377</c:v>
                </c:pt>
                <c:pt idx="123">
                  <c:v>86501.654692682234</c:v>
                </c:pt>
                <c:pt idx="124">
                  <c:v>85765.87895439491</c:v>
                </c:pt>
                <c:pt idx="125">
                  <c:v>85988.435216099198</c:v>
                </c:pt>
                <c:pt idx="126">
                  <c:v>85069.383953940094</c:v>
                </c:pt>
                <c:pt idx="127">
                  <c:v>83929.849103299988</c:v>
                </c:pt>
                <c:pt idx="128">
                  <c:v>84770.758472234884</c:v>
                </c:pt>
                <c:pt idx="129">
                  <c:v>85607.36697301922</c:v>
                </c:pt>
                <c:pt idx="130">
                  <c:v>85193.616697410223</c:v>
                </c:pt>
                <c:pt idx="131">
                  <c:v>84949.963522512335</c:v>
                </c:pt>
                <c:pt idx="132">
                  <c:v>84025.14091123025</c:v>
                </c:pt>
                <c:pt idx="133">
                  <c:v>84672.143428310432</c:v>
                </c:pt>
                <c:pt idx="134">
                  <c:v>84682.051566045979</c:v>
                </c:pt>
                <c:pt idx="135">
                  <c:v>80683.279610859856</c:v>
                </c:pt>
                <c:pt idx="136">
                  <c:v>82491.338567775951</c:v>
                </c:pt>
                <c:pt idx="137">
                  <c:v>84399.687703208372</c:v>
                </c:pt>
                <c:pt idx="138">
                  <c:v>85978.716554456201</c:v>
                </c:pt>
                <c:pt idx="139">
                  <c:v>86170.767845403665</c:v>
                </c:pt>
                <c:pt idx="140">
                  <c:v>85123.716138395641</c:v>
                </c:pt>
                <c:pt idx="141">
                  <c:v>86155.874688195036</c:v>
                </c:pt>
                <c:pt idx="142">
                  <c:v>88995.391200123588</c:v>
                </c:pt>
                <c:pt idx="143">
                  <c:v>87588.285300493735</c:v>
                </c:pt>
                <c:pt idx="144">
                  <c:v>87895.332391084521</c:v>
                </c:pt>
                <c:pt idx="145">
                  <c:v>87505.876212516305</c:v>
                </c:pt>
                <c:pt idx="146">
                  <c:v>89236.945695295653</c:v>
                </c:pt>
                <c:pt idx="147">
                  <c:v>89030.050099663218</c:v>
                </c:pt>
                <c:pt idx="148">
                  <c:v>90272.694514652976</c:v>
                </c:pt>
                <c:pt idx="149">
                  <c:v>89895.772377898247</c:v>
                </c:pt>
                <c:pt idx="150">
                  <c:v>90195.465920122166</c:v>
                </c:pt>
                <c:pt idx="151">
                  <c:v>91489.499607685313</c:v>
                </c:pt>
                <c:pt idx="152">
                  <c:v>92440.290677635305</c:v>
                </c:pt>
                <c:pt idx="153">
                  <c:v>92154.777873138097</c:v>
                </c:pt>
                <c:pt idx="154">
                  <c:v>91339.842245746302</c:v>
                </c:pt>
                <c:pt idx="155">
                  <c:v>91658.94984087898</c:v>
                </c:pt>
                <c:pt idx="156">
                  <c:v>91811.877855836909</c:v>
                </c:pt>
                <c:pt idx="157">
                  <c:v>93031.092969940917</c:v>
                </c:pt>
                <c:pt idx="158">
                  <c:v>92331.796951622629</c:v>
                </c:pt>
                <c:pt idx="159">
                  <c:v>91057.963122795933</c:v>
                </c:pt>
                <c:pt idx="160">
                  <c:v>91987.533221422535</c:v>
                </c:pt>
                <c:pt idx="161">
                  <c:v>90994.919668224145</c:v>
                </c:pt>
                <c:pt idx="162">
                  <c:v>94842.875043477688</c:v>
                </c:pt>
                <c:pt idx="163">
                  <c:v>95300.370859572489</c:v>
                </c:pt>
                <c:pt idx="164">
                  <c:v>95810.484035818998</c:v>
                </c:pt>
                <c:pt idx="165">
                  <c:v>97765.390120372394</c:v>
                </c:pt>
                <c:pt idx="166">
                  <c:v>97701.570820898851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31-421C-84F4-83339C9FA8BF}"/>
            </c:ext>
          </c:extLst>
        </c:ser>
        <c:ser>
          <c:idx val="1"/>
          <c:order val="1"/>
          <c:tx>
            <c:strRef>
              <c:f>'Flujo de caja'!$L$1:$M$1</c:f>
              <c:strCache>
                <c:ptCount val="1"/>
                <c:pt idx="0">
                  <c:v>Rentabilidad compuesta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'Flujo de caja'!$H$3:$H$4704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'Flujo de caja'!$L$3:$L$4704</c:f>
              <c:numCache>
                <c:formatCode>0</c:formatCode>
                <c:ptCount val="4702"/>
                <c:pt idx="0" formatCode="General">
                  <c:v>100000</c:v>
                </c:pt>
                <c:pt idx="1">
                  <c:v>98586.940014811145</c:v>
                </c:pt>
                <c:pt idx="2">
                  <c:v>97069.858536016691</c:v>
                </c:pt>
                <c:pt idx="3">
                  <c:v>95012.454842216321</c:v>
                </c:pt>
                <c:pt idx="4">
                  <c:v>95708.831860539154</c:v>
                </c:pt>
                <c:pt idx="5">
                  <c:v>95797.739252203421</c:v>
                </c:pt>
                <c:pt idx="6">
                  <c:v>96226.90640586504</c:v>
                </c:pt>
                <c:pt idx="7">
                  <c:v>97903.630805449473</c:v>
                </c:pt>
                <c:pt idx="8">
                  <c:v>99125.685941836695</c:v>
                </c:pt>
                <c:pt idx="9">
                  <c:v>100010.31809359301</c:v>
                </c:pt>
                <c:pt idx="10">
                  <c:v>101023.30938107421</c:v>
                </c:pt>
                <c:pt idx="11">
                  <c:v>98539.15837325684</c:v>
                </c:pt>
                <c:pt idx="12">
                  <c:v>97478.027246099839</c:v>
                </c:pt>
                <c:pt idx="13">
                  <c:v>99621.240581993246</c:v>
                </c:pt>
                <c:pt idx="14">
                  <c:v>100283.00700671328</c:v>
                </c:pt>
                <c:pt idx="15">
                  <c:v>99901.453862096678</c:v>
                </c:pt>
                <c:pt idx="16">
                  <c:v>102732.03532991548</c:v>
                </c:pt>
                <c:pt idx="17">
                  <c:v>104461.01098345507</c:v>
                </c:pt>
                <c:pt idx="18">
                  <c:v>104236.64461610006</c:v>
                </c:pt>
                <c:pt idx="19">
                  <c:v>103611.92822052381</c:v>
                </c:pt>
                <c:pt idx="20">
                  <c:v>105415.88287434731</c:v>
                </c:pt>
                <c:pt idx="21">
                  <c:v>107472.48310406222</c:v>
                </c:pt>
                <c:pt idx="22">
                  <c:v>105202.37677533385</c:v>
                </c:pt>
                <c:pt idx="23">
                  <c:v>104705.98893382776</c:v>
                </c:pt>
                <c:pt idx="24">
                  <c:v>104750.95861124944</c:v>
                </c:pt>
                <c:pt idx="25">
                  <c:v>107608.23727107783</c:v>
                </c:pt>
                <c:pt idx="26">
                  <c:v>110022.39286106489</c:v>
                </c:pt>
                <c:pt idx="27">
                  <c:v>105896.77975024913</c:v>
                </c:pt>
                <c:pt idx="28">
                  <c:v>106380.05044977109</c:v>
                </c:pt>
                <c:pt idx="29">
                  <c:v>104851.01214080663</c:v>
                </c:pt>
                <c:pt idx="30">
                  <c:v>104945.07550579199</c:v>
                </c:pt>
                <c:pt idx="31">
                  <c:v>104698.93105931162</c:v>
                </c:pt>
                <c:pt idx="32">
                  <c:v>105420.557701085</c:v>
                </c:pt>
                <c:pt idx="33">
                  <c:v>104831.52883338909</c:v>
                </c:pt>
                <c:pt idx="34">
                  <c:v>104127.18757546462</c:v>
                </c:pt>
                <c:pt idx="35">
                  <c:v>103157.86300485917</c:v>
                </c:pt>
                <c:pt idx="36">
                  <c:v>103460.71283832772</c:v>
                </c:pt>
                <c:pt idx="37">
                  <c:v>103247.58843073162</c:v>
                </c:pt>
                <c:pt idx="38">
                  <c:v>102183.43496126762</c:v>
                </c:pt>
                <c:pt idx="39">
                  <c:v>102399.14889347891</c:v>
                </c:pt>
                <c:pt idx="40">
                  <c:v>104278.47176395224</c:v>
                </c:pt>
                <c:pt idx="41">
                  <c:v>102341.0755550731</c:v>
                </c:pt>
                <c:pt idx="42">
                  <c:v>101067.29817370983</c:v>
                </c:pt>
                <c:pt idx="43">
                  <c:v>100876.05607979867</c:v>
                </c:pt>
                <c:pt idx="44">
                  <c:v>101639.86184374272</c:v>
                </c:pt>
                <c:pt idx="45">
                  <c:v>101761.86670733435</c:v>
                </c:pt>
                <c:pt idx="46">
                  <c:v>103197.22476154483</c:v>
                </c:pt>
                <c:pt idx="47">
                  <c:v>102204.71420857857</c:v>
                </c:pt>
                <c:pt idx="48">
                  <c:v>104879.12798512749</c:v>
                </c:pt>
                <c:pt idx="49">
                  <c:v>103418.00406503805</c:v>
                </c:pt>
                <c:pt idx="50">
                  <c:v>101275.8772004468</c:v>
                </c:pt>
                <c:pt idx="51">
                  <c:v>97056.100514904785</c:v>
                </c:pt>
                <c:pt idx="52">
                  <c:v>96643.686924336827</c:v>
                </c:pt>
                <c:pt idx="53">
                  <c:v>94866.359629852916</c:v>
                </c:pt>
                <c:pt idx="54">
                  <c:v>94446.028201650261</c:v>
                </c:pt>
                <c:pt idx="55">
                  <c:v>93975.661226339187</c:v>
                </c:pt>
                <c:pt idx="56">
                  <c:v>93915.536549691125</c:v>
                </c:pt>
                <c:pt idx="57">
                  <c:v>94962.446854916576</c:v>
                </c:pt>
                <c:pt idx="58">
                  <c:v>93531.468592658246</c:v>
                </c:pt>
                <c:pt idx="59">
                  <c:v>93360.991572109182</c:v>
                </c:pt>
                <c:pt idx="60">
                  <c:v>93793.023515662295</c:v>
                </c:pt>
                <c:pt idx="61">
                  <c:v>93800.230777875622</c:v>
                </c:pt>
                <c:pt idx="62">
                  <c:v>95305.4043616977</c:v>
                </c:pt>
                <c:pt idx="63">
                  <c:v>95560.638142290365</c:v>
                </c:pt>
                <c:pt idx="64">
                  <c:v>95682.844877205032</c:v>
                </c:pt>
                <c:pt idx="65">
                  <c:v>95169.789557797005</c:v>
                </c:pt>
                <c:pt idx="66">
                  <c:v>92162.94792297449</c:v>
                </c:pt>
                <c:pt idx="67">
                  <c:v>92085.220822845935</c:v>
                </c:pt>
                <c:pt idx="68">
                  <c:v>92983.249397702733</c:v>
                </c:pt>
                <c:pt idx="69">
                  <c:v>93346.282383862505</c:v>
                </c:pt>
                <c:pt idx="70">
                  <c:v>91269.103604757824</c:v>
                </c:pt>
                <c:pt idx="71">
                  <c:v>91515.944226295571</c:v>
                </c:pt>
                <c:pt idx="72">
                  <c:v>91902.83841606346</c:v>
                </c:pt>
                <c:pt idx="73">
                  <c:v>92879.140959224154</c:v>
                </c:pt>
                <c:pt idx="74">
                  <c:v>92041.295311015871</c:v>
                </c:pt>
                <c:pt idx="75">
                  <c:v>91733.557605059555</c:v>
                </c:pt>
                <c:pt idx="76">
                  <c:v>91431.279307721823</c:v>
                </c:pt>
                <c:pt idx="77">
                  <c:v>91480.401364187928</c:v>
                </c:pt>
                <c:pt idx="78">
                  <c:v>92593.092084873657</c:v>
                </c:pt>
                <c:pt idx="79">
                  <c:v>92947.747065341158</c:v>
                </c:pt>
                <c:pt idx="80">
                  <c:v>90257.573601604017</c:v>
                </c:pt>
                <c:pt idx="81">
                  <c:v>89217.783797655808</c:v>
                </c:pt>
                <c:pt idx="82">
                  <c:v>89549.245090225537</c:v>
                </c:pt>
                <c:pt idx="83">
                  <c:v>90251.391400288863</c:v>
                </c:pt>
                <c:pt idx="84">
                  <c:v>89489.620543662139</c:v>
                </c:pt>
                <c:pt idx="85">
                  <c:v>89247.018475409015</c:v>
                </c:pt>
                <c:pt idx="86">
                  <c:v>90764.822889930132</c:v>
                </c:pt>
                <c:pt idx="87">
                  <c:v>91181.842674399959</c:v>
                </c:pt>
                <c:pt idx="88">
                  <c:v>90921.115832320385</c:v>
                </c:pt>
                <c:pt idx="89">
                  <c:v>91887.762380495013</c:v>
                </c:pt>
                <c:pt idx="90">
                  <c:v>91918.797769269455</c:v>
                </c:pt>
                <c:pt idx="91">
                  <c:v>91529.167097109326</c:v>
                </c:pt>
                <c:pt idx="92">
                  <c:v>91653.474589255595</c:v>
                </c:pt>
                <c:pt idx="93">
                  <c:v>92169.3333329046</c:v>
                </c:pt>
                <c:pt idx="94">
                  <c:v>92734.704063984143</c:v>
                </c:pt>
                <c:pt idx="95">
                  <c:v>93893.08335465689</c:v>
                </c:pt>
                <c:pt idx="96">
                  <c:v>93479.75415568969</c:v>
                </c:pt>
                <c:pt idx="97">
                  <c:v>92599.905707572863</c:v>
                </c:pt>
                <c:pt idx="98">
                  <c:v>91235.418824164895</c:v>
                </c:pt>
                <c:pt idx="99">
                  <c:v>91055.338650869424</c:v>
                </c:pt>
                <c:pt idx="100">
                  <c:v>90348.490771421915</c:v>
                </c:pt>
                <c:pt idx="101">
                  <c:v>87868.717830295791</c:v>
                </c:pt>
                <c:pt idx="102">
                  <c:v>88988.702711301492</c:v>
                </c:pt>
                <c:pt idx="103">
                  <c:v>89920.116623777023</c:v>
                </c:pt>
                <c:pt idx="104">
                  <c:v>88119.243381547349</c:v>
                </c:pt>
                <c:pt idx="105">
                  <c:v>87798.169265062592</c:v>
                </c:pt>
                <c:pt idx="106">
                  <c:v>87589.178315701967</c:v>
                </c:pt>
                <c:pt idx="107">
                  <c:v>88029.802027648577</c:v>
                </c:pt>
                <c:pt idx="108">
                  <c:v>90191.330664296853</c:v>
                </c:pt>
                <c:pt idx="109">
                  <c:v>89841.52989151291</c:v>
                </c:pt>
                <c:pt idx="110">
                  <c:v>89251.802014465662</c:v>
                </c:pt>
                <c:pt idx="111">
                  <c:v>88301.460717993759</c:v>
                </c:pt>
                <c:pt idx="112">
                  <c:v>88313.945428213134</c:v>
                </c:pt>
                <c:pt idx="113">
                  <c:v>87520.748857932937</c:v>
                </c:pt>
                <c:pt idx="114">
                  <c:v>84727.521689946894</c:v>
                </c:pt>
                <c:pt idx="115">
                  <c:v>86860.35660247576</c:v>
                </c:pt>
                <c:pt idx="116">
                  <c:v>87156.430609021263</c:v>
                </c:pt>
                <c:pt idx="117">
                  <c:v>87831.056628979262</c:v>
                </c:pt>
                <c:pt idx="118">
                  <c:v>86327.032138474358</c:v>
                </c:pt>
                <c:pt idx="119">
                  <c:v>86176.502075848097</c:v>
                </c:pt>
                <c:pt idx="120">
                  <c:v>87465.156773541064</c:v>
                </c:pt>
                <c:pt idx="121">
                  <c:v>86806.05832173489</c:v>
                </c:pt>
                <c:pt idx="122">
                  <c:v>86431.532242995178</c:v>
                </c:pt>
                <c:pt idx="123">
                  <c:v>86358.408976520135</c:v>
                </c:pt>
                <c:pt idx="124">
                  <c:v>85722.186259838549</c:v>
                </c:pt>
                <c:pt idx="125">
                  <c:v>85912.109684205221</c:v>
                </c:pt>
                <c:pt idx="126">
                  <c:v>85121.68808238607</c:v>
                </c:pt>
                <c:pt idx="127">
                  <c:v>84150.804082519055</c:v>
                </c:pt>
                <c:pt idx="128">
                  <c:v>84857.485126327956</c:v>
                </c:pt>
                <c:pt idx="129">
                  <c:v>85566.501509554204</c:v>
                </c:pt>
                <c:pt idx="130">
                  <c:v>85211.603863820026</c:v>
                </c:pt>
                <c:pt idx="131">
                  <c:v>85003.095781856246</c:v>
                </c:pt>
                <c:pt idx="132">
                  <c:v>84216.06811752278</c:v>
                </c:pt>
                <c:pt idx="133">
                  <c:v>84760.001162116168</c:v>
                </c:pt>
                <c:pt idx="134">
                  <c:v>84767.484899845687</c:v>
                </c:pt>
                <c:pt idx="135">
                  <c:v>81376.912535648022</c:v>
                </c:pt>
                <c:pt idx="136">
                  <c:v>82847.13770636273</c:v>
                </c:pt>
                <c:pt idx="137">
                  <c:v>84427.12117077499</c:v>
                </c:pt>
                <c:pt idx="138">
                  <c:v>85759.315399609739</c:v>
                </c:pt>
                <c:pt idx="139">
                  <c:v>85923.162830866378</c:v>
                </c:pt>
                <c:pt idx="140">
                  <c:v>85022.658277500363</c:v>
                </c:pt>
                <c:pt idx="141">
                  <c:v>85899.328273674968</c:v>
                </c:pt>
                <c:pt idx="142">
                  <c:v>88337.60784333809</c:v>
                </c:pt>
                <c:pt idx="143">
                  <c:v>87093.904408253191</c:v>
                </c:pt>
                <c:pt idx="144">
                  <c:v>87360.549342085142</c:v>
                </c:pt>
                <c:pt idx="145">
                  <c:v>87019.559918001774</c:v>
                </c:pt>
                <c:pt idx="146">
                  <c:v>88525.15013738627</c:v>
                </c:pt>
                <c:pt idx="147">
                  <c:v>88341.307009733267</c:v>
                </c:pt>
                <c:pt idx="148">
                  <c:v>89438.375805839256</c:v>
                </c:pt>
                <c:pt idx="149">
                  <c:v>89100.629071221512</c:v>
                </c:pt>
                <c:pt idx="150">
                  <c:v>89367.003940373121</c:v>
                </c:pt>
                <c:pt idx="151">
                  <c:v>90522.805097163859</c:v>
                </c:pt>
                <c:pt idx="152">
                  <c:v>91382.919212601759</c:v>
                </c:pt>
                <c:pt idx="153">
                  <c:v>91121.492252279204</c:v>
                </c:pt>
                <c:pt idx="154">
                  <c:v>90378.378037239469</c:v>
                </c:pt>
                <c:pt idx="155">
                  <c:v>90666.205008596255</c:v>
                </c:pt>
                <c:pt idx="156">
                  <c:v>90804.299008454109</c:v>
                </c:pt>
                <c:pt idx="157">
                  <c:v>91910.847004161886</c:v>
                </c:pt>
                <c:pt idx="158">
                  <c:v>91267.632761479428</c:v>
                </c:pt>
                <c:pt idx="159">
                  <c:v>90104.510838560076</c:v>
                </c:pt>
                <c:pt idx="160">
                  <c:v>90941.501699479413</c:v>
                </c:pt>
                <c:pt idx="161">
                  <c:v>90038.260518230207</c:v>
                </c:pt>
                <c:pt idx="162">
                  <c:v>93502.294899257337</c:v>
                </c:pt>
                <c:pt idx="163">
                  <c:v>93929.674124068013</c:v>
                </c:pt>
                <c:pt idx="164">
                  <c:v>94408.457548627732</c:v>
                </c:pt>
                <c:pt idx="165">
                  <c:v>96253.718737031784</c:v>
                </c:pt>
                <c:pt idx="166">
                  <c:v>96192.065511140798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31-421C-84F4-83339C9FA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419880"/>
        <c:axId val="520422832"/>
      </c:scatterChart>
      <c:valAx>
        <c:axId val="520419880"/>
        <c:scaling>
          <c:orientation val="minMax"/>
          <c:max val="150"/>
          <c:min val="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22832"/>
        <c:crosses val="autoZero"/>
        <c:crossBetween val="midCat"/>
        <c:majorUnit val="10"/>
      </c:valAx>
      <c:valAx>
        <c:axId val="520422832"/>
        <c:scaling>
          <c:orientation val="minMax"/>
          <c:max val="140000"/>
          <c:min val="6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19880"/>
        <c:crosses val="autoZero"/>
        <c:crossBetween val="midCat"/>
        <c:majorUnit val="20000"/>
        <c:minorUnit val="1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Operativa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'Flujo de caja'!$J$1:$K$1</c:f>
              <c:strCache>
                <c:ptCount val="1"/>
                <c:pt idx="0">
                  <c:v>Rentabilidad simple</c:v>
                </c:pt>
              </c:strCache>
            </c:strRef>
          </c:tx>
          <c:spPr>
            <a:ln w="12700" cap="sq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'Flujo de caja'!$H$3:$H$4704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'Flujo de caja'!$O$3:$O$146</c:f>
              <c:numCache>
                <c:formatCode>0</c:formatCode>
                <c:ptCount val="144"/>
                <c:pt idx="0" formatCode="General">
                  <c:v>100000</c:v>
                </c:pt>
                <c:pt idx="1">
                  <c:v>98387.940014811145</c:v>
                </c:pt>
                <c:pt idx="2">
                  <c:v>96650.200000193145</c:v>
                </c:pt>
                <c:pt idx="3">
                  <c:v>94331.872830730732</c:v>
                </c:pt>
                <c:pt idx="4">
                  <c:v>94866.120142558691</c:v>
                </c:pt>
                <c:pt idx="5">
                  <c:v>94760.282769266487</c:v>
                </c:pt>
                <c:pt idx="6">
                  <c:v>95009.538952197865</c:v>
                </c:pt>
                <c:pt idx="7">
                  <c:v>96553.243615410305</c:v>
                </c:pt>
                <c:pt idx="8">
                  <c:v>97602.594578989549</c:v>
                </c:pt>
                <c:pt idx="9">
                  <c:v>98296.082335512023</c:v>
                </c:pt>
                <c:pt idx="10">
                  <c:v>99109.968493365857</c:v>
                </c:pt>
                <c:pt idx="11">
                  <c:v>96451.919763325321</c:v>
                </c:pt>
                <c:pt idx="12">
                  <c:v>95176.146332157718</c:v>
                </c:pt>
                <c:pt idx="13">
                  <c:v>97175.964583626177</c:v>
                </c:pt>
                <c:pt idx="14">
                  <c:v>97641.269852682148</c:v>
                </c:pt>
                <c:pt idx="15">
                  <c:v>97061.776550350827</c:v>
                </c:pt>
                <c:pt idx="16">
                  <c:v>99696.156117073042</c:v>
                </c:pt>
                <c:pt idx="17">
                  <c:v>101179.992172903</c:v>
                </c:pt>
                <c:pt idx="18">
                  <c:v>100765.95114860199</c:v>
                </c:pt>
                <c:pt idx="19">
                  <c:v>99967.382161558169</c:v>
                </c:pt>
                <c:pt idx="20">
                  <c:v>101509.2415096163</c:v>
                </c:pt>
                <c:pt idx="21">
                  <c:v>103260.87287623253</c:v>
                </c:pt>
                <c:pt idx="22">
                  <c:v>100949.18820371397</c:v>
                </c:pt>
                <c:pt idx="23">
                  <c:v>100278.05059681053</c:v>
                </c:pt>
                <c:pt idx="24">
                  <c:v>100121.72945266269</c:v>
                </c:pt>
                <c:pt idx="25">
                  <c:v>102650.14468607793</c:v>
                </c:pt>
                <c:pt idx="26">
                  <c:v>104694.18774389738</c:v>
                </c:pt>
                <c:pt idx="27">
                  <c:v>100744.84715677892</c:v>
                </c:pt>
                <c:pt idx="28">
                  <c:v>101001.87319824673</c:v>
                </c:pt>
                <c:pt idx="29">
                  <c:v>99365.177779298247</c:v>
                </c:pt>
                <c:pt idx="30">
                  <c:v>99255.611636294285</c:v>
                </c:pt>
                <c:pt idx="31">
                  <c:v>98821.782941548037</c:v>
                </c:pt>
                <c:pt idx="32">
                  <c:v>99311.753400569418</c:v>
                </c:pt>
                <c:pt idx="33">
                  <c:v>98553.702951577245</c:v>
                </c:pt>
                <c:pt idx="34">
                  <c:v>97682.547200825618</c:v>
                </c:pt>
                <c:pt idx="35">
                  <c:v>96552.404984814755</c:v>
                </c:pt>
                <c:pt idx="36">
                  <c:v>96646.800323640258</c:v>
                </c:pt>
                <c:pt idx="37">
                  <c:v>96241.604131371831</c:v>
                </c:pt>
                <c:pt idx="38">
                  <c:v>95011.734218624275</c:v>
                </c:pt>
                <c:pt idx="39">
                  <c:v>95023.710612396244</c:v>
                </c:pt>
                <c:pt idx="40">
                  <c:v>96659.86153097912</c:v>
                </c:pt>
                <c:pt idx="41">
                  <c:v>94602.709139207305</c:v>
                </c:pt>
                <c:pt idx="42">
                  <c:v>93158.932455957547</c:v>
                </c:pt>
                <c:pt idx="43">
                  <c:v>92770.646568970857</c:v>
                </c:pt>
                <c:pt idx="44">
                  <c:v>93328.766970243378</c:v>
                </c:pt>
                <c:pt idx="45">
                  <c:v>93249.706597934346</c:v>
                </c:pt>
                <c:pt idx="46">
                  <c:v>94461.109520608516</c:v>
                </c:pt>
                <c:pt idx="47">
                  <c:v>93300.162734979574</c:v>
                </c:pt>
                <c:pt idx="48">
                  <c:v>95717.75582895246</c:v>
                </c:pt>
                <c:pt idx="49">
                  <c:v>94125.326367967835</c:v>
                </c:pt>
                <c:pt idx="50">
                  <c:v>91854.799302440762</c:v>
                </c:pt>
                <c:pt idx="51">
                  <c:v>87489.107929506965</c:v>
                </c:pt>
                <c:pt idx="52">
                  <c:v>86865.367027686429</c:v>
                </c:pt>
                <c:pt idx="53">
                  <c:v>84827.523775472029</c:v>
                </c:pt>
                <c:pt idx="54">
                  <c:v>84185.771032118864</c:v>
                </c:pt>
                <c:pt idx="55">
                  <c:v>83489.096597361669</c:v>
                </c:pt>
                <c:pt idx="56">
                  <c:v>83226.502241608527</c:v>
                </c:pt>
                <c:pt idx="57">
                  <c:v>84142.626971240825</c:v>
                </c:pt>
                <c:pt idx="58">
                  <c:v>82437.056683245391</c:v>
                </c:pt>
                <c:pt idx="59">
                  <c:v>82056.20461653042</c:v>
                </c:pt>
                <c:pt idx="60">
                  <c:v>82320.385519793199</c:v>
                </c:pt>
                <c:pt idx="61">
                  <c:v>82129.466804006326</c:v>
                </c:pt>
                <c:pt idx="62">
                  <c:v>83535.522098103233</c:v>
                </c:pt>
                <c:pt idx="63">
                  <c:v>83604.623847465991</c:v>
                </c:pt>
                <c:pt idx="64">
                  <c:v>83533.786550234639</c:v>
                </c:pt>
                <c:pt idx="65">
                  <c:v>82798.853185420114</c:v>
                </c:pt>
                <c:pt idx="66">
                  <c:v>79440.708002725238</c:v>
                </c:pt>
                <c:pt idx="67">
                  <c:v>79157.881607470932</c:v>
                </c:pt>
                <c:pt idx="68">
                  <c:v>79934.611972863626</c:v>
                </c:pt>
                <c:pt idx="69">
                  <c:v>80126.493119253078</c:v>
                </c:pt>
                <c:pt idx="70">
                  <c:v>77702.680836416257</c:v>
                </c:pt>
                <c:pt idx="71">
                  <c:v>77774.708452062259</c:v>
                </c:pt>
                <c:pt idx="72">
                  <c:v>77999.026198919964</c:v>
                </c:pt>
                <c:pt idx="73">
                  <c:v>78862.875170388739</c:v>
                </c:pt>
                <c:pt idx="74">
                  <c:v>77762.253570514687</c:v>
                </c:pt>
                <c:pt idx="75">
                  <c:v>77229.424953004782</c:v>
                </c:pt>
                <c:pt idx="76">
                  <c:v>76701.447947563342</c:v>
                </c:pt>
                <c:pt idx="77">
                  <c:v>76556.735911248717</c:v>
                </c:pt>
                <c:pt idx="78">
                  <c:v>77574.610651634008</c:v>
                </c:pt>
                <c:pt idx="79">
                  <c:v>77759.115929346197</c:v>
                </c:pt>
                <c:pt idx="80">
                  <c:v>74666.28534874029</c:v>
                </c:pt>
                <c:pt idx="81">
                  <c:v>73315.907999564763</c:v>
                </c:pt>
                <c:pt idx="82">
                  <c:v>73489.152423720239</c:v>
                </c:pt>
                <c:pt idx="83">
                  <c:v>74074.942239256736</c:v>
                </c:pt>
                <c:pt idx="84">
                  <c:v>73032.535917979447</c:v>
                </c:pt>
                <c:pt idx="85">
                  <c:v>72563.145403397168</c:v>
                </c:pt>
                <c:pt idx="86">
                  <c:v>74065.546323396498</c:v>
                </c:pt>
                <c:pt idx="87">
                  <c:v>74326.607701583533</c:v>
                </c:pt>
                <c:pt idx="88">
                  <c:v>73842.246334661861</c:v>
                </c:pt>
                <c:pt idx="89">
                  <c:v>74707.016034770262</c:v>
                </c:pt>
                <c:pt idx="90">
                  <c:v>74542.321063225609</c:v>
                </c:pt>
                <c:pt idx="91">
                  <c:v>73919.962828054719</c:v>
                </c:pt>
                <c:pt idx="92">
                  <c:v>73857.330005948985</c:v>
                </c:pt>
                <c:pt idx="93">
                  <c:v>74221.712395419439</c:v>
                </c:pt>
                <c:pt idx="94">
                  <c:v>74636.626536509983</c:v>
                </c:pt>
                <c:pt idx="95">
                  <c:v>75687.229066787506</c:v>
                </c:pt>
                <c:pt idx="96">
                  <c:v>75048.406697328595</c:v>
                </c:pt>
                <c:pt idx="97">
                  <c:v>73908.607011546963</c:v>
                </c:pt>
                <c:pt idx="98">
                  <c:v>72236.557047481096</c:v>
                </c:pt>
                <c:pt idx="99">
                  <c:v>71840.75376566466</c:v>
                </c:pt>
                <c:pt idx="100">
                  <c:v>70866.059325084134</c:v>
                </c:pt>
                <c:pt idx="101">
                  <c:v>67923.024721512644</c:v>
                </c:pt>
                <c:pt idx="102">
                  <c:v>68999.464702440047</c:v>
                </c:pt>
                <c:pt idx="103">
                  <c:v>69847.872476589415</c:v>
                </c:pt>
                <c:pt idx="104">
                  <c:v>67646.797171505707</c:v>
                </c:pt>
                <c:pt idx="105">
                  <c:v>67084.242902547092</c:v>
                </c:pt>
                <c:pt idx="106">
                  <c:v>66648.041100664646</c:v>
                </c:pt>
                <c:pt idx="107">
                  <c:v>66952.94851221361</c:v>
                </c:pt>
                <c:pt idx="108">
                  <c:v>69210.215365849726</c:v>
                </c:pt>
                <c:pt idx="109">
                  <c:v>68624.024878635813</c:v>
                </c:pt>
                <c:pt idx="110">
                  <c:v>67769.294316665066</c:v>
                </c:pt>
                <c:pt idx="111">
                  <c:v>66506.230193412019</c:v>
                </c:pt>
                <c:pt idx="112">
                  <c:v>66322.16383377208</c:v>
                </c:pt>
                <c:pt idx="113">
                  <c:v>65225.802264018545</c:v>
                </c:pt>
                <c:pt idx="114">
                  <c:v>61836.154961113978</c:v>
                </c:pt>
                <c:pt idx="115">
                  <c:v>64155.523513230663</c:v>
                </c:pt>
                <c:pt idx="116">
                  <c:v>64298.293218952655</c:v>
                </c:pt>
                <c:pt idx="117">
                  <c:v>64874.217833696508</c:v>
                </c:pt>
                <c:pt idx="118">
                  <c:v>62963.642894716846</c:v>
                </c:pt>
                <c:pt idx="119">
                  <c:v>62591.221336201517</c:v>
                </c:pt>
                <c:pt idx="120">
                  <c:v>63888.550470602306</c:v>
                </c:pt>
                <c:pt idx="121">
                  <c:v>62936.854899590951</c:v>
                </c:pt>
                <c:pt idx="122">
                  <c:v>62307.315315759348</c:v>
                </c:pt>
                <c:pt idx="123">
                  <c:v>62024.654692682197</c:v>
                </c:pt>
                <c:pt idx="124">
                  <c:v>61089.878954394866</c:v>
                </c:pt>
                <c:pt idx="125">
                  <c:v>61113.435216099155</c:v>
                </c:pt>
                <c:pt idx="126">
                  <c:v>59995.383953940058</c:v>
                </c:pt>
                <c:pt idx="127">
                  <c:v>58656.849103299945</c:v>
                </c:pt>
                <c:pt idx="128">
                  <c:v>59298.75847223484</c:v>
                </c:pt>
                <c:pt idx="129">
                  <c:v>59936.366973019183</c:v>
                </c:pt>
                <c:pt idx="130">
                  <c:v>59323.616697410194</c:v>
                </c:pt>
                <c:pt idx="131">
                  <c:v>58880.963522512306</c:v>
                </c:pt>
                <c:pt idx="132">
                  <c:v>57757.140911230221</c:v>
                </c:pt>
                <c:pt idx="133">
                  <c:v>58205.143428310403</c:v>
                </c:pt>
                <c:pt idx="134">
                  <c:v>58016.051566045957</c:v>
                </c:pt>
                <c:pt idx="135">
                  <c:v>53818.279610859834</c:v>
                </c:pt>
                <c:pt idx="136">
                  <c:v>55427.338567775936</c:v>
                </c:pt>
                <c:pt idx="137">
                  <c:v>57136.687703208358</c:v>
                </c:pt>
                <c:pt idx="138">
                  <c:v>58516.716554456187</c:v>
                </c:pt>
                <c:pt idx="139">
                  <c:v>58509.76784540365</c:v>
                </c:pt>
                <c:pt idx="140">
                  <c:v>57263.716138395626</c:v>
                </c:pt>
                <c:pt idx="141">
                  <c:v>58096.874688195028</c:v>
                </c:pt>
                <c:pt idx="142">
                  <c:v>60737.391200123573</c:v>
                </c:pt>
                <c:pt idx="143">
                  <c:v>59131.285300493721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C-47A8-AA7F-FC61EEEB199B}"/>
            </c:ext>
          </c:extLst>
        </c:ser>
        <c:ser>
          <c:idx val="1"/>
          <c:order val="1"/>
          <c:tx>
            <c:strRef>
              <c:f>'Flujo de caja'!$Q$1</c:f>
              <c:strCache>
                <c:ptCount val="1"/>
                <c:pt idx="0">
                  <c:v>Rentabilidad compuesta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'Flujo de caja'!$H$3:$H$4704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'Flujo de caja'!$Q$3:$Q$146</c:f>
              <c:numCache>
                <c:formatCode>0</c:formatCode>
                <c:ptCount val="144"/>
                <c:pt idx="0">
                  <c:v>100000</c:v>
                </c:pt>
                <c:pt idx="1">
                  <c:v>98387.940014811145</c:v>
                </c:pt>
                <c:pt idx="2">
                  <c:v>96678.019964417195</c:v>
                </c:pt>
                <c:pt idx="3">
                  <c:v>94436.30852307954</c:v>
                </c:pt>
                <c:pt idx="4">
                  <c:v>94940.164319776421</c:v>
                </c:pt>
                <c:pt idx="5">
                  <c:v>94839.074963379448</c:v>
                </c:pt>
                <c:pt idx="6">
                  <c:v>95074.8479105562</c:v>
                </c:pt>
                <c:pt idx="7">
                  <c:v>96541.931753042853</c:v>
                </c:pt>
                <c:pt idx="8">
                  <c:v>97554.580475961789</c:v>
                </c:pt>
                <c:pt idx="9">
                  <c:v>98230.816097146555</c:v>
                </c:pt>
                <c:pt idx="10">
                  <c:v>99030.090810039736</c:v>
                </c:pt>
                <c:pt idx="11">
                  <c:v>96397.706349802684</c:v>
                </c:pt>
                <c:pt idx="12">
                  <c:v>95167.4577486989</c:v>
                </c:pt>
                <c:pt idx="13">
                  <c:v>97070.05403314576</c:v>
                </c:pt>
                <c:pt idx="14">
                  <c:v>97521.374515721443</c:v>
                </c:pt>
                <c:pt idx="15">
                  <c:v>96955.947247003278</c:v>
                </c:pt>
                <c:pt idx="16">
                  <c:v>99509.769623669941</c:v>
                </c:pt>
                <c:pt idx="17">
                  <c:v>100986.27263677413</c:v>
                </c:pt>
                <c:pt idx="18">
                  <c:v>100568.26639186183</c:v>
                </c:pt>
                <c:pt idx="19">
                  <c:v>99765.227597615842</c:v>
                </c:pt>
                <c:pt idx="20">
                  <c:v>101303.43891275287</c:v>
                </c:pt>
                <c:pt idx="21">
                  <c:v>103078.0581368791</c:v>
                </c:pt>
                <c:pt idx="22">
                  <c:v>100695.58783317552</c:v>
                </c:pt>
                <c:pt idx="23">
                  <c:v>100019.86534527456</c:v>
                </c:pt>
                <c:pt idx="24">
                  <c:v>99863.515531233148</c:v>
                </c:pt>
                <c:pt idx="25">
                  <c:v>102388.46349241259</c:v>
                </c:pt>
                <c:pt idx="26">
                  <c:v>104481.61438805633</c:v>
                </c:pt>
                <c:pt idx="27">
                  <c:v>100355.81737867881</c:v>
                </c:pt>
                <c:pt idx="28">
                  <c:v>100613.80066155533</c:v>
                </c:pt>
                <c:pt idx="29">
                  <c:v>98967.132851377086</c:v>
                </c:pt>
                <c:pt idx="30">
                  <c:v>98858.574437012387</c:v>
                </c:pt>
                <c:pt idx="31">
                  <c:v>98429.560602819998</c:v>
                </c:pt>
                <c:pt idx="32">
                  <c:v>98911.64791999069</c:v>
                </c:pt>
                <c:pt idx="33">
                  <c:v>98161.717126578034</c:v>
                </c:pt>
                <c:pt idx="34">
                  <c:v>97306.35508884849</c:v>
                </c:pt>
                <c:pt idx="35">
                  <c:v>96206.331653738642</c:v>
                </c:pt>
                <c:pt idx="36">
                  <c:v>96296.690706273221</c:v>
                </c:pt>
                <c:pt idx="37">
                  <c:v>95906.055785135657</c:v>
                </c:pt>
                <c:pt idx="38">
                  <c:v>94726.04478722559</c:v>
                </c:pt>
                <c:pt idx="39">
                  <c:v>94736.756676728386</c:v>
                </c:pt>
                <c:pt idx="40">
                  <c:v>96286.161402131504</c:v>
                </c:pt>
                <c:pt idx="41">
                  <c:v>94304.962669270535</c:v>
                </c:pt>
                <c:pt idx="42">
                  <c:v>92942.72620262453</c:v>
                </c:pt>
                <c:pt idx="43">
                  <c:v>92580.995840943375</c:v>
                </c:pt>
                <c:pt idx="44">
                  <c:v>93096.81898593386</c:v>
                </c:pt>
                <c:pt idx="45">
                  <c:v>93022.387912514037</c:v>
                </c:pt>
                <c:pt idx="46">
                  <c:v>94148.42652497704</c:v>
                </c:pt>
                <c:pt idx="47">
                  <c:v>93054.711204698091</c:v>
                </c:pt>
                <c:pt idx="48">
                  <c:v>95303.562041743848</c:v>
                </c:pt>
                <c:pt idx="49">
                  <c:v>93785.356469868362</c:v>
                </c:pt>
                <c:pt idx="50">
                  <c:v>91655.18881049534</c:v>
                </c:pt>
                <c:pt idx="51">
                  <c:v>87652.804762406624</c:v>
                </c:pt>
                <c:pt idx="52">
                  <c:v>87104.596704082083</c:v>
                </c:pt>
                <c:pt idx="53">
                  <c:v>85327.994109383872</c:v>
                </c:pt>
                <c:pt idx="54">
                  <c:v>84778.638725631798</c:v>
                </c:pt>
                <c:pt idx="55">
                  <c:v>84186.181060142233</c:v>
                </c:pt>
                <c:pt idx="56">
                  <c:v>83963.215242081395</c:v>
                </c:pt>
                <c:pt idx="57">
                  <c:v>84730.498606537556</c:v>
                </c:pt>
                <c:pt idx="58">
                  <c:v>83283.528057266856</c:v>
                </c:pt>
                <c:pt idx="59">
                  <c:v>82964.335042794482</c:v>
                </c:pt>
                <c:pt idx="60">
                  <c:v>83181.466692701622</c:v>
                </c:pt>
                <c:pt idx="61">
                  <c:v>83020.639480722355</c:v>
                </c:pt>
                <c:pt idx="62">
                  <c:v>84185.918054071852</c:v>
                </c:pt>
                <c:pt idx="63">
                  <c:v>84242.194306330814</c:v>
                </c:pt>
                <c:pt idx="64">
                  <c:v>84180.628476072583</c:v>
                </c:pt>
                <c:pt idx="65">
                  <c:v>83560.058626108497</c:v>
                </c:pt>
                <c:pt idx="66">
                  <c:v>80752.017749733961</c:v>
                </c:pt>
                <c:pt idx="67">
                  <c:v>80521.319970967234</c:v>
                </c:pt>
                <c:pt idx="68">
                  <c:v>81144.416072193271</c:v>
                </c:pt>
                <c:pt idx="69">
                  <c:v>81297.854237912281</c:v>
                </c:pt>
                <c:pt idx="70">
                  <c:v>79325.102603719541</c:v>
                </c:pt>
                <c:pt idx="71">
                  <c:v>79379.757596046198</c:v>
                </c:pt>
                <c:pt idx="72">
                  <c:v>79555.346050658278</c:v>
                </c:pt>
                <c:pt idx="73">
                  <c:v>80240.130730791396</c:v>
                </c:pt>
                <c:pt idx="74">
                  <c:v>79354.619335888827</c:v>
                </c:pt>
                <c:pt idx="75">
                  <c:v>78929.317769071466</c:v>
                </c:pt>
                <c:pt idx="76">
                  <c:v>78510.060638831244</c:v>
                </c:pt>
                <c:pt idx="77">
                  <c:v>78393.86833864561</c:v>
                </c:pt>
                <c:pt idx="78">
                  <c:v>79189.226986676222</c:v>
                </c:pt>
                <c:pt idx="79">
                  <c:v>79332.837997084527</c:v>
                </c:pt>
                <c:pt idx="80">
                  <c:v>76876.727663607802</c:v>
                </c:pt>
                <c:pt idx="81">
                  <c:v>75835.826953770709</c:v>
                </c:pt>
                <c:pt idx="82">
                  <c:v>75964.308594714763</c:v>
                </c:pt>
                <c:pt idx="83">
                  <c:v>76406.415494936693</c:v>
                </c:pt>
                <c:pt idx="84">
                  <c:v>75607.118959815474</c:v>
                </c:pt>
                <c:pt idx="85">
                  <c:v>75249.299169344333</c:v>
                </c:pt>
                <c:pt idx="86">
                  <c:v>76376.875248257944</c:v>
                </c:pt>
                <c:pt idx="87">
                  <c:v>76573.430996427036</c:v>
                </c:pt>
                <c:pt idx="88">
                  <c:v>76199.727691073494</c:v>
                </c:pt>
                <c:pt idx="89">
                  <c:v>76855.823815033931</c:v>
                </c:pt>
                <c:pt idx="90">
                  <c:v>76726.468836729153</c:v>
                </c:pt>
                <c:pt idx="91">
                  <c:v>76246.162515628341</c:v>
                </c:pt>
                <c:pt idx="92">
                  <c:v>76195.55693179935</c:v>
                </c:pt>
                <c:pt idx="93">
                  <c:v>76470.343589649579</c:v>
                </c:pt>
                <c:pt idx="94">
                  <c:v>76784.806300174314</c:v>
                </c:pt>
                <c:pt idx="95">
                  <c:v>77588.723594788651</c:v>
                </c:pt>
                <c:pt idx="96">
                  <c:v>77090.380119118883</c:v>
                </c:pt>
                <c:pt idx="97">
                  <c:v>76208.955054367601</c:v>
                </c:pt>
                <c:pt idx="98">
                  <c:v>74931.8483233726</c:v>
                </c:pt>
                <c:pt idx="99">
                  <c:v>74632.257430381782</c:v>
                </c:pt>
                <c:pt idx="100">
                  <c:v>73901.776837219761</c:v>
                </c:pt>
                <c:pt idx="101">
                  <c:v>71723.690185466679</c:v>
                </c:pt>
                <c:pt idx="102">
                  <c:v>72492.35950524181</c:v>
                </c:pt>
                <c:pt idx="103">
                  <c:v>73104.089402089216</c:v>
                </c:pt>
                <c:pt idx="104">
                  <c:v>71491.785833981761</c:v>
                </c:pt>
                <c:pt idx="105">
                  <c:v>71086.184755118025</c:v>
                </c:pt>
                <c:pt idx="106">
                  <c:v>70772.635878497327</c:v>
                </c:pt>
                <c:pt idx="107">
                  <c:v>70984.919606944852</c:v>
                </c:pt>
                <c:pt idx="108">
                  <c:v>72583.756858665496</c:v>
                </c:pt>
                <c:pt idx="109">
                  <c:v>72154.987831520557</c:v>
                </c:pt>
                <c:pt idx="110">
                  <c:v>71534.91569707806</c:v>
                </c:pt>
                <c:pt idx="111">
                  <c:v>70627.968031192606</c:v>
                </c:pt>
                <c:pt idx="112">
                  <c:v>70494.441057713673</c:v>
                </c:pt>
                <c:pt idx="113">
                  <c:v>69718.026430071273</c:v>
                </c:pt>
                <c:pt idx="114">
                  <c:v>67351.197390717673</c:v>
                </c:pt>
                <c:pt idx="115">
                  <c:v>68909.402026158903</c:v>
                </c:pt>
                <c:pt idx="116">
                  <c:v>69004.05290488957</c:v>
                </c:pt>
                <c:pt idx="117">
                  <c:v>69397.744717088295</c:v>
                </c:pt>
                <c:pt idx="118">
                  <c:v>68068.176527672578</c:v>
                </c:pt>
                <c:pt idx="119">
                  <c:v>67810.844144978575</c:v>
                </c:pt>
                <c:pt idx="120">
                  <c:v>68686.711283651894</c:v>
                </c:pt>
                <c:pt idx="121">
                  <c:v>68029.265299846054</c:v>
                </c:pt>
                <c:pt idx="122">
                  <c:v>67597.157658029682</c:v>
                </c:pt>
                <c:pt idx="123">
                  <c:v>67402.198769930023</c:v>
                </c:pt>
                <c:pt idx="124">
                  <c:v>66768.227632608905</c:v>
                </c:pt>
                <c:pt idx="125">
                  <c:v>66779.967918361275</c:v>
                </c:pt>
                <c:pt idx="126">
                  <c:v>66029.347240330797</c:v>
                </c:pt>
                <c:pt idx="127">
                  <c:v>65141.444937537635</c:v>
                </c:pt>
                <c:pt idx="128">
                  <c:v>65555.410949043755</c:v>
                </c:pt>
                <c:pt idx="129">
                  <c:v>65969.264471292845</c:v>
                </c:pt>
                <c:pt idx="130">
                  <c:v>65560.953933164332</c:v>
                </c:pt>
                <c:pt idx="131">
                  <c:v>65266.613603557817</c:v>
                </c:pt>
                <c:pt idx="132">
                  <c:v>64528.964635895354</c:v>
                </c:pt>
                <c:pt idx="133">
                  <c:v>64813.799497466251</c:v>
                </c:pt>
                <c:pt idx="134">
                  <c:v>64687.019532931845</c:v>
                </c:pt>
                <c:pt idx="135">
                  <c:v>61967.368410676616</c:v>
                </c:pt>
                <c:pt idx="136">
                  <c:v>62959.89598666309</c:v>
                </c:pt>
                <c:pt idx="137">
                  <c:v>64031.655611898663</c:v>
                </c:pt>
                <c:pt idx="138">
                  <c:v>64910.99473194794</c:v>
                </c:pt>
                <c:pt idx="139">
                  <c:v>64902.273575148742</c:v>
                </c:pt>
                <c:pt idx="140">
                  <c:v>64089.345960207604</c:v>
                </c:pt>
                <c:pt idx="141">
                  <c:v>64619.002547100812</c:v>
                </c:pt>
                <c:pt idx="142">
                  <c:v>66321.032259506188</c:v>
                </c:pt>
                <c:pt idx="143">
                  <c:v>65251.804771561983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C-47A8-AA7F-FC61EEEB1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419880"/>
        <c:axId val="520422832"/>
      </c:scatterChart>
      <c:valAx>
        <c:axId val="520419880"/>
        <c:scaling>
          <c:orientation val="minMax"/>
          <c:max val="150"/>
          <c:min val="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22832"/>
        <c:crosses val="autoZero"/>
        <c:crossBetween val="midCat"/>
        <c:majorUnit val="10"/>
      </c:valAx>
      <c:valAx>
        <c:axId val="520422832"/>
        <c:scaling>
          <c:orientation val="minMax"/>
          <c:max val="140000"/>
          <c:min val="6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19880"/>
        <c:crosses val="autoZero"/>
        <c:crossBetween val="midCat"/>
        <c:majorUnit val="20000"/>
        <c:minorUnit val="1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predicciones!$A$1</c:f>
              <c:strCache>
                <c:ptCount val="1"/>
                <c:pt idx="0">
                  <c:v>Valor Real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predicciones!$G$2:$G$168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predicciones!$A$2:$A$168</c:f>
              <c:numCache>
                <c:formatCode>General</c:formatCode>
                <c:ptCount val="167"/>
                <c:pt idx="0">
                  <c:v>239.64</c:v>
                </c:pt>
                <c:pt idx="1">
                  <c:v>229.02500000000001</c:v>
                </c:pt>
                <c:pt idx="2">
                  <c:v>222.33</c:v>
                </c:pt>
                <c:pt idx="3">
                  <c:v>224.85</c:v>
                </c:pt>
                <c:pt idx="4">
                  <c:v>227.125</c:v>
                </c:pt>
                <c:pt idx="5">
                  <c:v>228.88</c:v>
                </c:pt>
                <c:pt idx="6">
                  <c:v>235.65</c:v>
                </c:pt>
                <c:pt idx="7">
                  <c:v>238.535</c:v>
                </c:pt>
                <c:pt idx="8">
                  <c:v>239.19499999999999</c:v>
                </c:pt>
                <c:pt idx="9">
                  <c:v>240.43</c:v>
                </c:pt>
                <c:pt idx="10">
                  <c:v>235.81</c:v>
                </c:pt>
                <c:pt idx="11">
                  <c:v>231.9</c:v>
                </c:pt>
                <c:pt idx="12">
                  <c:v>240.12</c:v>
                </c:pt>
                <c:pt idx="13">
                  <c:v>242.55</c:v>
                </c:pt>
                <c:pt idx="14">
                  <c:v>242.08500000000001</c:v>
                </c:pt>
                <c:pt idx="15">
                  <c:v>240.67500000000001</c:v>
                </c:pt>
                <c:pt idx="16">
                  <c:v>248.07499999999999</c:v>
                </c:pt>
                <c:pt idx="17">
                  <c:v>248.23500000000001</c:v>
                </c:pt>
                <c:pt idx="18">
                  <c:v>242.83500000000001</c:v>
                </c:pt>
                <c:pt idx="19">
                  <c:v>247.83500000000001</c:v>
                </c:pt>
                <c:pt idx="20">
                  <c:v>252.72499999999999</c:v>
                </c:pt>
                <c:pt idx="21">
                  <c:v>264.63499999999999</c:v>
                </c:pt>
                <c:pt idx="22">
                  <c:v>258.37</c:v>
                </c:pt>
                <c:pt idx="23">
                  <c:v>256.91000000000003</c:v>
                </c:pt>
                <c:pt idx="24">
                  <c:v>267.60000000000002</c:v>
                </c:pt>
                <c:pt idx="25">
                  <c:v>266.86500000000001</c:v>
                </c:pt>
                <c:pt idx="26">
                  <c:v>263.625</c:v>
                </c:pt>
                <c:pt idx="27">
                  <c:v>263.10000000000002</c:v>
                </c:pt>
                <c:pt idx="28">
                  <c:v>271.34500000000003</c:v>
                </c:pt>
                <c:pt idx="29">
                  <c:v>272.18</c:v>
                </c:pt>
                <c:pt idx="30">
                  <c:v>269.375</c:v>
                </c:pt>
                <c:pt idx="31">
                  <c:v>262.20499999999998</c:v>
                </c:pt>
                <c:pt idx="32">
                  <c:v>258.03500000000003</c:v>
                </c:pt>
                <c:pt idx="33">
                  <c:v>252.75</c:v>
                </c:pt>
                <c:pt idx="34">
                  <c:v>251.66499999999999</c:v>
                </c:pt>
                <c:pt idx="35">
                  <c:v>254.75</c:v>
                </c:pt>
                <c:pt idx="36">
                  <c:v>249.255</c:v>
                </c:pt>
                <c:pt idx="37">
                  <c:v>250.125</c:v>
                </c:pt>
                <c:pt idx="38">
                  <c:v>249.41499999999999</c:v>
                </c:pt>
                <c:pt idx="39">
                  <c:v>246.31</c:v>
                </c:pt>
                <c:pt idx="40">
                  <c:v>251.035</c:v>
                </c:pt>
                <c:pt idx="41">
                  <c:v>255.39</c:v>
                </c:pt>
                <c:pt idx="42">
                  <c:v>256.89999999999998</c:v>
                </c:pt>
                <c:pt idx="43">
                  <c:v>254.23</c:v>
                </c:pt>
                <c:pt idx="44">
                  <c:v>253.77</c:v>
                </c:pt>
                <c:pt idx="45">
                  <c:v>252.30500000000001</c:v>
                </c:pt>
                <c:pt idx="46">
                  <c:v>248.66</c:v>
                </c:pt>
                <c:pt idx="47">
                  <c:v>253.95500000000001</c:v>
                </c:pt>
                <c:pt idx="48">
                  <c:v>260.51499999999999</c:v>
                </c:pt>
                <c:pt idx="49">
                  <c:v>265.10500000000002</c:v>
                </c:pt>
                <c:pt idx="50">
                  <c:v>276.005</c:v>
                </c:pt>
                <c:pt idx="51">
                  <c:v>279.38</c:v>
                </c:pt>
                <c:pt idx="52">
                  <c:v>272.08499999999998</c:v>
                </c:pt>
                <c:pt idx="53">
                  <c:v>273.55500000000001</c:v>
                </c:pt>
                <c:pt idx="54">
                  <c:v>272.20999999999998</c:v>
                </c:pt>
                <c:pt idx="55">
                  <c:v>277.64499999999998</c:v>
                </c:pt>
                <c:pt idx="56">
                  <c:v>280.51</c:v>
                </c:pt>
                <c:pt idx="57">
                  <c:v>276.35000000000002</c:v>
                </c:pt>
                <c:pt idx="58">
                  <c:v>275.31500000000011</c:v>
                </c:pt>
                <c:pt idx="59">
                  <c:v>280.52</c:v>
                </c:pt>
                <c:pt idx="60">
                  <c:v>284.10500000000002</c:v>
                </c:pt>
                <c:pt idx="61">
                  <c:v>288.23500000000001</c:v>
                </c:pt>
                <c:pt idx="62">
                  <c:v>287.17500000000001</c:v>
                </c:pt>
                <c:pt idx="63">
                  <c:v>287.35000000000002</c:v>
                </c:pt>
                <c:pt idx="64">
                  <c:v>284.37</c:v>
                </c:pt>
                <c:pt idx="65">
                  <c:v>291.48500000000001</c:v>
                </c:pt>
                <c:pt idx="66">
                  <c:v>289.33</c:v>
                </c:pt>
                <c:pt idx="67">
                  <c:v>282.91500000000002</c:v>
                </c:pt>
                <c:pt idx="68">
                  <c:v>283.58999999999997</c:v>
                </c:pt>
                <c:pt idx="69">
                  <c:v>289.77499999999998</c:v>
                </c:pt>
                <c:pt idx="70">
                  <c:v>286.17999999999989</c:v>
                </c:pt>
                <c:pt idx="71">
                  <c:v>288.75</c:v>
                </c:pt>
                <c:pt idx="72">
                  <c:v>288.32</c:v>
                </c:pt>
                <c:pt idx="73">
                  <c:v>288.39499999999998</c:v>
                </c:pt>
                <c:pt idx="74">
                  <c:v>286.14499999999998</c:v>
                </c:pt>
                <c:pt idx="75">
                  <c:v>285.77</c:v>
                </c:pt>
                <c:pt idx="76">
                  <c:v>281.81</c:v>
                </c:pt>
                <c:pt idx="77">
                  <c:v>275.84500000000003</c:v>
                </c:pt>
                <c:pt idx="78">
                  <c:v>295.375</c:v>
                </c:pt>
                <c:pt idx="79">
                  <c:v>304.62</c:v>
                </c:pt>
                <c:pt idx="80">
                  <c:v>307.31</c:v>
                </c:pt>
                <c:pt idx="81">
                  <c:v>305.52</c:v>
                </c:pt>
                <c:pt idx="82">
                  <c:v>305.48500000000001</c:v>
                </c:pt>
                <c:pt idx="83">
                  <c:v>304.33</c:v>
                </c:pt>
                <c:pt idx="84">
                  <c:v>305.55500000000001</c:v>
                </c:pt>
                <c:pt idx="85">
                  <c:v>310.64999999999998</c:v>
                </c:pt>
                <c:pt idx="86">
                  <c:v>308.60000000000002</c:v>
                </c:pt>
                <c:pt idx="87">
                  <c:v>306.98500000000001</c:v>
                </c:pt>
                <c:pt idx="88">
                  <c:v>312.25</c:v>
                </c:pt>
                <c:pt idx="89">
                  <c:v>310.01</c:v>
                </c:pt>
                <c:pt idx="90">
                  <c:v>308.99</c:v>
                </c:pt>
                <c:pt idx="91">
                  <c:v>309.5</c:v>
                </c:pt>
                <c:pt idx="92">
                  <c:v>311.75</c:v>
                </c:pt>
                <c:pt idx="93">
                  <c:v>314.07499999999999</c:v>
                </c:pt>
                <c:pt idx="94">
                  <c:v>318.54000000000002</c:v>
                </c:pt>
                <c:pt idx="95">
                  <c:v>318.32499999999999</c:v>
                </c:pt>
                <c:pt idx="96">
                  <c:v>321.22500000000002</c:v>
                </c:pt>
                <c:pt idx="97">
                  <c:v>315.33499999999998</c:v>
                </c:pt>
                <c:pt idx="98">
                  <c:v>313.86</c:v>
                </c:pt>
                <c:pt idx="99">
                  <c:v>325.995</c:v>
                </c:pt>
                <c:pt idx="100">
                  <c:v>332.82499999999999</c:v>
                </c:pt>
                <c:pt idx="101">
                  <c:v>331.26</c:v>
                </c:pt>
                <c:pt idx="102">
                  <c:v>328.755</c:v>
                </c:pt>
                <c:pt idx="103">
                  <c:v>332.65</c:v>
                </c:pt>
                <c:pt idx="104">
                  <c:v>335.41</c:v>
                </c:pt>
                <c:pt idx="105">
                  <c:v>335.98</c:v>
                </c:pt>
                <c:pt idx="106">
                  <c:v>333.64499999999998</c:v>
                </c:pt>
                <c:pt idx="107">
                  <c:v>323.44</c:v>
                </c:pt>
                <c:pt idx="108">
                  <c:v>325.22000000000003</c:v>
                </c:pt>
                <c:pt idx="109">
                  <c:v>326.86</c:v>
                </c:pt>
                <c:pt idx="110">
                  <c:v>331.90499999999997</c:v>
                </c:pt>
                <c:pt idx="111">
                  <c:v>334.32</c:v>
                </c:pt>
                <c:pt idx="112">
                  <c:v>337.3</c:v>
                </c:pt>
                <c:pt idx="113">
                  <c:v>348.14499999999998</c:v>
                </c:pt>
                <c:pt idx="114">
                  <c:v>342.505</c:v>
                </c:pt>
                <c:pt idx="115">
                  <c:v>338.125</c:v>
                </c:pt>
                <c:pt idx="116">
                  <c:v>333.51499999999999</c:v>
                </c:pt>
                <c:pt idx="117">
                  <c:v>339.6</c:v>
                </c:pt>
                <c:pt idx="118">
                  <c:v>335.04500000000002</c:v>
                </c:pt>
                <c:pt idx="119">
                  <c:v>328.8</c:v>
                </c:pt>
                <c:pt idx="120">
                  <c:v>334.61</c:v>
                </c:pt>
                <c:pt idx="121">
                  <c:v>335.9</c:v>
                </c:pt>
                <c:pt idx="122">
                  <c:v>335.05</c:v>
                </c:pt>
                <c:pt idx="123">
                  <c:v>340.24</c:v>
                </c:pt>
                <c:pt idx="124">
                  <c:v>338.31</c:v>
                </c:pt>
                <c:pt idx="125">
                  <c:v>338.2</c:v>
                </c:pt>
                <c:pt idx="126">
                  <c:v>341.26499999999999</c:v>
                </c:pt>
                <c:pt idx="127">
                  <c:v>337.18</c:v>
                </c:pt>
                <c:pt idx="128">
                  <c:v>331.85500000000002</c:v>
                </c:pt>
                <c:pt idx="129">
                  <c:v>332.435</c:v>
                </c:pt>
                <c:pt idx="130">
                  <c:v>337.42500000000001</c:v>
                </c:pt>
                <c:pt idx="131">
                  <c:v>342.685</c:v>
                </c:pt>
                <c:pt idx="132">
                  <c:v>345.35500000000002</c:v>
                </c:pt>
                <c:pt idx="133">
                  <c:v>345.68</c:v>
                </c:pt>
                <c:pt idx="134">
                  <c:v>359.685</c:v>
                </c:pt>
                <c:pt idx="135">
                  <c:v>355.06</c:v>
                </c:pt>
                <c:pt idx="136">
                  <c:v>346.875</c:v>
                </c:pt>
                <c:pt idx="137">
                  <c:v>343.67</c:v>
                </c:pt>
                <c:pt idx="138">
                  <c:v>345.185</c:v>
                </c:pt>
                <c:pt idx="139">
                  <c:v>350.86</c:v>
                </c:pt>
                <c:pt idx="140">
                  <c:v>337.92500000000001</c:v>
                </c:pt>
                <c:pt idx="141">
                  <c:v>330.67500000000001</c:v>
                </c:pt>
                <c:pt idx="142">
                  <c:v>338.34</c:v>
                </c:pt>
                <c:pt idx="143">
                  <c:v>335.95499999999998</c:v>
                </c:pt>
                <c:pt idx="144">
                  <c:v>336.39499999999998</c:v>
                </c:pt>
                <c:pt idx="145">
                  <c:v>327.52999999999997</c:v>
                </c:pt>
                <c:pt idx="146">
                  <c:v>326.69499999999999</c:v>
                </c:pt>
                <c:pt idx="147">
                  <c:v>327.815</c:v>
                </c:pt>
                <c:pt idx="148">
                  <c:v>330.13</c:v>
                </c:pt>
                <c:pt idx="149">
                  <c:v>326.125</c:v>
                </c:pt>
                <c:pt idx="150">
                  <c:v>322.28500000000003</c:v>
                </c:pt>
                <c:pt idx="151">
                  <c:v>322.97000000000003</c:v>
                </c:pt>
                <c:pt idx="152">
                  <c:v>321.09500000000003</c:v>
                </c:pt>
                <c:pt idx="153">
                  <c:v>324.01</c:v>
                </c:pt>
                <c:pt idx="154">
                  <c:v>321.92</c:v>
                </c:pt>
                <c:pt idx="155">
                  <c:v>320.39</c:v>
                </c:pt>
                <c:pt idx="156">
                  <c:v>316.83</c:v>
                </c:pt>
                <c:pt idx="157">
                  <c:v>316.62</c:v>
                </c:pt>
                <c:pt idx="158">
                  <c:v>321.89499999999998</c:v>
                </c:pt>
                <c:pt idx="159">
                  <c:v>322.42500000000001</c:v>
                </c:pt>
                <c:pt idx="160">
                  <c:v>327.02999999999997</c:v>
                </c:pt>
                <c:pt idx="161">
                  <c:v>319.95</c:v>
                </c:pt>
                <c:pt idx="162">
                  <c:v>322.95999999999998</c:v>
                </c:pt>
                <c:pt idx="163">
                  <c:v>323.83</c:v>
                </c:pt>
                <c:pt idx="164">
                  <c:v>328.36</c:v>
                </c:pt>
                <c:pt idx="165">
                  <c:v>328.8</c:v>
                </c:pt>
                <c:pt idx="166">
                  <c:v>327.88499999999999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65A-4901-87BA-567C75B357C0}"/>
            </c:ext>
          </c:extLst>
        </c:ser>
        <c:ser>
          <c:idx val="1"/>
          <c:order val="1"/>
          <c:tx>
            <c:strRef>
              <c:f>predicciones!$B$1</c:f>
              <c:strCache>
                <c:ptCount val="1"/>
                <c:pt idx="0">
                  <c:v>Regresion Lineal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predicciones!$G$2:$G$168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predicciones!$B$2:$B$168</c:f>
              <c:numCache>
                <c:formatCode>General</c:formatCode>
                <c:ptCount val="167"/>
                <c:pt idx="0">
                  <c:v>243.20765326974151</c:v>
                </c:pt>
                <c:pt idx="1">
                  <c:v>232.7791777282807</c:v>
                </c:pt>
                <c:pt idx="2">
                  <c:v>227.62562923509481</c:v>
                </c:pt>
                <c:pt idx="3">
                  <c:v>223.69674884955671</c:v>
                </c:pt>
                <c:pt idx="4">
                  <c:v>227.04760857430529</c:v>
                </c:pt>
                <c:pt idx="5">
                  <c:v>227.9962337550981</c:v>
                </c:pt>
                <c:pt idx="6">
                  <c:v>231.82924937615181</c:v>
                </c:pt>
                <c:pt idx="7">
                  <c:v>235.66255644454529</c:v>
                </c:pt>
                <c:pt idx="8">
                  <c:v>237.2958738448844</c:v>
                </c:pt>
                <c:pt idx="9">
                  <c:v>238.5173472755489</c:v>
                </c:pt>
                <c:pt idx="10">
                  <c:v>242.0841832423221</c:v>
                </c:pt>
                <c:pt idx="11">
                  <c:v>235.25474834392639</c:v>
                </c:pt>
                <c:pt idx="12">
                  <c:v>235.69028480232001</c:v>
                </c:pt>
                <c:pt idx="13">
                  <c:v>241.36503043437719</c:v>
                </c:pt>
                <c:pt idx="14">
                  <c:v>243.18034621271491</c:v>
                </c:pt>
                <c:pt idx="15">
                  <c:v>235.08172826088551</c:v>
                </c:pt>
                <c:pt idx="16">
                  <c:v>244.5303169244736</c:v>
                </c:pt>
                <c:pt idx="17">
                  <c:v>249.35434716202329</c:v>
                </c:pt>
                <c:pt idx="18">
                  <c:v>245.12687420109691</c:v>
                </c:pt>
                <c:pt idx="19">
                  <c:v>244.47790424166681</c:v>
                </c:pt>
                <c:pt idx="20">
                  <c:v>248.44986209229401</c:v>
                </c:pt>
                <c:pt idx="21">
                  <c:v>259.06442841722651</c:v>
                </c:pt>
                <c:pt idx="22">
                  <c:v>259.75553755818629</c:v>
                </c:pt>
                <c:pt idx="23">
                  <c:v>257.25528524776081</c:v>
                </c:pt>
                <c:pt idx="24">
                  <c:v>260.62768257931299</c:v>
                </c:pt>
                <c:pt idx="25">
                  <c:v>272.73765410530751</c:v>
                </c:pt>
                <c:pt idx="26">
                  <c:v>273.93662953430157</c:v>
                </c:pt>
                <c:pt idx="27">
                  <c:v>262.51639541121631</c:v>
                </c:pt>
                <c:pt idx="28">
                  <c:v>267.41225427174948</c:v>
                </c:pt>
                <c:pt idx="29">
                  <c:v>272.26696281392958</c:v>
                </c:pt>
                <c:pt idx="30">
                  <c:v>268.63552554272758</c:v>
                </c:pt>
                <c:pt idx="31">
                  <c:v>263.94440225934568</c:v>
                </c:pt>
                <c:pt idx="32">
                  <c:v>259.63363043440307</c:v>
                </c:pt>
                <c:pt idx="33">
                  <c:v>254.77062456569189</c:v>
                </c:pt>
                <c:pt idx="34">
                  <c:v>254.14636245997721</c:v>
                </c:pt>
                <c:pt idx="35">
                  <c:v>255.17560024234041</c:v>
                </c:pt>
                <c:pt idx="36">
                  <c:v>249.82682159095529</c:v>
                </c:pt>
                <c:pt idx="37">
                  <c:v>252.72282260023329</c:v>
                </c:pt>
                <c:pt idx="38">
                  <c:v>249.11955409309559</c:v>
                </c:pt>
                <c:pt idx="39">
                  <c:v>250.578878897301</c:v>
                </c:pt>
                <c:pt idx="40">
                  <c:v>246.42307821295421</c:v>
                </c:pt>
                <c:pt idx="41">
                  <c:v>252.2290055427118</c:v>
                </c:pt>
                <c:pt idx="42">
                  <c:v>256.09724589502252</c:v>
                </c:pt>
                <c:pt idx="43">
                  <c:v>255.76402173237099</c:v>
                </c:pt>
                <c:pt idx="44">
                  <c:v>253.89752353911339</c:v>
                </c:pt>
                <c:pt idx="45">
                  <c:v>255.72401178961431</c:v>
                </c:pt>
                <c:pt idx="46">
                  <c:v>251.18469777335</c:v>
                </c:pt>
                <c:pt idx="47">
                  <c:v>247.84600887500309</c:v>
                </c:pt>
                <c:pt idx="48">
                  <c:v>256.83801625392368</c:v>
                </c:pt>
                <c:pt idx="49">
                  <c:v>259.53355082431727</c:v>
                </c:pt>
                <c:pt idx="50">
                  <c:v>264.97751678218242</c:v>
                </c:pt>
                <c:pt idx="51">
                  <c:v>277.68267506606048</c:v>
                </c:pt>
                <c:pt idx="52">
                  <c:v>277.44399922234248</c:v>
                </c:pt>
                <c:pt idx="53">
                  <c:v>275.32274229751738</c:v>
                </c:pt>
                <c:pt idx="54">
                  <c:v>274.5530731041049</c:v>
                </c:pt>
                <c:pt idx="55">
                  <c:v>278.49163560931788</c:v>
                </c:pt>
                <c:pt idx="56">
                  <c:v>278.0844653599363</c:v>
                </c:pt>
                <c:pt idx="57">
                  <c:v>281.02219579323111</c:v>
                </c:pt>
                <c:pt idx="58">
                  <c:v>276.49120798784958</c:v>
                </c:pt>
                <c:pt idx="59">
                  <c:v>279.42125489417822</c:v>
                </c:pt>
                <c:pt idx="60">
                  <c:v>284.16344091669538</c:v>
                </c:pt>
                <c:pt idx="61">
                  <c:v>284.1372038587657</c:v>
                </c:pt>
                <c:pt idx="62">
                  <c:v>286.60248422891988</c:v>
                </c:pt>
                <c:pt idx="63">
                  <c:v>287.28094833610328</c:v>
                </c:pt>
                <c:pt idx="64">
                  <c:v>286.24043161528391</c:v>
                </c:pt>
                <c:pt idx="65">
                  <c:v>282.44952739443983</c:v>
                </c:pt>
                <c:pt idx="66">
                  <c:v>288.67462351276089</c:v>
                </c:pt>
                <c:pt idx="67">
                  <c:v>285.59603480787251</c:v>
                </c:pt>
                <c:pt idx="68">
                  <c:v>284.68946421560702</c:v>
                </c:pt>
                <c:pt idx="69">
                  <c:v>283.2254275400789</c:v>
                </c:pt>
                <c:pt idx="70">
                  <c:v>286.52424321202278</c:v>
                </c:pt>
                <c:pt idx="71">
                  <c:v>289.32466308452717</c:v>
                </c:pt>
                <c:pt idx="72">
                  <c:v>291.16329098220848</c:v>
                </c:pt>
                <c:pt idx="73">
                  <c:v>285.54403615526059</c:v>
                </c:pt>
                <c:pt idx="74">
                  <c:v>284.63964009329948</c:v>
                </c:pt>
                <c:pt idx="75">
                  <c:v>284.3298266897425</c:v>
                </c:pt>
                <c:pt idx="76">
                  <c:v>281.38944149850272</c:v>
                </c:pt>
                <c:pt idx="77">
                  <c:v>278.76534539487898</c:v>
                </c:pt>
                <c:pt idx="78">
                  <c:v>295.47237428197218</c:v>
                </c:pt>
                <c:pt idx="79">
                  <c:v>295.66456059262202</c:v>
                </c:pt>
                <c:pt idx="80">
                  <c:v>303.07460395789928</c:v>
                </c:pt>
                <c:pt idx="81">
                  <c:v>306.35062176406961</c:v>
                </c:pt>
                <c:pt idx="82">
                  <c:v>307.87927859662369</c:v>
                </c:pt>
                <c:pt idx="83">
                  <c:v>307.18232762222692</c:v>
                </c:pt>
                <c:pt idx="84">
                  <c:v>306.60030215109248</c:v>
                </c:pt>
                <c:pt idx="85">
                  <c:v>305.55009556736911</c:v>
                </c:pt>
                <c:pt idx="86">
                  <c:v>309.74374223223981</c:v>
                </c:pt>
                <c:pt idx="87">
                  <c:v>307.95147575120791</c:v>
                </c:pt>
                <c:pt idx="88">
                  <c:v>308.9578810778512</c:v>
                </c:pt>
                <c:pt idx="89">
                  <c:v>310.08705179744999</c:v>
                </c:pt>
                <c:pt idx="90">
                  <c:v>310.50664848943802</c:v>
                </c:pt>
                <c:pt idx="91">
                  <c:v>309.64563672397031</c:v>
                </c:pt>
                <c:pt idx="92">
                  <c:v>310.2135104099716</c:v>
                </c:pt>
                <c:pt idx="93">
                  <c:v>312.46192709247589</c:v>
                </c:pt>
                <c:pt idx="94">
                  <c:v>314.61663333749738</c:v>
                </c:pt>
                <c:pt idx="95">
                  <c:v>316.87139674562371</c:v>
                </c:pt>
                <c:pt idx="96">
                  <c:v>318.18223157264691</c:v>
                </c:pt>
                <c:pt idx="97">
                  <c:v>320.13788150752708</c:v>
                </c:pt>
                <c:pt idx="98">
                  <c:v>314.50488365979982</c:v>
                </c:pt>
                <c:pt idx="99">
                  <c:v>323.11094220998871</c:v>
                </c:pt>
                <c:pt idx="100">
                  <c:v>323.45648341163218</c:v>
                </c:pt>
                <c:pt idx="101">
                  <c:v>334.64257346755772</c:v>
                </c:pt>
                <c:pt idx="102">
                  <c:v>331.57275696594968</c:v>
                </c:pt>
                <c:pt idx="103">
                  <c:v>325.53109568076519</c:v>
                </c:pt>
                <c:pt idx="104">
                  <c:v>333.06430673204108</c:v>
                </c:pt>
                <c:pt idx="105">
                  <c:v>334.216023892838</c:v>
                </c:pt>
                <c:pt idx="106">
                  <c:v>334.52586787246292</c:v>
                </c:pt>
                <c:pt idx="107">
                  <c:v>331.00136298092838</c:v>
                </c:pt>
                <c:pt idx="108">
                  <c:v>323.63125750174652</c:v>
                </c:pt>
                <c:pt idx="109">
                  <c:v>324.11264896101909</c:v>
                </c:pt>
                <c:pt idx="110">
                  <c:v>327.48188436846789</c:v>
                </c:pt>
                <c:pt idx="111">
                  <c:v>333.11579254031858</c:v>
                </c:pt>
                <c:pt idx="112">
                  <c:v>333.61006189554621</c:v>
                </c:pt>
                <c:pt idx="113">
                  <c:v>336.50429237877142</c:v>
                </c:pt>
                <c:pt idx="114">
                  <c:v>349.89979122181808</c:v>
                </c:pt>
                <c:pt idx="115">
                  <c:v>338.58516257155782</c:v>
                </c:pt>
                <c:pt idx="116">
                  <c:v>335.68107697397397</c:v>
                </c:pt>
                <c:pt idx="117">
                  <c:v>333.65462647790628</c:v>
                </c:pt>
                <c:pt idx="118">
                  <c:v>333.73460030306768</c:v>
                </c:pt>
                <c:pt idx="119">
                  <c:v>332.88502665758841</c:v>
                </c:pt>
                <c:pt idx="120">
                  <c:v>331.10195497881739</c:v>
                </c:pt>
                <c:pt idx="121">
                  <c:v>333.31663888178548</c:v>
                </c:pt>
                <c:pt idx="122">
                  <c:v>333.96499275963407</c:v>
                </c:pt>
                <c:pt idx="123">
                  <c:v>336.84457762801111</c:v>
                </c:pt>
                <c:pt idx="124">
                  <c:v>338.10325393952081</c:v>
                </c:pt>
                <c:pt idx="125">
                  <c:v>334.27558208385159</c:v>
                </c:pt>
                <c:pt idx="126">
                  <c:v>336.56229538387169</c:v>
                </c:pt>
                <c:pt idx="127">
                  <c:v>339.14826576121771</c:v>
                </c:pt>
                <c:pt idx="128">
                  <c:v>333.32841912686962</c:v>
                </c:pt>
                <c:pt idx="129">
                  <c:v>330.24350508822067</c:v>
                </c:pt>
                <c:pt idx="130">
                  <c:v>335.75662929469109</c:v>
                </c:pt>
                <c:pt idx="131">
                  <c:v>338.8235310325594</c:v>
                </c:pt>
                <c:pt idx="132">
                  <c:v>346.63613515301671</c:v>
                </c:pt>
                <c:pt idx="133">
                  <c:v>345.07605688916988</c:v>
                </c:pt>
                <c:pt idx="134">
                  <c:v>345.37776399275037</c:v>
                </c:pt>
                <c:pt idx="135">
                  <c:v>360.16479840239907</c:v>
                </c:pt>
                <c:pt idx="136">
                  <c:v>352.87356991270337</c:v>
                </c:pt>
                <c:pt idx="137">
                  <c:v>348.62146764594979</c:v>
                </c:pt>
                <c:pt idx="138">
                  <c:v>345.28805912209901</c:v>
                </c:pt>
                <c:pt idx="139">
                  <c:v>346.57321915492508</c:v>
                </c:pt>
                <c:pt idx="140">
                  <c:v>341.01947829813111</c:v>
                </c:pt>
                <c:pt idx="141">
                  <c:v>339.63758570960522</c:v>
                </c:pt>
                <c:pt idx="142">
                  <c:v>333.27754021822221</c:v>
                </c:pt>
                <c:pt idx="143">
                  <c:v>336.33366896175153</c:v>
                </c:pt>
                <c:pt idx="144">
                  <c:v>334.36710439976503</c:v>
                </c:pt>
                <c:pt idx="145">
                  <c:v>332.61316667289071</c:v>
                </c:pt>
                <c:pt idx="146">
                  <c:v>325.42917960641711</c:v>
                </c:pt>
                <c:pt idx="147">
                  <c:v>331.06695823260918</c:v>
                </c:pt>
                <c:pt idx="148">
                  <c:v>328.34367070100461</c:v>
                </c:pt>
                <c:pt idx="149">
                  <c:v>325.88149914246958</c:v>
                </c:pt>
                <c:pt idx="150">
                  <c:v>325.40501117710591</c:v>
                </c:pt>
                <c:pt idx="151">
                  <c:v>324.99791835363561</c:v>
                </c:pt>
                <c:pt idx="152">
                  <c:v>319.46807829029461</c:v>
                </c:pt>
                <c:pt idx="153">
                  <c:v>320.32432617015132</c:v>
                </c:pt>
                <c:pt idx="154">
                  <c:v>321.83550260194983</c:v>
                </c:pt>
                <c:pt idx="155">
                  <c:v>319.78258168044113</c:v>
                </c:pt>
                <c:pt idx="156">
                  <c:v>319.78897051615269</c:v>
                </c:pt>
                <c:pt idx="157">
                  <c:v>313.47680225955509</c:v>
                </c:pt>
                <c:pt idx="158">
                  <c:v>316.80246432430152</c:v>
                </c:pt>
                <c:pt idx="159">
                  <c:v>324.30648161854759</c:v>
                </c:pt>
                <c:pt idx="160">
                  <c:v>323.30487217683668</c:v>
                </c:pt>
                <c:pt idx="161">
                  <c:v>331.89942042788351</c:v>
                </c:pt>
                <c:pt idx="162">
                  <c:v>321.55076088759103</c:v>
                </c:pt>
                <c:pt idx="163">
                  <c:v>325.40889326151148</c:v>
                </c:pt>
                <c:pt idx="164">
                  <c:v>322.14948597477962</c:v>
                </c:pt>
                <c:pt idx="165">
                  <c:v>328.3010980578336</c:v>
                </c:pt>
                <c:pt idx="166">
                  <c:v>329.09898666186803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65A-4901-87BA-567C75B357C0}"/>
            </c:ext>
          </c:extLst>
        </c:ser>
        <c:ser>
          <c:idx val="3"/>
          <c:order val="2"/>
          <c:tx>
            <c:strRef>
              <c:f>predicciones!$D$1</c:f>
              <c:strCache>
                <c:ptCount val="1"/>
                <c:pt idx="0">
                  <c:v>SVR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predicciones!$G$2:$G$168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predicciones!$D$2:$D$168</c:f>
              <c:numCache>
                <c:formatCode>General</c:formatCode>
                <c:ptCount val="167"/>
                <c:pt idx="0">
                  <c:v>241.57391961259989</c:v>
                </c:pt>
                <c:pt idx="1">
                  <c:v>236.17930765466571</c:v>
                </c:pt>
                <c:pt idx="2">
                  <c:v>232.75017380301639</c:v>
                </c:pt>
                <c:pt idx="3">
                  <c:v>230.56422083798151</c:v>
                </c:pt>
                <c:pt idx="4">
                  <c:v>229.87673796421581</c:v>
                </c:pt>
                <c:pt idx="5">
                  <c:v>229.79958433500539</c:v>
                </c:pt>
                <c:pt idx="6">
                  <c:v>231.75080569084031</c:v>
                </c:pt>
                <c:pt idx="7">
                  <c:v>234.55873862710479</c:v>
                </c:pt>
                <c:pt idx="8">
                  <c:v>235.8482882786482</c:v>
                </c:pt>
                <c:pt idx="9">
                  <c:v>237.25849333321679</c:v>
                </c:pt>
                <c:pt idx="10">
                  <c:v>240.3333127860229</c:v>
                </c:pt>
                <c:pt idx="11">
                  <c:v>234.54381140234091</c:v>
                </c:pt>
                <c:pt idx="12">
                  <c:v>235.05781116150089</c:v>
                </c:pt>
                <c:pt idx="13">
                  <c:v>239.85188181610789</c:v>
                </c:pt>
                <c:pt idx="14">
                  <c:v>241.35153786070961</c:v>
                </c:pt>
                <c:pt idx="15">
                  <c:v>235.1790072814315</c:v>
                </c:pt>
                <c:pt idx="16">
                  <c:v>244.05629814071551</c:v>
                </c:pt>
                <c:pt idx="17">
                  <c:v>248.57932598248041</c:v>
                </c:pt>
                <c:pt idx="18">
                  <c:v>244.6696305953935</c:v>
                </c:pt>
                <c:pt idx="19">
                  <c:v>244.09829440233739</c:v>
                </c:pt>
                <c:pt idx="20">
                  <c:v>247.24142309397951</c:v>
                </c:pt>
                <c:pt idx="21">
                  <c:v>255.7232087907237</c:v>
                </c:pt>
                <c:pt idx="22">
                  <c:v>256.47418737583808</c:v>
                </c:pt>
                <c:pt idx="23">
                  <c:v>254.87396836220881</c:v>
                </c:pt>
                <c:pt idx="24">
                  <c:v>257.77459047909201</c:v>
                </c:pt>
                <c:pt idx="25">
                  <c:v>266.52308749111131</c:v>
                </c:pt>
                <c:pt idx="26">
                  <c:v>267.9160106296265</c:v>
                </c:pt>
                <c:pt idx="27">
                  <c:v>260.83204510283622</c:v>
                </c:pt>
                <c:pt idx="28">
                  <c:v>264.77038883341243</c:v>
                </c:pt>
                <c:pt idx="29">
                  <c:v>268.88593075926963</c:v>
                </c:pt>
                <c:pt idx="30">
                  <c:v>266.82860081147652</c:v>
                </c:pt>
                <c:pt idx="31">
                  <c:v>263.68131191593068</c:v>
                </c:pt>
                <c:pt idx="32">
                  <c:v>260.85713487128919</c:v>
                </c:pt>
                <c:pt idx="33">
                  <c:v>256.95150830023027</c:v>
                </c:pt>
                <c:pt idx="34">
                  <c:v>255.92145317797201</c:v>
                </c:pt>
                <c:pt idx="35">
                  <c:v>256.01230929217428</c:v>
                </c:pt>
                <c:pt idx="36">
                  <c:v>251.21993908109661</c:v>
                </c:pt>
                <c:pt idx="37">
                  <c:v>253.33193717968311</c:v>
                </c:pt>
                <c:pt idx="38">
                  <c:v>249.69280890326741</c:v>
                </c:pt>
                <c:pt idx="39">
                  <c:v>250.49592434214071</c:v>
                </c:pt>
                <c:pt idx="40">
                  <c:v>246.9974040297912</c:v>
                </c:pt>
                <c:pt idx="41">
                  <c:v>251.6011360727521</c:v>
                </c:pt>
                <c:pt idx="42">
                  <c:v>254.90905741921469</c:v>
                </c:pt>
                <c:pt idx="43">
                  <c:v>254.30410466799231</c:v>
                </c:pt>
                <c:pt idx="44">
                  <c:v>252.80771651149021</c:v>
                </c:pt>
                <c:pt idx="45">
                  <c:v>254.94035994092201</c:v>
                </c:pt>
                <c:pt idx="46">
                  <c:v>250.90377129678609</c:v>
                </c:pt>
                <c:pt idx="47">
                  <c:v>247.85541858889599</c:v>
                </c:pt>
                <c:pt idx="48">
                  <c:v>256.92904377253348</c:v>
                </c:pt>
                <c:pt idx="49">
                  <c:v>259.54081151231588</c:v>
                </c:pt>
                <c:pt idx="50">
                  <c:v>264.75492657069401</c:v>
                </c:pt>
                <c:pt idx="51">
                  <c:v>274.95615391838209</c:v>
                </c:pt>
                <c:pt idx="52">
                  <c:v>274.70382899539652</c:v>
                </c:pt>
                <c:pt idx="53">
                  <c:v>273.62039658999771</c:v>
                </c:pt>
                <c:pt idx="54">
                  <c:v>273.44154930621448</c:v>
                </c:pt>
                <c:pt idx="55">
                  <c:v>276.6415469580794</c:v>
                </c:pt>
                <c:pt idx="56">
                  <c:v>276.72730226267339</c:v>
                </c:pt>
                <c:pt idx="57">
                  <c:v>279.3187500719435</c:v>
                </c:pt>
                <c:pt idx="58">
                  <c:v>276.46604249654428</c:v>
                </c:pt>
                <c:pt idx="59">
                  <c:v>279.06530339962558</c:v>
                </c:pt>
                <c:pt idx="60">
                  <c:v>283.03532522016911</c:v>
                </c:pt>
                <c:pt idx="61">
                  <c:v>283.60712366598892</c:v>
                </c:pt>
                <c:pt idx="62">
                  <c:v>285.48846375808921</c:v>
                </c:pt>
                <c:pt idx="63">
                  <c:v>286.24287748765869</c:v>
                </c:pt>
                <c:pt idx="64">
                  <c:v>285.67358396864933</c:v>
                </c:pt>
                <c:pt idx="65">
                  <c:v>281.71295033410848</c:v>
                </c:pt>
                <c:pt idx="66">
                  <c:v>287.36590491236262</c:v>
                </c:pt>
                <c:pt idx="67">
                  <c:v>285.42757516364321</c:v>
                </c:pt>
                <c:pt idx="68">
                  <c:v>285.09871021558638</c:v>
                </c:pt>
                <c:pt idx="69">
                  <c:v>283.60817852841569</c:v>
                </c:pt>
                <c:pt idx="70">
                  <c:v>286.75354457246948</c:v>
                </c:pt>
                <c:pt idx="71">
                  <c:v>288.96078241555779</c:v>
                </c:pt>
                <c:pt idx="72">
                  <c:v>291.28282311027112</c:v>
                </c:pt>
                <c:pt idx="73">
                  <c:v>286.25258736380329</c:v>
                </c:pt>
                <c:pt idx="74">
                  <c:v>284.98975833468847</c:v>
                </c:pt>
                <c:pt idx="75">
                  <c:v>284.84980916147191</c:v>
                </c:pt>
                <c:pt idx="76">
                  <c:v>281.69431038549101</c:v>
                </c:pt>
                <c:pt idx="77">
                  <c:v>279.06578501879568</c:v>
                </c:pt>
                <c:pt idx="78">
                  <c:v>294.50034957284089</c:v>
                </c:pt>
                <c:pt idx="79">
                  <c:v>294.74701887495979</c:v>
                </c:pt>
                <c:pt idx="80">
                  <c:v>300.03767419308298</c:v>
                </c:pt>
                <c:pt idx="81">
                  <c:v>302.55321921863373</c:v>
                </c:pt>
                <c:pt idx="82">
                  <c:v>303.80717071249097</c:v>
                </c:pt>
                <c:pt idx="83">
                  <c:v>303.7278447280155</c:v>
                </c:pt>
                <c:pt idx="84">
                  <c:v>303.57768810312632</c:v>
                </c:pt>
                <c:pt idx="85">
                  <c:v>303.02051256884812</c:v>
                </c:pt>
                <c:pt idx="86">
                  <c:v>306.47339236324422</c:v>
                </c:pt>
                <c:pt idx="87">
                  <c:v>306.56334905017411</c:v>
                </c:pt>
                <c:pt idx="88">
                  <c:v>307.99275871155578</c:v>
                </c:pt>
                <c:pt idx="89">
                  <c:v>309.4405692533374</c:v>
                </c:pt>
                <c:pt idx="90">
                  <c:v>310.74325406609211</c:v>
                </c:pt>
                <c:pt idx="91">
                  <c:v>310.88458428623198</c:v>
                </c:pt>
                <c:pt idx="92">
                  <c:v>310.95898282479811</c:v>
                </c:pt>
                <c:pt idx="93">
                  <c:v>313.27511143947692</c:v>
                </c:pt>
                <c:pt idx="94">
                  <c:v>314.78443611277868</c:v>
                </c:pt>
                <c:pt idx="95">
                  <c:v>316.89072845702759</c:v>
                </c:pt>
                <c:pt idx="96">
                  <c:v>318.5145937097642</c:v>
                </c:pt>
                <c:pt idx="97">
                  <c:v>321.07169930660069</c:v>
                </c:pt>
                <c:pt idx="98">
                  <c:v>316.11172317278078</c:v>
                </c:pt>
                <c:pt idx="99">
                  <c:v>324.17756676826178</c:v>
                </c:pt>
                <c:pt idx="100">
                  <c:v>324.89195107543162</c:v>
                </c:pt>
                <c:pt idx="101">
                  <c:v>331.55177488765719</c:v>
                </c:pt>
                <c:pt idx="102">
                  <c:v>331.14062888152739</c:v>
                </c:pt>
                <c:pt idx="103">
                  <c:v>327.82254100087448</c:v>
                </c:pt>
                <c:pt idx="104">
                  <c:v>332.97809105082518</c:v>
                </c:pt>
                <c:pt idx="105">
                  <c:v>334.15087571883362</c:v>
                </c:pt>
                <c:pt idx="106">
                  <c:v>334.68944299144192</c:v>
                </c:pt>
                <c:pt idx="107">
                  <c:v>333.20976931893949</c:v>
                </c:pt>
                <c:pt idx="108">
                  <c:v>328.3270496403191</c:v>
                </c:pt>
                <c:pt idx="109">
                  <c:v>329.19421352304602</c:v>
                </c:pt>
                <c:pt idx="110">
                  <c:v>332.18598928600062</c:v>
                </c:pt>
                <c:pt idx="111">
                  <c:v>336.08888243614041</c:v>
                </c:pt>
                <c:pt idx="112">
                  <c:v>337.49347913324789</c:v>
                </c:pt>
                <c:pt idx="113">
                  <c:v>338.3151405151466</c:v>
                </c:pt>
                <c:pt idx="114">
                  <c:v>341.97275880097641</c:v>
                </c:pt>
                <c:pt idx="115">
                  <c:v>335.63878239817871</c:v>
                </c:pt>
                <c:pt idx="116">
                  <c:v>335.18238224805179</c:v>
                </c:pt>
                <c:pt idx="117">
                  <c:v>335.97920456983348</c:v>
                </c:pt>
                <c:pt idx="118">
                  <c:v>334.74897808097182</c:v>
                </c:pt>
                <c:pt idx="119">
                  <c:v>334.34736422178281</c:v>
                </c:pt>
                <c:pt idx="120">
                  <c:v>333.43304508010539</c:v>
                </c:pt>
                <c:pt idx="121">
                  <c:v>336.46356998884193</c:v>
                </c:pt>
                <c:pt idx="122">
                  <c:v>338.59411890103598</c:v>
                </c:pt>
                <c:pt idx="123">
                  <c:v>339.78411072437927</c:v>
                </c:pt>
                <c:pt idx="124">
                  <c:v>339.79609776521568</c:v>
                </c:pt>
                <c:pt idx="125">
                  <c:v>335.92988800452252</c:v>
                </c:pt>
                <c:pt idx="126">
                  <c:v>337.36880584108371</c:v>
                </c:pt>
                <c:pt idx="127">
                  <c:v>337.87402063920803</c:v>
                </c:pt>
                <c:pt idx="128">
                  <c:v>325.13980946825768</c:v>
                </c:pt>
                <c:pt idx="129">
                  <c:v>328.28772248701551</c:v>
                </c:pt>
                <c:pt idx="130">
                  <c:v>335.81273510813702</c:v>
                </c:pt>
                <c:pt idx="131">
                  <c:v>338.3950078060069</c:v>
                </c:pt>
                <c:pt idx="132">
                  <c:v>340.69411497959049</c:v>
                </c:pt>
                <c:pt idx="133">
                  <c:v>339.6308841119282</c:v>
                </c:pt>
                <c:pt idx="134">
                  <c:v>338.94774820235301</c:v>
                </c:pt>
                <c:pt idx="135">
                  <c:v>337.24802372613982</c:v>
                </c:pt>
                <c:pt idx="136">
                  <c:v>336.55406626843433</c:v>
                </c:pt>
                <c:pt idx="137">
                  <c:v>334.82512563032662</c:v>
                </c:pt>
                <c:pt idx="138">
                  <c:v>333.3174256315466</c:v>
                </c:pt>
                <c:pt idx="139">
                  <c:v>333.6393908259522</c:v>
                </c:pt>
                <c:pt idx="140">
                  <c:v>331.52009296081189</c:v>
                </c:pt>
                <c:pt idx="141">
                  <c:v>330.60778328806907</c:v>
                </c:pt>
                <c:pt idx="142">
                  <c:v>328.68238525075577</c:v>
                </c:pt>
                <c:pt idx="143">
                  <c:v>330.71010478379219</c:v>
                </c:pt>
                <c:pt idx="144">
                  <c:v>328.66816349029159</c:v>
                </c:pt>
                <c:pt idx="145">
                  <c:v>326.73020473137763</c:v>
                </c:pt>
                <c:pt idx="146">
                  <c:v>318.89800788650882</c:v>
                </c:pt>
                <c:pt idx="147">
                  <c:v>323.62977644220211</c:v>
                </c:pt>
                <c:pt idx="148">
                  <c:v>321.48812377315261</c:v>
                </c:pt>
                <c:pt idx="149">
                  <c:v>311.1952503283851</c:v>
                </c:pt>
                <c:pt idx="150">
                  <c:v>312.2265435985272</c:v>
                </c:pt>
                <c:pt idx="151">
                  <c:v>312.80673434958879</c:v>
                </c:pt>
                <c:pt idx="152">
                  <c:v>309.77111376768983</c:v>
                </c:pt>
                <c:pt idx="153">
                  <c:v>309.4246817846128</c:v>
                </c:pt>
                <c:pt idx="154">
                  <c:v>312.36579839402123</c:v>
                </c:pt>
                <c:pt idx="155">
                  <c:v>311.05214308826169</c:v>
                </c:pt>
                <c:pt idx="156">
                  <c:v>312.8396635586426</c:v>
                </c:pt>
                <c:pt idx="157">
                  <c:v>305.39627006407591</c:v>
                </c:pt>
                <c:pt idx="158">
                  <c:v>309.17463181549198</c:v>
                </c:pt>
                <c:pt idx="159">
                  <c:v>317.48045019999893</c:v>
                </c:pt>
                <c:pt idx="160">
                  <c:v>319.17020661923101</c:v>
                </c:pt>
                <c:pt idx="161">
                  <c:v>325.17924612926572</c:v>
                </c:pt>
                <c:pt idx="162">
                  <c:v>317.91894282433122</c:v>
                </c:pt>
                <c:pt idx="163">
                  <c:v>321.86481880850619</c:v>
                </c:pt>
                <c:pt idx="164">
                  <c:v>319.54474681609901</c:v>
                </c:pt>
                <c:pt idx="165">
                  <c:v>324.92306781844962</c:v>
                </c:pt>
                <c:pt idx="166">
                  <c:v>327.15631564226061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65A-4901-87BA-567C75B357C0}"/>
            </c:ext>
          </c:extLst>
        </c:ser>
        <c:ser>
          <c:idx val="4"/>
          <c:order val="3"/>
          <c:tx>
            <c:strRef>
              <c:f>predicciones!$E$1</c:f>
              <c:strCache>
                <c:ptCount val="1"/>
                <c:pt idx="0">
                  <c:v>Arbol de Decision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predicciones!$G$2:$G$168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predicciones!$E$2:$E$168</c:f>
              <c:numCache>
                <c:formatCode>General</c:formatCode>
                <c:ptCount val="167"/>
                <c:pt idx="0">
                  <c:v>247.28</c:v>
                </c:pt>
                <c:pt idx="1">
                  <c:v>229.15</c:v>
                </c:pt>
                <c:pt idx="2">
                  <c:v>224.6</c:v>
                </c:pt>
                <c:pt idx="3">
                  <c:v>225.66</c:v>
                </c:pt>
                <c:pt idx="4">
                  <c:v>224.6</c:v>
                </c:pt>
                <c:pt idx="5">
                  <c:v>224.6</c:v>
                </c:pt>
                <c:pt idx="6">
                  <c:v>229.89500000000001</c:v>
                </c:pt>
                <c:pt idx="7">
                  <c:v>237.47499999999999</c:v>
                </c:pt>
                <c:pt idx="8">
                  <c:v>237.47499999999999</c:v>
                </c:pt>
                <c:pt idx="9">
                  <c:v>237.47499999999999</c:v>
                </c:pt>
                <c:pt idx="10">
                  <c:v>242.18</c:v>
                </c:pt>
                <c:pt idx="11">
                  <c:v>228.9</c:v>
                </c:pt>
                <c:pt idx="12">
                  <c:v>228.9</c:v>
                </c:pt>
                <c:pt idx="13">
                  <c:v>236.02500000000001</c:v>
                </c:pt>
                <c:pt idx="14">
                  <c:v>247.04499999999999</c:v>
                </c:pt>
                <c:pt idx="15">
                  <c:v>228.26499999999999</c:v>
                </c:pt>
                <c:pt idx="16">
                  <c:v>241.70500000000001</c:v>
                </c:pt>
                <c:pt idx="17">
                  <c:v>244.54</c:v>
                </c:pt>
                <c:pt idx="18">
                  <c:v>241.70500000000001</c:v>
                </c:pt>
                <c:pt idx="19">
                  <c:v>241.70500000000001</c:v>
                </c:pt>
                <c:pt idx="20">
                  <c:v>250.75</c:v>
                </c:pt>
                <c:pt idx="21">
                  <c:v>257.17</c:v>
                </c:pt>
                <c:pt idx="22">
                  <c:v>257.17</c:v>
                </c:pt>
                <c:pt idx="23">
                  <c:v>257.17</c:v>
                </c:pt>
                <c:pt idx="24">
                  <c:v>259.54500000000002</c:v>
                </c:pt>
                <c:pt idx="25">
                  <c:v>277.61</c:v>
                </c:pt>
                <c:pt idx="26">
                  <c:v>277.61</c:v>
                </c:pt>
                <c:pt idx="27">
                  <c:v>256.98500000000001</c:v>
                </c:pt>
                <c:pt idx="28">
                  <c:v>256.98500000000001</c:v>
                </c:pt>
                <c:pt idx="29">
                  <c:v>276.33999999999997</c:v>
                </c:pt>
                <c:pt idx="30">
                  <c:v>276.33999999999997</c:v>
                </c:pt>
                <c:pt idx="31">
                  <c:v>253.75</c:v>
                </c:pt>
                <c:pt idx="32">
                  <c:v>258.815</c:v>
                </c:pt>
                <c:pt idx="33">
                  <c:v>252.565</c:v>
                </c:pt>
                <c:pt idx="34">
                  <c:v>252.71</c:v>
                </c:pt>
                <c:pt idx="35">
                  <c:v>258.815</c:v>
                </c:pt>
                <c:pt idx="36">
                  <c:v>246.52</c:v>
                </c:pt>
                <c:pt idx="37">
                  <c:v>254.03</c:v>
                </c:pt>
                <c:pt idx="38">
                  <c:v>246.52</c:v>
                </c:pt>
                <c:pt idx="39">
                  <c:v>252.93</c:v>
                </c:pt>
                <c:pt idx="40">
                  <c:v>249.685</c:v>
                </c:pt>
                <c:pt idx="41">
                  <c:v>253.67500000000001</c:v>
                </c:pt>
                <c:pt idx="42">
                  <c:v>257.52499999999998</c:v>
                </c:pt>
                <c:pt idx="43">
                  <c:v>259.08</c:v>
                </c:pt>
                <c:pt idx="44">
                  <c:v>253.67500000000001</c:v>
                </c:pt>
                <c:pt idx="45">
                  <c:v>259.08</c:v>
                </c:pt>
                <c:pt idx="46">
                  <c:v>253.67500000000001</c:v>
                </c:pt>
                <c:pt idx="47">
                  <c:v>245.16</c:v>
                </c:pt>
                <c:pt idx="48">
                  <c:v>257.82499999999999</c:v>
                </c:pt>
                <c:pt idx="49">
                  <c:v>262.58999999999997</c:v>
                </c:pt>
                <c:pt idx="50">
                  <c:v>256.98500000000001</c:v>
                </c:pt>
                <c:pt idx="51">
                  <c:v>277.565</c:v>
                </c:pt>
                <c:pt idx="52">
                  <c:v>277.61</c:v>
                </c:pt>
                <c:pt idx="53">
                  <c:v>277.61</c:v>
                </c:pt>
                <c:pt idx="54">
                  <c:v>277.61</c:v>
                </c:pt>
                <c:pt idx="55">
                  <c:v>277.61</c:v>
                </c:pt>
                <c:pt idx="56">
                  <c:v>277.68</c:v>
                </c:pt>
                <c:pt idx="57">
                  <c:v>280.01</c:v>
                </c:pt>
                <c:pt idx="58">
                  <c:v>277.87</c:v>
                </c:pt>
                <c:pt idx="59">
                  <c:v>277.11</c:v>
                </c:pt>
                <c:pt idx="60">
                  <c:v>280.38</c:v>
                </c:pt>
                <c:pt idx="61">
                  <c:v>282.85500000000002</c:v>
                </c:pt>
                <c:pt idx="62">
                  <c:v>282.85500000000002</c:v>
                </c:pt>
                <c:pt idx="63">
                  <c:v>286.185</c:v>
                </c:pt>
                <c:pt idx="64">
                  <c:v>286.185</c:v>
                </c:pt>
                <c:pt idx="65">
                  <c:v>286.185</c:v>
                </c:pt>
                <c:pt idx="66">
                  <c:v>291.33999999999997</c:v>
                </c:pt>
                <c:pt idx="67">
                  <c:v>286.185</c:v>
                </c:pt>
                <c:pt idx="68">
                  <c:v>286.495</c:v>
                </c:pt>
                <c:pt idx="69">
                  <c:v>286.495</c:v>
                </c:pt>
                <c:pt idx="70">
                  <c:v>286.495</c:v>
                </c:pt>
                <c:pt idx="71">
                  <c:v>286.245</c:v>
                </c:pt>
                <c:pt idx="72">
                  <c:v>286.10500000000002</c:v>
                </c:pt>
                <c:pt idx="73">
                  <c:v>286.38</c:v>
                </c:pt>
                <c:pt idx="74">
                  <c:v>289.52999999999997</c:v>
                </c:pt>
                <c:pt idx="75">
                  <c:v>289.52999999999997</c:v>
                </c:pt>
                <c:pt idx="76">
                  <c:v>281.35000000000002</c:v>
                </c:pt>
                <c:pt idx="77">
                  <c:v>281.35000000000002</c:v>
                </c:pt>
                <c:pt idx="78">
                  <c:v>294.45499999999998</c:v>
                </c:pt>
                <c:pt idx="79">
                  <c:v>293.08499999999998</c:v>
                </c:pt>
                <c:pt idx="80">
                  <c:v>303.55500000000001</c:v>
                </c:pt>
                <c:pt idx="81">
                  <c:v>304.3</c:v>
                </c:pt>
                <c:pt idx="82">
                  <c:v>304.3</c:v>
                </c:pt>
                <c:pt idx="83">
                  <c:v>304.3</c:v>
                </c:pt>
                <c:pt idx="84">
                  <c:v>304.3</c:v>
                </c:pt>
                <c:pt idx="85">
                  <c:v>303.55500000000001</c:v>
                </c:pt>
                <c:pt idx="86">
                  <c:v>323.5</c:v>
                </c:pt>
                <c:pt idx="87">
                  <c:v>302.13499999999999</c:v>
                </c:pt>
                <c:pt idx="88">
                  <c:v>302.69499999999999</c:v>
                </c:pt>
                <c:pt idx="89">
                  <c:v>323.5</c:v>
                </c:pt>
                <c:pt idx="90">
                  <c:v>323.5</c:v>
                </c:pt>
                <c:pt idx="91">
                  <c:v>309.26499999999999</c:v>
                </c:pt>
                <c:pt idx="92">
                  <c:v>323.5</c:v>
                </c:pt>
                <c:pt idx="93">
                  <c:v>323.5</c:v>
                </c:pt>
                <c:pt idx="94">
                  <c:v>323.5</c:v>
                </c:pt>
                <c:pt idx="95">
                  <c:v>323.5</c:v>
                </c:pt>
                <c:pt idx="96">
                  <c:v>323.5</c:v>
                </c:pt>
                <c:pt idx="97">
                  <c:v>323.5</c:v>
                </c:pt>
                <c:pt idx="98">
                  <c:v>323.5</c:v>
                </c:pt>
                <c:pt idx="99">
                  <c:v>324.16500000000002</c:v>
                </c:pt>
                <c:pt idx="100">
                  <c:v>324.16500000000002</c:v>
                </c:pt>
                <c:pt idx="101">
                  <c:v>337.005</c:v>
                </c:pt>
                <c:pt idx="102">
                  <c:v>336.51</c:v>
                </c:pt>
                <c:pt idx="103">
                  <c:v>324.16500000000002</c:v>
                </c:pt>
                <c:pt idx="104">
                  <c:v>336.79</c:v>
                </c:pt>
                <c:pt idx="105">
                  <c:v>339.23</c:v>
                </c:pt>
                <c:pt idx="106">
                  <c:v>339.23</c:v>
                </c:pt>
                <c:pt idx="107">
                  <c:v>336.79</c:v>
                </c:pt>
                <c:pt idx="108">
                  <c:v>324.16500000000002</c:v>
                </c:pt>
                <c:pt idx="109">
                  <c:v>324.16500000000002</c:v>
                </c:pt>
                <c:pt idx="110">
                  <c:v>333.27499999999998</c:v>
                </c:pt>
                <c:pt idx="111">
                  <c:v>333.27499999999998</c:v>
                </c:pt>
                <c:pt idx="112">
                  <c:v>333.27499999999998</c:v>
                </c:pt>
                <c:pt idx="113">
                  <c:v>341.44500000000011</c:v>
                </c:pt>
                <c:pt idx="114">
                  <c:v>339.21499999999997</c:v>
                </c:pt>
                <c:pt idx="115">
                  <c:v>325.08</c:v>
                </c:pt>
                <c:pt idx="116">
                  <c:v>325.08</c:v>
                </c:pt>
                <c:pt idx="117">
                  <c:v>323.15499999999997</c:v>
                </c:pt>
                <c:pt idx="118">
                  <c:v>323.15499999999997</c:v>
                </c:pt>
                <c:pt idx="119">
                  <c:v>323.15499999999997</c:v>
                </c:pt>
                <c:pt idx="120">
                  <c:v>323.15499999999997</c:v>
                </c:pt>
                <c:pt idx="121">
                  <c:v>323.15499999999997</c:v>
                </c:pt>
                <c:pt idx="122">
                  <c:v>343.32499999999999</c:v>
                </c:pt>
                <c:pt idx="123">
                  <c:v>339.52499999999998</c:v>
                </c:pt>
                <c:pt idx="124">
                  <c:v>339.71499999999997</c:v>
                </c:pt>
                <c:pt idx="125">
                  <c:v>329.75</c:v>
                </c:pt>
                <c:pt idx="126">
                  <c:v>339.71499999999997</c:v>
                </c:pt>
                <c:pt idx="127">
                  <c:v>325.08</c:v>
                </c:pt>
                <c:pt idx="128">
                  <c:v>334.89499999999998</c:v>
                </c:pt>
                <c:pt idx="129">
                  <c:v>328.78500000000003</c:v>
                </c:pt>
                <c:pt idx="130">
                  <c:v>325.08</c:v>
                </c:pt>
                <c:pt idx="131">
                  <c:v>339.71499999999997</c:v>
                </c:pt>
                <c:pt idx="132">
                  <c:v>339.71499999999997</c:v>
                </c:pt>
                <c:pt idx="133">
                  <c:v>338.05</c:v>
                </c:pt>
                <c:pt idx="134">
                  <c:v>338.05</c:v>
                </c:pt>
                <c:pt idx="135">
                  <c:v>338.05</c:v>
                </c:pt>
                <c:pt idx="136">
                  <c:v>338.05</c:v>
                </c:pt>
                <c:pt idx="137">
                  <c:v>338.05</c:v>
                </c:pt>
                <c:pt idx="138">
                  <c:v>338.05</c:v>
                </c:pt>
                <c:pt idx="139">
                  <c:v>338.05</c:v>
                </c:pt>
                <c:pt idx="140">
                  <c:v>336.26</c:v>
                </c:pt>
                <c:pt idx="141">
                  <c:v>336.26</c:v>
                </c:pt>
                <c:pt idx="142">
                  <c:v>316.83</c:v>
                </c:pt>
                <c:pt idx="143">
                  <c:v>338.05</c:v>
                </c:pt>
                <c:pt idx="144">
                  <c:v>336.26</c:v>
                </c:pt>
                <c:pt idx="145">
                  <c:v>316.83</c:v>
                </c:pt>
                <c:pt idx="146">
                  <c:v>316.83</c:v>
                </c:pt>
                <c:pt idx="147">
                  <c:v>316.83</c:v>
                </c:pt>
                <c:pt idx="148">
                  <c:v>316.83</c:v>
                </c:pt>
                <c:pt idx="149">
                  <c:v>316.83</c:v>
                </c:pt>
                <c:pt idx="150">
                  <c:v>316.83</c:v>
                </c:pt>
                <c:pt idx="151">
                  <c:v>316.83</c:v>
                </c:pt>
                <c:pt idx="152">
                  <c:v>320.25</c:v>
                </c:pt>
                <c:pt idx="153">
                  <c:v>323.625</c:v>
                </c:pt>
                <c:pt idx="154">
                  <c:v>316.83</c:v>
                </c:pt>
                <c:pt idx="155">
                  <c:v>318.315</c:v>
                </c:pt>
                <c:pt idx="156">
                  <c:v>318.315</c:v>
                </c:pt>
                <c:pt idx="157">
                  <c:v>305.05500000000001</c:v>
                </c:pt>
                <c:pt idx="158">
                  <c:v>305.05500000000001</c:v>
                </c:pt>
                <c:pt idx="159">
                  <c:v>316.83</c:v>
                </c:pt>
                <c:pt idx="160">
                  <c:v>316.83</c:v>
                </c:pt>
                <c:pt idx="161">
                  <c:v>316.83</c:v>
                </c:pt>
                <c:pt idx="162">
                  <c:v>318.315</c:v>
                </c:pt>
                <c:pt idx="163">
                  <c:v>316.83</c:v>
                </c:pt>
                <c:pt idx="164">
                  <c:v>318.315</c:v>
                </c:pt>
                <c:pt idx="165">
                  <c:v>316.83</c:v>
                </c:pt>
                <c:pt idx="166">
                  <c:v>316.83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65A-4901-87BA-567C75B357C0}"/>
            </c:ext>
          </c:extLst>
        </c:ser>
        <c:ser>
          <c:idx val="5"/>
          <c:order val="4"/>
          <c:tx>
            <c:strRef>
              <c:f>predicciones!$F$1</c:f>
              <c:strCache>
                <c:ptCount val="1"/>
                <c:pt idx="0">
                  <c:v>Bosques Aleatorios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strRef>
              <c:f>predicciones!$G$2:$G$168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predicciones!$F$2:$F$168</c:f>
              <c:numCache>
                <c:formatCode>General</c:formatCode>
                <c:ptCount val="167"/>
                <c:pt idx="0">
                  <c:v>247.28</c:v>
                </c:pt>
                <c:pt idx="1">
                  <c:v>229.15</c:v>
                </c:pt>
                <c:pt idx="2">
                  <c:v>225.45500000000001</c:v>
                </c:pt>
                <c:pt idx="3">
                  <c:v>225.66</c:v>
                </c:pt>
                <c:pt idx="4">
                  <c:v>225.45500000000001</c:v>
                </c:pt>
                <c:pt idx="5">
                  <c:v>224.6</c:v>
                </c:pt>
                <c:pt idx="6">
                  <c:v>229.89500000000001</c:v>
                </c:pt>
                <c:pt idx="7">
                  <c:v>237.47499999999999</c:v>
                </c:pt>
                <c:pt idx="8">
                  <c:v>237.5</c:v>
                </c:pt>
                <c:pt idx="9">
                  <c:v>237.5</c:v>
                </c:pt>
                <c:pt idx="10">
                  <c:v>242.18</c:v>
                </c:pt>
                <c:pt idx="11">
                  <c:v>229.89500000000001</c:v>
                </c:pt>
                <c:pt idx="12">
                  <c:v>229.89500000000001</c:v>
                </c:pt>
                <c:pt idx="13">
                  <c:v>236.02500000000001</c:v>
                </c:pt>
                <c:pt idx="14">
                  <c:v>247.31</c:v>
                </c:pt>
                <c:pt idx="15">
                  <c:v>228.26499999999999</c:v>
                </c:pt>
                <c:pt idx="16">
                  <c:v>245.10499999999999</c:v>
                </c:pt>
                <c:pt idx="17">
                  <c:v>246.76499999999999</c:v>
                </c:pt>
                <c:pt idx="18">
                  <c:v>245.10499999999999</c:v>
                </c:pt>
                <c:pt idx="19">
                  <c:v>245.10499999999999</c:v>
                </c:pt>
                <c:pt idx="20">
                  <c:v>249.93</c:v>
                </c:pt>
                <c:pt idx="21">
                  <c:v>259.54500000000002</c:v>
                </c:pt>
                <c:pt idx="22">
                  <c:v>259.54500000000002</c:v>
                </c:pt>
                <c:pt idx="23">
                  <c:v>259.54500000000002</c:v>
                </c:pt>
                <c:pt idx="24">
                  <c:v>259.54500000000002</c:v>
                </c:pt>
                <c:pt idx="25">
                  <c:v>280.62</c:v>
                </c:pt>
                <c:pt idx="26">
                  <c:v>280.62</c:v>
                </c:pt>
                <c:pt idx="27">
                  <c:v>256.51</c:v>
                </c:pt>
                <c:pt idx="28">
                  <c:v>256.51</c:v>
                </c:pt>
                <c:pt idx="29">
                  <c:v>276.33999999999997</c:v>
                </c:pt>
                <c:pt idx="30">
                  <c:v>276.33999999999997</c:v>
                </c:pt>
                <c:pt idx="31">
                  <c:v>253.75</c:v>
                </c:pt>
                <c:pt idx="32">
                  <c:v>258.815</c:v>
                </c:pt>
                <c:pt idx="33">
                  <c:v>257.22500000000002</c:v>
                </c:pt>
                <c:pt idx="34">
                  <c:v>252.42</c:v>
                </c:pt>
                <c:pt idx="35">
                  <c:v>258.815</c:v>
                </c:pt>
                <c:pt idx="36">
                  <c:v>244.54</c:v>
                </c:pt>
                <c:pt idx="37">
                  <c:v>252.42</c:v>
                </c:pt>
                <c:pt idx="38">
                  <c:v>246.52</c:v>
                </c:pt>
                <c:pt idx="39">
                  <c:v>247.24</c:v>
                </c:pt>
                <c:pt idx="40">
                  <c:v>245.16</c:v>
                </c:pt>
                <c:pt idx="41">
                  <c:v>252.42</c:v>
                </c:pt>
                <c:pt idx="42">
                  <c:v>257.52499999999998</c:v>
                </c:pt>
                <c:pt idx="43">
                  <c:v>258.86</c:v>
                </c:pt>
                <c:pt idx="44">
                  <c:v>252.42</c:v>
                </c:pt>
                <c:pt idx="45">
                  <c:v>258.86</c:v>
                </c:pt>
                <c:pt idx="46">
                  <c:v>247.24</c:v>
                </c:pt>
                <c:pt idx="47">
                  <c:v>245.16</c:v>
                </c:pt>
                <c:pt idx="48">
                  <c:v>257.82499999999999</c:v>
                </c:pt>
                <c:pt idx="49">
                  <c:v>262.58999999999997</c:v>
                </c:pt>
                <c:pt idx="50">
                  <c:v>256.51</c:v>
                </c:pt>
                <c:pt idx="51">
                  <c:v>280.62</c:v>
                </c:pt>
                <c:pt idx="52">
                  <c:v>280.62</c:v>
                </c:pt>
                <c:pt idx="53">
                  <c:v>280.62</c:v>
                </c:pt>
                <c:pt idx="54">
                  <c:v>277.61</c:v>
                </c:pt>
                <c:pt idx="55">
                  <c:v>277.68</c:v>
                </c:pt>
                <c:pt idx="56">
                  <c:v>277.68</c:v>
                </c:pt>
                <c:pt idx="57">
                  <c:v>280.01</c:v>
                </c:pt>
                <c:pt idx="58">
                  <c:v>277.87</c:v>
                </c:pt>
                <c:pt idx="59">
                  <c:v>277.11</c:v>
                </c:pt>
                <c:pt idx="60">
                  <c:v>282.85500000000002</c:v>
                </c:pt>
                <c:pt idx="61">
                  <c:v>280.38</c:v>
                </c:pt>
                <c:pt idx="62">
                  <c:v>286.495</c:v>
                </c:pt>
                <c:pt idx="63">
                  <c:v>286.495</c:v>
                </c:pt>
                <c:pt idx="64">
                  <c:v>286.495</c:v>
                </c:pt>
                <c:pt idx="65">
                  <c:v>286.495</c:v>
                </c:pt>
                <c:pt idx="66">
                  <c:v>291.33999999999997</c:v>
                </c:pt>
                <c:pt idx="67">
                  <c:v>286.495</c:v>
                </c:pt>
                <c:pt idx="68">
                  <c:v>286.495</c:v>
                </c:pt>
                <c:pt idx="69">
                  <c:v>286.495</c:v>
                </c:pt>
                <c:pt idx="70">
                  <c:v>286.495</c:v>
                </c:pt>
                <c:pt idx="71">
                  <c:v>286.245</c:v>
                </c:pt>
                <c:pt idx="72">
                  <c:v>286.245</c:v>
                </c:pt>
                <c:pt idx="73">
                  <c:v>289.52999999999997</c:v>
                </c:pt>
                <c:pt idx="74">
                  <c:v>289.52999999999997</c:v>
                </c:pt>
                <c:pt idx="75">
                  <c:v>289.52999999999997</c:v>
                </c:pt>
                <c:pt idx="76">
                  <c:v>275.815</c:v>
                </c:pt>
                <c:pt idx="77">
                  <c:v>275.815</c:v>
                </c:pt>
                <c:pt idx="78">
                  <c:v>294.45499999999998</c:v>
                </c:pt>
                <c:pt idx="79">
                  <c:v>293.08499999999998</c:v>
                </c:pt>
                <c:pt idx="80">
                  <c:v>303.55500000000001</c:v>
                </c:pt>
                <c:pt idx="81">
                  <c:v>302.13499999999999</c:v>
                </c:pt>
                <c:pt idx="82">
                  <c:v>302.13499999999999</c:v>
                </c:pt>
                <c:pt idx="83">
                  <c:v>302.13499999999999</c:v>
                </c:pt>
                <c:pt idx="84">
                  <c:v>302.13499999999999</c:v>
                </c:pt>
                <c:pt idx="85">
                  <c:v>303.55500000000001</c:v>
                </c:pt>
                <c:pt idx="86">
                  <c:v>323.5</c:v>
                </c:pt>
                <c:pt idx="87">
                  <c:v>302.13499999999999</c:v>
                </c:pt>
                <c:pt idx="88">
                  <c:v>308.33499999999998</c:v>
                </c:pt>
                <c:pt idx="89">
                  <c:v>323.5</c:v>
                </c:pt>
                <c:pt idx="90">
                  <c:v>323.5</c:v>
                </c:pt>
                <c:pt idx="91">
                  <c:v>309.26499999999999</c:v>
                </c:pt>
                <c:pt idx="92">
                  <c:v>323.5</c:v>
                </c:pt>
                <c:pt idx="93">
                  <c:v>323.5</c:v>
                </c:pt>
                <c:pt idx="94">
                  <c:v>323.5</c:v>
                </c:pt>
                <c:pt idx="95">
                  <c:v>323.5</c:v>
                </c:pt>
                <c:pt idx="96">
                  <c:v>323.5</c:v>
                </c:pt>
                <c:pt idx="97">
                  <c:v>323.5</c:v>
                </c:pt>
                <c:pt idx="98">
                  <c:v>323.5</c:v>
                </c:pt>
                <c:pt idx="99">
                  <c:v>331.59500000000003</c:v>
                </c:pt>
                <c:pt idx="100">
                  <c:v>331.59500000000003</c:v>
                </c:pt>
                <c:pt idx="101">
                  <c:v>337.005</c:v>
                </c:pt>
                <c:pt idx="102">
                  <c:v>329.36500000000001</c:v>
                </c:pt>
                <c:pt idx="103">
                  <c:v>331.59500000000003</c:v>
                </c:pt>
                <c:pt idx="104">
                  <c:v>329.36500000000001</c:v>
                </c:pt>
                <c:pt idx="105">
                  <c:v>335.88499999999999</c:v>
                </c:pt>
                <c:pt idx="106">
                  <c:v>335.88499999999999</c:v>
                </c:pt>
                <c:pt idx="107">
                  <c:v>336.79</c:v>
                </c:pt>
                <c:pt idx="108">
                  <c:v>331.59500000000003</c:v>
                </c:pt>
                <c:pt idx="109">
                  <c:v>331.59500000000003</c:v>
                </c:pt>
                <c:pt idx="110">
                  <c:v>333.3</c:v>
                </c:pt>
                <c:pt idx="111">
                  <c:v>333.3</c:v>
                </c:pt>
                <c:pt idx="112">
                  <c:v>333.3</c:v>
                </c:pt>
                <c:pt idx="113">
                  <c:v>339.23</c:v>
                </c:pt>
                <c:pt idx="114">
                  <c:v>341.14</c:v>
                </c:pt>
                <c:pt idx="115">
                  <c:v>336.26</c:v>
                </c:pt>
                <c:pt idx="116">
                  <c:v>336.26</c:v>
                </c:pt>
                <c:pt idx="117">
                  <c:v>326.44</c:v>
                </c:pt>
                <c:pt idx="118">
                  <c:v>326.44</c:v>
                </c:pt>
                <c:pt idx="119">
                  <c:v>326.44</c:v>
                </c:pt>
                <c:pt idx="120">
                  <c:v>326.44</c:v>
                </c:pt>
                <c:pt idx="121">
                  <c:v>326.44</c:v>
                </c:pt>
                <c:pt idx="122">
                  <c:v>339.52499999999998</c:v>
                </c:pt>
                <c:pt idx="123">
                  <c:v>339.52499999999998</c:v>
                </c:pt>
                <c:pt idx="124">
                  <c:v>339.52499999999998</c:v>
                </c:pt>
                <c:pt idx="125">
                  <c:v>325.08</c:v>
                </c:pt>
                <c:pt idx="126">
                  <c:v>339.52499999999998</c:v>
                </c:pt>
                <c:pt idx="127">
                  <c:v>325.08</c:v>
                </c:pt>
                <c:pt idx="128">
                  <c:v>342.49</c:v>
                </c:pt>
                <c:pt idx="129">
                  <c:v>329.73</c:v>
                </c:pt>
                <c:pt idx="130">
                  <c:v>325.08</c:v>
                </c:pt>
                <c:pt idx="131">
                  <c:v>338.05</c:v>
                </c:pt>
                <c:pt idx="132">
                  <c:v>338.05</c:v>
                </c:pt>
                <c:pt idx="133">
                  <c:v>338.05</c:v>
                </c:pt>
                <c:pt idx="134">
                  <c:v>338.05</c:v>
                </c:pt>
                <c:pt idx="135">
                  <c:v>338.05</c:v>
                </c:pt>
                <c:pt idx="136">
                  <c:v>338.05</c:v>
                </c:pt>
                <c:pt idx="137">
                  <c:v>338.05</c:v>
                </c:pt>
                <c:pt idx="138">
                  <c:v>338.05</c:v>
                </c:pt>
                <c:pt idx="139">
                  <c:v>338.05</c:v>
                </c:pt>
                <c:pt idx="140">
                  <c:v>325.08</c:v>
                </c:pt>
                <c:pt idx="141">
                  <c:v>325.08</c:v>
                </c:pt>
                <c:pt idx="142">
                  <c:v>316.83</c:v>
                </c:pt>
                <c:pt idx="143">
                  <c:v>338.05</c:v>
                </c:pt>
                <c:pt idx="144">
                  <c:v>325.08</c:v>
                </c:pt>
                <c:pt idx="145">
                  <c:v>316.83</c:v>
                </c:pt>
                <c:pt idx="146">
                  <c:v>316.83</c:v>
                </c:pt>
                <c:pt idx="147">
                  <c:v>316.83</c:v>
                </c:pt>
                <c:pt idx="148">
                  <c:v>316.83</c:v>
                </c:pt>
                <c:pt idx="149">
                  <c:v>316.83</c:v>
                </c:pt>
                <c:pt idx="150">
                  <c:v>316.83</c:v>
                </c:pt>
                <c:pt idx="151">
                  <c:v>316.83</c:v>
                </c:pt>
                <c:pt idx="152">
                  <c:v>323.625</c:v>
                </c:pt>
                <c:pt idx="153">
                  <c:v>323.625</c:v>
                </c:pt>
                <c:pt idx="154">
                  <c:v>316.83</c:v>
                </c:pt>
                <c:pt idx="155">
                  <c:v>323.625</c:v>
                </c:pt>
                <c:pt idx="156">
                  <c:v>320.25</c:v>
                </c:pt>
                <c:pt idx="157">
                  <c:v>320.25</c:v>
                </c:pt>
                <c:pt idx="158">
                  <c:v>320.25</c:v>
                </c:pt>
                <c:pt idx="159">
                  <c:v>316.83</c:v>
                </c:pt>
                <c:pt idx="160">
                  <c:v>316.83</c:v>
                </c:pt>
                <c:pt idx="161">
                  <c:v>316.83</c:v>
                </c:pt>
                <c:pt idx="162">
                  <c:v>305.05500000000001</c:v>
                </c:pt>
                <c:pt idx="163">
                  <c:v>316.83</c:v>
                </c:pt>
                <c:pt idx="164">
                  <c:v>305.05500000000001</c:v>
                </c:pt>
                <c:pt idx="165">
                  <c:v>316.83</c:v>
                </c:pt>
                <c:pt idx="166">
                  <c:v>316.83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65A-4901-87BA-567C75B357C0}"/>
            </c:ext>
          </c:extLst>
        </c:ser>
        <c:ser>
          <c:idx val="2"/>
          <c:order val="5"/>
          <c:tx>
            <c:strRef>
              <c:f>predicciones!$C$1</c:f>
              <c:strCache>
                <c:ptCount val="1"/>
                <c:pt idx="0">
                  <c:v>Regresión Polinomica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predicciones!$G$2:$G$168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predicciones!$C$2:$C$168</c:f>
              <c:numCache>
                <c:formatCode>General</c:formatCode>
                <c:ptCount val="167"/>
                <c:pt idx="0">
                  <c:v>255.13353449914109</c:v>
                </c:pt>
                <c:pt idx="1">
                  <c:v>201.03795640095399</c:v>
                </c:pt>
                <c:pt idx="2">
                  <c:v>196.5546084439049</c:v>
                </c:pt>
                <c:pt idx="3">
                  <c:v>191.61367038584859</c:v>
                </c:pt>
                <c:pt idx="4">
                  <c:v>216.49120444335091</c:v>
                </c:pt>
                <c:pt idx="5">
                  <c:v>223.27161411286201</c:v>
                </c:pt>
                <c:pt idx="6">
                  <c:v>238.8494483523948</c:v>
                </c:pt>
                <c:pt idx="7">
                  <c:v>242.87448745802899</c:v>
                </c:pt>
                <c:pt idx="8">
                  <c:v>245.08544796881961</c:v>
                </c:pt>
                <c:pt idx="9">
                  <c:v>247.76944348642681</c:v>
                </c:pt>
                <c:pt idx="10">
                  <c:v>250.95189201826571</c:v>
                </c:pt>
                <c:pt idx="11">
                  <c:v>243.57988960649359</c:v>
                </c:pt>
                <c:pt idx="12">
                  <c:v>244.27874271472501</c:v>
                </c:pt>
                <c:pt idx="13">
                  <c:v>249.49910721887051</c:v>
                </c:pt>
                <c:pt idx="14">
                  <c:v>249.78593998917151</c:v>
                </c:pt>
                <c:pt idx="15">
                  <c:v>243.51686238103079</c:v>
                </c:pt>
                <c:pt idx="16">
                  <c:v>248.70067158414579</c:v>
                </c:pt>
                <c:pt idx="17">
                  <c:v>247.75835349469909</c:v>
                </c:pt>
                <c:pt idx="18">
                  <c:v>251.11748856453349</c:v>
                </c:pt>
                <c:pt idx="19">
                  <c:v>251.68523642937251</c:v>
                </c:pt>
                <c:pt idx="20">
                  <c:v>254.88542678461801</c:v>
                </c:pt>
                <c:pt idx="21">
                  <c:v>261.16692296911123</c:v>
                </c:pt>
                <c:pt idx="22">
                  <c:v>262.16586167682919</c:v>
                </c:pt>
                <c:pt idx="23">
                  <c:v>261.10056875600787</c:v>
                </c:pt>
                <c:pt idx="24">
                  <c:v>263.06867163237291</c:v>
                </c:pt>
                <c:pt idx="25">
                  <c:v>270.12644558248138</c:v>
                </c:pt>
                <c:pt idx="26">
                  <c:v>272.051583424689</c:v>
                </c:pt>
                <c:pt idx="27">
                  <c:v>263.43466804066912</c:v>
                </c:pt>
                <c:pt idx="28">
                  <c:v>267.08479737083979</c:v>
                </c:pt>
                <c:pt idx="29">
                  <c:v>273.1353059317309</c:v>
                </c:pt>
                <c:pt idx="30">
                  <c:v>269.64934674004462</c:v>
                </c:pt>
                <c:pt idx="31">
                  <c:v>265.40006779692862</c:v>
                </c:pt>
                <c:pt idx="32">
                  <c:v>265.15343090392292</c:v>
                </c:pt>
                <c:pt idx="33">
                  <c:v>263.47450473358589</c:v>
                </c:pt>
                <c:pt idx="34">
                  <c:v>263.54375418167831</c:v>
                </c:pt>
                <c:pt idx="35">
                  <c:v>260.34798126494252</c:v>
                </c:pt>
                <c:pt idx="36">
                  <c:v>256.58728233916969</c:v>
                </c:pt>
                <c:pt idx="37">
                  <c:v>263.07732870540559</c:v>
                </c:pt>
                <c:pt idx="38">
                  <c:v>258.33784384413451</c:v>
                </c:pt>
                <c:pt idx="39">
                  <c:v>244.9333795133341</c:v>
                </c:pt>
                <c:pt idx="40">
                  <c:v>238.38842085664481</c:v>
                </c:pt>
                <c:pt idx="41">
                  <c:v>262.16772772340329</c:v>
                </c:pt>
                <c:pt idx="42">
                  <c:v>261.79026256964642</c:v>
                </c:pt>
                <c:pt idx="43">
                  <c:v>253.44133338268489</c:v>
                </c:pt>
                <c:pt idx="44">
                  <c:v>254.74926798422939</c:v>
                </c:pt>
                <c:pt idx="45">
                  <c:v>263.33256448354962</c:v>
                </c:pt>
                <c:pt idx="46">
                  <c:v>262.11135202159949</c:v>
                </c:pt>
                <c:pt idx="47">
                  <c:v>262.87483029226632</c:v>
                </c:pt>
                <c:pt idx="48">
                  <c:v>271.50341321181611</c:v>
                </c:pt>
                <c:pt idx="49">
                  <c:v>272.32903383027531</c:v>
                </c:pt>
                <c:pt idx="50">
                  <c:v>273.18838656081363</c:v>
                </c:pt>
                <c:pt idx="51">
                  <c:v>275.56600046659469</c:v>
                </c:pt>
                <c:pt idx="52">
                  <c:v>275.60106008623302</c:v>
                </c:pt>
                <c:pt idx="53">
                  <c:v>275.88485903272039</c:v>
                </c:pt>
                <c:pt idx="54">
                  <c:v>275.92465930366768</c:v>
                </c:pt>
                <c:pt idx="55">
                  <c:v>277.45051185407152</c:v>
                </c:pt>
                <c:pt idx="56">
                  <c:v>277.51469609266462</c:v>
                </c:pt>
                <c:pt idx="57">
                  <c:v>278.9164801040032</c:v>
                </c:pt>
                <c:pt idx="58">
                  <c:v>277.64888111617881</c:v>
                </c:pt>
                <c:pt idx="59">
                  <c:v>278.68310106587239</c:v>
                </c:pt>
                <c:pt idx="60">
                  <c:v>282.01543360735963</c:v>
                </c:pt>
                <c:pt idx="61">
                  <c:v>283.94498813005242</c:v>
                </c:pt>
                <c:pt idx="62">
                  <c:v>284.45029942351522</c:v>
                </c:pt>
                <c:pt idx="63">
                  <c:v>284.80256068510948</c:v>
                </c:pt>
                <c:pt idx="64">
                  <c:v>283.1227020896124</c:v>
                </c:pt>
                <c:pt idx="65">
                  <c:v>278.11441027600682</c:v>
                </c:pt>
                <c:pt idx="66">
                  <c:v>281.19114518577061</c:v>
                </c:pt>
                <c:pt idx="67">
                  <c:v>280.45576811969198</c:v>
                </c:pt>
                <c:pt idx="68">
                  <c:v>280.33972798658112</c:v>
                </c:pt>
                <c:pt idx="69">
                  <c:v>279.14514879463508</c:v>
                </c:pt>
                <c:pt idx="70">
                  <c:v>280.07030151430882</c:v>
                </c:pt>
                <c:pt idx="71">
                  <c:v>280.46542149385488</c:v>
                </c:pt>
                <c:pt idx="72">
                  <c:v>282.92787086129272</c:v>
                </c:pt>
                <c:pt idx="73">
                  <c:v>279.84228909646032</c:v>
                </c:pt>
                <c:pt idx="74">
                  <c:v>279.34966679444778</c:v>
                </c:pt>
                <c:pt idx="75">
                  <c:v>279.22624156365902</c:v>
                </c:pt>
                <c:pt idx="76">
                  <c:v>278.78625405981933</c:v>
                </c:pt>
                <c:pt idx="77">
                  <c:v>278.15801901657221</c:v>
                </c:pt>
                <c:pt idx="78">
                  <c:v>279.74698943276871</c:v>
                </c:pt>
                <c:pt idx="79">
                  <c:v>280.43633476269872</c:v>
                </c:pt>
                <c:pt idx="80">
                  <c:v>282.10154212146409</c:v>
                </c:pt>
                <c:pt idx="81">
                  <c:v>285.67789805273588</c:v>
                </c:pt>
                <c:pt idx="82">
                  <c:v>288.42433816760013</c:v>
                </c:pt>
                <c:pt idx="83">
                  <c:v>289.58110821489299</c:v>
                </c:pt>
                <c:pt idx="84">
                  <c:v>288.876070488518</c:v>
                </c:pt>
                <c:pt idx="85">
                  <c:v>287.81871800301042</c:v>
                </c:pt>
                <c:pt idx="86">
                  <c:v>290.49071101426222</c:v>
                </c:pt>
                <c:pt idx="87">
                  <c:v>293.19849597477588</c:v>
                </c:pt>
                <c:pt idx="88">
                  <c:v>295.16125869398502</c:v>
                </c:pt>
                <c:pt idx="89">
                  <c:v>297.09126625019968</c:v>
                </c:pt>
                <c:pt idx="90">
                  <c:v>303.31821991582899</c:v>
                </c:pt>
                <c:pt idx="91">
                  <c:v>307.34615353717402</c:v>
                </c:pt>
                <c:pt idx="92">
                  <c:v>296.50751528941282</c:v>
                </c:pt>
                <c:pt idx="93">
                  <c:v>300.89463049915349</c:v>
                </c:pt>
                <c:pt idx="94">
                  <c:v>297.472269802499</c:v>
                </c:pt>
                <c:pt idx="95">
                  <c:v>298.77471099748902</c:v>
                </c:pt>
                <c:pt idx="96">
                  <c:v>300.31785161068552</c:v>
                </c:pt>
                <c:pt idx="97">
                  <c:v>308.11261444613382</c:v>
                </c:pt>
                <c:pt idx="98">
                  <c:v>294.76181802889272</c:v>
                </c:pt>
                <c:pt idx="99">
                  <c:v>307.10879023883422</c:v>
                </c:pt>
                <c:pt idx="100">
                  <c:v>305.72895073560107</c:v>
                </c:pt>
                <c:pt idx="101">
                  <c:v>333.77853292441381</c:v>
                </c:pt>
                <c:pt idx="102">
                  <c:v>323.62709865669382</c:v>
                </c:pt>
                <c:pt idx="103">
                  <c:v>311.9388739866659</c:v>
                </c:pt>
                <c:pt idx="104">
                  <c:v>323.03260932306239</c:v>
                </c:pt>
                <c:pt idx="105">
                  <c:v>328.83788107674178</c:v>
                </c:pt>
                <c:pt idx="106">
                  <c:v>331.09499885569238</c:v>
                </c:pt>
                <c:pt idx="107">
                  <c:v>324.32579984261457</c:v>
                </c:pt>
                <c:pt idx="108">
                  <c:v>315.75146498022468</c:v>
                </c:pt>
                <c:pt idx="109">
                  <c:v>314.47505041039949</c:v>
                </c:pt>
                <c:pt idx="110">
                  <c:v>316.0915958654648</c:v>
                </c:pt>
                <c:pt idx="111">
                  <c:v>321.99595427543198</c:v>
                </c:pt>
                <c:pt idx="112">
                  <c:v>325.37124372199742</c:v>
                </c:pt>
                <c:pt idx="113">
                  <c:v>328.37277342735979</c:v>
                </c:pt>
                <c:pt idx="114">
                  <c:v>353.49762027747499</c:v>
                </c:pt>
                <c:pt idx="115">
                  <c:v>340.99735559649321</c:v>
                </c:pt>
                <c:pt idx="116">
                  <c:v>337.08147374663048</c:v>
                </c:pt>
                <c:pt idx="117">
                  <c:v>332.06981450482851</c:v>
                </c:pt>
                <c:pt idx="118">
                  <c:v>335.17700707124078</c:v>
                </c:pt>
                <c:pt idx="119">
                  <c:v>334.58018011841313</c:v>
                </c:pt>
                <c:pt idx="120">
                  <c:v>332.7548409650903</c:v>
                </c:pt>
                <c:pt idx="121">
                  <c:v>331.42595793659791</c:v>
                </c:pt>
                <c:pt idx="122">
                  <c:v>333.23985195873598</c:v>
                </c:pt>
                <c:pt idx="123">
                  <c:v>338.97196151526208</c:v>
                </c:pt>
                <c:pt idx="124">
                  <c:v>340.85900952700251</c:v>
                </c:pt>
                <c:pt idx="125">
                  <c:v>335.74042173373653</c:v>
                </c:pt>
                <c:pt idx="126">
                  <c:v>338.41047441898752</c:v>
                </c:pt>
                <c:pt idx="127">
                  <c:v>342.22259859593692</c:v>
                </c:pt>
                <c:pt idx="128">
                  <c:v>361.37124183369269</c:v>
                </c:pt>
                <c:pt idx="129">
                  <c:v>341.27028078442481</c:v>
                </c:pt>
                <c:pt idx="130">
                  <c:v>338.21600831546789</c:v>
                </c:pt>
                <c:pt idx="131">
                  <c:v>344.87463175859028</c:v>
                </c:pt>
                <c:pt idx="132">
                  <c:v>364.13209016872003</c:v>
                </c:pt>
                <c:pt idx="133">
                  <c:v>360.76856274287491</c:v>
                </c:pt>
                <c:pt idx="134">
                  <c:v>366.77831451951482</c:v>
                </c:pt>
                <c:pt idx="135">
                  <c:v>409.84644820466428</c:v>
                </c:pt>
                <c:pt idx="136">
                  <c:v>382.29250929938229</c:v>
                </c:pt>
                <c:pt idx="137">
                  <c:v>372.43161799192347</c:v>
                </c:pt>
                <c:pt idx="138">
                  <c:v>367.56608306269311</c:v>
                </c:pt>
                <c:pt idx="139">
                  <c:v>373.08952389859968</c:v>
                </c:pt>
                <c:pt idx="140">
                  <c:v>362.35115195184079</c:v>
                </c:pt>
                <c:pt idx="141">
                  <c:v>361.04162937114131</c:v>
                </c:pt>
                <c:pt idx="142">
                  <c:v>351.77047421046211</c:v>
                </c:pt>
                <c:pt idx="143">
                  <c:v>359.36703742031278</c:v>
                </c:pt>
                <c:pt idx="144">
                  <c:v>355.27890289542643</c:v>
                </c:pt>
                <c:pt idx="145">
                  <c:v>353.05030308990717</c:v>
                </c:pt>
                <c:pt idx="146">
                  <c:v>348.83451516718662</c:v>
                </c:pt>
                <c:pt idx="147">
                  <c:v>351.75260074967218</c:v>
                </c:pt>
                <c:pt idx="148">
                  <c:v>347.92260292952608</c:v>
                </c:pt>
                <c:pt idx="149">
                  <c:v>362.37478906396552</c:v>
                </c:pt>
                <c:pt idx="150">
                  <c:v>354.50410496814209</c:v>
                </c:pt>
                <c:pt idx="151">
                  <c:v>349.69643954642947</c:v>
                </c:pt>
                <c:pt idx="152">
                  <c:v>340.98071274716727</c:v>
                </c:pt>
                <c:pt idx="153">
                  <c:v>340.73526645873937</c:v>
                </c:pt>
                <c:pt idx="154">
                  <c:v>338.03038944896679</c:v>
                </c:pt>
                <c:pt idx="155">
                  <c:v>334.7633118609412</c:v>
                </c:pt>
                <c:pt idx="156">
                  <c:v>333.09851381240111</c:v>
                </c:pt>
                <c:pt idx="157">
                  <c:v>326.84474412444831</c:v>
                </c:pt>
                <c:pt idx="158">
                  <c:v>327.78732492128017</c:v>
                </c:pt>
                <c:pt idx="159">
                  <c:v>338.91434544135473</c:v>
                </c:pt>
                <c:pt idx="160">
                  <c:v>340.78563067703692</c:v>
                </c:pt>
                <c:pt idx="161">
                  <c:v>349.7430938109344</c:v>
                </c:pt>
                <c:pt idx="162">
                  <c:v>329.55566551387949</c:v>
                </c:pt>
                <c:pt idx="163">
                  <c:v>336.35161479290781</c:v>
                </c:pt>
                <c:pt idx="164">
                  <c:v>329.67164774182288</c:v>
                </c:pt>
                <c:pt idx="165">
                  <c:v>339.24390627970331</c:v>
                </c:pt>
                <c:pt idx="166">
                  <c:v>345.39310685865581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65A-4901-87BA-567C75B35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419880"/>
        <c:axId val="520422832"/>
      </c:scatterChart>
      <c:valAx>
        <c:axId val="520419880"/>
        <c:scaling>
          <c:orientation val="minMax"/>
          <c:max val="16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22832"/>
        <c:crosses val="autoZero"/>
        <c:crossBetween val="midCat"/>
        <c:majorUnit val="10"/>
      </c:valAx>
      <c:valAx>
        <c:axId val="520422832"/>
        <c:scaling>
          <c:orientation val="minMax"/>
          <c:max val="420"/>
          <c:min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19880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'Ideal - Simple'!$C$1</c:f>
              <c:strCache>
                <c:ptCount val="1"/>
                <c:pt idx="0">
                  <c:v>Bosques Aleatorios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'Ideal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Simple'!$C$4:$C$170</c:f>
              <c:numCache>
                <c:formatCode>General</c:formatCode>
                <c:ptCount val="167"/>
                <c:pt idx="0">
                  <c:v>100000</c:v>
                </c:pt>
                <c:pt idx="1">
                  <c:v>101401.05998518885</c:v>
                </c:pt>
                <c:pt idx="2">
                  <c:v>99862.319970570854</c:v>
                </c:pt>
                <c:pt idx="3">
                  <c:v>97742.992801108441</c:v>
                </c:pt>
                <c:pt idx="4">
                  <c:v>98476.240112936401</c:v>
                </c:pt>
                <c:pt idx="5">
                  <c:v>98569.402739644196</c:v>
                </c:pt>
                <c:pt idx="6">
                  <c:v>99017.658922575574</c:v>
                </c:pt>
                <c:pt idx="7">
                  <c:v>100760.36358578801</c:v>
                </c:pt>
                <c:pt idx="8">
                  <c:v>102008.71454936726</c:v>
                </c:pt>
                <c:pt idx="9">
                  <c:v>102901.20230588973</c:v>
                </c:pt>
                <c:pt idx="10">
                  <c:v>103914.08846374357</c:v>
                </c:pt>
                <c:pt idx="11">
                  <c:v>101455.03973370303</c:v>
                </c:pt>
                <c:pt idx="12">
                  <c:v>100378.26630253543</c:v>
                </c:pt>
                <c:pt idx="13">
                  <c:v>102577.08455400389</c:v>
                </c:pt>
                <c:pt idx="14">
                  <c:v>101900.77928494792</c:v>
                </c:pt>
                <c:pt idx="15">
                  <c:v>102269.27258727924</c:v>
                </c:pt>
                <c:pt idx="16">
                  <c:v>105102.65215400145</c:v>
                </c:pt>
                <c:pt idx="17">
                  <c:v>103407.81609817149</c:v>
                </c:pt>
                <c:pt idx="18">
                  <c:v>103610.8571224725</c:v>
                </c:pt>
                <c:pt idx="19">
                  <c:v>104198.42610951632</c:v>
                </c:pt>
                <c:pt idx="20">
                  <c:v>102445.56676145819</c:v>
                </c:pt>
                <c:pt idx="21">
                  <c:v>104396.19812807442</c:v>
                </c:pt>
                <c:pt idx="22">
                  <c:v>102283.51345555586</c:v>
                </c:pt>
                <c:pt idx="23">
                  <c:v>102743.65106245931</c:v>
                </c:pt>
                <c:pt idx="24">
                  <c:v>102786.32991831147</c:v>
                </c:pt>
                <c:pt idx="25">
                  <c:v>100046.91468489624</c:v>
                </c:pt>
                <c:pt idx="26">
                  <c:v>97791.871627076791</c:v>
                </c:pt>
                <c:pt idx="27">
                  <c:v>94041.531039958354</c:v>
                </c:pt>
                <c:pt idx="28">
                  <c:v>93573.504998490549</c:v>
                </c:pt>
                <c:pt idx="29">
                  <c:v>92135.809579542067</c:v>
                </c:pt>
                <c:pt idx="30">
                  <c:v>92034.375722546029</c:v>
                </c:pt>
                <c:pt idx="31">
                  <c:v>92257.204417292276</c:v>
                </c:pt>
                <c:pt idx="32">
                  <c:v>92946.174876313657</c:v>
                </c:pt>
                <c:pt idx="33">
                  <c:v>93493.22532530583</c:v>
                </c:pt>
                <c:pt idx="34">
                  <c:v>94153.381076057456</c:v>
                </c:pt>
                <c:pt idx="35">
                  <c:v>95072.523292068319</c:v>
                </c:pt>
                <c:pt idx="36">
                  <c:v>94767.127953242816</c:v>
                </c:pt>
                <c:pt idx="37">
                  <c:v>94961.324145511244</c:v>
                </c:pt>
                <c:pt idx="38">
                  <c:v>93930.454232763674</c:v>
                </c:pt>
                <c:pt idx="39">
                  <c:v>93707.477838991705</c:v>
                </c:pt>
                <c:pt idx="40">
                  <c:v>91860.326920408828</c:v>
                </c:pt>
                <c:pt idx="41">
                  <c:v>93706.479312180643</c:v>
                </c:pt>
                <c:pt idx="42">
                  <c:v>94939.255995430402</c:v>
                </c:pt>
                <c:pt idx="43">
                  <c:v>95116.541882417092</c:v>
                </c:pt>
                <c:pt idx="44">
                  <c:v>94347.421481144571</c:v>
                </c:pt>
                <c:pt idx="45">
                  <c:v>94467.361108835539</c:v>
                </c:pt>
                <c:pt idx="46">
                  <c:v>93044.95818616137</c:v>
                </c:pt>
                <c:pt idx="47">
                  <c:v>92083.011400532429</c:v>
                </c:pt>
                <c:pt idx="48">
                  <c:v>89454.418306559543</c:v>
                </c:pt>
                <c:pt idx="49">
                  <c:v>90835.847767544168</c:v>
                </c:pt>
                <c:pt idx="50">
                  <c:v>92895.374833071241</c:v>
                </c:pt>
                <c:pt idx="51">
                  <c:v>88728.683460137443</c:v>
                </c:pt>
                <c:pt idx="52">
                  <c:v>89141.424361957979</c:v>
                </c:pt>
                <c:pt idx="53">
                  <c:v>87302.58110974358</c:v>
                </c:pt>
                <c:pt idx="54">
                  <c:v>86859.828366390415</c:v>
                </c:pt>
                <c:pt idx="55">
                  <c:v>86362.15393163322</c:v>
                </c:pt>
                <c:pt idx="56">
                  <c:v>86413.748287386363</c:v>
                </c:pt>
                <c:pt idx="57">
                  <c:v>87528.873017018661</c:v>
                </c:pt>
                <c:pt idx="58">
                  <c:v>89023.443305014094</c:v>
                </c:pt>
                <c:pt idx="59">
                  <c:v>88841.591238299123</c:v>
                </c:pt>
                <c:pt idx="60">
                  <c:v>88366.410335036344</c:v>
                </c:pt>
                <c:pt idx="61">
                  <c:v>88346.329050823217</c:v>
                </c:pt>
                <c:pt idx="62">
                  <c:v>86729.27375672631</c:v>
                </c:pt>
                <c:pt idx="63">
                  <c:v>86997.375506089069</c:v>
                </c:pt>
                <c:pt idx="64">
                  <c:v>87125.538208857717</c:v>
                </c:pt>
                <c:pt idx="65">
                  <c:v>86589.604844043191</c:v>
                </c:pt>
                <c:pt idx="66">
                  <c:v>89736.750026738067</c:v>
                </c:pt>
                <c:pt idx="67">
                  <c:v>89808.576421992373</c:v>
                </c:pt>
                <c:pt idx="68">
                  <c:v>88820.846056599679</c:v>
                </c:pt>
                <c:pt idx="69">
                  <c:v>88417.964910210227</c:v>
                </c:pt>
                <c:pt idx="70">
                  <c:v>90630.777193047048</c:v>
                </c:pt>
                <c:pt idx="71">
                  <c:v>90347.749577401046</c:v>
                </c:pt>
                <c:pt idx="72">
                  <c:v>89912.431830543341</c:v>
                </c:pt>
                <c:pt idx="73">
                  <c:v>88837.582859074566</c:v>
                </c:pt>
                <c:pt idx="74">
                  <c:v>89727.204458948618</c:v>
                </c:pt>
                <c:pt idx="75">
                  <c:v>90049.033076458523</c:v>
                </c:pt>
                <c:pt idx="76">
                  <c:v>90366.010081899964</c:v>
                </c:pt>
                <c:pt idx="77">
                  <c:v>90420.298045585339</c:v>
                </c:pt>
                <c:pt idx="78">
                  <c:v>91637.17278597063</c:v>
                </c:pt>
                <c:pt idx="79">
                  <c:v>92020.678063682819</c:v>
                </c:pt>
                <c:pt idx="80">
                  <c:v>89126.847483076912</c:v>
                </c:pt>
                <c:pt idx="81">
                  <c:v>87975.470133901385</c:v>
                </c:pt>
                <c:pt idx="82">
                  <c:v>88347.714558056861</c:v>
                </c:pt>
                <c:pt idx="83">
                  <c:v>89132.504373593372</c:v>
                </c:pt>
                <c:pt idx="84">
                  <c:v>89963.910694870661</c:v>
                </c:pt>
                <c:pt idx="85">
                  <c:v>90222.30120945294</c:v>
                </c:pt>
                <c:pt idx="86">
                  <c:v>88508.90028945361</c:v>
                </c:pt>
                <c:pt idx="87">
                  <c:v>88036.838911266575</c:v>
                </c:pt>
                <c:pt idx="88">
                  <c:v>88310.200278188247</c:v>
                </c:pt>
                <c:pt idx="89">
                  <c:v>87234.430578079846</c:v>
                </c:pt>
                <c:pt idx="90">
                  <c:v>87188.125549624499</c:v>
                </c:pt>
                <c:pt idx="91">
                  <c:v>86764.767314453609</c:v>
                </c:pt>
                <c:pt idx="92">
                  <c:v>86616.400136559343</c:v>
                </c:pt>
                <c:pt idx="93">
                  <c:v>87179.782526029798</c:v>
                </c:pt>
                <c:pt idx="94">
                  <c:v>87793.696667120341</c:v>
                </c:pt>
                <c:pt idx="95">
                  <c:v>89043.299197397864</c:v>
                </c:pt>
                <c:pt idx="96">
                  <c:v>89471.121566856775</c:v>
                </c:pt>
                <c:pt idx="97">
                  <c:v>90399.921252638407</c:v>
                </c:pt>
                <c:pt idx="98">
                  <c:v>88926.87128857254</c:v>
                </c:pt>
                <c:pt idx="99">
                  <c:v>88730.068006756104</c:v>
                </c:pt>
                <c:pt idx="100">
                  <c:v>89493.76244733663</c:v>
                </c:pt>
                <c:pt idx="101">
                  <c:v>92225.797050908121</c:v>
                </c:pt>
                <c:pt idx="102">
                  <c:v>90938.357069980717</c:v>
                </c:pt>
                <c:pt idx="103">
                  <c:v>89878.949295831349</c:v>
                </c:pt>
                <c:pt idx="104">
                  <c:v>91869.024600915058</c:v>
                </c:pt>
                <c:pt idx="105">
                  <c:v>92220.578869873672</c:v>
                </c:pt>
                <c:pt idx="106">
                  <c:v>92445.780671756118</c:v>
                </c:pt>
                <c:pt idx="107">
                  <c:v>91929.873260207154</c:v>
                </c:pt>
                <c:pt idx="108">
                  <c:v>89461.606406571038</c:v>
                </c:pt>
                <c:pt idx="109">
                  <c:v>89836.796893784951</c:v>
                </c:pt>
                <c:pt idx="110">
                  <c:v>90480.527455755699</c:v>
                </c:pt>
                <c:pt idx="111">
                  <c:v>91532.591579008746</c:v>
                </c:pt>
                <c:pt idx="112">
                  <c:v>91547.525219368807</c:v>
                </c:pt>
                <c:pt idx="113">
                  <c:v>90650.163649615279</c:v>
                </c:pt>
                <c:pt idx="114">
                  <c:v>93828.810952519838</c:v>
                </c:pt>
                <c:pt idx="115">
                  <c:v>96347.17950463653</c:v>
                </c:pt>
                <c:pt idx="116">
                  <c:v>96688.949210358522</c:v>
                </c:pt>
                <c:pt idx="117">
                  <c:v>95902.024595614668</c:v>
                </c:pt>
                <c:pt idx="118">
                  <c:v>94190.449656634999</c:v>
                </c:pt>
                <c:pt idx="119">
                  <c:v>94017.02809811967</c:v>
                </c:pt>
                <c:pt idx="120">
                  <c:v>95513.357232520459</c:v>
                </c:pt>
                <c:pt idx="121">
                  <c:v>94760.661661509104</c:v>
                </c:pt>
                <c:pt idx="122">
                  <c:v>94330.122077677501</c:v>
                </c:pt>
                <c:pt idx="123">
                  <c:v>94401.782700754644</c:v>
                </c:pt>
                <c:pt idx="124">
                  <c:v>93666.00696246732</c:v>
                </c:pt>
                <c:pt idx="125">
                  <c:v>93888.563224171608</c:v>
                </c:pt>
                <c:pt idx="126">
                  <c:v>94795.614486330713</c:v>
                </c:pt>
                <c:pt idx="127">
                  <c:v>93656.079635690607</c:v>
                </c:pt>
                <c:pt idx="128">
                  <c:v>94496.989004625502</c:v>
                </c:pt>
                <c:pt idx="129">
                  <c:v>93648.380503841167</c:v>
                </c:pt>
                <c:pt idx="130">
                  <c:v>93234.63022823217</c:v>
                </c:pt>
                <c:pt idx="131">
                  <c:v>93466.283403130059</c:v>
                </c:pt>
                <c:pt idx="132">
                  <c:v>92541.460791847974</c:v>
                </c:pt>
                <c:pt idx="133">
                  <c:v>93188.463308928156</c:v>
                </c:pt>
                <c:pt idx="134">
                  <c:v>93198.371446663703</c:v>
                </c:pt>
                <c:pt idx="135">
                  <c:v>89199.59949147758</c:v>
                </c:pt>
                <c:pt idx="136">
                  <c:v>91007.658448393675</c:v>
                </c:pt>
                <c:pt idx="137">
                  <c:v>92916.007583826096</c:v>
                </c:pt>
                <c:pt idx="138">
                  <c:v>94495.036435073926</c:v>
                </c:pt>
                <c:pt idx="139">
                  <c:v>94687.087726021389</c:v>
                </c:pt>
                <c:pt idx="140">
                  <c:v>93640.036019013365</c:v>
                </c:pt>
                <c:pt idx="141">
                  <c:v>94672.19456881276</c:v>
                </c:pt>
                <c:pt idx="142">
                  <c:v>97511.711080741312</c:v>
                </c:pt>
                <c:pt idx="143">
                  <c:v>96104.605181111459</c:v>
                </c:pt>
                <c:pt idx="144">
                  <c:v>95785.558090520673</c:v>
                </c:pt>
                <c:pt idx="145">
                  <c:v>96163.01426908889</c:v>
                </c:pt>
                <c:pt idx="146">
                  <c:v>97894.083751868238</c:v>
                </c:pt>
                <c:pt idx="147">
                  <c:v>97687.188156235803</c:v>
                </c:pt>
                <c:pt idx="148">
                  <c:v>98929.832571225561</c:v>
                </c:pt>
                <c:pt idx="149">
                  <c:v>98552.910434470832</c:v>
                </c:pt>
                <c:pt idx="150">
                  <c:v>98852.603976694751</c:v>
                </c:pt>
                <c:pt idx="151">
                  <c:v>100146.6376642579</c:v>
                </c:pt>
                <c:pt idx="152">
                  <c:v>101097.42873420789</c:v>
                </c:pt>
                <c:pt idx="153">
                  <c:v>101370.9415387051</c:v>
                </c:pt>
                <c:pt idx="154">
                  <c:v>102173.87716609689</c:v>
                </c:pt>
                <c:pt idx="155">
                  <c:v>102492.98476122957</c:v>
                </c:pt>
                <c:pt idx="156">
                  <c:v>102328.05674627164</c:v>
                </c:pt>
                <c:pt idx="157">
                  <c:v>103547.27186037565</c:v>
                </c:pt>
                <c:pt idx="158">
                  <c:v>104234.56787869394</c:v>
                </c:pt>
                <c:pt idx="159">
                  <c:v>105496.40170752064</c:v>
                </c:pt>
                <c:pt idx="160">
                  <c:v>106425.97180614724</c:v>
                </c:pt>
                <c:pt idx="161">
                  <c:v>105433.35825294885</c:v>
                </c:pt>
                <c:pt idx="162">
                  <c:v>109281.31362820239</c:v>
                </c:pt>
                <c:pt idx="163">
                  <c:v>108811.81781210759</c:v>
                </c:pt>
                <c:pt idx="164">
                  <c:v>109321.9309883541</c:v>
                </c:pt>
                <c:pt idx="165">
                  <c:v>107355.0249038007</c:v>
                </c:pt>
                <c:pt idx="166">
                  <c:v>107291.20560432716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91-4373-ABAF-D07601F85895}"/>
            </c:ext>
          </c:extLst>
        </c:ser>
        <c:ser>
          <c:idx val="1"/>
          <c:order val="1"/>
          <c:tx>
            <c:strRef>
              <c:f>'Ideal - Simple'!$D$1</c:f>
              <c:strCache>
                <c:ptCount val="1"/>
                <c:pt idx="0">
                  <c:v>Arbol de Decision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'Ideal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Simple'!$D$4:$D$170</c:f>
              <c:numCache>
                <c:formatCode>General</c:formatCode>
                <c:ptCount val="167"/>
                <c:pt idx="0">
                  <c:v>100000</c:v>
                </c:pt>
                <c:pt idx="1">
                  <c:v>101401.05998518885</c:v>
                </c:pt>
                <c:pt idx="2">
                  <c:v>99862.319970570854</c:v>
                </c:pt>
                <c:pt idx="3">
                  <c:v>97742.992801108441</c:v>
                </c:pt>
                <c:pt idx="4">
                  <c:v>98476.240112936401</c:v>
                </c:pt>
                <c:pt idx="5">
                  <c:v>98569.402739644196</c:v>
                </c:pt>
                <c:pt idx="6">
                  <c:v>99017.658922575574</c:v>
                </c:pt>
                <c:pt idx="7">
                  <c:v>100760.36358578801</c:v>
                </c:pt>
                <c:pt idx="8">
                  <c:v>102008.71454936726</c:v>
                </c:pt>
                <c:pt idx="9">
                  <c:v>102901.20230588973</c:v>
                </c:pt>
                <c:pt idx="10">
                  <c:v>103914.08846374357</c:v>
                </c:pt>
                <c:pt idx="11">
                  <c:v>101455.03973370303</c:v>
                </c:pt>
                <c:pt idx="12">
                  <c:v>100378.26630253543</c:v>
                </c:pt>
                <c:pt idx="13">
                  <c:v>102577.08455400389</c:v>
                </c:pt>
                <c:pt idx="14">
                  <c:v>101900.77928494792</c:v>
                </c:pt>
                <c:pt idx="15">
                  <c:v>102269.27258727924</c:v>
                </c:pt>
                <c:pt idx="16">
                  <c:v>105102.65215400145</c:v>
                </c:pt>
                <c:pt idx="17">
                  <c:v>103407.81609817149</c:v>
                </c:pt>
                <c:pt idx="18">
                  <c:v>103610.8571224725</c:v>
                </c:pt>
                <c:pt idx="19">
                  <c:v>104198.42610951632</c:v>
                </c:pt>
                <c:pt idx="20">
                  <c:v>102445.56676145819</c:v>
                </c:pt>
                <c:pt idx="21">
                  <c:v>104396.19812807442</c:v>
                </c:pt>
                <c:pt idx="22">
                  <c:v>102283.51345555586</c:v>
                </c:pt>
                <c:pt idx="23">
                  <c:v>102743.65106245931</c:v>
                </c:pt>
                <c:pt idx="24">
                  <c:v>102786.32991831147</c:v>
                </c:pt>
                <c:pt idx="25">
                  <c:v>100046.91468489624</c:v>
                </c:pt>
                <c:pt idx="26">
                  <c:v>97791.871627076791</c:v>
                </c:pt>
                <c:pt idx="27">
                  <c:v>94041.531039958354</c:v>
                </c:pt>
                <c:pt idx="28">
                  <c:v>93573.504998490549</c:v>
                </c:pt>
                <c:pt idx="29">
                  <c:v>92135.809579542067</c:v>
                </c:pt>
                <c:pt idx="30">
                  <c:v>92034.375722546029</c:v>
                </c:pt>
                <c:pt idx="31">
                  <c:v>92257.204417292276</c:v>
                </c:pt>
                <c:pt idx="32">
                  <c:v>91556.233958270896</c:v>
                </c:pt>
                <c:pt idx="33">
                  <c:v>92103.284407263069</c:v>
                </c:pt>
                <c:pt idx="34">
                  <c:v>92763.440158014695</c:v>
                </c:pt>
                <c:pt idx="35">
                  <c:v>93682.582374025558</c:v>
                </c:pt>
                <c:pt idx="36">
                  <c:v>93377.187035200055</c:v>
                </c:pt>
                <c:pt idx="37">
                  <c:v>93571.383227468483</c:v>
                </c:pt>
                <c:pt idx="38">
                  <c:v>92540.513314720913</c:v>
                </c:pt>
                <c:pt idx="39">
                  <c:v>92317.536920948944</c:v>
                </c:pt>
                <c:pt idx="40">
                  <c:v>90470.386002366067</c:v>
                </c:pt>
                <c:pt idx="41">
                  <c:v>92316.538394137882</c:v>
                </c:pt>
                <c:pt idx="42">
                  <c:v>93549.31507738764</c:v>
                </c:pt>
                <c:pt idx="43">
                  <c:v>93726.600964374331</c:v>
                </c:pt>
                <c:pt idx="44">
                  <c:v>92957.48056310181</c:v>
                </c:pt>
                <c:pt idx="45">
                  <c:v>93077.420190792778</c:v>
                </c:pt>
                <c:pt idx="46">
                  <c:v>91655.017268118609</c:v>
                </c:pt>
                <c:pt idx="47">
                  <c:v>90693.070482489667</c:v>
                </c:pt>
                <c:pt idx="48">
                  <c:v>88064.477388516782</c:v>
                </c:pt>
                <c:pt idx="49">
                  <c:v>89445.906849501407</c:v>
                </c:pt>
                <c:pt idx="50">
                  <c:v>91505.43391502848</c:v>
                </c:pt>
                <c:pt idx="51">
                  <c:v>87338.742542094682</c:v>
                </c:pt>
                <c:pt idx="52">
                  <c:v>86914.001640274146</c:v>
                </c:pt>
                <c:pt idx="53">
                  <c:v>85075.158388059746</c:v>
                </c:pt>
                <c:pt idx="54">
                  <c:v>84632.405644706581</c:v>
                </c:pt>
                <c:pt idx="55">
                  <c:v>84134.731209949387</c:v>
                </c:pt>
                <c:pt idx="56">
                  <c:v>84186.325565702529</c:v>
                </c:pt>
                <c:pt idx="57">
                  <c:v>85301.450295334827</c:v>
                </c:pt>
                <c:pt idx="58">
                  <c:v>86796.020583330261</c:v>
                </c:pt>
                <c:pt idx="59">
                  <c:v>86614.168516615289</c:v>
                </c:pt>
                <c:pt idx="60">
                  <c:v>87077.349419878068</c:v>
                </c:pt>
                <c:pt idx="61">
                  <c:v>87057.268135664941</c:v>
                </c:pt>
                <c:pt idx="62">
                  <c:v>85440.212841568034</c:v>
                </c:pt>
                <c:pt idx="63">
                  <c:v>85708.314590930793</c:v>
                </c:pt>
                <c:pt idx="64">
                  <c:v>85836.477293699441</c:v>
                </c:pt>
                <c:pt idx="65">
                  <c:v>85300.543928884916</c:v>
                </c:pt>
                <c:pt idx="66">
                  <c:v>88447.689111579792</c:v>
                </c:pt>
                <c:pt idx="67">
                  <c:v>88519.515506834097</c:v>
                </c:pt>
                <c:pt idx="68">
                  <c:v>87531.785141441404</c:v>
                </c:pt>
                <c:pt idx="69">
                  <c:v>87128.903995051951</c:v>
                </c:pt>
                <c:pt idx="70">
                  <c:v>89341.716277888772</c:v>
                </c:pt>
                <c:pt idx="71">
                  <c:v>89058.68866224277</c:v>
                </c:pt>
                <c:pt idx="72">
                  <c:v>88623.370915385065</c:v>
                </c:pt>
                <c:pt idx="73">
                  <c:v>87548.52194391629</c:v>
                </c:pt>
                <c:pt idx="74">
                  <c:v>88438.143543790342</c:v>
                </c:pt>
                <c:pt idx="75">
                  <c:v>88759.972161300248</c:v>
                </c:pt>
                <c:pt idx="76">
                  <c:v>89076.949166741688</c:v>
                </c:pt>
                <c:pt idx="77">
                  <c:v>89131.237130427064</c:v>
                </c:pt>
                <c:pt idx="78">
                  <c:v>90348.111870812354</c:v>
                </c:pt>
                <c:pt idx="79">
                  <c:v>90731.617148524543</c:v>
                </c:pt>
                <c:pt idx="80">
                  <c:v>87837.786567918636</c:v>
                </c:pt>
                <c:pt idx="81">
                  <c:v>86686.409218743109</c:v>
                </c:pt>
                <c:pt idx="82">
                  <c:v>87058.653642898586</c:v>
                </c:pt>
                <c:pt idx="83">
                  <c:v>87843.443458435097</c:v>
                </c:pt>
                <c:pt idx="84">
                  <c:v>88674.849779712385</c:v>
                </c:pt>
                <c:pt idx="85">
                  <c:v>88933.240294294665</c:v>
                </c:pt>
                <c:pt idx="86">
                  <c:v>87219.839374295334</c:v>
                </c:pt>
                <c:pt idx="87">
                  <c:v>86747.7779961083</c:v>
                </c:pt>
                <c:pt idx="88">
                  <c:v>87021.139363029972</c:v>
                </c:pt>
                <c:pt idx="89">
                  <c:v>85945.36966292157</c:v>
                </c:pt>
                <c:pt idx="90">
                  <c:v>85899.064634466224</c:v>
                </c:pt>
                <c:pt idx="91">
                  <c:v>85475.706399295334</c:v>
                </c:pt>
                <c:pt idx="92">
                  <c:v>85612.0735771896</c:v>
                </c:pt>
                <c:pt idx="93">
                  <c:v>86175.455966660054</c:v>
                </c:pt>
                <c:pt idx="94">
                  <c:v>86789.370107750598</c:v>
                </c:pt>
                <c:pt idx="95">
                  <c:v>88038.972638028121</c:v>
                </c:pt>
                <c:pt idx="96">
                  <c:v>88466.795007487031</c:v>
                </c:pt>
                <c:pt idx="97">
                  <c:v>89395.594693268664</c:v>
                </c:pt>
                <c:pt idx="98">
                  <c:v>87922.544729202797</c:v>
                </c:pt>
                <c:pt idx="99">
                  <c:v>87725.741447386361</c:v>
                </c:pt>
                <c:pt idx="100">
                  <c:v>88489.435887966887</c:v>
                </c:pt>
                <c:pt idx="101">
                  <c:v>91221.470491538377</c:v>
                </c:pt>
                <c:pt idx="102">
                  <c:v>89934.030510610974</c:v>
                </c:pt>
                <c:pt idx="103">
                  <c:v>88874.622736461606</c:v>
                </c:pt>
                <c:pt idx="104">
                  <c:v>90864.698041545314</c:v>
                </c:pt>
                <c:pt idx="105">
                  <c:v>91216.252310503929</c:v>
                </c:pt>
                <c:pt idx="106">
                  <c:v>91441.454112386375</c:v>
                </c:pt>
                <c:pt idx="107">
                  <c:v>90925.546700837411</c:v>
                </c:pt>
                <c:pt idx="108">
                  <c:v>88457.279847201295</c:v>
                </c:pt>
                <c:pt idx="109">
                  <c:v>88832.470334415208</c:v>
                </c:pt>
                <c:pt idx="110">
                  <c:v>89476.200896385955</c:v>
                </c:pt>
                <c:pt idx="111">
                  <c:v>90528.265019639002</c:v>
                </c:pt>
                <c:pt idx="112">
                  <c:v>90501.331379278941</c:v>
                </c:pt>
                <c:pt idx="113">
                  <c:v>91386.692949032469</c:v>
                </c:pt>
                <c:pt idx="114">
                  <c:v>94565.340251937028</c:v>
                </c:pt>
                <c:pt idx="115">
                  <c:v>97083.70880405372</c:v>
                </c:pt>
                <c:pt idx="116">
                  <c:v>97425.478509775712</c:v>
                </c:pt>
                <c:pt idx="117">
                  <c:v>96638.553895031859</c:v>
                </c:pt>
                <c:pt idx="118">
                  <c:v>94926.978956052189</c:v>
                </c:pt>
                <c:pt idx="119">
                  <c:v>94753.557397536861</c:v>
                </c:pt>
                <c:pt idx="120">
                  <c:v>96249.886531937649</c:v>
                </c:pt>
                <c:pt idx="121">
                  <c:v>95497.190960926295</c:v>
                </c:pt>
                <c:pt idx="122">
                  <c:v>95066.651377094691</c:v>
                </c:pt>
                <c:pt idx="123">
                  <c:v>95138.312000171834</c:v>
                </c:pt>
                <c:pt idx="124">
                  <c:v>95862.087738459159</c:v>
                </c:pt>
                <c:pt idx="125">
                  <c:v>96084.644000163447</c:v>
                </c:pt>
                <c:pt idx="126">
                  <c:v>96991.695262322552</c:v>
                </c:pt>
                <c:pt idx="127">
                  <c:v>95852.160411682446</c:v>
                </c:pt>
                <c:pt idx="128">
                  <c:v>96693.069780617341</c:v>
                </c:pt>
                <c:pt idx="129">
                  <c:v>95844.461279833005</c:v>
                </c:pt>
                <c:pt idx="130">
                  <c:v>95430.711004224009</c:v>
                </c:pt>
                <c:pt idx="131">
                  <c:v>95662.364179121898</c:v>
                </c:pt>
                <c:pt idx="132">
                  <c:v>94737.541567839813</c:v>
                </c:pt>
                <c:pt idx="133">
                  <c:v>95384.544084919995</c:v>
                </c:pt>
                <c:pt idx="134">
                  <c:v>95394.452222655542</c:v>
                </c:pt>
                <c:pt idx="135">
                  <c:v>91395.680267469419</c:v>
                </c:pt>
                <c:pt idx="136">
                  <c:v>93203.739224385514</c:v>
                </c:pt>
                <c:pt idx="137">
                  <c:v>95112.088359817935</c:v>
                </c:pt>
                <c:pt idx="138">
                  <c:v>96691.117211065764</c:v>
                </c:pt>
                <c:pt idx="139">
                  <c:v>96883.168502013228</c:v>
                </c:pt>
                <c:pt idx="140">
                  <c:v>95836.116795005204</c:v>
                </c:pt>
                <c:pt idx="141">
                  <c:v>96868.275344804599</c:v>
                </c:pt>
                <c:pt idx="142">
                  <c:v>99707.791856733151</c:v>
                </c:pt>
                <c:pt idx="143">
                  <c:v>98300.685957103298</c:v>
                </c:pt>
                <c:pt idx="144">
                  <c:v>98607.733047694084</c:v>
                </c:pt>
                <c:pt idx="145">
                  <c:v>98985.189226262301</c:v>
                </c:pt>
                <c:pt idx="146">
                  <c:v>100716.25870904165</c:v>
                </c:pt>
                <c:pt idx="147">
                  <c:v>100509.36311340921</c:v>
                </c:pt>
                <c:pt idx="148">
                  <c:v>101752.00752839897</c:v>
                </c:pt>
                <c:pt idx="149">
                  <c:v>101375.08539164424</c:v>
                </c:pt>
                <c:pt idx="150">
                  <c:v>101674.77893386816</c:v>
                </c:pt>
                <c:pt idx="151">
                  <c:v>102968.81262143131</c:v>
                </c:pt>
                <c:pt idx="152">
                  <c:v>103919.6036913813</c:v>
                </c:pt>
                <c:pt idx="153">
                  <c:v>104193.11649587851</c:v>
                </c:pt>
                <c:pt idx="154">
                  <c:v>103378.18086848671</c:v>
                </c:pt>
                <c:pt idx="155">
                  <c:v>103697.28846361939</c:v>
                </c:pt>
                <c:pt idx="156">
                  <c:v>103850.21647857732</c:v>
                </c:pt>
                <c:pt idx="157">
                  <c:v>105069.43159268133</c:v>
                </c:pt>
                <c:pt idx="158">
                  <c:v>105756.72761099962</c:v>
                </c:pt>
                <c:pt idx="159">
                  <c:v>107018.56143982631</c:v>
                </c:pt>
                <c:pt idx="160">
                  <c:v>107948.13153845292</c:v>
                </c:pt>
                <c:pt idx="161">
                  <c:v>106955.51798525453</c:v>
                </c:pt>
                <c:pt idx="162">
                  <c:v>110803.47336050807</c:v>
                </c:pt>
                <c:pt idx="163">
                  <c:v>110333.97754441327</c:v>
                </c:pt>
                <c:pt idx="164">
                  <c:v>110844.09072065978</c:v>
                </c:pt>
                <c:pt idx="165">
                  <c:v>108877.18463610638</c:v>
                </c:pt>
                <c:pt idx="166">
                  <c:v>108813.36533663284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91-4373-ABAF-D07601F85895}"/>
            </c:ext>
          </c:extLst>
        </c:ser>
        <c:ser>
          <c:idx val="2"/>
          <c:order val="2"/>
          <c:tx>
            <c:strRef>
              <c:f>'Ideal - Simple'!$E$1</c:f>
              <c:strCache>
                <c:ptCount val="1"/>
                <c:pt idx="0">
                  <c:v>SVR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'Ideal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Simple'!$E$4:$E$170</c:f>
              <c:numCache>
                <c:formatCode>General</c:formatCode>
                <c:ptCount val="167"/>
                <c:pt idx="0">
                  <c:v>100000</c:v>
                </c:pt>
                <c:pt idx="1">
                  <c:v>101401.05998518885</c:v>
                </c:pt>
                <c:pt idx="2">
                  <c:v>99862.319970570854</c:v>
                </c:pt>
                <c:pt idx="3">
                  <c:v>97742.992801108441</c:v>
                </c:pt>
                <c:pt idx="4">
                  <c:v>98476.240112936401</c:v>
                </c:pt>
                <c:pt idx="5">
                  <c:v>98569.402739644196</c:v>
                </c:pt>
                <c:pt idx="6">
                  <c:v>99017.658922575574</c:v>
                </c:pt>
                <c:pt idx="7">
                  <c:v>100760.36358578801</c:v>
                </c:pt>
                <c:pt idx="8">
                  <c:v>99500.012622208771</c:v>
                </c:pt>
                <c:pt idx="9">
                  <c:v>98595.524865686297</c:v>
                </c:pt>
                <c:pt idx="10">
                  <c:v>97570.638707832462</c:v>
                </c:pt>
                <c:pt idx="11">
                  <c:v>100017.687437873</c:v>
                </c:pt>
                <c:pt idx="12">
                  <c:v>98940.914006705396</c:v>
                </c:pt>
                <c:pt idx="13">
                  <c:v>101139.73225817386</c:v>
                </c:pt>
                <c:pt idx="14">
                  <c:v>100463.42698911788</c:v>
                </c:pt>
                <c:pt idx="15">
                  <c:v>100831.92029144921</c:v>
                </c:pt>
                <c:pt idx="16">
                  <c:v>103665.29985817142</c:v>
                </c:pt>
                <c:pt idx="17">
                  <c:v>105348.13591400138</c:v>
                </c:pt>
                <c:pt idx="18">
                  <c:v>105133.09488970037</c:v>
                </c:pt>
                <c:pt idx="19">
                  <c:v>104533.52590265655</c:v>
                </c:pt>
                <c:pt idx="20">
                  <c:v>106274.38525071468</c:v>
                </c:pt>
                <c:pt idx="21">
                  <c:v>108225.01661733091</c:v>
                </c:pt>
                <c:pt idx="22">
                  <c:v>106112.33194481235</c:v>
                </c:pt>
                <c:pt idx="23">
                  <c:v>106572.4695517158</c:v>
                </c:pt>
                <c:pt idx="24">
                  <c:v>106517.79069586363</c:v>
                </c:pt>
                <c:pt idx="25">
                  <c:v>103778.3754624484</c:v>
                </c:pt>
                <c:pt idx="26">
                  <c:v>106021.41852026785</c:v>
                </c:pt>
                <c:pt idx="27">
                  <c:v>109759.75910738629</c:v>
                </c:pt>
                <c:pt idx="28">
                  <c:v>109291.73306591848</c:v>
                </c:pt>
                <c:pt idx="29">
                  <c:v>107854.03764697</c:v>
                </c:pt>
                <c:pt idx="30">
                  <c:v>107943.47150396604</c:v>
                </c:pt>
                <c:pt idx="31">
                  <c:v>107708.64280921979</c:v>
                </c:pt>
                <c:pt idx="32">
                  <c:v>108397.61326824117</c:v>
                </c:pt>
                <c:pt idx="33">
                  <c:v>107838.562819249</c:v>
                </c:pt>
                <c:pt idx="34">
                  <c:v>107166.40706849737</c:v>
                </c:pt>
                <c:pt idx="35">
                  <c:v>106235.26485248651</c:v>
                </c:pt>
                <c:pt idx="36">
                  <c:v>106528.66019131201</c:v>
                </c:pt>
                <c:pt idx="37">
                  <c:v>106322.46399904358</c:v>
                </c:pt>
                <c:pt idx="38">
                  <c:v>107341.33391179115</c:v>
                </c:pt>
                <c:pt idx="39">
                  <c:v>107118.35751801918</c:v>
                </c:pt>
                <c:pt idx="40">
                  <c:v>108953.50843660206</c:v>
                </c:pt>
                <c:pt idx="41">
                  <c:v>107095.35604483025</c:v>
                </c:pt>
                <c:pt idx="42">
                  <c:v>105850.57936158049</c:v>
                </c:pt>
                <c:pt idx="43">
                  <c:v>105661.2934745938</c:v>
                </c:pt>
                <c:pt idx="44">
                  <c:v>106418.41387586632</c:v>
                </c:pt>
                <c:pt idx="45">
                  <c:v>106538.35350355729</c:v>
                </c:pt>
                <c:pt idx="46">
                  <c:v>107948.75642623146</c:v>
                </c:pt>
                <c:pt idx="47">
                  <c:v>108898.7032118604</c:v>
                </c:pt>
                <c:pt idx="48">
                  <c:v>106270.11011788751</c:v>
                </c:pt>
                <c:pt idx="49">
                  <c:v>104876.68065690288</c:v>
                </c:pt>
                <c:pt idx="50">
                  <c:v>102805.15359137581</c:v>
                </c:pt>
                <c:pt idx="51">
                  <c:v>98638.462218442015</c:v>
                </c:pt>
                <c:pt idx="52">
                  <c:v>98213.721316621479</c:v>
                </c:pt>
                <c:pt idx="53">
                  <c:v>100040.56456883588</c:v>
                </c:pt>
                <c:pt idx="54">
                  <c:v>100471.31731218904</c:v>
                </c:pt>
                <c:pt idx="55">
                  <c:v>100956.99174694624</c:v>
                </c:pt>
                <c:pt idx="56">
                  <c:v>101008.58610269938</c:v>
                </c:pt>
                <c:pt idx="57">
                  <c:v>99881.461373067083</c:v>
                </c:pt>
                <c:pt idx="58">
                  <c:v>101376.03166106252</c:v>
                </c:pt>
                <c:pt idx="59">
                  <c:v>101545.88372777749</c:v>
                </c:pt>
                <c:pt idx="60">
                  <c:v>101070.70282451471</c:v>
                </c:pt>
                <c:pt idx="61">
                  <c:v>101050.62154030158</c:v>
                </c:pt>
                <c:pt idx="62">
                  <c:v>99433.566246204675</c:v>
                </c:pt>
                <c:pt idx="63">
                  <c:v>99153.464496841916</c:v>
                </c:pt>
                <c:pt idx="64">
                  <c:v>99013.301794073268</c:v>
                </c:pt>
                <c:pt idx="65">
                  <c:v>99537.235158887794</c:v>
                </c:pt>
                <c:pt idx="66">
                  <c:v>96378.089976192918</c:v>
                </c:pt>
                <c:pt idx="67">
                  <c:v>96294.263580938612</c:v>
                </c:pt>
                <c:pt idx="68">
                  <c:v>97269.993946331306</c:v>
                </c:pt>
                <c:pt idx="69">
                  <c:v>97660.875092720758</c:v>
                </c:pt>
                <c:pt idx="70">
                  <c:v>95436.062809883937</c:v>
                </c:pt>
                <c:pt idx="71">
                  <c:v>95707.090425529939</c:v>
                </c:pt>
                <c:pt idx="72">
                  <c:v>96130.408172387644</c:v>
                </c:pt>
                <c:pt idx="73">
                  <c:v>97193.257143856419</c:v>
                </c:pt>
                <c:pt idx="74">
                  <c:v>96291.635543982367</c:v>
                </c:pt>
                <c:pt idx="75">
                  <c:v>95957.806926472462</c:v>
                </c:pt>
                <c:pt idx="76">
                  <c:v>95628.829921031022</c:v>
                </c:pt>
                <c:pt idx="77">
                  <c:v>95683.117884716397</c:v>
                </c:pt>
                <c:pt idx="78">
                  <c:v>96899.992625101688</c:v>
                </c:pt>
                <c:pt idx="79">
                  <c:v>97283.497902813877</c:v>
                </c:pt>
                <c:pt idx="80">
                  <c:v>94389.66732220797</c:v>
                </c:pt>
                <c:pt idx="81">
                  <c:v>93238.289973032443</c:v>
                </c:pt>
                <c:pt idx="82">
                  <c:v>93610.534397187919</c:v>
                </c:pt>
                <c:pt idx="83">
                  <c:v>94395.32421272443</c:v>
                </c:pt>
                <c:pt idx="84">
                  <c:v>95226.730534001719</c:v>
                </c:pt>
                <c:pt idx="85">
                  <c:v>95485.121048583998</c:v>
                </c:pt>
                <c:pt idx="86">
                  <c:v>93771.720128584668</c:v>
                </c:pt>
                <c:pt idx="87">
                  <c:v>94231.781506771702</c:v>
                </c:pt>
                <c:pt idx="88">
                  <c:v>94505.142873693374</c:v>
                </c:pt>
                <c:pt idx="89">
                  <c:v>93429.373173584972</c:v>
                </c:pt>
                <c:pt idx="90">
                  <c:v>93463.678202040319</c:v>
                </c:pt>
                <c:pt idx="91">
                  <c:v>93875.036437211209</c:v>
                </c:pt>
                <c:pt idx="92">
                  <c:v>93726.669259316943</c:v>
                </c:pt>
                <c:pt idx="93">
                  <c:v>93151.286869846488</c:v>
                </c:pt>
                <c:pt idx="94">
                  <c:v>92525.372728755945</c:v>
                </c:pt>
                <c:pt idx="95">
                  <c:v>91263.770198478422</c:v>
                </c:pt>
                <c:pt idx="96">
                  <c:v>90823.947829019511</c:v>
                </c:pt>
                <c:pt idx="97">
                  <c:v>89883.148143237879</c:v>
                </c:pt>
                <c:pt idx="98">
                  <c:v>91344.198107303746</c:v>
                </c:pt>
                <c:pt idx="99">
                  <c:v>91529.001389120182</c:v>
                </c:pt>
                <c:pt idx="100">
                  <c:v>90753.306948539655</c:v>
                </c:pt>
                <c:pt idx="101">
                  <c:v>88009.272344968165</c:v>
                </c:pt>
                <c:pt idx="102">
                  <c:v>89284.712325895569</c:v>
                </c:pt>
                <c:pt idx="103">
                  <c:v>90332.120100044936</c:v>
                </c:pt>
                <c:pt idx="104">
                  <c:v>88330.044794961228</c:v>
                </c:pt>
                <c:pt idx="105">
                  <c:v>87966.490526002613</c:v>
                </c:pt>
                <c:pt idx="106">
                  <c:v>87729.288724120168</c:v>
                </c:pt>
                <c:pt idx="107">
                  <c:v>88233.196135669132</c:v>
                </c:pt>
                <c:pt idx="108">
                  <c:v>90689.462989305248</c:v>
                </c:pt>
                <c:pt idx="109">
                  <c:v>91064.653476519161</c:v>
                </c:pt>
                <c:pt idx="110">
                  <c:v>91708.384038489909</c:v>
                </c:pt>
                <c:pt idx="111">
                  <c:v>92760.448161742956</c:v>
                </c:pt>
                <c:pt idx="112">
                  <c:v>92775.381802103017</c:v>
                </c:pt>
                <c:pt idx="113">
                  <c:v>93660.743371856544</c:v>
                </c:pt>
                <c:pt idx="114">
                  <c:v>90470.096068951985</c:v>
                </c:pt>
                <c:pt idx="115">
                  <c:v>92988.464621068677</c:v>
                </c:pt>
                <c:pt idx="116">
                  <c:v>93330.234326790669</c:v>
                </c:pt>
                <c:pt idx="117">
                  <c:v>94105.158941534522</c:v>
                </c:pt>
                <c:pt idx="118">
                  <c:v>95804.733880514192</c:v>
                </c:pt>
                <c:pt idx="119">
                  <c:v>95631.312321998863</c:v>
                </c:pt>
                <c:pt idx="120">
                  <c:v>94122.983187598074</c:v>
                </c:pt>
                <c:pt idx="121">
                  <c:v>94863.678758609429</c:v>
                </c:pt>
                <c:pt idx="122">
                  <c:v>95282.218342441032</c:v>
                </c:pt>
                <c:pt idx="123">
                  <c:v>95353.878965518175</c:v>
                </c:pt>
                <c:pt idx="124">
                  <c:v>96077.6547038055</c:v>
                </c:pt>
                <c:pt idx="125">
                  <c:v>96300.210965509788</c:v>
                </c:pt>
                <c:pt idx="126">
                  <c:v>97207.262227668893</c:v>
                </c:pt>
                <c:pt idx="127">
                  <c:v>96067.727377028787</c:v>
                </c:pt>
                <c:pt idx="128">
                  <c:v>96908.636745963682</c:v>
                </c:pt>
                <c:pt idx="129">
                  <c:v>97745.245246748018</c:v>
                </c:pt>
                <c:pt idx="130">
                  <c:v>97331.494971139022</c:v>
                </c:pt>
                <c:pt idx="131">
                  <c:v>97087.841796241133</c:v>
                </c:pt>
                <c:pt idx="132">
                  <c:v>96163.019184959048</c:v>
                </c:pt>
                <c:pt idx="133">
                  <c:v>96810.02170203923</c:v>
                </c:pt>
                <c:pt idx="134">
                  <c:v>96819.929839774777</c:v>
                </c:pt>
                <c:pt idx="135">
                  <c:v>92821.157884588654</c:v>
                </c:pt>
                <c:pt idx="136">
                  <c:v>94629.216841504749</c:v>
                </c:pt>
                <c:pt idx="137">
                  <c:v>96537.56597693717</c:v>
                </c:pt>
                <c:pt idx="138">
                  <c:v>98116.594828185</c:v>
                </c:pt>
                <c:pt idx="139">
                  <c:v>98308.646119132463</c:v>
                </c:pt>
                <c:pt idx="140">
                  <c:v>97261.594412124439</c:v>
                </c:pt>
                <c:pt idx="141">
                  <c:v>98293.752961923834</c:v>
                </c:pt>
                <c:pt idx="142">
                  <c:v>101133.26947385239</c:v>
                </c:pt>
                <c:pt idx="143">
                  <c:v>99726.163574222533</c:v>
                </c:pt>
                <c:pt idx="144">
                  <c:v>100033.21066481332</c:v>
                </c:pt>
                <c:pt idx="145">
                  <c:v>99643.754486245103</c:v>
                </c:pt>
                <c:pt idx="146">
                  <c:v>101374.82396902445</c:v>
                </c:pt>
                <c:pt idx="147">
                  <c:v>101167.92837339202</c:v>
                </c:pt>
                <c:pt idx="148">
                  <c:v>102410.57278838177</c:v>
                </c:pt>
                <c:pt idx="149">
                  <c:v>102033.65065162705</c:v>
                </c:pt>
                <c:pt idx="150">
                  <c:v>102333.34419385096</c:v>
                </c:pt>
                <c:pt idx="151">
                  <c:v>103627.37788141411</c:v>
                </c:pt>
                <c:pt idx="152">
                  <c:v>104578.1689513641</c:v>
                </c:pt>
                <c:pt idx="153">
                  <c:v>104292.6561468669</c:v>
                </c:pt>
                <c:pt idx="154">
                  <c:v>103477.7205194751</c:v>
                </c:pt>
                <c:pt idx="155">
                  <c:v>103796.82811460778</c:v>
                </c:pt>
                <c:pt idx="156">
                  <c:v>103949.75612956571</c:v>
                </c:pt>
                <c:pt idx="157">
                  <c:v>105168.97124366972</c:v>
                </c:pt>
                <c:pt idx="158">
                  <c:v>104469.67522535143</c:v>
                </c:pt>
                <c:pt idx="159">
                  <c:v>103195.84139652473</c:v>
                </c:pt>
                <c:pt idx="160">
                  <c:v>104125.41149515133</c:v>
                </c:pt>
                <c:pt idx="161">
                  <c:v>103132.79794195294</c:v>
                </c:pt>
                <c:pt idx="162">
                  <c:v>106980.75331720649</c:v>
                </c:pt>
                <c:pt idx="163">
                  <c:v>106511.25750111169</c:v>
                </c:pt>
                <c:pt idx="164">
                  <c:v>107021.37067735819</c:v>
                </c:pt>
                <c:pt idx="165">
                  <c:v>105054.4645928048</c:v>
                </c:pt>
                <c:pt idx="166">
                  <c:v>104990.64529333125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391-4373-ABAF-D07601F85895}"/>
            </c:ext>
          </c:extLst>
        </c:ser>
        <c:ser>
          <c:idx val="3"/>
          <c:order val="3"/>
          <c:tx>
            <c:strRef>
              <c:f>'Ideal - Simple'!$F$1</c:f>
              <c:strCache>
                <c:ptCount val="1"/>
                <c:pt idx="0">
                  <c:v>Regresión Polinomica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'Ideal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Simple'!$F$4:$F$170</c:f>
              <c:numCache>
                <c:formatCode>General</c:formatCode>
                <c:ptCount val="167"/>
                <c:pt idx="0">
                  <c:v>100000</c:v>
                </c:pt>
                <c:pt idx="1">
                  <c:v>98586.940014811145</c:v>
                </c:pt>
                <c:pt idx="2">
                  <c:v>97048.200000193145</c:v>
                </c:pt>
                <c:pt idx="3">
                  <c:v>94928.872830730732</c:v>
                </c:pt>
                <c:pt idx="4">
                  <c:v>95662.120142558691</c:v>
                </c:pt>
                <c:pt idx="5">
                  <c:v>95755.282769266487</c:v>
                </c:pt>
                <c:pt idx="6">
                  <c:v>96203.538952197865</c:v>
                </c:pt>
                <c:pt idx="7">
                  <c:v>97946.243615410305</c:v>
                </c:pt>
                <c:pt idx="8">
                  <c:v>99194.594578989549</c:v>
                </c:pt>
                <c:pt idx="9">
                  <c:v>100087.08233551202</c:v>
                </c:pt>
                <c:pt idx="10">
                  <c:v>101099.96849336586</c:v>
                </c:pt>
                <c:pt idx="11">
                  <c:v>98640.919763325321</c:v>
                </c:pt>
                <c:pt idx="12">
                  <c:v>97564.146332157718</c:v>
                </c:pt>
                <c:pt idx="13">
                  <c:v>99762.964583626177</c:v>
                </c:pt>
                <c:pt idx="14">
                  <c:v>100427.26985268215</c:v>
                </c:pt>
                <c:pt idx="15">
                  <c:v>100046.77655035083</c:v>
                </c:pt>
                <c:pt idx="16">
                  <c:v>102880.15611707304</c:v>
                </c:pt>
                <c:pt idx="17">
                  <c:v>104562.992172903</c:v>
                </c:pt>
                <c:pt idx="18">
                  <c:v>104347.95114860199</c:v>
                </c:pt>
                <c:pt idx="19">
                  <c:v>103748.38216155817</c:v>
                </c:pt>
                <c:pt idx="20">
                  <c:v>105489.2415096163</c:v>
                </c:pt>
                <c:pt idx="21">
                  <c:v>107439.87287623253</c:v>
                </c:pt>
                <c:pt idx="22">
                  <c:v>109540.55754875109</c:v>
                </c:pt>
                <c:pt idx="23">
                  <c:v>109068.41994184765</c:v>
                </c:pt>
                <c:pt idx="24">
                  <c:v>109111.09879769981</c:v>
                </c:pt>
                <c:pt idx="25">
                  <c:v>111838.51403111505</c:v>
                </c:pt>
                <c:pt idx="26">
                  <c:v>114081.5570889345</c:v>
                </c:pt>
                <c:pt idx="27">
                  <c:v>117819.89767605293</c:v>
                </c:pt>
                <c:pt idx="28">
                  <c:v>118275.92371752074</c:v>
                </c:pt>
                <c:pt idx="29">
                  <c:v>116838.22829857226</c:v>
                </c:pt>
                <c:pt idx="30">
                  <c:v>116927.66215556829</c:v>
                </c:pt>
                <c:pt idx="31">
                  <c:v>116692.83346082205</c:v>
                </c:pt>
                <c:pt idx="32">
                  <c:v>117381.80391984343</c:v>
                </c:pt>
                <c:pt idx="33">
                  <c:v>116822.75347085125</c:v>
                </c:pt>
                <c:pt idx="34">
                  <c:v>116150.59772009963</c:v>
                </c:pt>
                <c:pt idx="35">
                  <c:v>115219.45550408876</c:v>
                </c:pt>
                <c:pt idx="36">
                  <c:v>114914.06016526326</c:v>
                </c:pt>
                <c:pt idx="37">
                  <c:v>114707.86397299483</c:v>
                </c:pt>
                <c:pt idx="38">
                  <c:v>113676.99406024726</c:v>
                </c:pt>
                <c:pt idx="39">
                  <c:v>113887.97045401923</c:v>
                </c:pt>
                <c:pt idx="40">
                  <c:v>112040.81953543636</c:v>
                </c:pt>
                <c:pt idx="41">
                  <c:v>113886.97192720817</c:v>
                </c:pt>
                <c:pt idx="42">
                  <c:v>115119.74861045793</c:v>
                </c:pt>
                <c:pt idx="43">
                  <c:v>115297.03449744462</c:v>
                </c:pt>
                <c:pt idx="44">
                  <c:v>114527.9140961721</c:v>
                </c:pt>
                <c:pt idx="45">
                  <c:v>114395.97446848113</c:v>
                </c:pt>
                <c:pt idx="46">
                  <c:v>112973.57154580696</c:v>
                </c:pt>
                <c:pt idx="47">
                  <c:v>112011.62476017802</c:v>
                </c:pt>
                <c:pt idx="48">
                  <c:v>114628.21785415091</c:v>
                </c:pt>
                <c:pt idx="49">
                  <c:v>116009.64731513553</c:v>
                </c:pt>
                <c:pt idx="50">
                  <c:v>118069.1743806626</c:v>
                </c:pt>
                <c:pt idx="51">
                  <c:v>113902.48300772881</c:v>
                </c:pt>
                <c:pt idx="52">
                  <c:v>113477.74210590827</c:v>
                </c:pt>
                <c:pt idx="53">
                  <c:v>115304.58535812267</c:v>
                </c:pt>
                <c:pt idx="54">
                  <c:v>115735.33810147583</c:v>
                </c:pt>
                <c:pt idx="55">
                  <c:v>116221.01253623303</c:v>
                </c:pt>
                <c:pt idx="56">
                  <c:v>116272.60689198617</c:v>
                </c:pt>
                <c:pt idx="57">
                  <c:v>115145.48216235387</c:v>
                </c:pt>
                <c:pt idx="58">
                  <c:v>116640.05245034931</c:v>
                </c:pt>
                <c:pt idx="59">
                  <c:v>116809.90451706428</c:v>
                </c:pt>
                <c:pt idx="60">
                  <c:v>116334.7236138015</c:v>
                </c:pt>
                <c:pt idx="61">
                  <c:v>116314.64232958837</c:v>
                </c:pt>
                <c:pt idx="62">
                  <c:v>114697.58703549147</c:v>
                </c:pt>
                <c:pt idx="63">
                  <c:v>114417.48528612871</c:v>
                </c:pt>
                <c:pt idx="64">
                  <c:v>114277.32258336006</c:v>
                </c:pt>
                <c:pt idx="65">
                  <c:v>114801.25594817458</c:v>
                </c:pt>
                <c:pt idx="66">
                  <c:v>111642.11076547971</c:v>
                </c:pt>
                <c:pt idx="67">
                  <c:v>111558.2843702254</c:v>
                </c:pt>
                <c:pt idx="68">
                  <c:v>112534.0147356181</c:v>
                </c:pt>
                <c:pt idx="69">
                  <c:v>112924.89588200755</c:v>
                </c:pt>
                <c:pt idx="70">
                  <c:v>110700.08359917073</c:v>
                </c:pt>
                <c:pt idx="71">
                  <c:v>110971.11121481673</c:v>
                </c:pt>
                <c:pt idx="72">
                  <c:v>111394.42896167444</c:v>
                </c:pt>
                <c:pt idx="73">
                  <c:v>112457.27793314321</c:v>
                </c:pt>
                <c:pt idx="74">
                  <c:v>111555.65633326916</c:v>
                </c:pt>
                <c:pt idx="75">
                  <c:v>111221.82771575925</c:v>
                </c:pt>
                <c:pt idx="76">
                  <c:v>110892.85071031781</c:v>
                </c:pt>
                <c:pt idx="77">
                  <c:v>110947.13867400319</c:v>
                </c:pt>
                <c:pt idx="78">
                  <c:v>112164.01341438848</c:v>
                </c:pt>
                <c:pt idx="79">
                  <c:v>112547.51869210067</c:v>
                </c:pt>
                <c:pt idx="80">
                  <c:v>109653.68811149476</c:v>
                </c:pt>
                <c:pt idx="81">
                  <c:v>108502.31076231923</c:v>
                </c:pt>
                <c:pt idx="82">
                  <c:v>108874.55518647471</c:v>
                </c:pt>
                <c:pt idx="83">
                  <c:v>109659.34500201122</c:v>
                </c:pt>
                <c:pt idx="84">
                  <c:v>110490.75132328851</c:v>
                </c:pt>
                <c:pt idx="85">
                  <c:v>110749.14183787079</c:v>
                </c:pt>
                <c:pt idx="86">
                  <c:v>109035.74091787146</c:v>
                </c:pt>
                <c:pt idx="87">
                  <c:v>109495.80229605849</c:v>
                </c:pt>
                <c:pt idx="88">
                  <c:v>109769.16366298017</c:v>
                </c:pt>
                <c:pt idx="89">
                  <c:v>108693.39396287176</c:v>
                </c:pt>
                <c:pt idx="90">
                  <c:v>108727.69899132711</c:v>
                </c:pt>
                <c:pt idx="91">
                  <c:v>109139.057226498</c:v>
                </c:pt>
                <c:pt idx="92">
                  <c:v>108990.69004860373</c:v>
                </c:pt>
                <c:pt idx="93">
                  <c:v>108415.30765913328</c:v>
                </c:pt>
                <c:pt idx="94">
                  <c:v>107789.39351804274</c:v>
                </c:pt>
                <c:pt idx="95">
                  <c:v>106527.79098776521</c:v>
                </c:pt>
                <c:pt idx="96">
                  <c:v>106087.9686183063</c:v>
                </c:pt>
                <c:pt idx="97">
                  <c:v>105147.16893252467</c:v>
                </c:pt>
                <c:pt idx="98">
                  <c:v>106608.21889659054</c:v>
                </c:pt>
                <c:pt idx="99">
                  <c:v>106793.02217840697</c:v>
                </c:pt>
                <c:pt idx="100">
                  <c:v>106017.32773782645</c:v>
                </c:pt>
                <c:pt idx="101">
                  <c:v>103273.29313425496</c:v>
                </c:pt>
                <c:pt idx="102">
                  <c:v>104548.73311518236</c:v>
                </c:pt>
                <c:pt idx="103">
                  <c:v>105596.14088933173</c:v>
                </c:pt>
                <c:pt idx="104">
                  <c:v>103594.06558424802</c:v>
                </c:pt>
                <c:pt idx="105">
                  <c:v>103230.5113152894</c:v>
                </c:pt>
                <c:pt idx="106">
                  <c:v>102993.30951340696</c:v>
                </c:pt>
                <c:pt idx="107">
                  <c:v>103497.21692495592</c:v>
                </c:pt>
                <c:pt idx="108">
                  <c:v>105953.48377859204</c:v>
                </c:pt>
                <c:pt idx="109">
                  <c:v>105566.29329137813</c:v>
                </c:pt>
                <c:pt idx="110">
                  <c:v>104910.56272940738</c:v>
                </c:pt>
                <c:pt idx="111">
                  <c:v>103846.49860615433</c:v>
                </c:pt>
                <c:pt idx="112">
                  <c:v>103861.43224651439</c:v>
                </c:pt>
                <c:pt idx="113">
                  <c:v>102964.07067676086</c:v>
                </c:pt>
                <c:pt idx="114">
                  <c:v>99773.423373856305</c:v>
                </c:pt>
                <c:pt idx="115">
                  <c:v>102291.791925973</c:v>
                </c:pt>
                <c:pt idx="116">
                  <c:v>102633.56163169499</c:v>
                </c:pt>
                <c:pt idx="117">
                  <c:v>103408.48624643884</c:v>
                </c:pt>
                <c:pt idx="118">
                  <c:v>101696.91130745917</c:v>
                </c:pt>
                <c:pt idx="119">
                  <c:v>101523.48974894384</c:v>
                </c:pt>
                <c:pt idx="120">
                  <c:v>103019.81888334463</c:v>
                </c:pt>
                <c:pt idx="121">
                  <c:v>102267.12331233328</c:v>
                </c:pt>
                <c:pt idx="122">
                  <c:v>101836.58372850168</c:v>
                </c:pt>
                <c:pt idx="123">
                  <c:v>101752.92310542453</c:v>
                </c:pt>
                <c:pt idx="124">
                  <c:v>101017.14736713721</c:v>
                </c:pt>
                <c:pt idx="125">
                  <c:v>101239.7036288415</c:v>
                </c:pt>
                <c:pt idx="126">
                  <c:v>100320.65236668239</c:v>
                </c:pt>
                <c:pt idx="127">
                  <c:v>99181.117516042286</c:v>
                </c:pt>
                <c:pt idx="128">
                  <c:v>100022.02688497718</c:v>
                </c:pt>
                <c:pt idx="129">
                  <c:v>100858.63538576152</c:v>
                </c:pt>
                <c:pt idx="130">
                  <c:v>100444.88511015252</c:v>
                </c:pt>
                <c:pt idx="131">
                  <c:v>100201.23193525463</c:v>
                </c:pt>
                <c:pt idx="132">
                  <c:v>99276.409323972548</c:v>
                </c:pt>
                <c:pt idx="133">
                  <c:v>99923.41184105273</c:v>
                </c:pt>
                <c:pt idx="134">
                  <c:v>99933.319978788277</c:v>
                </c:pt>
                <c:pt idx="135">
                  <c:v>95934.548023602154</c:v>
                </c:pt>
                <c:pt idx="136">
                  <c:v>97742.606980518249</c:v>
                </c:pt>
                <c:pt idx="137">
                  <c:v>99650.95611595067</c:v>
                </c:pt>
                <c:pt idx="138">
                  <c:v>101229.9849671985</c:v>
                </c:pt>
                <c:pt idx="139">
                  <c:v>101422.03625814596</c:v>
                </c:pt>
                <c:pt idx="140">
                  <c:v>100374.98455113794</c:v>
                </c:pt>
                <c:pt idx="141">
                  <c:v>101407.14310093733</c:v>
                </c:pt>
                <c:pt idx="142">
                  <c:v>104246.65961286589</c:v>
                </c:pt>
                <c:pt idx="143">
                  <c:v>102839.55371323603</c:v>
                </c:pt>
                <c:pt idx="144">
                  <c:v>103146.60080382682</c:v>
                </c:pt>
                <c:pt idx="145">
                  <c:v>102757.1446252586</c:v>
                </c:pt>
                <c:pt idx="146">
                  <c:v>104488.21410803795</c:v>
                </c:pt>
                <c:pt idx="147">
                  <c:v>104281.31851240552</c:v>
                </c:pt>
                <c:pt idx="148">
                  <c:v>105523.96292739527</c:v>
                </c:pt>
                <c:pt idx="149">
                  <c:v>105147.04079064055</c:v>
                </c:pt>
                <c:pt idx="150">
                  <c:v>105446.73433286446</c:v>
                </c:pt>
                <c:pt idx="151">
                  <c:v>106740.76802042761</c:v>
                </c:pt>
                <c:pt idx="152">
                  <c:v>107691.5590903776</c:v>
                </c:pt>
                <c:pt idx="153">
                  <c:v>107406.04628588039</c:v>
                </c:pt>
                <c:pt idx="154">
                  <c:v>106591.1106584886</c:v>
                </c:pt>
                <c:pt idx="155">
                  <c:v>106910.21825362128</c:v>
                </c:pt>
                <c:pt idx="156">
                  <c:v>107063.14626857921</c:v>
                </c:pt>
                <c:pt idx="157">
                  <c:v>108282.36138268322</c:v>
                </c:pt>
                <c:pt idx="158">
                  <c:v>107583.06536436493</c:v>
                </c:pt>
                <c:pt idx="159">
                  <c:v>106309.23153553823</c:v>
                </c:pt>
                <c:pt idx="160">
                  <c:v>107238.80163416483</c:v>
                </c:pt>
                <c:pt idx="161">
                  <c:v>106246.18808096644</c:v>
                </c:pt>
                <c:pt idx="162">
                  <c:v>110094.14345621999</c:v>
                </c:pt>
                <c:pt idx="163">
                  <c:v>109624.64764012519</c:v>
                </c:pt>
                <c:pt idx="164">
                  <c:v>110134.76081637169</c:v>
                </c:pt>
                <c:pt idx="165">
                  <c:v>108167.8547318183</c:v>
                </c:pt>
                <c:pt idx="166">
                  <c:v>108104.03543234475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391-4373-ABAF-D07601F85895}"/>
            </c:ext>
          </c:extLst>
        </c:ser>
        <c:ser>
          <c:idx val="4"/>
          <c:order val="4"/>
          <c:tx>
            <c:strRef>
              <c:f>'Ideal - Simple'!$G$1</c:f>
              <c:strCache>
                <c:ptCount val="1"/>
                <c:pt idx="0">
                  <c:v>Regresion Lineal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'Ideal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Simple'!$G$4:$G$170</c:f>
              <c:numCache>
                <c:formatCode>General</c:formatCode>
                <c:ptCount val="167"/>
                <c:pt idx="0">
                  <c:v>100000</c:v>
                </c:pt>
                <c:pt idx="1">
                  <c:v>98586.940014811145</c:v>
                </c:pt>
                <c:pt idx="2">
                  <c:v>97048.200000193145</c:v>
                </c:pt>
                <c:pt idx="3">
                  <c:v>94928.872830730732</c:v>
                </c:pt>
                <c:pt idx="4">
                  <c:v>95662.120142558691</c:v>
                </c:pt>
                <c:pt idx="5">
                  <c:v>95755.282769266487</c:v>
                </c:pt>
                <c:pt idx="6">
                  <c:v>96203.538952197865</c:v>
                </c:pt>
                <c:pt idx="7">
                  <c:v>97946.243615410305</c:v>
                </c:pt>
                <c:pt idx="8">
                  <c:v>99194.594578989549</c:v>
                </c:pt>
                <c:pt idx="9">
                  <c:v>100087.08233551202</c:v>
                </c:pt>
                <c:pt idx="10">
                  <c:v>101099.96849336586</c:v>
                </c:pt>
                <c:pt idx="11">
                  <c:v>98640.919763325321</c:v>
                </c:pt>
                <c:pt idx="12">
                  <c:v>97564.146332157718</c:v>
                </c:pt>
                <c:pt idx="13">
                  <c:v>99762.964583626177</c:v>
                </c:pt>
                <c:pt idx="14">
                  <c:v>100427.26985268215</c:v>
                </c:pt>
                <c:pt idx="15">
                  <c:v>100046.77655035083</c:v>
                </c:pt>
                <c:pt idx="16">
                  <c:v>102880.15611707304</c:v>
                </c:pt>
                <c:pt idx="17">
                  <c:v>104562.992172903</c:v>
                </c:pt>
                <c:pt idx="18">
                  <c:v>104347.95114860199</c:v>
                </c:pt>
                <c:pt idx="19">
                  <c:v>103748.38216155817</c:v>
                </c:pt>
                <c:pt idx="20">
                  <c:v>105489.2415096163</c:v>
                </c:pt>
                <c:pt idx="21">
                  <c:v>107439.87287623253</c:v>
                </c:pt>
                <c:pt idx="22">
                  <c:v>105327.18820371397</c:v>
                </c:pt>
                <c:pt idx="23">
                  <c:v>104855.05059681053</c:v>
                </c:pt>
                <c:pt idx="24">
                  <c:v>104897.72945266269</c:v>
                </c:pt>
                <c:pt idx="25">
                  <c:v>107625.14468607793</c:v>
                </c:pt>
                <c:pt idx="26">
                  <c:v>109868.18774389738</c:v>
                </c:pt>
                <c:pt idx="27">
                  <c:v>106117.84715677894</c:v>
                </c:pt>
                <c:pt idx="28">
                  <c:v>106573.87319824674</c:v>
                </c:pt>
                <c:pt idx="29">
                  <c:v>105136.17777929826</c:v>
                </c:pt>
                <c:pt idx="30">
                  <c:v>105225.6116362943</c:v>
                </c:pt>
                <c:pt idx="31">
                  <c:v>104990.78294154805</c:v>
                </c:pt>
                <c:pt idx="32">
                  <c:v>105679.75340056943</c:v>
                </c:pt>
                <c:pt idx="33">
                  <c:v>105120.70295157726</c:v>
                </c:pt>
                <c:pt idx="34">
                  <c:v>104448.54720082563</c:v>
                </c:pt>
                <c:pt idx="35">
                  <c:v>103517.40498481477</c:v>
                </c:pt>
                <c:pt idx="36">
                  <c:v>103810.80032364027</c:v>
                </c:pt>
                <c:pt idx="37">
                  <c:v>103604.60413137185</c:v>
                </c:pt>
                <c:pt idx="38">
                  <c:v>102573.73421862427</c:v>
                </c:pt>
                <c:pt idx="39">
                  <c:v>102784.71061239624</c:v>
                </c:pt>
                <c:pt idx="40">
                  <c:v>104619.86153097912</c:v>
                </c:pt>
                <c:pt idx="41">
                  <c:v>106466.01392275094</c:v>
                </c:pt>
                <c:pt idx="42">
                  <c:v>107698.79060600069</c:v>
                </c:pt>
                <c:pt idx="43">
                  <c:v>107509.504719014</c:v>
                </c:pt>
                <c:pt idx="44">
                  <c:v>108266.62512028652</c:v>
                </c:pt>
                <c:pt idx="45">
                  <c:v>108386.56474797749</c:v>
                </c:pt>
                <c:pt idx="46">
                  <c:v>109796.96767065166</c:v>
                </c:pt>
                <c:pt idx="47">
                  <c:v>108835.02088502272</c:v>
                </c:pt>
                <c:pt idx="48">
                  <c:v>111451.61397899561</c:v>
                </c:pt>
                <c:pt idx="49">
                  <c:v>112833.04343998023</c:v>
                </c:pt>
                <c:pt idx="50">
                  <c:v>110761.51637445316</c:v>
                </c:pt>
                <c:pt idx="51">
                  <c:v>114916.20774738696</c:v>
                </c:pt>
                <c:pt idx="52">
                  <c:v>114491.46684556642</c:v>
                </c:pt>
                <c:pt idx="53">
                  <c:v>112652.62359335202</c:v>
                </c:pt>
                <c:pt idx="54">
                  <c:v>112209.87084999886</c:v>
                </c:pt>
                <c:pt idx="55">
                  <c:v>111712.19641524166</c:v>
                </c:pt>
                <c:pt idx="56">
                  <c:v>111648.60205948852</c:v>
                </c:pt>
                <c:pt idx="57">
                  <c:v>112763.72678912082</c:v>
                </c:pt>
                <c:pt idx="58">
                  <c:v>111257.15650112538</c:v>
                </c:pt>
                <c:pt idx="59">
                  <c:v>111075.30443441041</c:v>
                </c:pt>
                <c:pt idx="60">
                  <c:v>111538.48533767319</c:v>
                </c:pt>
                <c:pt idx="61">
                  <c:v>111546.56662188632</c:v>
                </c:pt>
                <c:pt idx="62">
                  <c:v>113151.62191598323</c:v>
                </c:pt>
                <c:pt idx="63">
                  <c:v>113419.72366534598</c:v>
                </c:pt>
                <c:pt idx="64">
                  <c:v>113547.88636811463</c:v>
                </c:pt>
                <c:pt idx="65">
                  <c:v>113011.95300330011</c:v>
                </c:pt>
                <c:pt idx="66">
                  <c:v>116159.09818599498</c:v>
                </c:pt>
                <c:pt idx="67">
                  <c:v>116075.27179074068</c:v>
                </c:pt>
                <c:pt idx="68">
                  <c:v>115087.54142534798</c:v>
                </c:pt>
                <c:pt idx="69">
                  <c:v>114684.66027895853</c:v>
                </c:pt>
                <c:pt idx="70">
                  <c:v>112459.84799612171</c:v>
                </c:pt>
                <c:pt idx="71">
                  <c:v>112730.87561176771</c:v>
                </c:pt>
                <c:pt idx="72">
                  <c:v>113154.19335862542</c:v>
                </c:pt>
                <c:pt idx="73">
                  <c:v>114217.04233009419</c:v>
                </c:pt>
                <c:pt idx="74">
                  <c:v>113315.42073022014</c:v>
                </c:pt>
                <c:pt idx="75">
                  <c:v>112981.59211271023</c:v>
                </c:pt>
                <c:pt idx="76">
                  <c:v>112652.61510726879</c:v>
                </c:pt>
                <c:pt idx="77">
                  <c:v>112706.90307095417</c:v>
                </c:pt>
                <c:pt idx="78">
                  <c:v>113923.77781133946</c:v>
                </c:pt>
                <c:pt idx="79">
                  <c:v>114307.28308905165</c:v>
                </c:pt>
                <c:pt idx="80">
                  <c:v>111413.45250844574</c:v>
                </c:pt>
                <c:pt idx="81">
                  <c:v>110262.07515927021</c:v>
                </c:pt>
                <c:pt idx="82">
                  <c:v>110634.31958342569</c:v>
                </c:pt>
                <c:pt idx="83">
                  <c:v>109837.52976788918</c:v>
                </c:pt>
                <c:pt idx="84">
                  <c:v>108994.12344661189</c:v>
                </c:pt>
                <c:pt idx="85">
                  <c:v>108723.73293202961</c:v>
                </c:pt>
                <c:pt idx="86">
                  <c:v>110425.13385202894</c:v>
                </c:pt>
                <c:pt idx="87">
                  <c:v>110885.19523021598</c:v>
                </c:pt>
                <c:pt idx="88">
                  <c:v>110599.83386329431</c:v>
                </c:pt>
                <c:pt idx="89">
                  <c:v>111663.60356340271</c:v>
                </c:pt>
                <c:pt idx="90">
                  <c:v>111617.29853494736</c:v>
                </c:pt>
                <c:pt idx="91">
                  <c:v>111193.94029977647</c:v>
                </c:pt>
                <c:pt idx="92">
                  <c:v>111330.30747767074</c:v>
                </c:pt>
                <c:pt idx="93">
                  <c:v>111893.68986714119</c:v>
                </c:pt>
                <c:pt idx="94">
                  <c:v>112507.60400823173</c:v>
                </c:pt>
                <c:pt idx="95">
                  <c:v>113757.20653850926</c:v>
                </c:pt>
                <c:pt idx="96">
                  <c:v>114185.02890796817</c:v>
                </c:pt>
                <c:pt idx="97">
                  <c:v>115113.8285937498</c:v>
                </c:pt>
                <c:pt idx="98">
                  <c:v>113640.77862968393</c:v>
                </c:pt>
                <c:pt idx="99">
                  <c:v>113443.9753478675</c:v>
                </c:pt>
                <c:pt idx="100">
                  <c:v>112668.28090728697</c:v>
                </c:pt>
                <c:pt idx="101">
                  <c:v>109924.24630371548</c:v>
                </c:pt>
                <c:pt idx="102">
                  <c:v>111199.68628464288</c:v>
                </c:pt>
                <c:pt idx="103">
                  <c:v>112247.09405879225</c:v>
                </c:pt>
                <c:pt idx="104">
                  <c:v>110245.01875370854</c:v>
                </c:pt>
                <c:pt idx="105">
                  <c:v>109881.46448474993</c:v>
                </c:pt>
                <c:pt idx="106">
                  <c:v>109644.26268286748</c:v>
                </c:pt>
                <c:pt idx="107">
                  <c:v>110148.17009441645</c:v>
                </c:pt>
                <c:pt idx="108">
                  <c:v>112604.43694805256</c:v>
                </c:pt>
                <c:pt idx="109">
                  <c:v>112217.24646083865</c:v>
                </c:pt>
                <c:pt idx="110">
                  <c:v>111561.5158988679</c:v>
                </c:pt>
                <c:pt idx="111">
                  <c:v>110497.45177561486</c:v>
                </c:pt>
                <c:pt idx="112">
                  <c:v>110512.38541597492</c:v>
                </c:pt>
                <c:pt idx="113">
                  <c:v>109615.02384622139</c:v>
                </c:pt>
                <c:pt idx="114">
                  <c:v>106424.37654331683</c:v>
                </c:pt>
                <c:pt idx="115">
                  <c:v>108942.74509543352</c:v>
                </c:pt>
                <c:pt idx="116">
                  <c:v>109284.51480115551</c:v>
                </c:pt>
                <c:pt idx="117">
                  <c:v>110059.43941589937</c:v>
                </c:pt>
                <c:pt idx="118">
                  <c:v>111759.01435487904</c:v>
                </c:pt>
                <c:pt idx="119">
                  <c:v>111585.59279636371</c:v>
                </c:pt>
                <c:pt idx="120">
                  <c:v>113081.9219307645</c:v>
                </c:pt>
                <c:pt idx="121">
                  <c:v>112329.22635975314</c:v>
                </c:pt>
                <c:pt idx="122">
                  <c:v>111898.68677592154</c:v>
                </c:pt>
                <c:pt idx="123">
                  <c:v>111815.0261528444</c:v>
                </c:pt>
                <c:pt idx="124">
                  <c:v>111079.25041455707</c:v>
                </c:pt>
                <c:pt idx="125">
                  <c:v>111301.80667626136</c:v>
                </c:pt>
                <c:pt idx="126">
                  <c:v>110382.75541410226</c:v>
                </c:pt>
                <c:pt idx="127">
                  <c:v>109243.22056346215</c:v>
                </c:pt>
                <c:pt idx="128">
                  <c:v>110084.12993239705</c:v>
                </c:pt>
                <c:pt idx="129">
                  <c:v>110920.73843318138</c:v>
                </c:pt>
                <c:pt idx="130">
                  <c:v>110506.98815757238</c:v>
                </c:pt>
                <c:pt idx="131">
                  <c:v>110263.3349826745</c:v>
                </c:pt>
                <c:pt idx="132">
                  <c:v>109338.51237139241</c:v>
                </c:pt>
                <c:pt idx="133">
                  <c:v>109985.51488847259</c:v>
                </c:pt>
                <c:pt idx="134">
                  <c:v>109995.42302620814</c:v>
                </c:pt>
                <c:pt idx="135">
                  <c:v>105996.65107102202</c:v>
                </c:pt>
                <c:pt idx="136">
                  <c:v>107804.71002793811</c:v>
                </c:pt>
                <c:pt idx="137">
                  <c:v>109713.05916337053</c:v>
                </c:pt>
                <c:pt idx="138">
                  <c:v>111292.08801461836</c:v>
                </c:pt>
                <c:pt idx="139">
                  <c:v>111484.13930556583</c:v>
                </c:pt>
                <c:pt idx="140">
                  <c:v>110437.0875985578</c:v>
                </c:pt>
                <c:pt idx="141">
                  <c:v>111469.2461483572</c:v>
                </c:pt>
                <c:pt idx="142">
                  <c:v>114308.76266028575</c:v>
                </c:pt>
                <c:pt idx="143">
                  <c:v>115703.8685599156</c:v>
                </c:pt>
                <c:pt idx="144">
                  <c:v>116010.91565050639</c:v>
                </c:pt>
                <c:pt idx="145">
                  <c:v>115621.45947193817</c:v>
                </c:pt>
                <c:pt idx="146">
                  <c:v>117352.52895471752</c:v>
                </c:pt>
                <c:pt idx="147">
                  <c:v>117145.63335908508</c:v>
                </c:pt>
                <c:pt idx="148">
                  <c:v>118388.27777407484</c:v>
                </c:pt>
                <c:pt idx="149">
                  <c:v>118011.35563732011</c:v>
                </c:pt>
                <c:pt idx="150">
                  <c:v>118311.04917954403</c:v>
                </c:pt>
                <c:pt idx="151">
                  <c:v>119605.08286710718</c:v>
                </c:pt>
                <c:pt idx="152">
                  <c:v>120555.87393705717</c:v>
                </c:pt>
                <c:pt idx="153">
                  <c:v>120270.36113255996</c:v>
                </c:pt>
                <c:pt idx="154">
                  <c:v>119455.42550516817</c:v>
                </c:pt>
                <c:pt idx="155">
                  <c:v>119774.53310030085</c:v>
                </c:pt>
                <c:pt idx="156">
                  <c:v>119927.46111525877</c:v>
                </c:pt>
                <c:pt idx="157">
                  <c:v>121146.67622936278</c:v>
                </c:pt>
                <c:pt idx="158">
                  <c:v>120447.3802110445</c:v>
                </c:pt>
                <c:pt idx="159">
                  <c:v>119173.5463822178</c:v>
                </c:pt>
                <c:pt idx="160">
                  <c:v>120103.1164808444</c:v>
                </c:pt>
                <c:pt idx="161">
                  <c:v>119110.50292764601</c:v>
                </c:pt>
                <c:pt idx="162">
                  <c:v>122958.45830289955</c:v>
                </c:pt>
                <c:pt idx="163">
                  <c:v>123415.95411899436</c:v>
                </c:pt>
                <c:pt idx="164">
                  <c:v>122893.84094274785</c:v>
                </c:pt>
                <c:pt idx="165">
                  <c:v>124848.74702730124</c:v>
                </c:pt>
                <c:pt idx="166">
                  <c:v>124900.56632677479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391-4373-ABAF-D07601F85895}"/>
            </c:ext>
          </c:extLst>
        </c:ser>
        <c:ser>
          <c:idx val="5"/>
          <c:order val="5"/>
          <c:tx>
            <c:strRef>
              <c:f>'Ideal - Simple'!$A$1</c:f>
              <c:strCache>
                <c:ptCount val="1"/>
                <c:pt idx="0">
                  <c:v>Monto Inicial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strRef>
              <c:f>'Ideal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Simple'!$A$4:$A$170</c:f>
              <c:numCache>
                <c:formatCode>General</c:formatCode>
                <c:ptCount val="167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  <c:pt idx="12">
                  <c:v>100000</c:v>
                </c:pt>
                <c:pt idx="13">
                  <c:v>100000</c:v>
                </c:pt>
                <c:pt idx="14">
                  <c:v>100000</c:v>
                </c:pt>
                <c:pt idx="15">
                  <c:v>100000</c:v>
                </c:pt>
                <c:pt idx="16">
                  <c:v>100000</c:v>
                </c:pt>
                <c:pt idx="17">
                  <c:v>100000</c:v>
                </c:pt>
                <c:pt idx="18">
                  <c:v>100000</c:v>
                </c:pt>
                <c:pt idx="19">
                  <c:v>100000</c:v>
                </c:pt>
                <c:pt idx="20">
                  <c:v>100000</c:v>
                </c:pt>
                <c:pt idx="21">
                  <c:v>100000</c:v>
                </c:pt>
                <c:pt idx="22">
                  <c:v>100000</c:v>
                </c:pt>
                <c:pt idx="23">
                  <c:v>100000</c:v>
                </c:pt>
                <c:pt idx="24">
                  <c:v>100000</c:v>
                </c:pt>
                <c:pt idx="25">
                  <c:v>100000</c:v>
                </c:pt>
                <c:pt idx="26">
                  <c:v>100000</c:v>
                </c:pt>
                <c:pt idx="27">
                  <c:v>100000</c:v>
                </c:pt>
                <c:pt idx="28">
                  <c:v>100000</c:v>
                </c:pt>
                <c:pt idx="29">
                  <c:v>100000</c:v>
                </c:pt>
                <c:pt idx="30">
                  <c:v>100000</c:v>
                </c:pt>
                <c:pt idx="31">
                  <c:v>100000</c:v>
                </c:pt>
                <c:pt idx="32">
                  <c:v>100000</c:v>
                </c:pt>
                <c:pt idx="33">
                  <c:v>100000</c:v>
                </c:pt>
                <c:pt idx="34">
                  <c:v>100000</c:v>
                </c:pt>
                <c:pt idx="35">
                  <c:v>100000</c:v>
                </c:pt>
                <c:pt idx="36">
                  <c:v>100000</c:v>
                </c:pt>
                <c:pt idx="37">
                  <c:v>100000</c:v>
                </c:pt>
                <c:pt idx="38">
                  <c:v>100000</c:v>
                </c:pt>
                <c:pt idx="39">
                  <c:v>100000</c:v>
                </c:pt>
                <c:pt idx="40">
                  <c:v>100000</c:v>
                </c:pt>
                <c:pt idx="41">
                  <c:v>100000</c:v>
                </c:pt>
                <c:pt idx="42">
                  <c:v>100000</c:v>
                </c:pt>
                <c:pt idx="43">
                  <c:v>100000</c:v>
                </c:pt>
                <c:pt idx="44">
                  <c:v>100000</c:v>
                </c:pt>
                <c:pt idx="45">
                  <c:v>100000</c:v>
                </c:pt>
                <c:pt idx="46">
                  <c:v>100000</c:v>
                </c:pt>
                <c:pt idx="47">
                  <c:v>100000</c:v>
                </c:pt>
                <c:pt idx="48">
                  <c:v>100000</c:v>
                </c:pt>
                <c:pt idx="49">
                  <c:v>100000</c:v>
                </c:pt>
                <c:pt idx="50">
                  <c:v>100000</c:v>
                </c:pt>
                <c:pt idx="51">
                  <c:v>100000</c:v>
                </c:pt>
                <c:pt idx="52">
                  <c:v>100000</c:v>
                </c:pt>
                <c:pt idx="53">
                  <c:v>100000</c:v>
                </c:pt>
                <c:pt idx="54">
                  <c:v>100000</c:v>
                </c:pt>
                <c:pt idx="55">
                  <c:v>100000</c:v>
                </c:pt>
                <c:pt idx="56">
                  <c:v>100000</c:v>
                </c:pt>
                <c:pt idx="57">
                  <c:v>100000</c:v>
                </c:pt>
                <c:pt idx="58">
                  <c:v>100000</c:v>
                </c:pt>
                <c:pt idx="59">
                  <c:v>100000</c:v>
                </c:pt>
                <c:pt idx="60">
                  <c:v>100000</c:v>
                </c:pt>
                <c:pt idx="61">
                  <c:v>100000</c:v>
                </c:pt>
                <c:pt idx="62">
                  <c:v>100000</c:v>
                </c:pt>
                <c:pt idx="63">
                  <c:v>100000</c:v>
                </c:pt>
                <c:pt idx="64">
                  <c:v>100000</c:v>
                </c:pt>
                <c:pt idx="65">
                  <c:v>100000</c:v>
                </c:pt>
                <c:pt idx="66">
                  <c:v>100000</c:v>
                </c:pt>
                <c:pt idx="67">
                  <c:v>100000</c:v>
                </c:pt>
                <c:pt idx="68">
                  <c:v>100000</c:v>
                </c:pt>
                <c:pt idx="69">
                  <c:v>100000</c:v>
                </c:pt>
                <c:pt idx="70">
                  <c:v>100000</c:v>
                </c:pt>
                <c:pt idx="71">
                  <c:v>100000</c:v>
                </c:pt>
                <c:pt idx="72">
                  <c:v>100000</c:v>
                </c:pt>
                <c:pt idx="73">
                  <c:v>100000</c:v>
                </c:pt>
                <c:pt idx="74">
                  <c:v>100000</c:v>
                </c:pt>
                <c:pt idx="75">
                  <c:v>100000</c:v>
                </c:pt>
                <c:pt idx="76">
                  <c:v>100000</c:v>
                </c:pt>
                <c:pt idx="77">
                  <c:v>100000</c:v>
                </c:pt>
                <c:pt idx="78">
                  <c:v>100000</c:v>
                </c:pt>
                <c:pt idx="79">
                  <c:v>100000</c:v>
                </c:pt>
                <c:pt idx="80">
                  <c:v>100000</c:v>
                </c:pt>
                <c:pt idx="81">
                  <c:v>100000</c:v>
                </c:pt>
                <c:pt idx="82">
                  <c:v>100000</c:v>
                </c:pt>
                <c:pt idx="83">
                  <c:v>100000</c:v>
                </c:pt>
                <c:pt idx="84">
                  <c:v>100000</c:v>
                </c:pt>
                <c:pt idx="85">
                  <c:v>100000</c:v>
                </c:pt>
                <c:pt idx="86">
                  <c:v>100000</c:v>
                </c:pt>
                <c:pt idx="87">
                  <c:v>100000</c:v>
                </c:pt>
                <c:pt idx="88">
                  <c:v>100000</c:v>
                </c:pt>
                <c:pt idx="89">
                  <c:v>100000</c:v>
                </c:pt>
                <c:pt idx="90">
                  <c:v>100000</c:v>
                </c:pt>
                <c:pt idx="91">
                  <c:v>100000</c:v>
                </c:pt>
                <c:pt idx="92">
                  <c:v>100000</c:v>
                </c:pt>
                <c:pt idx="93">
                  <c:v>100000</c:v>
                </c:pt>
                <c:pt idx="94">
                  <c:v>100000</c:v>
                </c:pt>
                <c:pt idx="95">
                  <c:v>100000</c:v>
                </c:pt>
                <c:pt idx="96">
                  <c:v>100000</c:v>
                </c:pt>
                <c:pt idx="97">
                  <c:v>100000</c:v>
                </c:pt>
                <c:pt idx="98">
                  <c:v>100000</c:v>
                </c:pt>
                <c:pt idx="99">
                  <c:v>100000</c:v>
                </c:pt>
                <c:pt idx="100">
                  <c:v>100000</c:v>
                </c:pt>
                <c:pt idx="101">
                  <c:v>100000</c:v>
                </c:pt>
                <c:pt idx="102">
                  <c:v>100000</c:v>
                </c:pt>
                <c:pt idx="103">
                  <c:v>100000</c:v>
                </c:pt>
                <c:pt idx="104">
                  <c:v>100000</c:v>
                </c:pt>
                <c:pt idx="105">
                  <c:v>100000</c:v>
                </c:pt>
                <c:pt idx="106">
                  <c:v>100000</c:v>
                </c:pt>
                <c:pt idx="107">
                  <c:v>100000</c:v>
                </c:pt>
                <c:pt idx="108">
                  <c:v>100000</c:v>
                </c:pt>
                <c:pt idx="109">
                  <c:v>100000</c:v>
                </c:pt>
                <c:pt idx="110">
                  <c:v>100000</c:v>
                </c:pt>
                <c:pt idx="111">
                  <c:v>100000</c:v>
                </c:pt>
                <c:pt idx="112">
                  <c:v>100000</c:v>
                </c:pt>
                <c:pt idx="113">
                  <c:v>100000</c:v>
                </c:pt>
                <c:pt idx="114">
                  <c:v>100000</c:v>
                </c:pt>
                <c:pt idx="115">
                  <c:v>100000</c:v>
                </c:pt>
                <c:pt idx="116">
                  <c:v>100000</c:v>
                </c:pt>
                <c:pt idx="117">
                  <c:v>100000</c:v>
                </c:pt>
                <c:pt idx="118">
                  <c:v>100000</c:v>
                </c:pt>
                <c:pt idx="119">
                  <c:v>100000</c:v>
                </c:pt>
                <c:pt idx="120">
                  <c:v>100000</c:v>
                </c:pt>
                <c:pt idx="121">
                  <c:v>100000</c:v>
                </c:pt>
                <c:pt idx="122">
                  <c:v>100000</c:v>
                </c:pt>
                <c:pt idx="123">
                  <c:v>100000</c:v>
                </c:pt>
                <c:pt idx="124">
                  <c:v>100000</c:v>
                </c:pt>
                <c:pt idx="125">
                  <c:v>100000</c:v>
                </c:pt>
                <c:pt idx="126">
                  <c:v>100000</c:v>
                </c:pt>
                <c:pt idx="127">
                  <c:v>100000</c:v>
                </c:pt>
                <c:pt idx="128">
                  <c:v>100000</c:v>
                </c:pt>
                <c:pt idx="129">
                  <c:v>100000</c:v>
                </c:pt>
                <c:pt idx="130">
                  <c:v>100000</c:v>
                </c:pt>
                <c:pt idx="131">
                  <c:v>100000</c:v>
                </c:pt>
                <c:pt idx="132">
                  <c:v>100000</c:v>
                </c:pt>
                <c:pt idx="133">
                  <c:v>100000</c:v>
                </c:pt>
                <c:pt idx="134">
                  <c:v>100000</c:v>
                </c:pt>
                <c:pt idx="135">
                  <c:v>100000</c:v>
                </c:pt>
                <c:pt idx="136">
                  <c:v>100000</c:v>
                </c:pt>
                <c:pt idx="137">
                  <c:v>100000</c:v>
                </c:pt>
                <c:pt idx="138">
                  <c:v>100000</c:v>
                </c:pt>
                <c:pt idx="139">
                  <c:v>100000</c:v>
                </c:pt>
                <c:pt idx="140">
                  <c:v>100000</c:v>
                </c:pt>
                <c:pt idx="141">
                  <c:v>100000</c:v>
                </c:pt>
                <c:pt idx="142">
                  <c:v>100000</c:v>
                </c:pt>
                <c:pt idx="143">
                  <c:v>100000</c:v>
                </c:pt>
                <c:pt idx="144">
                  <c:v>100000</c:v>
                </c:pt>
                <c:pt idx="145">
                  <c:v>100000</c:v>
                </c:pt>
                <c:pt idx="146">
                  <c:v>100000</c:v>
                </c:pt>
                <c:pt idx="147">
                  <c:v>100000</c:v>
                </c:pt>
                <c:pt idx="148">
                  <c:v>100000</c:v>
                </c:pt>
                <c:pt idx="149">
                  <c:v>100000</c:v>
                </c:pt>
                <c:pt idx="150">
                  <c:v>100000</c:v>
                </c:pt>
                <c:pt idx="151">
                  <c:v>100000</c:v>
                </c:pt>
                <c:pt idx="152">
                  <c:v>100000</c:v>
                </c:pt>
                <c:pt idx="153">
                  <c:v>100000</c:v>
                </c:pt>
                <c:pt idx="154">
                  <c:v>100000</c:v>
                </c:pt>
                <c:pt idx="155">
                  <c:v>100000</c:v>
                </c:pt>
                <c:pt idx="156">
                  <c:v>100000</c:v>
                </c:pt>
                <c:pt idx="157">
                  <c:v>100000</c:v>
                </c:pt>
                <c:pt idx="158">
                  <c:v>100000</c:v>
                </c:pt>
                <c:pt idx="159">
                  <c:v>100000</c:v>
                </c:pt>
                <c:pt idx="160">
                  <c:v>100000</c:v>
                </c:pt>
                <c:pt idx="161">
                  <c:v>100000</c:v>
                </c:pt>
                <c:pt idx="162">
                  <c:v>100000</c:v>
                </c:pt>
                <c:pt idx="163">
                  <c:v>100000</c:v>
                </c:pt>
                <c:pt idx="164">
                  <c:v>100000</c:v>
                </c:pt>
                <c:pt idx="165">
                  <c:v>100000</c:v>
                </c:pt>
                <c:pt idx="166">
                  <c:v>100000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D1-4DCE-8D18-25E44C893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419880"/>
        <c:axId val="520422832"/>
      </c:scatterChart>
      <c:valAx>
        <c:axId val="520419880"/>
        <c:scaling>
          <c:orientation val="minMax"/>
          <c:max val="16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22832"/>
        <c:crosses val="autoZero"/>
        <c:crossBetween val="midCat"/>
        <c:majorUnit val="10"/>
      </c:valAx>
      <c:valAx>
        <c:axId val="520422832"/>
        <c:scaling>
          <c:orientation val="minMax"/>
          <c:max val="130000"/>
          <c:min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19880"/>
        <c:crosses val="autoZero"/>
        <c:crossBetween val="midCat"/>
        <c:majorUnit val="10000"/>
        <c:minorUnit val="1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'Ideal - Compuesta'!$C$1</c:f>
              <c:strCache>
                <c:ptCount val="1"/>
                <c:pt idx="0">
                  <c:v>Bosques Aleatorios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'Ideal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Compuesta'!$C$4:$C$170</c:f>
              <c:numCache>
                <c:formatCode>General</c:formatCode>
                <c:ptCount val="167"/>
                <c:pt idx="0">
                  <c:v>100000</c:v>
                </c:pt>
                <c:pt idx="1">
                  <c:v>101401.05998518885</c:v>
                </c:pt>
                <c:pt idx="2">
                  <c:v>99840.845363549073</c:v>
                </c:pt>
                <c:pt idx="3">
                  <c:v>97724.881652260228</c:v>
                </c:pt>
                <c:pt idx="4">
                  <c:v>98441.310212861616</c:v>
                </c:pt>
                <c:pt idx="5">
                  <c:v>98532.92720183426</c:v>
                </c:pt>
                <c:pt idx="6">
                  <c:v>98974.519115871866</c:v>
                </c:pt>
                <c:pt idx="7">
                  <c:v>100699.2911470432</c:v>
                </c:pt>
                <c:pt idx="8">
                  <c:v>101956.4136758636</c:v>
                </c:pt>
                <c:pt idx="9">
                  <c:v>102866.47956973064</c:v>
                </c:pt>
                <c:pt idx="10">
                  <c:v>103908.57189113817</c:v>
                </c:pt>
                <c:pt idx="11">
                  <c:v>101353.64398795934</c:v>
                </c:pt>
                <c:pt idx="12">
                  <c:v>100262.37609661606</c:v>
                </c:pt>
                <c:pt idx="13">
                  <c:v>102466.97926415021</c:v>
                </c:pt>
                <c:pt idx="14">
                  <c:v>101774.13770310012</c:v>
                </c:pt>
                <c:pt idx="15">
                  <c:v>102149.27503230369</c:v>
                </c:pt>
                <c:pt idx="16">
                  <c:v>105043.6806751258</c:v>
                </c:pt>
                <c:pt idx="17">
                  <c:v>103263.66512151339</c:v>
                </c:pt>
                <c:pt idx="18">
                  <c:v>103473.52854481417</c:v>
                </c:pt>
                <c:pt idx="19">
                  <c:v>104081.71532005612</c:v>
                </c:pt>
                <c:pt idx="20">
                  <c:v>102257.55414636846</c:v>
                </c:pt>
                <c:pt idx="21">
                  <c:v>104252.3575255309</c:v>
                </c:pt>
                <c:pt idx="22">
                  <c:v>102050.08908880129</c:v>
                </c:pt>
                <c:pt idx="23">
                  <c:v>102519.78293192267</c:v>
                </c:pt>
                <c:pt idx="24">
                  <c:v>102563.68838927607</c:v>
                </c:pt>
                <c:pt idx="25">
                  <c:v>99754.196906891069</c:v>
                </c:pt>
                <c:pt idx="26">
                  <c:v>97504.682066473091</c:v>
                </c:pt>
                <c:pt idx="27">
                  <c:v>93847.774681517345</c:v>
                </c:pt>
                <c:pt idx="28">
                  <c:v>93408.173523150705</c:v>
                </c:pt>
                <c:pt idx="29">
                  <c:v>92064.8529818963</c:v>
                </c:pt>
                <c:pt idx="30">
                  <c:v>91970.991941757951</c:v>
                </c:pt>
                <c:pt idx="31">
                  <c:v>92175.447962163453</c:v>
                </c:pt>
                <c:pt idx="32">
                  <c:v>92810.040095971111</c:v>
                </c:pt>
                <c:pt idx="33">
                  <c:v>93317.326439431694</c:v>
                </c:pt>
                <c:pt idx="34">
                  <c:v>93932.965175955644</c:v>
                </c:pt>
                <c:pt idx="35">
                  <c:v>94795.978691549186</c:v>
                </c:pt>
                <c:pt idx="36">
                  <c:v>94506.163949952665</c:v>
                </c:pt>
                <c:pt idx="37">
                  <c:v>94689.361691639424</c:v>
                </c:pt>
                <c:pt idx="38">
                  <c:v>93712.918913089088</c:v>
                </c:pt>
                <c:pt idx="39">
                  <c:v>93503.584001133015</c:v>
                </c:pt>
                <c:pt idx="40">
                  <c:v>91776.041905388251</c:v>
                </c:pt>
                <c:pt idx="41">
                  <c:v>93469.874060612405</c:v>
                </c:pt>
                <c:pt idx="42">
                  <c:v>94621.757066338178</c:v>
                </c:pt>
                <c:pt idx="43">
                  <c:v>94789.185393059612</c:v>
                </c:pt>
                <c:pt idx="44">
                  <c:v>94059.82978112514</c:v>
                </c:pt>
                <c:pt idx="45">
                  <c:v>94172.288380558253</c:v>
                </c:pt>
                <c:pt idx="46">
                  <c:v>92832.429335586887</c:v>
                </c:pt>
                <c:pt idx="47">
                  <c:v>91939.00071133209</c:v>
                </c:pt>
                <c:pt idx="48">
                  <c:v>89521.81482800901</c:v>
                </c:pt>
                <c:pt idx="49">
                  <c:v>90757.866860940907</c:v>
                </c:pt>
                <c:pt idx="50">
                  <c:v>92626.495165048662</c:v>
                </c:pt>
                <c:pt idx="51">
                  <c:v>88766.592571665547</c:v>
                </c:pt>
                <c:pt idx="52">
                  <c:v>89132.294601915506</c:v>
                </c:pt>
                <c:pt idx="53">
                  <c:v>87492.639354760438</c:v>
                </c:pt>
                <c:pt idx="54">
                  <c:v>87104.512852146436</c:v>
                </c:pt>
                <c:pt idx="55">
                  <c:v>86670.242230932636</c:v>
                </c:pt>
                <c:pt idx="56">
                  <c:v>86714.159398575226</c:v>
                </c:pt>
                <c:pt idx="57">
                  <c:v>87680.333283685424</c:v>
                </c:pt>
                <c:pt idx="58">
                  <c:v>88990.038313355777</c:v>
                </c:pt>
                <c:pt idx="59">
                  <c:v>88827.547491811289</c:v>
                </c:pt>
                <c:pt idx="60">
                  <c:v>88404.785602143034</c:v>
                </c:pt>
                <c:pt idx="61">
                  <c:v>88386.337073024391</c:v>
                </c:pt>
                <c:pt idx="62">
                  <c:v>86956.384310351088</c:v>
                </c:pt>
                <c:pt idx="63">
                  <c:v>87188.733280928369</c:v>
                </c:pt>
                <c:pt idx="64">
                  <c:v>87299.708042007813</c:v>
                </c:pt>
                <c:pt idx="65">
                  <c:v>86831.077761707551</c:v>
                </c:pt>
                <c:pt idx="66">
                  <c:v>89562.987707232867</c:v>
                </c:pt>
                <c:pt idx="67">
                  <c:v>89626.691352047463</c:v>
                </c:pt>
                <c:pt idx="68">
                  <c:v>88740.798907547622</c:v>
                </c:pt>
                <c:pt idx="69">
                  <c:v>88382.603407528193</c:v>
                </c:pt>
                <c:pt idx="70">
                  <c:v>90337.647467825387</c:v>
                </c:pt>
                <c:pt idx="71">
                  <c:v>90081.387237014569</c:v>
                </c:pt>
                <c:pt idx="72">
                  <c:v>89688.651854990458</c:v>
                </c:pt>
                <c:pt idx="73">
                  <c:v>88724.015622114181</c:v>
                </c:pt>
                <c:pt idx="74">
                  <c:v>89512.647070301464</c:v>
                </c:pt>
                <c:pt idx="75">
                  <c:v>89800.095143688552</c:v>
                </c:pt>
                <c:pt idx="76">
                  <c:v>90084.128801867206</c:v>
                </c:pt>
                <c:pt idx="77">
                  <c:v>90132.438688725553</c:v>
                </c:pt>
                <c:pt idx="78">
                  <c:v>91228.645514343239</c:v>
                </c:pt>
                <c:pt idx="79">
                  <c:v>91577.985903406952</c:v>
                </c:pt>
                <c:pt idx="80">
                  <c:v>88927.368821385404</c:v>
                </c:pt>
                <c:pt idx="81">
                  <c:v>87902.814881687475</c:v>
                </c:pt>
                <c:pt idx="82">
                  <c:v>88229.302377653177</c:v>
                </c:pt>
                <c:pt idx="83">
                  <c:v>88921.010715174561</c:v>
                </c:pt>
                <c:pt idx="84">
                  <c:v>89659.64087984708</c:v>
                </c:pt>
                <c:pt idx="85">
                  <c:v>89890.692465741929</c:v>
                </c:pt>
                <c:pt idx="86">
                  <c:v>88349.89795558808</c:v>
                </c:pt>
                <c:pt idx="87">
                  <c:v>87932.133203549427</c:v>
                </c:pt>
                <c:pt idx="88">
                  <c:v>88171.781612830251</c:v>
                </c:pt>
                <c:pt idx="89">
                  <c:v>87222.546609090452</c:v>
                </c:pt>
                <c:pt idx="90">
                  <c:v>87181.391536860174</c:v>
                </c:pt>
                <c:pt idx="91">
                  <c:v>86811.532819744505</c:v>
                </c:pt>
                <c:pt idx="92">
                  <c:v>86681.941690382286</c:v>
                </c:pt>
                <c:pt idx="93">
                  <c:v>87169.493401218366</c:v>
                </c:pt>
                <c:pt idx="94">
                  <c:v>87703.869417529495</c:v>
                </c:pt>
                <c:pt idx="95">
                  <c:v>88799.081421087292</c:v>
                </c:pt>
                <c:pt idx="96">
                  <c:v>89178.311700165999</c:v>
                </c:pt>
                <c:pt idx="97">
                  <c:v>90005.950277724507</c:v>
                </c:pt>
                <c:pt idx="98">
                  <c:v>88679.518016518006</c:v>
                </c:pt>
                <c:pt idx="99">
                  <c:v>88504.314585843487</c:v>
                </c:pt>
                <c:pt idx="100">
                  <c:v>89179.527374884623</c:v>
                </c:pt>
                <c:pt idx="101">
                  <c:v>91615.293693710468</c:v>
                </c:pt>
                <c:pt idx="102">
                  <c:v>90435.298691675198</c:v>
                </c:pt>
                <c:pt idx="103">
                  <c:v>89476.646224681885</c:v>
                </c:pt>
                <c:pt idx="104">
                  <c:v>91256.667463789869</c:v>
                </c:pt>
                <c:pt idx="105">
                  <c:v>91576.959574016015</c:v>
                </c:pt>
                <c:pt idx="106">
                  <c:v>91782.687154660292</c:v>
                </c:pt>
                <c:pt idx="107">
                  <c:v>91308.680430339882</c:v>
                </c:pt>
                <c:pt idx="108">
                  <c:v>89054.417057611106</c:v>
                </c:pt>
                <c:pt idx="109">
                  <c:v>89387.884023878534</c:v>
                </c:pt>
                <c:pt idx="110">
                  <c:v>89962.664425080642</c:v>
                </c:pt>
                <c:pt idx="111">
                  <c:v>90908.527101684944</c:v>
                </c:pt>
                <c:pt idx="112">
                  <c:v>90921.557565805037</c:v>
                </c:pt>
                <c:pt idx="113">
                  <c:v>90105.117743042108</c:v>
                </c:pt>
                <c:pt idx="114">
                  <c:v>92968.647945024888</c:v>
                </c:pt>
                <c:pt idx="115">
                  <c:v>95309.519257077176</c:v>
                </c:pt>
                <c:pt idx="116">
                  <c:v>95634.976891722559</c:v>
                </c:pt>
                <c:pt idx="117">
                  <c:v>94882.139816870505</c:v>
                </c:pt>
                <c:pt idx="118">
                  <c:v>93257.853818586314</c:v>
                </c:pt>
                <c:pt idx="119">
                  <c:v>93095.720066285285</c:v>
                </c:pt>
                <c:pt idx="120">
                  <c:v>94488.324191721287</c:v>
                </c:pt>
                <c:pt idx="121">
                  <c:v>93776.784059858852</c:v>
                </c:pt>
                <c:pt idx="122">
                  <c:v>93372.664491080461</c:v>
                </c:pt>
                <c:pt idx="123">
                  <c:v>93439.178284107969</c:v>
                </c:pt>
                <c:pt idx="124">
                  <c:v>92751.281830935506</c:v>
                </c:pt>
                <c:pt idx="125">
                  <c:v>92957.270693371102</c:v>
                </c:pt>
                <c:pt idx="126">
                  <c:v>93800.018226705579</c:v>
                </c:pt>
                <c:pt idx="127">
                  <c:v>92730.762330199097</c:v>
                </c:pt>
                <c:pt idx="128">
                  <c:v>93510.107844258295</c:v>
                </c:pt>
                <c:pt idx="129">
                  <c:v>92716.183726469972</c:v>
                </c:pt>
                <c:pt idx="130">
                  <c:v>92332.133231791158</c:v>
                </c:pt>
                <c:pt idx="131">
                  <c:v>92545.563477867458</c:v>
                </c:pt>
                <c:pt idx="132">
                  <c:v>91689.233914894401</c:v>
                </c:pt>
                <c:pt idx="133">
                  <c:v>92281.966920250197</c:v>
                </c:pt>
                <c:pt idx="134">
                  <c:v>92290.647262652943</c:v>
                </c:pt>
                <c:pt idx="135">
                  <c:v>88599.692181489983</c:v>
                </c:pt>
                <c:pt idx="136">
                  <c:v>90200.942833308392</c:v>
                </c:pt>
                <c:pt idx="137">
                  <c:v>91921.70380258972</c:v>
                </c:pt>
                <c:pt idx="138">
                  <c:v>93372.689328419336</c:v>
                </c:pt>
                <c:pt idx="139">
                  <c:v>93551.615145026633</c:v>
                </c:pt>
                <c:pt idx="140">
                  <c:v>92571.69445862576</c:v>
                </c:pt>
                <c:pt idx="141">
                  <c:v>93526.735419342163</c:v>
                </c:pt>
                <c:pt idx="142">
                  <c:v>96182.054118767264</c:v>
                </c:pt>
                <c:pt idx="143">
                  <c:v>94828.441684124031</c:v>
                </c:pt>
                <c:pt idx="144">
                  <c:v>94525.5840063793</c:v>
                </c:pt>
                <c:pt idx="145">
                  <c:v>94882.048198579461</c:v>
                </c:pt>
                <c:pt idx="146">
                  <c:v>96524.215302472978</c:v>
                </c:pt>
                <c:pt idx="147">
                  <c:v>96324.302405211551</c:v>
                </c:pt>
                <c:pt idx="148">
                  <c:v>97521.050427472059</c:v>
                </c:pt>
                <c:pt idx="149">
                  <c:v>97153.32326344082</c:v>
                </c:pt>
                <c:pt idx="150">
                  <c:v>97444.314698713089</c:v>
                </c:pt>
                <c:pt idx="151">
                  <c:v>98705.123616411409</c:v>
                </c:pt>
                <c:pt idx="152">
                  <c:v>99643.525424756343</c:v>
                </c:pt>
                <c:pt idx="153">
                  <c:v>99916.041837170967</c:v>
                </c:pt>
                <c:pt idx="154">
                  <c:v>100718.29829707154</c:v>
                </c:pt>
                <c:pt idx="155">
                  <c:v>101039.74113452371</c:v>
                </c:pt>
                <c:pt idx="156">
                  <c:v>100873.16067961998</c:v>
                </c:pt>
                <c:pt idx="157">
                  <c:v>102103.0738903411</c:v>
                </c:pt>
                <c:pt idx="158">
                  <c:v>102804.95043620341</c:v>
                </c:pt>
                <c:pt idx="159">
                  <c:v>104102.34637554211</c:v>
                </c:pt>
                <c:pt idx="160">
                  <c:v>105070.29680020038</c:v>
                </c:pt>
                <c:pt idx="161">
                  <c:v>104027.65901158383</c:v>
                </c:pt>
                <c:pt idx="162">
                  <c:v>108030.8385678112</c:v>
                </c:pt>
                <c:pt idx="163">
                  <c:v>107524.12015095726</c:v>
                </c:pt>
                <c:pt idx="164">
                  <c:v>108073.06630269947</c:v>
                </c:pt>
                <c:pt idx="165">
                  <c:v>105947.85496980642</c:v>
                </c:pt>
                <c:pt idx="166">
                  <c:v>105880.59666225563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9F9-4AAC-A280-486E938570A0}"/>
            </c:ext>
          </c:extLst>
        </c:ser>
        <c:ser>
          <c:idx val="1"/>
          <c:order val="1"/>
          <c:tx>
            <c:strRef>
              <c:f>'Ideal - Compuesta'!$D$1</c:f>
              <c:strCache>
                <c:ptCount val="1"/>
                <c:pt idx="0">
                  <c:v>Arbol de Decision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'Ideal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Compuesta'!$D$4:$D$170</c:f>
              <c:numCache>
                <c:formatCode>General</c:formatCode>
                <c:ptCount val="167"/>
                <c:pt idx="0">
                  <c:v>100000</c:v>
                </c:pt>
                <c:pt idx="1">
                  <c:v>101401.05998518885</c:v>
                </c:pt>
                <c:pt idx="2">
                  <c:v>99840.845363549073</c:v>
                </c:pt>
                <c:pt idx="3">
                  <c:v>97724.881652260228</c:v>
                </c:pt>
                <c:pt idx="4">
                  <c:v>98441.310212861616</c:v>
                </c:pt>
                <c:pt idx="5">
                  <c:v>98532.92720183426</c:v>
                </c:pt>
                <c:pt idx="6">
                  <c:v>98974.519115871866</c:v>
                </c:pt>
                <c:pt idx="7">
                  <c:v>100699.2911470432</c:v>
                </c:pt>
                <c:pt idx="8">
                  <c:v>101956.4136758636</c:v>
                </c:pt>
                <c:pt idx="9">
                  <c:v>102866.47956973064</c:v>
                </c:pt>
                <c:pt idx="10">
                  <c:v>103908.57189113817</c:v>
                </c:pt>
                <c:pt idx="11">
                  <c:v>101353.64398795934</c:v>
                </c:pt>
                <c:pt idx="12">
                  <c:v>100262.37609661606</c:v>
                </c:pt>
                <c:pt idx="13">
                  <c:v>102466.97926415021</c:v>
                </c:pt>
                <c:pt idx="14">
                  <c:v>101774.13770310012</c:v>
                </c:pt>
                <c:pt idx="15">
                  <c:v>102149.27503230369</c:v>
                </c:pt>
                <c:pt idx="16">
                  <c:v>105043.6806751258</c:v>
                </c:pt>
                <c:pt idx="17">
                  <c:v>103263.66512151339</c:v>
                </c:pt>
                <c:pt idx="18">
                  <c:v>103473.52854481417</c:v>
                </c:pt>
                <c:pt idx="19">
                  <c:v>104081.71532005612</c:v>
                </c:pt>
                <c:pt idx="20">
                  <c:v>102257.55414636846</c:v>
                </c:pt>
                <c:pt idx="21">
                  <c:v>104252.3575255309</c:v>
                </c:pt>
                <c:pt idx="22">
                  <c:v>102050.08908880129</c:v>
                </c:pt>
                <c:pt idx="23">
                  <c:v>102519.78293192267</c:v>
                </c:pt>
                <c:pt idx="24">
                  <c:v>102563.68838927607</c:v>
                </c:pt>
                <c:pt idx="25">
                  <c:v>99754.196906891069</c:v>
                </c:pt>
                <c:pt idx="26">
                  <c:v>97504.682066473091</c:v>
                </c:pt>
                <c:pt idx="27">
                  <c:v>93847.774681517345</c:v>
                </c:pt>
                <c:pt idx="28">
                  <c:v>93408.173523150705</c:v>
                </c:pt>
                <c:pt idx="29">
                  <c:v>92064.8529818963</c:v>
                </c:pt>
                <c:pt idx="30">
                  <c:v>91970.991941757951</c:v>
                </c:pt>
                <c:pt idx="31">
                  <c:v>92175.447962163453</c:v>
                </c:pt>
                <c:pt idx="32">
                  <c:v>91528.855828355794</c:v>
                </c:pt>
                <c:pt idx="33">
                  <c:v>92029.056576471921</c:v>
                </c:pt>
                <c:pt idx="34">
                  <c:v>92636.11342921856</c:v>
                </c:pt>
                <c:pt idx="35">
                  <c:v>93487.129221823969</c:v>
                </c:pt>
                <c:pt idx="36">
                  <c:v>93201.23311453205</c:v>
                </c:pt>
                <c:pt idx="37">
                  <c:v>93381.818434374552</c:v>
                </c:pt>
                <c:pt idx="38">
                  <c:v>92418.776273264084</c:v>
                </c:pt>
                <c:pt idx="39">
                  <c:v>92212.249345338176</c:v>
                </c:pt>
                <c:pt idx="40">
                  <c:v>90508.482669470555</c:v>
                </c:pt>
                <c:pt idx="41">
                  <c:v>92178.837695989539</c:v>
                </c:pt>
                <c:pt idx="42">
                  <c:v>93314.727644258091</c:v>
                </c:pt>
                <c:pt idx="43">
                  <c:v>93479.760370510077</c:v>
                </c:pt>
                <c:pt idx="44">
                  <c:v>92760.397248062043</c:v>
                </c:pt>
                <c:pt idx="45">
                  <c:v>92871.219347000922</c:v>
                </c:pt>
                <c:pt idx="46">
                  <c:v>91549.788681846869</c:v>
                </c:pt>
                <c:pt idx="47">
                  <c:v>90668.621419692674</c:v>
                </c:pt>
                <c:pt idx="48">
                  <c:v>88284.752415939394</c:v>
                </c:pt>
                <c:pt idx="49">
                  <c:v>89503.641080515474</c:v>
                </c:pt>
                <c:pt idx="50">
                  <c:v>91346.36301166573</c:v>
                </c:pt>
                <c:pt idx="51">
                  <c:v>87539.722766350562</c:v>
                </c:pt>
                <c:pt idx="52">
                  <c:v>87167.158141787542</c:v>
                </c:pt>
                <c:pt idx="53">
                  <c:v>85563.520765638736</c:v>
                </c:pt>
                <c:pt idx="54">
                  <c:v>85183.819741385247</c:v>
                </c:pt>
                <c:pt idx="55">
                  <c:v>84758.992677167204</c:v>
                </c:pt>
                <c:pt idx="56">
                  <c:v>84801.809072942473</c:v>
                </c:pt>
                <c:pt idx="57">
                  <c:v>85746.543125634809</c:v>
                </c:pt>
                <c:pt idx="58">
                  <c:v>87027.23027476127</c:v>
                </c:pt>
                <c:pt idx="59">
                  <c:v>86868.191091718298</c:v>
                </c:pt>
                <c:pt idx="60">
                  <c:v>87269.760055330451</c:v>
                </c:pt>
                <c:pt idx="61">
                  <c:v>87251.47135238495</c:v>
                </c:pt>
                <c:pt idx="62">
                  <c:v>85839.801903984902</c:v>
                </c:pt>
                <c:pt idx="63">
                  <c:v>86069.090302653261</c:v>
                </c:pt>
                <c:pt idx="64">
                  <c:v>86178.562920451688</c:v>
                </c:pt>
                <c:pt idx="65">
                  <c:v>85715.873962218539</c:v>
                </c:pt>
                <c:pt idx="66">
                  <c:v>88412.61991286304</c:v>
                </c:pt>
                <c:pt idx="67">
                  <c:v>88475.428267891111</c:v>
                </c:pt>
                <c:pt idx="68">
                  <c:v>87600.838122673988</c:v>
                </c:pt>
                <c:pt idx="69">
                  <c:v>87247.166912085944</c:v>
                </c:pt>
                <c:pt idx="70">
                  <c:v>89177.017767958445</c:v>
                </c:pt>
                <c:pt idx="71">
                  <c:v>88923.972801931654</c:v>
                </c:pt>
                <c:pt idx="72">
                  <c:v>88536.206405482037</c:v>
                </c:pt>
                <c:pt idx="73">
                  <c:v>87583.888073939568</c:v>
                </c:pt>
                <c:pt idx="74">
                  <c:v>88362.308293539289</c:v>
                </c:pt>
                <c:pt idx="75">
                  <c:v>88645.98522721784</c:v>
                </c:pt>
                <c:pt idx="76">
                  <c:v>88926.291375748769</c:v>
                </c:pt>
                <c:pt idx="77">
                  <c:v>88973.903226000126</c:v>
                </c:pt>
                <c:pt idx="78">
                  <c:v>90055.942614085739</c:v>
                </c:pt>
                <c:pt idx="79">
                  <c:v>90400.715263461068</c:v>
                </c:pt>
                <c:pt idx="80">
                  <c:v>87784.095762996367</c:v>
                </c:pt>
                <c:pt idx="81">
                  <c:v>86772.636613948445</c:v>
                </c:pt>
                <c:pt idx="82">
                  <c:v>87094.849273633401</c:v>
                </c:pt>
                <c:pt idx="83">
                  <c:v>87777.586471546165</c:v>
                </c:pt>
                <c:pt idx="84">
                  <c:v>88506.641529323533</c:v>
                </c:pt>
                <c:pt idx="85">
                  <c:v>88734.644694302406</c:v>
                </c:pt>
                <c:pt idx="86">
                  <c:v>87213.588554433751</c:v>
                </c:pt>
                <c:pt idx="87">
                  <c:v>86801.11970165059</c:v>
                </c:pt>
                <c:pt idx="88">
                  <c:v>87037.608496152432</c:v>
                </c:pt>
                <c:pt idx="89">
                  <c:v>86100.506532761618</c:v>
                </c:pt>
                <c:pt idx="90">
                  <c:v>86059.803699103388</c:v>
                </c:pt>
                <c:pt idx="91">
                  <c:v>85694.626021193268</c:v>
                </c:pt>
                <c:pt idx="92">
                  <c:v>85810.627041866683</c:v>
                </c:pt>
                <c:pt idx="93">
                  <c:v>86293.217640537245</c:v>
                </c:pt>
                <c:pt idx="94">
                  <c:v>86822.16149949297</c:v>
                </c:pt>
                <c:pt idx="95">
                  <c:v>87906.302756122241</c:v>
                </c:pt>
                <c:pt idx="96">
                  <c:v>88281.659961642566</c:v>
                </c:pt>
                <c:pt idx="97">
                  <c:v>89100.916641566801</c:v>
                </c:pt>
                <c:pt idx="98">
                  <c:v>87787.761675994334</c:v>
                </c:pt>
                <c:pt idx="99">
                  <c:v>87614.259745683346</c:v>
                </c:pt>
                <c:pt idx="100">
                  <c:v>88282.621832101649</c:v>
                </c:pt>
                <c:pt idx="101">
                  <c:v>90693.830566804754</c:v>
                </c:pt>
                <c:pt idx="102">
                  <c:v>89525.64356168716</c:v>
                </c:pt>
                <c:pt idx="103">
                  <c:v>88576.573472551085</c:v>
                </c:pt>
                <c:pt idx="104">
                  <c:v>90338.628581726007</c:v>
                </c:pt>
                <c:pt idx="105">
                  <c:v>90655.638204738643</c:v>
                </c:pt>
                <c:pt idx="106">
                  <c:v>90859.235673776027</c:v>
                </c:pt>
                <c:pt idx="107">
                  <c:v>90389.937696998706</c:v>
                </c:pt>
                <c:pt idx="108">
                  <c:v>88158.296222063174</c:v>
                </c:pt>
                <c:pt idx="109">
                  <c:v>88488.347260951545</c:v>
                </c:pt>
                <c:pt idx="110">
                  <c:v>89057.283096888757</c:v>
                </c:pt>
                <c:pt idx="111">
                  <c:v>89993.566258480831</c:v>
                </c:pt>
                <c:pt idx="112">
                  <c:v>89968.727328973095</c:v>
                </c:pt>
                <c:pt idx="113">
                  <c:v>90764.673989179908</c:v>
                </c:pt>
                <c:pt idx="114">
                  <c:v>93649.208731366452</c:v>
                </c:pt>
                <c:pt idx="115">
                  <c:v>96007.259905887186</c:v>
                </c:pt>
                <c:pt idx="116">
                  <c:v>96335.144071133633</c:v>
                </c:pt>
                <c:pt idx="117">
                  <c:v>95576.83921843319</c:v>
                </c:pt>
                <c:pt idx="118">
                  <c:v>93940.704601254707</c:v>
                </c:pt>
                <c:pt idx="119">
                  <c:v>93777.427609531005</c:v>
                </c:pt>
                <c:pt idx="120">
                  <c:v>95180.273226000601</c:v>
                </c:pt>
                <c:pt idx="121">
                  <c:v>94463.566341345548</c:v>
                </c:pt>
                <c:pt idx="122">
                  <c:v>94056.531109927499</c:v>
                </c:pt>
                <c:pt idx="123">
                  <c:v>94123.575998032218</c:v>
                </c:pt>
                <c:pt idx="124">
                  <c:v>94804.467019674295</c:v>
                </c:pt>
                <c:pt idx="125">
                  <c:v>95015.148565423136</c:v>
                </c:pt>
                <c:pt idx="126">
                  <c:v>95876.685578642078</c:v>
                </c:pt>
                <c:pt idx="127">
                  <c:v>94783.889933969534</c:v>
                </c:pt>
                <c:pt idx="128">
                  <c:v>95580.623578061262</c:v>
                </c:pt>
                <c:pt idx="129">
                  <c:v>94769.253118689841</c:v>
                </c:pt>
                <c:pt idx="130">
                  <c:v>94376.831227905801</c:v>
                </c:pt>
                <c:pt idx="131">
                  <c:v>94595.120763686937</c:v>
                </c:pt>
                <c:pt idx="132">
                  <c:v>93719.959404940586</c:v>
                </c:pt>
                <c:pt idx="133">
                  <c:v>94325.95309886137</c:v>
                </c:pt>
                <c:pt idx="134">
                  <c:v>94334.958601400707</c:v>
                </c:pt>
                <c:pt idx="135">
                  <c:v>90562.378830427537</c:v>
                </c:pt>
                <c:pt idx="136">
                  <c:v>92199.233775197194</c:v>
                </c:pt>
                <c:pt idx="137">
                  <c:v>93958.24900984799</c:v>
                </c:pt>
                <c:pt idx="138">
                  <c:v>95441.514364781353</c:v>
                </c:pt>
                <c:pt idx="139">
                  <c:v>95624.537516080614</c:v>
                </c:pt>
                <c:pt idx="140">
                  <c:v>94623.036635950935</c:v>
                </c:pt>
                <c:pt idx="141">
                  <c:v>95599.373780866881</c:v>
                </c:pt>
                <c:pt idx="142">
                  <c:v>98313.66974710174</c:v>
                </c:pt>
                <c:pt idx="143">
                  <c:v>96930.191120132484</c:v>
                </c:pt>
                <c:pt idx="144">
                  <c:v>97227.628263338149</c:v>
                </c:pt>
                <c:pt idx="145">
                  <c:v>97594.453611189267</c:v>
                </c:pt>
                <c:pt idx="146">
                  <c:v>99283.737081754487</c:v>
                </c:pt>
                <c:pt idx="147">
                  <c:v>99078.280426777957</c:v>
                </c:pt>
                <c:pt idx="148">
                  <c:v>100309.41584179481</c:v>
                </c:pt>
                <c:pt idx="149">
                  <c:v>99931.346013188231</c:v>
                </c:pt>
                <c:pt idx="150">
                  <c:v>100230.82968460799</c:v>
                </c:pt>
                <c:pt idx="151">
                  <c:v>101527.86423583193</c:v>
                </c:pt>
                <c:pt idx="152">
                  <c:v>102493.27377435133</c:v>
                </c:pt>
                <c:pt idx="153">
                  <c:v>102773.75559829902</c:v>
                </c:pt>
                <c:pt idx="154">
                  <c:v>101936.38207365581</c:v>
                </c:pt>
                <c:pt idx="155">
                  <c:v>102261.78499398073</c:v>
                </c:pt>
                <c:pt idx="156">
                  <c:v>102418.30761893222</c:v>
                </c:pt>
                <c:pt idx="157">
                  <c:v>103667.15220348891</c:v>
                </c:pt>
                <c:pt idx="158">
                  <c:v>104379.87244201965</c:v>
                </c:pt>
                <c:pt idx="159">
                  <c:v>105697.23577532572</c:v>
                </c:pt>
                <c:pt idx="160">
                  <c:v>106680.10750831454</c:v>
                </c:pt>
                <c:pt idx="161">
                  <c:v>105621.5871090709</c:v>
                </c:pt>
                <c:pt idx="162">
                  <c:v>109686.19594288904</c:v>
                </c:pt>
                <c:pt idx="163">
                  <c:v>109171.80501386021</c:v>
                </c:pt>
                <c:pt idx="164">
                  <c:v>109729.25508428289</c:v>
                </c:pt>
                <c:pt idx="165">
                  <c:v>107571.56744480006</c:v>
                </c:pt>
                <c:pt idx="166">
                  <c:v>107503.37031807078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9F9-4AAC-A280-486E938570A0}"/>
            </c:ext>
          </c:extLst>
        </c:ser>
        <c:ser>
          <c:idx val="2"/>
          <c:order val="2"/>
          <c:tx>
            <c:strRef>
              <c:f>'Ideal - Compuesta'!$E$1</c:f>
              <c:strCache>
                <c:ptCount val="1"/>
                <c:pt idx="0">
                  <c:v>SVR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'Ideal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Compuesta'!$E$4:$E$170</c:f>
              <c:numCache>
                <c:formatCode>General</c:formatCode>
                <c:ptCount val="167"/>
                <c:pt idx="0">
                  <c:v>100000</c:v>
                </c:pt>
                <c:pt idx="1">
                  <c:v>101401.05998518885</c:v>
                </c:pt>
                <c:pt idx="2">
                  <c:v>99840.845363549073</c:v>
                </c:pt>
                <c:pt idx="3">
                  <c:v>97724.881652260228</c:v>
                </c:pt>
                <c:pt idx="4">
                  <c:v>98441.310212861616</c:v>
                </c:pt>
                <c:pt idx="5">
                  <c:v>98532.92720183426</c:v>
                </c:pt>
                <c:pt idx="6">
                  <c:v>98974.519115871866</c:v>
                </c:pt>
                <c:pt idx="7">
                  <c:v>100699.2911470432</c:v>
                </c:pt>
                <c:pt idx="8">
                  <c:v>99430.1686182228</c:v>
                </c:pt>
                <c:pt idx="9">
                  <c:v>98530.800726898422</c:v>
                </c:pt>
                <c:pt idx="10">
                  <c:v>97520.884037069511</c:v>
                </c:pt>
                <c:pt idx="11">
                  <c:v>99907.118844465149</c:v>
                </c:pt>
                <c:pt idx="12">
                  <c:v>98831.339960033569</c:v>
                </c:pt>
                <c:pt idx="13">
                  <c:v>101004.39138164323</c:v>
                </c:pt>
                <c:pt idx="14">
                  <c:v>100321.35362423417</c:v>
                </c:pt>
                <c:pt idx="15">
                  <c:v>100691.05037436505</c:v>
                </c:pt>
                <c:pt idx="16">
                  <c:v>103544.05148421274</c:v>
                </c:pt>
                <c:pt idx="17">
                  <c:v>105286.74075934527</c:v>
                </c:pt>
                <c:pt idx="18">
                  <c:v>105060.64827800878</c:v>
                </c:pt>
                <c:pt idx="19">
                  <c:v>104431.04085224334</c:v>
                </c:pt>
                <c:pt idx="20">
                  <c:v>106249.30425164517</c:v>
                </c:pt>
                <c:pt idx="21">
                  <c:v>108322.21146544437</c:v>
                </c:pt>
                <c:pt idx="22">
                  <c:v>106034.20403956871</c:v>
                </c:pt>
                <c:pt idx="23">
                  <c:v>106522.46934077787</c:v>
                </c:pt>
                <c:pt idx="24">
                  <c:v>106464.6154214773</c:v>
                </c:pt>
                <c:pt idx="25">
                  <c:v>103548.49540534969</c:v>
                </c:pt>
                <c:pt idx="26">
                  <c:v>105871.3456527402</c:v>
                </c:pt>
                <c:pt idx="27">
                  <c:v>109829.52941814422</c:v>
                </c:pt>
                <c:pt idx="28">
                  <c:v>109316.08839101084</c:v>
                </c:pt>
                <c:pt idx="29">
                  <c:v>107745.01496134305</c:v>
                </c:pt>
                <c:pt idx="30">
                  <c:v>107841.84018484161</c:v>
                </c:pt>
                <c:pt idx="31">
                  <c:v>107589.0671095563</c:v>
                </c:pt>
                <c:pt idx="32">
                  <c:v>108330.7793431044</c:v>
                </c:pt>
                <c:pt idx="33">
                  <c:v>107725.65548155064</c:v>
                </c:pt>
                <c:pt idx="34">
                  <c:v>107002.0348325254</c:v>
                </c:pt>
                <c:pt idx="35">
                  <c:v>106006.11383629906</c:v>
                </c:pt>
                <c:pt idx="36">
                  <c:v>106317.491199995</c:v>
                </c:pt>
                <c:pt idx="37">
                  <c:v>106098.64763089729</c:v>
                </c:pt>
                <c:pt idx="38">
                  <c:v>107180.02074829841</c:v>
                </c:pt>
                <c:pt idx="39">
                  <c:v>106941.4654044347</c:v>
                </c:pt>
                <c:pt idx="40">
                  <c:v>108904.41917707444</c:v>
                </c:pt>
                <c:pt idx="41">
                  <c:v>106881.34337254104</c:v>
                </c:pt>
                <c:pt idx="42">
                  <c:v>105551.32221209789</c:v>
                </c:pt>
                <c:pt idx="43">
                  <c:v>105351.86153495527</c:v>
                </c:pt>
                <c:pt idx="44">
                  <c:v>106149.82308344889</c:v>
                </c:pt>
                <c:pt idx="45">
                  <c:v>106277.50777543482</c:v>
                </c:pt>
                <c:pt idx="46">
                  <c:v>107776.82550171134</c:v>
                </c:pt>
                <c:pt idx="47">
                  <c:v>108801.11460074785</c:v>
                </c:pt>
                <c:pt idx="48">
                  <c:v>105941.70408306312</c:v>
                </c:pt>
                <c:pt idx="49">
                  <c:v>104465.83766914555</c:v>
                </c:pt>
                <c:pt idx="50">
                  <c:v>102302.06751785977</c:v>
                </c:pt>
                <c:pt idx="51">
                  <c:v>98039.594220311279</c:v>
                </c:pt>
                <c:pt idx="52">
                  <c:v>97623.062339331955</c:v>
                </c:pt>
                <c:pt idx="53">
                  <c:v>99406.340050023457</c:v>
                </c:pt>
                <c:pt idx="54">
                  <c:v>99834.499967258904</c:v>
                </c:pt>
                <c:pt idx="55">
                  <c:v>100319.36068066559</c:v>
                </c:pt>
                <c:pt idx="56">
                  <c:v>100371.13897014529</c:v>
                </c:pt>
                <c:pt idx="57">
                  <c:v>99239.853309737373</c:v>
                </c:pt>
                <c:pt idx="58">
                  <c:v>100723.01706235354</c:v>
                </c:pt>
                <c:pt idx="59">
                  <c:v>100894.14056951537</c:v>
                </c:pt>
                <c:pt idx="60">
                  <c:v>100414.76452945209</c:v>
                </c:pt>
                <c:pt idx="61">
                  <c:v>100394.62484106676</c:v>
                </c:pt>
                <c:pt idx="62">
                  <c:v>98771.211922576025</c:v>
                </c:pt>
                <c:pt idx="63">
                  <c:v>98494.478302829433</c:v>
                </c:pt>
                <c:pt idx="64">
                  <c:v>98356.33544866048</c:v>
                </c:pt>
                <c:pt idx="65">
                  <c:v>98871.558486611815</c:v>
                </c:pt>
                <c:pt idx="66">
                  <c:v>95747.994703135875</c:v>
                </c:pt>
                <c:pt idx="67">
                  <c:v>95667.477490330144</c:v>
                </c:pt>
                <c:pt idx="68">
                  <c:v>96600.674166657933</c:v>
                </c:pt>
                <c:pt idx="69">
                  <c:v>96978.064029710498</c:v>
                </c:pt>
                <c:pt idx="70">
                  <c:v>94820.30283336193</c:v>
                </c:pt>
                <c:pt idx="71">
                  <c:v>95076.981257449515</c:v>
                </c:pt>
                <c:pt idx="72">
                  <c:v>95479.163611164317</c:v>
                </c:pt>
                <c:pt idx="73">
                  <c:v>96493.691669389227</c:v>
                </c:pt>
                <c:pt idx="74">
                  <c:v>95623.473324282313</c:v>
                </c:pt>
                <c:pt idx="75">
                  <c:v>95303.99221366836</c:v>
                </c:pt>
                <c:pt idx="76">
                  <c:v>94990.182233550498</c:v>
                </c:pt>
                <c:pt idx="77">
                  <c:v>95041.449880120126</c:v>
                </c:pt>
                <c:pt idx="78">
                  <c:v>96197.687763600057</c:v>
                </c:pt>
                <c:pt idx="79">
                  <c:v>96566.382834476375</c:v>
                </c:pt>
                <c:pt idx="80">
                  <c:v>93771.709300397401</c:v>
                </c:pt>
                <c:pt idx="81">
                  <c:v>92691.669382135922</c:v>
                </c:pt>
                <c:pt idx="82">
                  <c:v>93036.270453230478</c:v>
                </c:pt>
                <c:pt idx="83">
                  <c:v>93765.991804729623</c:v>
                </c:pt>
                <c:pt idx="84">
                  <c:v>94545.194147310773</c:v>
                </c:pt>
                <c:pt idx="85">
                  <c:v>94789.162672629667</c:v>
                </c:pt>
                <c:pt idx="86">
                  <c:v>93164.731637097517</c:v>
                </c:pt>
                <c:pt idx="87">
                  <c:v>93592.936469349632</c:v>
                </c:pt>
                <c:pt idx="88">
                  <c:v>93848.398976012541</c:v>
                </c:pt>
                <c:pt idx="89">
                  <c:v>92838.437239730323</c:v>
                </c:pt>
                <c:pt idx="90">
                  <c:v>92869.855798277305</c:v>
                </c:pt>
                <c:pt idx="91">
                  <c:v>93251.455789442756</c:v>
                </c:pt>
                <c:pt idx="92">
                  <c:v>93112.696323490018</c:v>
                </c:pt>
                <c:pt idx="93">
                  <c:v>92576.529028262958</c:v>
                </c:pt>
                <c:pt idx="94">
                  <c:v>91996.634033485971</c:v>
                </c:pt>
                <c:pt idx="95">
                  <c:v>90835.521968791378</c:v>
                </c:pt>
                <c:pt idx="96">
                  <c:v>90435.457155076001</c:v>
                </c:pt>
                <c:pt idx="97">
                  <c:v>89584.066785755174</c:v>
                </c:pt>
                <c:pt idx="98">
                  <c:v>90892.309805344339</c:v>
                </c:pt>
                <c:pt idx="99">
                  <c:v>91059.735315371698</c:v>
                </c:pt>
                <c:pt idx="100">
                  <c:v>90352.853595041946</c:v>
                </c:pt>
                <c:pt idx="101">
                  <c:v>87872.961198295408</c:v>
                </c:pt>
                <c:pt idx="102">
                  <c:v>88993.000455515197</c:v>
                </c:pt>
                <c:pt idx="103">
                  <c:v>89924.459640762376</c:v>
                </c:pt>
                <c:pt idx="104">
                  <c:v>88123.499708643154</c:v>
                </c:pt>
                <c:pt idx="105">
                  <c:v>87802.410373479157</c:v>
                </c:pt>
                <c:pt idx="106">
                  <c:v>87593.409618599457</c:v>
                </c:pt>
                <c:pt idx="107">
                  <c:v>88034.054906273144</c:v>
                </c:pt>
                <c:pt idx="108">
                  <c:v>90195.688260142124</c:v>
                </c:pt>
                <c:pt idx="109">
                  <c:v>90533.505643666911</c:v>
                </c:pt>
                <c:pt idx="110">
                  <c:v>91115.729498657325</c:v>
                </c:pt>
                <c:pt idx="111">
                  <c:v>92073.792343122914</c:v>
                </c:pt>
                <c:pt idx="112">
                  <c:v>92087.066739677888</c:v>
                </c:pt>
                <c:pt idx="113">
                  <c:v>92901.895463308669</c:v>
                </c:pt>
                <c:pt idx="114">
                  <c:v>89937.297755089196</c:v>
                </c:pt>
                <c:pt idx="115">
                  <c:v>92201.646616242215</c:v>
                </c:pt>
                <c:pt idx="116">
                  <c:v>92516.29601135035</c:v>
                </c:pt>
                <c:pt idx="117">
                  <c:v>93232.778539552281</c:v>
                </c:pt>
                <c:pt idx="118">
                  <c:v>94816.9334452373</c:v>
                </c:pt>
                <c:pt idx="119">
                  <c:v>94652.189457526838</c:v>
                </c:pt>
                <c:pt idx="120">
                  <c:v>93224.202038958188</c:v>
                </c:pt>
                <c:pt idx="121">
                  <c:v>93914.303026693771</c:v>
                </c:pt>
                <c:pt idx="122">
                  <c:v>94307.006417921657</c:v>
                </c:pt>
                <c:pt idx="123">
                  <c:v>94374.245826711223</c:v>
                </c:pt>
                <c:pt idx="124">
                  <c:v>95056.966175946203</c:v>
                </c:pt>
                <c:pt idx="125">
                  <c:v>95268.224824327452</c:v>
                </c:pt>
                <c:pt idx="126">
                  <c:v>96132.072553522536</c:v>
                </c:pt>
                <c:pt idx="127">
                  <c:v>95036.382008485714</c:v>
                </c:pt>
                <c:pt idx="128">
                  <c:v>95835.254031612334</c:v>
                </c:pt>
                <c:pt idx="129">
                  <c:v>96636.770028830972</c:v>
                </c:pt>
                <c:pt idx="130">
                  <c:v>96236.733332698786</c:v>
                </c:pt>
                <c:pt idx="131">
                  <c:v>96002.023680515616</c:v>
                </c:pt>
                <c:pt idx="132">
                  <c:v>95113.935379650662</c:v>
                </c:pt>
                <c:pt idx="133">
                  <c:v>95729.031771773793</c:v>
                </c:pt>
                <c:pt idx="134">
                  <c:v>95738.260478000957</c:v>
                </c:pt>
                <c:pt idx="135">
                  <c:v>91909.650063252295</c:v>
                </c:pt>
                <c:pt idx="136">
                  <c:v>93570.945302494962</c:v>
                </c:pt>
                <c:pt idx="137">
                  <c:v>95356.219884909224</c:v>
                </c:pt>
                <c:pt idx="138">
                  <c:v>96861.64348154435</c:v>
                </c:pt>
                <c:pt idx="139">
                  <c:v>97047.479216892476</c:v>
                </c:pt>
                <c:pt idx="140">
                  <c:v>96031.16477789676</c:v>
                </c:pt>
                <c:pt idx="141">
                  <c:v>97022.120525510443</c:v>
                </c:pt>
                <c:pt idx="142">
                  <c:v>99776.900985287066</c:v>
                </c:pt>
                <c:pt idx="143">
                  <c:v>98372.920939114367</c:v>
                </c:pt>
                <c:pt idx="144">
                  <c:v>98674.874506043445</c:v>
                </c:pt>
                <c:pt idx="145">
                  <c:v>98290.499603055578</c:v>
                </c:pt>
                <c:pt idx="146">
                  <c:v>99991.87387613162</c:v>
                </c:pt>
                <c:pt idx="147">
                  <c:v>99784.994605524131</c:v>
                </c:pt>
                <c:pt idx="148">
                  <c:v>101024.95436766383</c:v>
                </c:pt>
                <c:pt idx="149">
                  <c:v>100644.2304482678</c:v>
                </c:pt>
                <c:pt idx="150">
                  <c:v>100945.89336136912</c:v>
                </c:pt>
                <c:pt idx="151">
                  <c:v>102252.22398127848</c:v>
                </c:pt>
                <c:pt idx="152">
                  <c:v>103224.56412915663</c:v>
                </c:pt>
                <c:pt idx="153">
                  <c:v>102930.03825502921</c:v>
                </c:pt>
                <c:pt idx="154">
                  <c:v>102091.40050429628</c:v>
                </c:pt>
                <c:pt idx="155">
                  <c:v>102417.30740131307</c:v>
                </c:pt>
                <c:pt idx="156">
                  <c:v>102574.07719493934</c:v>
                </c:pt>
                <c:pt idx="157">
                  <c:v>103824.83029188444</c:v>
                </c:pt>
                <c:pt idx="158">
                  <c:v>103099.01687744509</c:v>
                </c:pt>
                <c:pt idx="159">
                  <c:v>101785.8926642851</c:v>
                </c:pt>
                <c:pt idx="160">
                  <c:v>102732.17104067233</c:v>
                </c:pt>
                <c:pt idx="161">
                  <c:v>101712.60151769011</c:v>
                </c:pt>
                <c:pt idx="162">
                  <c:v>105626.55979119135</c:v>
                </c:pt>
                <c:pt idx="163">
                  <c:v>105130.98510587431</c:v>
                </c:pt>
                <c:pt idx="164">
                  <c:v>105667.57997232348</c:v>
                </c:pt>
                <c:pt idx="165">
                  <c:v>103589.53796724587</c:v>
                </c:pt>
                <c:pt idx="166">
                  <c:v>103523.64322206532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9F9-4AAC-A280-486E938570A0}"/>
            </c:ext>
          </c:extLst>
        </c:ser>
        <c:ser>
          <c:idx val="3"/>
          <c:order val="3"/>
          <c:tx>
            <c:strRef>
              <c:f>'Ideal - Compuesta'!$F$1</c:f>
              <c:strCache>
                <c:ptCount val="1"/>
                <c:pt idx="0">
                  <c:v>Regresion Polinomica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'Ideal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Compuesta'!$F$4:$F$170</c:f>
              <c:numCache>
                <c:formatCode>General</c:formatCode>
                <c:ptCount val="167"/>
                <c:pt idx="0">
                  <c:v>100000</c:v>
                </c:pt>
                <c:pt idx="1">
                  <c:v>98586.940014811145</c:v>
                </c:pt>
                <c:pt idx="2">
                  <c:v>97069.858536016691</c:v>
                </c:pt>
                <c:pt idx="3">
                  <c:v>95012.454842216321</c:v>
                </c:pt>
                <c:pt idx="4">
                  <c:v>95708.831860539154</c:v>
                </c:pt>
                <c:pt idx="5">
                  <c:v>95797.739252203421</c:v>
                </c:pt>
                <c:pt idx="6">
                  <c:v>96226.90640586504</c:v>
                </c:pt>
                <c:pt idx="7">
                  <c:v>97903.630805449473</c:v>
                </c:pt>
                <c:pt idx="8">
                  <c:v>99125.685941836695</c:v>
                </c:pt>
                <c:pt idx="9">
                  <c:v>100010.31809359301</c:v>
                </c:pt>
                <c:pt idx="10">
                  <c:v>101023.30938107421</c:v>
                </c:pt>
                <c:pt idx="11">
                  <c:v>98539.15837325684</c:v>
                </c:pt>
                <c:pt idx="12">
                  <c:v>97478.027246099839</c:v>
                </c:pt>
                <c:pt idx="13">
                  <c:v>99621.240581993246</c:v>
                </c:pt>
                <c:pt idx="14">
                  <c:v>100283.00700671328</c:v>
                </c:pt>
                <c:pt idx="15">
                  <c:v>99901.453862096678</c:v>
                </c:pt>
                <c:pt idx="16">
                  <c:v>102732.03532991548</c:v>
                </c:pt>
                <c:pt idx="17">
                  <c:v>104461.01098345507</c:v>
                </c:pt>
                <c:pt idx="18">
                  <c:v>104236.64461610006</c:v>
                </c:pt>
                <c:pt idx="19">
                  <c:v>103611.92822052381</c:v>
                </c:pt>
                <c:pt idx="20">
                  <c:v>105415.88287434731</c:v>
                </c:pt>
                <c:pt idx="21">
                  <c:v>107472.48310406222</c:v>
                </c:pt>
                <c:pt idx="22">
                  <c:v>109730.5894327906</c:v>
                </c:pt>
                <c:pt idx="23">
                  <c:v>109213.09388916753</c:v>
                </c:pt>
                <c:pt idx="24">
                  <c:v>109260.25757371353</c:v>
                </c:pt>
                <c:pt idx="25">
                  <c:v>112240.79409830214</c:v>
                </c:pt>
                <c:pt idx="26">
                  <c:v>114759.13788601142</c:v>
                </c:pt>
                <c:pt idx="27">
                  <c:v>119050.11086330457</c:v>
                </c:pt>
                <c:pt idx="28">
                  <c:v>119594.15337788932</c:v>
                </c:pt>
                <c:pt idx="29">
                  <c:v>117875.92936264786</c:v>
                </c:pt>
                <c:pt idx="30">
                  <c:v>117982.42290850855</c:v>
                </c:pt>
                <c:pt idx="31">
                  <c:v>117706.44527013702</c:v>
                </c:pt>
                <c:pt idx="32">
                  <c:v>118518.47029312863</c:v>
                </c:pt>
                <c:pt idx="33">
                  <c:v>117857.00336103383</c:v>
                </c:pt>
                <c:pt idx="34">
                  <c:v>117065.89215548076</c:v>
                </c:pt>
                <c:pt idx="35">
                  <c:v>115976.86616660065</c:v>
                </c:pt>
                <c:pt idx="36">
                  <c:v>115623.63683518195</c:v>
                </c:pt>
                <c:pt idx="37">
                  <c:v>115386.16271687565</c:v>
                </c:pt>
                <c:pt idx="38">
                  <c:v>114197.60465171645</c:v>
                </c:pt>
                <c:pt idx="39">
                  <c:v>114439.38649606371</c:v>
                </c:pt>
                <c:pt idx="40">
                  <c:v>112326.38468037083</c:v>
                </c:pt>
                <c:pt idx="41">
                  <c:v>114400.84050081913</c:v>
                </c:pt>
                <c:pt idx="42">
                  <c:v>115812.01143838503</c:v>
                </c:pt>
                <c:pt idx="43">
                  <c:v>116018.278510787</c:v>
                </c:pt>
                <c:pt idx="44">
                  <c:v>115126.91935826601</c:v>
                </c:pt>
                <c:pt idx="45">
                  <c:v>114975.92894465412</c:v>
                </c:pt>
                <c:pt idx="46">
                  <c:v>113341.40652671027</c:v>
                </c:pt>
                <c:pt idx="47">
                  <c:v>112251.92299423156</c:v>
                </c:pt>
                <c:pt idx="48">
                  <c:v>115189.83417453004</c:v>
                </c:pt>
                <c:pt idx="49">
                  <c:v>116782.01186992681</c:v>
                </c:pt>
                <c:pt idx="50">
                  <c:v>119188.17593276718</c:v>
                </c:pt>
                <c:pt idx="51">
                  <c:v>114223.12377917538</c:v>
                </c:pt>
                <c:pt idx="52">
                  <c:v>113738.82484057487</c:v>
                </c:pt>
                <c:pt idx="53">
                  <c:v>115817.47921681331</c:v>
                </c:pt>
                <c:pt idx="54">
                  <c:v>116317.31523457523</c:v>
                </c:pt>
                <c:pt idx="55">
                  <c:v>116883.21773677957</c:v>
                </c:pt>
                <c:pt idx="56">
                  <c:v>116944.53587301861</c:v>
                </c:pt>
                <c:pt idx="57">
                  <c:v>115627.44176139247</c:v>
                </c:pt>
                <c:pt idx="58">
                  <c:v>117356.51279723315</c:v>
                </c:pt>
                <c:pt idx="59">
                  <c:v>117556.88665041172</c:v>
                </c:pt>
                <c:pt idx="60">
                  <c:v>116999.33218777772</c:v>
                </c:pt>
                <c:pt idx="61">
                  <c:v>116976.8571792849</c:v>
                </c:pt>
                <c:pt idx="62">
                  <c:v>115086.29532882984</c:v>
                </c:pt>
                <c:pt idx="63">
                  <c:v>114764.84178005673</c:v>
                </c:pt>
                <c:pt idx="64">
                  <c:v>114604.87016649645</c:v>
                </c:pt>
                <c:pt idx="65">
                  <c:v>115206.19961121106</c:v>
                </c:pt>
                <c:pt idx="66">
                  <c:v>111567.58087800433</c:v>
                </c:pt>
                <c:pt idx="67">
                  <c:v>111474.75185153454</c:v>
                </c:pt>
                <c:pt idx="68">
                  <c:v>112563.13334020722</c:v>
                </c:pt>
                <c:pt idx="69">
                  <c:v>113003.87519421973</c:v>
                </c:pt>
                <c:pt idx="70">
                  <c:v>110490.53133132879</c:v>
                </c:pt>
                <c:pt idx="71">
                  <c:v>110790.62061579058</c:v>
                </c:pt>
                <c:pt idx="72">
                  <c:v>111260.26441194797</c:v>
                </c:pt>
                <c:pt idx="73">
                  <c:v>112443.4686037685</c:v>
                </c:pt>
                <c:pt idx="74">
                  <c:v>111430.40061130555</c:v>
                </c:pt>
                <c:pt idx="75">
                  <c:v>111059.09986949575</c:v>
                </c:pt>
                <c:pt idx="76">
                  <c:v>110694.40451446702</c:v>
                </c:pt>
                <c:pt idx="77">
                  <c:v>110755.13991686245</c:v>
                </c:pt>
                <c:pt idx="78">
                  <c:v>112103.53654658415</c:v>
                </c:pt>
                <c:pt idx="79">
                  <c:v>112534.18573793511</c:v>
                </c:pt>
                <c:pt idx="80">
                  <c:v>109278.38910855917</c:v>
                </c:pt>
                <c:pt idx="81">
                  <c:v>108020.73919216584</c:v>
                </c:pt>
                <c:pt idx="82">
                  <c:v>108423.32161509174</c:v>
                </c:pt>
                <c:pt idx="83">
                  <c:v>109274.72220009028</c:v>
                </c:pt>
                <c:pt idx="84">
                  <c:v>110183.79563135204</c:v>
                </c:pt>
                <c:pt idx="85">
                  <c:v>110469.11113560807</c:v>
                </c:pt>
                <c:pt idx="86">
                  <c:v>108576.96051576361</c:v>
                </c:pt>
                <c:pt idx="87">
                  <c:v>109076.99579433697</c:v>
                </c:pt>
                <c:pt idx="88">
                  <c:v>109375.71478078511</c:v>
                </c:pt>
                <c:pt idx="89">
                  <c:v>108199.6465247833</c:v>
                </c:pt>
                <c:pt idx="90">
                  <c:v>108237.2564231037</c:v>
                </c:pt>
                <c:pt idx="91">
                  <c:v>108682.99352630856</c:v>
                </c:pt>
                <c:pt idx="92">
                  <c:v>108522.26461557415</c:v>
                </c:pt>
                <c:pt idx="93">
                  <c:v>107898.35795219855</c:v>
                </c:pt>
                <c:pt idx="94">
                  <c:v>107223.48077324839</c:v>
                </c:pt>
                <c:pt idx="95">
                  <c:v>105871.18003560786</c:v>
                </c:pt>
                <c:pt idx="96">
                  <c:v>105405.88717380328</c:v>
                </c:pt>
                <c:pt idx="97">
                  <c:v>104414.55327170723</c:v>
                </c:pt>
                <c:pt idx="98">
                  <c:v>105940.36693795935</c:v>
                </c:pt>
                <c:pt idx="99">
                  <c:v>106136.50463484535</c:v>
                </c:pt>
                <c:pt idx="100">
                  <c:v>105313.57785924445</c:v>
                </c:pt>
                <c:pt idx="101">
                  <c:v>102424.05565519915</c:v>
                </c:pt>
                <c:pt idx="102">
                  <c:v>103730.55845445221</c:v>
                </c:pt>
                <c:pt idx="103">
                  <c:v>104817.26422137997</c:v>
                </c:pt>
                <c:pt idx="104">
                  <c:v>102719.03269479267</c:v>
                </c:pt>
                <c:pt idx="105">
                  <c:v>102345.75640835943</c:v>
                </c:pt>
                <c:pt idx="106">
                  <c:v>102103.13117539309</c:v>
                </c:pt>
                <c:pt idx="107">
                  <c:v>102617.76260867999</c:v>
                </c:pt>
                <c:pt idx="108">
                  <c:v>105138.4857633365</c:v>
                </c:pt>
                <c:pt idx="109">
                  <c:v>104731.70785720591</c:v>
                </c:pt>
                <c:pt idx="110">
                  <c:v>104045.23394318372</c:v>
                </c:pt>
                <c:pt idx="111">
                  <c:v>102938.36865087619</c:v>
                </c:pt>
                <c:pt idx="112">
                  <c:v>102953.91739876207</c:v>
                </c:pt>
                <c:pt idx="113">
                  <c:v>102030.22574451371</c:v>
                </c:pt>
                <c:pt idx="114">
                  <c:v>98774.922912193608</c:v>
                </c:pt>
                <c:pt idx="115">
                  <c:v>101262.36600356652</c:v>
                </c:pt>
                <c:pt idx="116">
                  <c:v>101608.52583582426</c:v>
                </c:pt>
                <c:pt idx="117">
                  <c:v>102396.01182475458</c:v>
                </c:pt>
                <c:pt idx="118">
                  <c:v>100643.57110855691</c:v>
                </c:pt>
                <c:pt idx="119">
                  <c:v>100469.07207326147</c:v>
                </c:pt>
                <c:pt idx="120">
                  <c:v>101972.4482140802</c:v>
                </c:pt>
                <c:pt idx="121">
                  <c:v>101205.02445961381</c:v>
                </c:pt>
                <c:pt idx="122">
                  <c:v>100769.36906995629</c:v>
                </c:pt>
                <c:pt idx="123">
                  <c:v>100685.11095006565</c:v>
                </c:pt>
                <c:pt idx="124">
                  <c:v>99944.335438284383</c:v>
                </c:pt>
                <c:pt idx="125">
                  <c:v>100166.76447514731</c:v>
                </c:pt>
                <c:pt idx="126">
                  <c:v>99246.190567843048</c:v>
                </c:pt>
                <c:pt idx="127">
                  <c:v>98115.200409823854</c:v>
                </c:pt>
                <c:pt idx="128">
                  <c:v>98940.147234443895</c:v>
                </c:pt>
                <c:pt idx="129">
                  <c:v>99767.825325729864</c:v>
                </c:pt>
                <c:pt idx="130">
                  <c:v>99355.021742995101</c:v>
                </c:pt>
                <c:pt idx="131">
                  <c:v>99112.901379402392</c:v>
                </c:pt>
                <c:pt idx="132">
                  <c:v>98196.229630830727</c:v>
                </c:pt>
                <c:pt idx="133">
                  <c:v>98831.453481997887</c:v>
                </c:pt>
                <c:pt idx="134">
                  <c:v>98841.175725743844</c:v>
                </c:pt>
                <c:pt idx="135">
                  <c:v>94888.672981190117</c:v>
                </c:pt>
                <c:pt idx="136">
                  <c:v>96604.009452504222</c:v>
                </c:pt>
                <c:pt idx="137">
                  <c:v>98447.347472251291</c:v>
                </c:pt>
                <c:pt idx="138">
                  <c:v>100001.76633297467</c:v>
                </c:pt>
                <c:pt idx="139">
                  <c:v>100193.8211221674</c:v>
                </c:pt>
                <c:pt idx="140">
                  <c:v>99144.751637058507</c:v>
                </c:pt>
                <c:pt idx="141">
                  <c:v>100168.03135285601</c:v>
                </c:pt>
                <c:pt idx="142">
                  <c:v>103012.32922467528</c:v>
                </c:pt>
                <c:pt idx="143">
                  <c:v>101563.01740256223</c:v>
                </c:pt>
                <c:pt idx="144">
                  <c:v>101874.95747365717</c:v>
                </c:pt>
                <c:pt idx="145">
                  <c:v>101478.31165481068</c:v>
                </c:pt>
                <c:pt idx="146">
                  <c:v>103235.06043820611</c:v>
                </c:pt>
                <c:pt idx="147">
                  <c:v>103021.66574863729</c:v>
                </c:pt>
                <c:pt idx="148">
                  <c:v>104302.04002423705</c:v>
                </c:pt>
                <c:pt idx="149">
                  <c:v>103909.16066870038</c:v>
                </c:pt>
                <c:pt idx="150">
                  <c:v>104220.80426264368</c:v>
                </c:pt>
                <c:pt idx="151">
                  <c:v>105569.70982750729</c:v>
                </c:pt>
                <c:pt idx="152">
                  <c:v>106573.791383709</c:v>
                </c:pt>
                <c:pt idx="153">
                  <c:v>106269.9039905534</c:v>
                </c:pt>
                <c:pt idx="154">
                  <c:v>105404.24887597877</c:v>
                </c:pt>
                <c:pt idx="155">
                  <c:v>105740.92609466713</c:v>
                </c:pt>
                <c:pt idx="156">
                  <c:v>105902.97804950751</c:v>
                </c:pt>
                <c:pt idx="157">
                  <c:v>107194.51734285633</c:v>
                </c:pt>
                <c:pt idx="158">
                  <c:v>106445.3420222628</c:v>
                </c:pt>
                <c:pt idx="159">
                  <c:v>105089.79196689428</c:v>
                </c:pt>
                <c:pt idx="160">
                  <c:v>106066.98063724545</c:v>
                </c:pt>
                <c:pt idx="161">
                  <c:v>105014.50943081008</c:v>
                </c:pt>
                <c:pt idx="162">
                  <c:v>109055.72176181493</c:v>
                </c:pt>
                <c:pt idx="163">
                  <c:v>108544.25305423693</c:v>
                </c:pt>
                <c:pt idx="164">
                  <c:v>109098.4642463082</c:v>
                </c:pt>
                <c:pt idx="165">
                  <c:v>106953.14582274802</c:v>
                </c:pt>
                <c:pt idx="166">
                  <c:v>106885.30626306839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9F9-4AAC-A280-486E938570A0}"/>
            </c:ext>
          </c:extLst>
        </c:ser>
        <c:ser>
          <c:idx val="4"/>
          <c:order val="4"/>
          <c:tx>
            <c:strRef>
              <c:f>'Ideal - Compuesta'!$G$1</c:f>
              <c:strCache>
                <c:ptCount val="1"/>
                <c:pt idx="0">
                  <c:v>Regresion Lineal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'Ideal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Compuesta'!$G$4:$G$170</c:f>
              <c:numCache>
                <c:formatCode>General</c:formatCode>
                <c:ptCount val="167"/>
                <c:pt idx="0">
                  <c:v>100000</c:v>
                </c:pt>
                <c:pt idx="1">
                  <c:v>98586.940014811145</c:v>
                </c:pt>
                <c:pt idx="2">
                  <c:v>97069.858536016691</c:v>
                </c:pt>
                <c:pt idx="3">
                  <c:v>95012.454842216321</c:v>
                </c:pt>
                <c:pt idx="4">
                  <c:v>95708.831860539154</c:v>
                </c:pt>
                <c:pt idx="5">
                  <c:v>95797.739252203421</c:v>
                </c:pt>
                <c:pt idx="6">
                  <c:v>96226.90640586504</c:v>
                </c:pt>
                <c:pt idx="7">
                  <c:v>97903.630805449473</c:v>
                </c:pt>
                <c:pt idx="8">
                  <c:v>99125.685941836695</c:v>
                </c:pt>
                <c:pt idx="9">
                  <c:v>100010.31809359301</c:v>
                </c:pt>
                <c:pt idx="10">
                  <c:v>101023.30938107421</c:v>
                </c:pt>
                <c:pt idx="11">
                  <c:v>98539.15837325684</c:v>
                </c:pt>
                <c:pt idx="12">
                  <c:v>97478.027246099839</c:v>
                </c:pt>
                <c:pt idx="13">
                  <c:v>99621.240581993246</c:v>
                </c:pt>
                <c:pt idx="14">
                  <c:v>100283.00700671328</c:v>
                </c:pt>
                <c:pt idx="15">
                  <c:v>99901.453862096678</c:v>
                </c:pt>
                <c:pt idx="16">
                  <c:v>102732.03532991548</c:v>
                </c:pt>
                <c:pt idx="17">
                  <c:v>104461.01098345507</c:v>
                </c:pt>
                <c:pt idx="18">
                  <c:v>104236.64461610006</c:v>
                </c:pt>
                <c:pt idx="19">
                  <c:v>103611.92822052381</c:v>
                </c:pt>
                <c:pt idx="20">
                  <c:v>105415.88287434731</c:v>
                </c:pt>
                <c:pt idx="21">
                  <c:v>107472.48310406222</c:v>
                </c:pt>
                <c:pt idx="22">
                  <c:v>105202.37677533385</c:v>
                </c:pt>
                <c:pt idx="23">
                  <c:v>104705.98893382776</c:v>
                </c:pt>
                <c:pt idx="24">
                  <c:v>104750.95861124944</c:v>
                </c:pt>
                <c:pt idx="25">
                  <c:v>107608.23727107783</c:v>
                </c:pt>
                <c:pt idx="26">
                  <c:v>110022.39286106489</c:v>
                </c:pt>
                <c:pt idx="27">
                  <c:v>105896.77975024913</c:v>
                </c:pt>
                <c:pt idx="28">
                  <c:v>106380.05044977109</c:v>
                </c:pt>
                <c:pt idx="29">
                  <c:v>104851.01214080663</c:v>
                </c:pt>
                <c:pt idx="30">
                  <c:v>104945.07550579199</c:v>
                </c:pt>
                <c:pt idx="31">
                  <c:v>104698.93105931162</c:v>
                </c:pt>
                <c:pt idx="32">
                  <c:v>105420.557701085</c:v>
                </c:pt>
                <c:pt idx="33">
                  <c:v>104831.52883338909</c:v>
                </c:pt>
                <c:pt idx="34">
                  <c:v>104127.18757546462</c:v>
                </c:pt>
                <c:pt idx="35">
                  <c:v>103157.86300485917</c:v>
                </c:pt>
                <c:pt idx="36">
                  <c:v>103460.71283832772</c:v>
                </c:pt>
                <c:pt idx="37">
                  <c:v>103247.58843073162</c:v>
                </c:pt>
                <c:pt idx="38">
                  <c:v>102183.43496126762</c:v>
                </c:pt>
                <c:pt idx="39">
                  <c:v>102399.14889347891</c:v>
                </c:pt>
                <c:pt idx="40">
                  <c:v>104278.47176395224</c:v>
                </c:pt>
                <c:pt idx="41">
                  <c:v>106203.86797283139</c:v>
                </c:pt>
                <c:pt idx="42">
                  <c:v>107513.49672598818</c:v>
                </c:pt>
                <c:pt idx="43">
                  <c:v>107310.43965988354</c:v>
                </c:pt>
                <c:pt idx="44">
                  <c:v>108123.34751762336</c:v>
                </c:pt>
                <c:pt idx="45">
                  <c:v>108253.51765893407</c:v>
                </c:pt>
                <c:pt idx="46">
                  <c:v>109780.82364695281</c:v>
                </c:pt>
                <c:pt idx="47">
                  <c:v>108725.37739206279</c:v>
                </c:pt>
                <c:pt idx="48">
                  <c:v>111570.80163094298</c:v>
                </c:pt>
                <c:pt idx="49">
                  <c:v>113112.76780262739</c:v>
                </c:pt>
                <c:pt idx="50">
                  <c:v>110770.39296909733</c:v>
                </c:pt>
                <c:pt idx="51">
                  <c:v>115373.20715312743</c:v>
                </c:pt>
                <c:pt idx="52">
                  <c:v>114884.09234503514</c:v>
                </c:pt>
                <c:pt idx="53">
                  <c:v>112772.4470106214</c:v>
                </c:pt>
                <c:pt idx="54">
                  <c:v>112273.91025455602</c:v>
                </c:pt>
                <c:pt idx="55">
                  <c:v>111715.88814093213</c:v>
                </c:pt>
                <c:pt idx="56">
                  <c:v>111645.54609488345</c:v>
                </c:pt>
                <c:pt idx="57">
                  <c:v>112891.23192168622</c:v>
                </c:pt>
                <c:pt idx="58">
                  <c:v>111191.21963771738</c:v>
                </c:pt>
                <c:pt idx="59">
                  <c:v>110989.68757997887</c:v>
                </c:pt>
                <c:pt idx="60">
                  <c:v>111504.42999869515</c:v>
                </c:pt>
                <c:pt idx="61">
                  <c:v>111514.13125439349</c:v>
                </c:pt>
                <c:pt idx="62">
                  <c:v>113304.68556963357</c:v>
                </c:pt>
                <c:pt idx="63">
                  <c:v>113609.25569488991</c:v>
                </c:pt>
                <c:pt idx="64">
                  <c:v>113755.67694292552</c:v>
                </c:pt>
                <c:pt idx="65">
                  <c:v>113146.84765643434</c:v>
                </c:pt>
                <c:pt idx="66">
                  <c:v>116708.53203268431</c:v>
                </c:pt>
                <c:pt idx="67">
                  <c:v>116611.70198924905</c:v>
                </c:pt>
                <c:pt idx="68">
                  <c:v>115460.88950121935</c:v>
                </c:pt>
                <c:pt idx="69">
                  <c:v>114996.64699933545</c:v>
                </c:pt>
                <c:pt idx="70">
                  <c:v>112439.0872708637</c:v>
                </c:pt>
                <c:pt idx="71">
                  <c:v>112744.57459338431</c:v>
                </c:pt>
                <c:pt idx="72">
                  <c:v>113222.60706073293</c:v>
                </c:pt>
                <c:pt idx="73">
                  <c:v>114426.7857317717</c:v>
                </c:pt>
                <c:pt idx="74">
                  <c:v>113395.95472271636</c:v>
                </c:pt>
                <c:pt idx="75">
                  <c:v>113018.21033203672</c:v>
                </c:pt>
                <c:pt idx="76">
                  <c:v>112647.18750070278</c:v>
                </c:pt>
                <c:pt idx="77">
                  <c:v>112709.10019619581</c:v>
                </c:pt>
                <c:pt idx="78">
                  <c:v>114081.39131261063</c:v>
                </c:pt>
                <c:pt idx="79">
                  <c:v>114519.74435266075</c:v>
                </c:pt>
                <c:pt idx="80">
                  <c:v>111206.60815441291</c:v>
                </c:pt>
                <c:pt idx="81">
                  <c:v>109926.87285382587</c:v>
                </c:pt>
                <c:pt idx="82">
                  <c:v>110336.66512104396</c:v>
                </c:pt>
                <c:pt idx="83">
                  <c:v>109458.13401046413</c:v>
                </c:pt>
                <c:pt idx="84">
                  <c:v>108535.52467710833</c:v>
                </c:pt>
                <c:pt idx="85">
                  <c:v>108242.56704490994</c:v>
                </c:pt>
                <c:pt idx="86">
                  <c:v>110084.70163046563</c:v>
                </c:pt>
                <c:pt idx="87">
                  <c:v>110591.76390805766</c:v>
                </c:pt>
                <c:pt idx="88">
                  <c:v>110276.81324470133</c:v>
                </c:pt>
                <c:pt idx="89">
                  <c:v>111450.52117903827</c:v>
                </c:pt>
                <c:pt idx="90">
                  <c:v>111399.60101476342</c:v>
                </c:pt>
                <c:pt idx="91">
                  <c:v>110928.66560598079</c:v>
                </c:pt>
                <c:pt idx="92">
                  <c:v>111080.59161667978</c:v>
                </c:pt>
                <c:pt idx="93">
                  <c:v>111707.06494346475</c:v>
                </c:pt>
                <c:pt idx="94">
                  <c:v>112393.55283564648</c:v>
                </c:pt>
                <c:pt idx="95">
                  <c:v>113798.76912891965</c:v>
                </c:pt>
                <c:pt idx="96">
                  <c:v>114286.4536455698</c:v>
                </c:pt>
                <c:pt idx="97">
                  <c:v>115348.80305513955</c:v>
                </c:pt>
                <c:pt idx="98">
                  <c:v>113650.57848136872</c:v>
                </c:pt>
                <c:pt idx="99">
                  <c:v>113427.7294478229</c:v>
                </c:pt>
                <c:pt idx="100">
                  <c:v>112548.6825201863</c:v>
                </c:pt>
                <c:pt idx="101">
                  <c:v>109461.06064691978</c:v>
                </c:pt>
                <c:pt idx="102">
                  <c:v>110857.73844159661</c:v>
                </c:pt>
                <c:pt idx="103">
                  <c:v>112019.52247658657</c:v>
                </c:pt>
                <c:pt idx="104">
                  <c:v>109777.52845155874</c:v>
                </c:pt>
                <c:pt idx="105">
                  <c:v>109379.01421222293</c:v>
                </c:pt>
                <c:pt idx="106">
                  <c:v>109120.12796048302</c:v>
                </c:pt>
                <c:pt idx="107">
                  <c:v>109670.53958044524</c:v>
                </c:pt>
                <c:pt idx="108">
                  <c:v>112364.92092473841</c:v>
                </c:pt>
                <c:pt idx="109">
                  <c:v>111930.59653520786</c:v>
                </c:pt>
                <c:pt idx="110">
                  <c:v>111197.34924132244</c:v>
                </c:pt>
                <c:pt idx="111">
                  <c:v>110014.80998299162</c:v>
                </c:pt>
                <c:pt idx="112">
                  <c:v>110031.84008765625</c:v>
                </c:pt>
                <c:pt idx="113">
                  <c:v>109045.05855062223</c:v>
                </c:pt>
                <c:pt idx="114">
                  <c:v>105566.35803453912</c:v>
                </c:pt>
                <c:pt idx="115">
                  <c:v>108225.24197837793</c:v>
                </c:pt>
                <c:pt idx="116">
                  <c:v>108595.61658392305</c:v>
                </c:pt>
                <c:pt idx="117">
                  <c:v>109437.66648435977</c:v>
                </c:pt>
                <c:pt idx="118">
                  <c:v>111298.20789772115</c:v>
                </c:pt>
                <c:pt idx="119">
                  <c:v>111105.87070345915</c:v>
                </c:pt>
                <c:pt idx="120">
                  <c:v>112769.04656906688</c:v>
                </c:pt>
                <c:pt idx="121">
                  <c:v>111921.00509286392</c:v>
                </c:pt>
                <c:pt idx="122">
                  <c:v>111439.85612362252</c:v>
                </c:pt>
                <c:pt idx="123">
                  <c:v>111347.31123700064</c:v>
                </c:pt>
                <c:pt idx="124">
                  <c:v>110528.72557435773</c:v>
                </c:pt>
                <c:pt idx="125">
                  <c:v>110775.34589763987</c:v>
                </c:pt>
                <c:pt idx="126">
                  <c:v>109757.91020376036</c:v>
                </c:pt>
                <c:pt idx="127">
                  <c:v>108507.76604026646</c:v>
                </c:pt>
                <c:pt idx="128">
                  <c:v>109420.72847688344</c:v>
                </c:pt>
                <c:pt idx="129">
                  <c:v>110336.71683664981</c:v>
                </c:pt>
                <c:pt idx="130">
                  <c:v>109880.81856965045</c:v>
                </c:pt>
                <c:pt idx="131">
                  <c:v>109613.68331571588</c:v>
                </c:pt>
                <c:pt idx="132">
                  <c:v>108600.52800835195</c:v>
                </c:pt>
                <c:pt idx="133">
                  <c:v>109303.69218980885</c:v>
                </c:pt>
                <c:pt idx="134">
                  <c:v>109315.08037171245</c:v>
                </c:pt>
                <c:pt idx="135">
                  <c:v>104944.37849984155</c:v>
                </c:pt>
                <c:pt idx="136">
                  <c:v>106842.13139779786</c:v>
                </c:pt>
                <c:pt idx="137">
                  <c:v>108881.46281648918</c:v>
                </c:pt>
                <c:pt idx="138">
                  <c:v>110601.2654157912</c:v>
                </c:pt>
                <c:pt idx="139">
                  <c:v>110814.31264975142</c:v>
                </c:pt>
                <c:pt idx="140">
                  <c:v>109654.67835630197</c:v>
                </c:pt>
                <c:pt idx="141">
                  <c:v>110787.06777491295</c:v>
                </c:pt>
                <c:pt idx="142">
                  <c:v>113933.53208152957</c:v>
                </c:pt>
                <c:pt idx="143">
                  <c:v>115523.86152118056</c:v>
                </c:pt>
                <c:pt idx="144">
                  <c:v>115879.50560861074</c:v>
                </c:pt>
                <c:pt idx="145">
                  <c:v>115429.15848466021</c:v>
                </c:pt>
                <c:pt idx="146">
                  <c:v>117428.24317092625</c:v>
                </c:pt>
                <c:pt idx="147">
                  <c:v>117186.33500236731</c:v>
                </c:pt>
                <c:pt idx="148">
                  <c:v>118643.57562950555</c:v>
                </c:pt>
                <c:pt idx="149">
                  <c:v>118197.50034365838</c:v>
                </c:pt>
                <c:pt idx="150">
                  <c:v>118552.82246927904</c:v>
                </c:pt>
                <c:pt idx="151">
                  <c:v>120088.04909893659</c:v>
                </c:pt>
                <c:pt idx="152">
                  <c:v>121231.04082879239</c:v>
                </c:pt>
                <c:pt idx="153">
                  <c:v>120886.18454665069</c:v>
                </c:pt>
                <c:pt idx="154">
                  <c:v>119902.29313125824</c:v>
                </c:pt>
                <c:pt idx="155">
                  <c:v>120286.10459296621</c:v>
                </c:pt>
                <c:pt idx="156">
                  <c:v>120471.27291126603</c:v>
                </c:pt>
                <c:pt idx="157">
                  <c:v>121941.30515512834</c:v>
                </c:pt>
                <c:pt idx="158">
                  <c:v>121089.89094180249</c:v>
                </c:pt>
                <c:pt idx="159">
                  <c:v>119548.67234115297</c:v>
                </c:pt>
                <c:pt idx="160">
                  <c:v>120661.13397288189</c:v>
                </c:pt>
                <c:pt idx="161">
                  <c:v>119464.67487166257</c:v>
                </c:pt>
                <c:pt idx="162">
                  <c:v>124062.79013040819</c:v>
                </c:pt>
                <c:pt idx="163">
                  <c:v>124631.8159719931</c:v>
                </c:pt>
                <c:pt idx="164">
                  <c:v>123982.57474796634</c:v>
                </c:pt>
                <c:pt idx="165">
                  <c:v>126407.75659998518</c:v>
                </c:pt>
                <c:pt idx="166">
                  <c:v>126474.84467933151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9F9-4AAC-A280-486E938570A0}"/>
            </c:ext>
          </c:extLst>
        </c:ser>
        <c:ser>
          <c:idx val="5"/>
          <c:order val="5"/>
          <c:tx>
            <c:strRef>
              <c:f>'Ideal - Compuesta'!$A$1</c:f>
              <c:strCache>
                <c:ptCount val="1"/>
                <c:pt idx="0">
                  <c:v>Monto Inicial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strRef>
              <c:f>'Ideal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Compuesta'!$A$4:$A$170</c:f>
              <c:numCache>
                <c:formatCode>General</c:formatCode>
                <c:ptCount val="167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  <c:pt idx="12">
                  <c:v>100000</c:v>
                </c:pt>
                <c:pt idx="13">
                  <c:v>100000</c:v>
                </c:pt>
                <c:pt idx="14">
                  <c:v>100000</c:v>
                </c:pt>
                <c:pt idx="15">
                  <c:v>100000</c:v>
                </c:pt>
                <c:pt idx="16">
                  <c:v>100000</c:v>
                </c:pt>
                <c:pt idx="17">
                  <c:v>100000</c:v>
                </c:pt>
                <c:pt idx="18">
                  <c:v>100000</c:v>
                </c:pt>
                <c:pt idx="19">
                  <c:v>100000</c:v>
                </c:pt>
                <c:pt idx="20">
                  <c:v>100000</c:v>
                </c:pt>
                <c:pt idx="21">
                  <c:v>100000</c:v>
                </c:pt>
                <c:pt idx="22">
                  <c:v>100000</c:v>
                </c:pt>
                <c:pt idx="23">
                  <c:v>100000</c:v>
                </c:pt>
                <c:pt idx="24">
                  <c:v>100000</c:v>
                </c:pt>
                <c:pt idx="25">
                  <c:v>100000</c:v>
                </c:pt>
                <c:pt idx="26">
                  <c:v>100000</c:v>
                </c:pt>
                <c:pt idx="27">
                  <c:v>100000</c:v>
                </c:pt>
                <c:pt idx="28">
                  <c:v>100000</c:v>
                </c:pt>
                <c:pt idx="29">
                  <c:v>100000</c:v>
                </c:pt>
                <c:pt idx="30">
                  <c:v>100000</c:v>
                </c:pt>
                <c:pt idx="31">
                  <c:v>100000</c:v>
                </c:pt>
                <c:pt idx="32">
                  <c:v>100000</c:v>
                </c:pt>
                <c:pt idx="33">
                  <c:v>100000</c:v>
                </c:pt>
                <c:pt idx="34">
                  <c:v>100000</c:v>
                </c:pt>
                <c:pt idx="35">
                  <c:v>100000</c:v>
                </c:pt>
                <c:pt idx="36">
                  <c:v>100000</c:v>
                </c:pt>
                <c:pt idx="37">
                  <c:v>100000</c:v>
                </c:pt>
                <c:pt idx="38">
                  <c:v>100000</c:v>
                </c:pt>
                <c:pt idx="39">
                  <c:v>100000</c:v>
                </c:pt>
                <c:pt idx="40">
                  <c:v>100000</c:v>
                </c:pt>
                <c:pt idx="41">
                  <c:v>100000</c:v>
                </c:pt>
                <c:pt idx="42">
                  <c:v>100000</c:v>
                </c:pt>
                <c:pt idx="43">
                  <c:v>100000</c:v>
                </c:pt>
                <c:pt idx="44">
                  <c:v>100000</c:v>
                </c:pt>
                <c:pt idx="45">
                  <c:v>100000</c:v>
                </c:pt>
                <c:pt idx="46">
                  <c:v>100000</c:v>
                </c:pt>
                <c:pt idx="47">
                  <c:v>100000</c:v>
                </c:pt>
                <c:pt idx="48">
                  <c:v>100000</c:v>
                </c:pt>
                <c:pt idx="49">
                  <c:v>100000</c:v>
                </c:pt>
                <c:pt idx="50">
                  <c:v>100000</c:v>
                </c:pt>
                <c:pt idx="51">
                  <c:v>100000</c:v>
                </c:pt>
                <c:pt idx="52">
                  <c:v>100000</c:v>
                </c:pt>
                <c:pt idx="53">
                  <c:v>100000</c:v>
                </c:pt>
                <c:pt idx="54">
                  <c:v>100000</c:v>
                </c:pt>
                <c:pt idx="55">
                  <c:v>100000</c:v>
                </c:pt>
                <c:pt idx="56">
                  <c:v>100000</c:v>
                </c:pt>
                <c:pt idx="57">
                  <c:v>100000</c:v>
                </c:pt>
                <c:pt idx="58">
                  <c:v>100000</c:v>
                </c:pt>
                <c:pt idx="59">
                  <c:v>100000</c:v>
                </c:pt>
                <c:pt idx="60">
                  <c:v>100000</c:v>
                </c:pt>
                <c:pt idx="61">
                  <c:v>100000</c:v>
                </c:pt>
                <c:pt idx="62">
                  <c:v>100000</c:v>
                </c:pt>
                <c:pt idx="63">
                  <c:v>100000</c:v>
                </c:pt>
                <c:pt idx="64">
                  <c:v>100000</c:v>
                </c:pt>
                <c:pt idx="65">
                  <c:v>100000</c:v>
                </c:pt>
                <c:pt idx="66">
                  <c:v>100000</c:v>
                </c:pt>
                <c:pt idx="67">
                  <c:v>100000</c:v>
                </c:pt>
                <c:pt idx="68">
                  <c:v>100000</c:v>
                </c:pt>
                <c:pt idx="69">
                  <c:v>100000</c:v>
                </c:pt>
                <c:pt idx="70">
                  <c:v>100000</c:v>
                </c:pt>
                <c:pt idx="71">
                  <c:v>100000</c:v>
                </c:pt>
                <c:pt idx="72">
                  <c:v>100000</c:v>
                </c:pt>
                <c:pt idx="73">
                  <c:v>100000</c:v>
                </c:pt>
                <c:pt idx="74">
                  <c:v>100000</c:v>
                </c:pt>
                <c:pt idx="75">
                  <c:v>100000</c:v>
                </c:pt>
                <c:pt idx="76">
                  <c:v>100000</c:v>
                </c:pt>
                <c:pt idx="77">
                  <c:v>100000</c:v>
                </c:pt>
                <c:pt idx="78">
                  <c:v>100000</c:v>
                </c:pt>
                <c:pt idx="79">
                  <c:v>100000</c:v>
                </c:pt>
                <c:pt idx="80">
                  <c:v>100000</c:v>
                </c:pt>
                <c:pt idx="81">
                  <c:v>100000</c:v>
                </c:pt>
                <c:pt idx="82">
                  <c:v>100000</c:v>
                </c:pt>
                <c:pt idx="83">
                  <c:v>100000</c:v>
                </c:pt>
                <c:pt idx="84">
                  <c:v>100000</c:v>
                </c:pt>
                <c:pt idx="85">
                  <c:v>100000</c:v>
                </c:pt>
                <c:pt idx="86">
                  <c:v>100000</c:v>
                </c:pt>
                <c:pt idx="87">
                  <c:v>100000</c:v>
                </c:pt>
                <c:pt idx="88">
                  <c:v>100000</c:v>
                </c:pt>
                <c:pt idx="89">
                  <c:v>100000</c:v>
                </c:pt>
                <c:pt idx="90">
                  <c:v>100000</c:v>
                </c:pt>
                <c:pt idx="91">
                  <c:v>100000</c:v>
                </c:pt>
                <c:pt idx="92">
                  <c:v>100000</c:v>
                </c:pt>
                <c:pt idx="93">
                  <c:v>100000</c:v>
                </c:pt>
                <c:pt idx="94">
                  <c:v>100000</c:v>
                </c:pt>
                <c:pt idx="95">
                  <c:v>100000</c:v>
                </c:pt>
                <c:pt idx="96">
                  <c:v>100000</c:v>
                </c:pt>
                <c:pt idx="97">
                  <c:v>100000</c:v>
                </c:pt>
                <c:pt idx="98">
                  <c:v>100000</c:v>
                </c:pt>
                <c:pt idx="99">
                  <c:v>100000</c:v>
                </c:pt>
                <c:pt idx="100">
                  <c:v>100000</c:v>
                </c:pt>
                <c:pt idx="101">
                  <c:v>100000</c:v>
                </c:pt>
                <c:pt idx="102">
                  <c:v>100000</c:v>
                </c:pt>
                <c:pt idx="103">
                  <c:v>100000</c:v>
                </c:pt>
                <c:pt idx="104">
                  <c:v>100000</c:v>
                </c:pt>
                <c:pt idx="105">
                  <c:v>100000</c:v>
                </c:pt>
                <c:pt idx="106">
                  <c:v>100000</c:v>
                </c:pt>
                <c:pt idx="107">
                  <c:v>100000</c:v>
                </c:pt>
                <c:pt idx="108">
                  <c:v>100000</c:v>
                </c:pt>
                <c:pt idx="109">
                  <c:v>100000</c:v>
                </c:pt>
                <c:pt idx="110">
                  <c:v>100000</c:v>
                </c:pt>
                <c:pt idx="111">
                  <c:v>100000</c:v>
                </c:pt>
                <c:pt idx="112">
                  <c:v>100000</c:v>
                </c:pt>
                <c:pt idx="113">
                  <c:v>100000</c:v>
                </c:pt>
                <c:pt idx="114">
                  <c:v>100000</c:v>
                </c:pt>
                <c:pt idx="115">
                  <c:v>100000</c:v>
                </c:pt>
                <c:pt idx="116">
                  <c:v>100000</c:v>
                </c:pt>
                <c:pt idx="117">
                  <c:v>100000</c:v>
                </c:pt>
                <c:pt idx="118">
                  <c:v>100000</c:v>
                </c:pt>
                <c:pt idx="119">
                  <c:v>100000</c:v>
                </c:pt>
                <c:pt idx="120">
                  <c:v>100000</c:v>
                </c:pt>
                <c:pt idx="121">
                  <c:v>100000</c:v>
                </c:pt>
                <c:pt idx="122">
                  <c:v>100000</c:v>
                </c:pt>
                <c:pt idx="123">
                  <c:v>100000</c:v>
                </c:pt>
                <c:pt idx="124">
                  <c:v>100000</c:v>
                </c:pt>
                <c:pt idx="125">
                  <c:v>100000</c:v>
                </c:pt>
                <c:pt idx="126">
                  <c:v>100000</c:v>
                </c:pt>
                <c:pt idx="127">
                  <c:v>100000</c:v>
                </c:pt>
                <c:pt idx="128">
                  <c:v>100000</c:v>
                </c:pt>
                <c:pt idx="129">
                  <c:v>100000</c:v>
                </c:pt>
                <c:pt idx="130">
                  <c:v>100000</c:v>
                </c:pt>
                <c:pt idx="131">
                  <c:v>100000</c:v>
                </c:pt>
                <c:pt idx="132">
                  <c:v>100000</c:v>
                </c:pt>
                <c:pt idx="133">
                  <c:v>100000</c:v>
                </c:pt>
                <c:pt idx="134">
                  <c:v>100000</c:v>
                </c:pt>
                <c:pt idx="135">
                  <c:v>100000</c:v>
                </c:pt>
                <c:pt idx="136">
                  <c:v>100000</c:v>
                </c:pt>
                <c:pt idx="137">
                  <c:v>100000</c:v>
                </c:pt>
                <c:pt idx="138">
                  <c:v>100000</c:v>
                </c:pt>
                <c:pt idx="139">
                  <c:v>100000</c:v>
                </c:pt>
                <c:pt idx="140">
                  <c:v>100000</c:v>
                </c:pt>
                <c:pt idx="141">
                  <c:v>100000</c:v>
                </c:pt>
                <c:pt idx="142">
                  <c:v>100000</c:v>
                </c:pt>
                <c:pt idx="143">
                  <c:v>100000</c:v>
                </c:pt>
                <c:pt idx="144">
                  <c:v>100000</c:v>
                </c:pt>
                <c:pt idx="145">
                  <c:v>100000</c:v>
                </c:pt>
                <c:pt idx="146">
                  <c:v>100000</c:v>
                </c:pt>
                <c:pt idx="147">
                  <c:v>100000</c:v>
                </c:pt>
                <c:pt idx="148">
                  <c:v>100000</c:v>
                </c:pt>
                <c:pt idx="149">
                  <c:v>100000</c:v>
                </c:pt>
                <c:pt idx="150">
                  <c:v>100000</c:v>
                </c:pt>
                <c:pt idx="151">
                  <c:v>100000</c:v>
                </c:pt>
                <c:pt idx="152">
                  <c:v>100000</c:v>
                </c:pt>
                <c:pt idx="153">
                  <c:v>100000</c:v>
                </c:pt>
                <c:pt idx="154">
                  <c:v>100000</c:v>
                </c:pt>
                <c:pt idx="155">
                  <c:v>100000</c:v>
                </c:pt>
                <c:pt idx="156">
                  <c:v>100000</c:v>
                </c:pt>
                <c:pt idx="157">
                  <c:v>100000</c:v>
                </c:pt>
                <c:pt idx="158">
                  <c:v>100000</c:v>
                </c:pt>
                <c:pt idx="159">
                  <c:v>100000</c:v>
                </c:pt>
                <c:pt idx="160">
                  <c:v>100000</c:v>
                </c:pt>
                <c:pt idx="161">
                  <c:v>100000</c:v>
                </c:pt>
                <c:pt idx="162">
                  <c:v>100000</c:v>
                </c:pt>
                <c:pt idx="163">
                  <c:v>100000</c:v>
                </c:pt>
                <c:pt idx="164">
                  <c:v>100000</c:v>
                </c:pt>
                <c:pt idx="165">
                  <c:v>100000</c:v>
                </c:pt>
                <c:pt idx="166">
                  <c:v>100000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89-4BF0-8C95-F67702BAC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419880"/>
        <c:axId val="520422832"/>
      </c:scatterChart>
      <c:valAx>
        <c:axId val="520419880"/>
        <c:scaling>
          <c:orientation val="minMax"/>
          <c:max val="16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22832"/>
        <c:crosses val="autoZero"/>
        <c:crossBetween val="midCat"/>
        <c:majorUnit val="10"/>
      </c:valAx>
      <c:valAx>
        <c:axId val="520422832"/>
        <c:scaling>
          <c:orientation val="minMax"/>
          <c:max val="130000"/>
          <c:min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19880"/>
        <c:crosses val="autoZero"/>
        <c:crossBetween val="midCat"/>
        <c:majorUnit val="10000"/>
        <c:minorUnit val="1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'Real - Simple'!$C$1</c:f>
              <c:strCache>
                <c:ptCount val="1"/>
                <c:pt idx="0">
                  <c:v>Bosques Aleatorios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'Real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Simple'!$C$4:$C$170</c:f>
              <c:numCache>
                <c:formatCode>General</c:formatCode>
                <c:ptCount val="167"/>
                <c:pt idx="0">
                  <c:v>100000</c:v>
                </c:pt>
                <c:pt idx="1">
                  <c:v>101202.05998518885</c:v>
                </c:pt>
                <c:pt idx="2">
                  <c:v>99464.319970570854</c:v>
                </c:pt>
                <c:pt idx="3">
                  <c:v>97145.992801108441</c:v>
                </c:pt>
                <c:pt idx="4">
                  <c:v>97680.240112936401</c:v>
                </c:pt>
                <c:pt idx="5">
                  <c:v>97574.402739644196</c:v>
                </c:pt>
                <c:pt idx="6">
                  <c:v>97823.658922575574</c:v>
                </c:pt>
                <c:pt idx="7">
                  <c:v>99367.363585788014</c:v>
                </c:pt>
                <c:pt idx="8">
                  <c:v>100416.71454936726</c:v>
                </c:pt>
                <c:pt idx="9">
                  <c:v>101110.20230588973</c:v>
                </c:pt>
                <c:pt idx="10">
                  <c:v>101924.08846374357</c:v>
                </c:pt>
                <c:pt idx="11">
                  <c:v>99266.03973370303</c:v>
                </c:pt>
                <c:pt idx="12">
                  <c:v>97990.266302535427</c:v>
                </c:pt>
                <c:pt idx="13">
                  <c:v>99990.084554003886</c:v>
                </c:pt>
                <c:pt idx="14">
                  <c:v>99114.779284947916</c:v>
                </c:pt>
                <c:pt idx="15">
                  <c:v>99284.272587279236</c:v>
                </c:pt>
                <c:pt idx="16">
                  <c:v>101918.65215400145</c:v>
                </c:pt>
                <c:pt idx="17">
                  <c:v>100024.81609817149</c:v>
                </c:pt>
                <c:pt idx="18">
                  <c:v>100028.8571224725</c:v>
                </c:pt>
                <c:pt idx="19">
                  <c:v>100417.42610951632</c:v>
                </c:pt>
                <c:pt idx="20">
                  <c:v>98465.566761458191</c:v>
                </c:pt>
                <c:pt idx="21">
                  <c:v>100217.19812807442</c:v>
                </c:pt>
                <c:pt idx="22">
                  <c:v>97905.513455555862</c:v>
                </c:pt>
                <c:pt idx="23">
                  <c:v>98166.651062459307</c:v>
                </c:pt>
                <c:pt idx="24">
                  <c:v>98010.329918311472</c:v>
                </c:pt>
                <c:pt idx="25">
                  <c:v>95071.914684896241</c:v>
                </c:pt>
                <c:pt idx="26">
                  <c:v>92617.871627076791</c:v>
                </c:pt>
                <c:pt idx="27">
                  <c:v>88668.53103995834</c:v>
                </c:pt>
                <c:pt idx="28">
                  <c:v>88001.504998490534</c:v>
                </c:pt>
                <c:pt idx="29">
                  <c:v>86364.809579542052</c:v>
                </c:pt>
                <c:pt idx="30">
                  <c:v>86064.375722546014</c:v>
                </c:pt>
                <c:pt idx="31">
                  <c:v>86088.204417292261</c:v>
                </c:pt>
                <c:pt idx="32">
                  <c:v>86578.174876313642</c:v>
                </c:pt>
                <c:pt idx="33">
                  <c:v>86926.225325305815</c:v>
                </c:pt>
                <c:pt idx="34">
                  <c:v>87387.381076057442</c:v>
                </c:pt>
                <c:pt idx="35">
                  <c:v>88107.523292068305</c:v>
                </c:pt>
                <c:pt idx="36">
                  <c:v>87603.127953242802</c:v>
                </c:pt>
                <c:pt idx="37">
                  <c:v>87598.324145511229</c:v>
                </c:pt>
                <c:pt idx="38">
                  <c:v>86368.454232763674</c:v>
                </c:pt>
                <c:pt idx="39">
                  <c:v>85946.477838991705</c:v>
                </c:pt>
                <c:pt idx="40">
                  <c:v>83900.326920408828</c:v>
                </c:pt>
                <c:pt idx="41">
                  <c:v>85547.479312180643</c:v>
                </c:pt>
                <c:pt idx="42">
                  <c:v>86581.255995430402</c:v>
                </c:pt>
                <c:pt idx="43">
                  <c:v>86559.541882417092</c:v>
                </c:pt>
                <c:pt idx="44">
                  <c:v>85591.421481144571</c:v>
                </c:pt>
                <c:pt idx="45">
                  <c:v>85512.361108835539</c:v>
                </c:pt>
                <c:pt idx="46">
                  <c:v>83890.95818616137</c:v>
                </c:pt>
                <c:pt idx="47">
                  <c:v>82730.011400532429</c:v>
                </c:pt>
                <c:pt idx="48">
                  <c:v>79902.418306559543</c:v>
                </c:pt>
                <c:pt idx="49">
                  <c:v>81084.847767544168</c:v>
                </c:pt>
                <c:pt idx="50">
                  <c:v>82945.374833071241</c:v>
                </c:pt>
                <c:pt idx="51">
                  <c:v>78579.683460137443</c:v>
                </c:pt>
                <c:pt idx="52">
                  <c:v>78793.424361957979</c:v>
                </c:pt>
                <c:pt idx="53">
                  <c:v>76755.58110974358</c:v>
                </c:pt>
                <c:pt idx="54">
                  <c:v>76113.828366390415</c:v>
                </c:pt>
                <c:pt idx="55">
                  <c:v>75417.15393163322</c:v>
                </c:pt>
                <c:pt idx="56">
                  <c:v>75269.748287386363</c:v>
                </c:pt>
                <c:pt idx="57">
                  <c:v>76185.873017018661</c:v>
                </c:pt>
                <c:pt idx="58">
                  <c:v>77481.443305014094</c:v>
                </c:pt>
                <c:pt idx="59">
                  <c:v>77100.591238299123</c:v>
                </c:pt>
                <c:pt idx="60">
                  <c:v>76426.410335036344</c:v>
                </c:pt>
                <c:pt idx="61">
                  <c:v>76207.329050823217</c:v>
                </c:pt>
                <c:pt idx="62">
                  <c:v>74391.27375672631</c:v>
                </c:pt>
                <c:pt idx="63">
                  <c:v>74460.375506089069</c:v>
                </c:pt>
                <c:pt idx="64">
                  <c:v>74389.538208857717</c:v>
                </c:pt>
                <c:pt idx="65">
                  <c:v>73654.604844043191</c:v>
                </c:pt>
                <c:pt idx="66">
                  <c:v>76602.750026738053</c:v>
                </c:pt>
                <c:pt idx="67">
                  <c:v>76475.576421992359</c:v>
                </c:pt>
                <c:pt idx="68">
                  <c:v>75288.846056599665</c:v>
                </c:pt>
                <c:pt idx="69">
                  <c:v>74686.964910210212</c:v>
                </c:pt>
                <c:pt idx="70">
                  <c:v>76700.777193047034</c:v>
                </c:pt>
                <c:pt idx="71">
                  <c:v>76218.749577401031</c:v>
                </c:pt>
                <c:pt idx="72">
                  <c:v>75584.431830543326</c:v>
                </c:pt>
                <c:pt idx="73">
                  <c:v>74310.582859074551</c:v>
                </c:pt>
                <c:pt idx="74">
                  <c:v>75001.204458948603</c:v>
                </c:pt>
                <c:pt idx="75">
                  <c:v>75124.033076458509</c:v>
                </c:pt>
                <c:pt idx="76">
                  <c:v>75242.010081899949</c:v>
                </c:pt>
                <c:pt idx="77">
                  <c:v>75097.298045585325</c:v>
                </c:pt>
                <c:pt idx="78">
                  <c:v>76115.172785970615</c:v>
                </c:pt>
                <c:pt idx="79">
                  <c:v>76299.678063682804</c:v>
                </c:pt>
                <c:pt idx="80">
                  <c:v>73206.847483076897</c:v>
                </c:pt>
                <c:pt idx="81">
                  <c:v>71856.47013390137</c:v>
                </c:pt>
                <c:pt idx="82">
                  <c:v>72029.714558056847</c:v>
                </c:pt>
                <c:pt idx="83">
                  <c:v>72615.504373593343</c:v>
                </c:pt>
                <c:pt idx="84">
                  <c:v>73247.910694870632</c:v>
                </c:pt>
                <c:pt idx="85">
                  <c:v>73307.301209452911</c:v>
                </c:pt>
                <c:pt idx="86">
                  <c:v>71394.900289453581</c:v>
                </c:pt>
                <c:pt idx="87">
                  <c:v>70723.838911266546</c:v>
                </c:pt>
                <c:pt idx="88">
                  <c:v>70798.200278188218</c:v>
                </c:pt>
                <c:pt idx="89">
                  <c:v>69523.430578079817</c:v>
                </c:pt>
                <c:pt idx="90">
                  <c:v>69278.12554962447</c:v>
                </c:pt>
                <c:pt idx="91">
                  <c:v>68655.76731445358</c:v>
                </c:pt>
                <c:pt idx="92">
                  <c:v>68308.400136559314</c:v>
                </c:pt>
                <c:pt idx="93">
                  <c:v>68672.782526029769</c:v>
                </c:pt>
                <c:pt idx="94">
                  <c:v>69087.696667120312</c:v>
                </c:pt>
                <c:pt idx="95">
                  <c:v>70138.299197397835</c:v>
                </c:pt>
                <c:pt idx="96">
                  <c:v>70367.121566856746</c:v>
                </c:pt>
                <c:pt idx="97">
                  <c:v>71096.921252638378</c:v>
                </c:pt>
                <c:pt idx="98">
                  <c:v>69424.871288572511</c:v>
                </c:pt>
                <c:pt idx="99">
                  <c:v>69029.068006756075</c:v>
                </c:pt>
                <c:pt idx="100">
                  <c:v>69593.762447336601</c:v>
                </c:pt>
                <c:pt idx="101">
                  <c:v>72126.797050908091</c:v>
                </c:pt>
                <c:pt idx="102">
                  <c:v>70640.357069980688</c:v>
                </c:pt>
                <c:pt idx="103">
                  <c:v>69381.94929583132</c:v>
                </c:pt>
                <c:pt idx="104">
                  <c:v>71173.024600915029</c:v>
                </c:pt>
                <c:pt idx="105">
                  <c:v>71325.578869873643</c:v>
                </c:pt>
                <c:pt idx="106">
                  <c:v>71351.780671756089</c:v>
                </c:pt>
                <c:pt idx="107">
                  <c:v>70636.873260207125</c:v>
                </c:pt>
                <c:pt idx="108">
                  <c:v>67969.606406571009</c:v>
                </c:pt>
                <c:pt idx="109">
                  <c:v>68145.796893784922</c:v>
                </c:pt>
                <c:pt idx="110">
                  <c:v>68590.52745575567</c:v>
                </c:pt>
                <c:pt idx="111">
                  <c:v>69443.591579008717</c:v>
                </c:pt>
                <c:pt idx="112">
                  <c:v>69259.525219368777</c:v>
                </c:pt>
                <c:pt idx="113">
                  <c:v>68163.16364961525</c:v>
                </c:pt>
                <c:pt idx="114">
                  <c:v>71142.810952519809</c:v>
                </c:pt>
                <c:pt idx="115">
                  <c:v>73462.1795046365</c:v>
                </c:pt>
                <c:pt idx="116">
                  <c:v>73604.949210358493</c:v>
                </c:pt>
                <c:pt idx="117">
                  <c:v>72619.024595614639</c:v>
                </c:pt>
                <c:pt idx="118">
                  <c:v>70708.44965663497</c:v>
                </c:pt>
                <c:pt idx="119">
                  <c:v>70336.028098119641</c:v>
                </c:pt>
                <c:pt idx="120">
                  <c:v>71633.35723252043</c:v>
                </c:pt>
                <c:pt idx="121">
                  <c:v>70681.661661509075</c:v>
                </c:pt>
                <c:pt idx="122">
                  <c:v>70052.122077677472</c:v>
                </c:pt>
                <c:pt idx="123">
                  <c:v>69924.782700754615</c:v>
                </c:pt>
                <c:pt idx="124">
                  <c:v>68990.006962467291</c:v>
                </c:pt>
                <c:pt idx="125">
                  <c:v>69013.563224171579</c:v>
                </c:pt>
                <c:pt idx="126">
                  <c:v>69721.614486330684</c:v>
                </c:pt>
                <c:pt idx="127">
                  <c:v>68383.079635690578</c:v>
                </c:pt>
                <c:pt idx="128">
                  <c:v>69024.989004625473</c:v>
                </c:pt>
                <c:pt idx="129">
                  <c:v>67977.380503841137</c:v>
                </c:pt>
                <c:pt idx="130">
                  <c:v>67364.630228232141</c:v>
                </c:pt>
                <c:pt idx="131">
                  <c:v>67397.28340313003</c:v>
                </c:pt>
                <c:pt idx="132">
                  <c:v>66273.460791847945</c:v>
                </c:pt>
                <c:pt idx="133">
                  <c:v>66721.463308928127</c:v>
                </c:pt>
                <c:pt idx="134">
                  <c:v>66532.371446663674</c:v>
                </c:pt>
                <c:pt idx="135">
                  <c:v>62334.599491477551</c:v>
                </c:pt>
                <c:pt idx="136">
                  <c:v>63943.658448393653</c:v>
                </c:pt>
                <c:pt idx="137">
                  <c:v>65653.007583826067</c:v>
                </c:pt>
                <c:pt idx="138">
                  <c:v>67033.036435073896</c:v>
                </c:pt>
                <c:pt idx="139">
                  <c:v>67026.08772602136</c:v>
                </c:pt>
                <c:pt idx="140">
                  <c:v>65780.036019013336</c:v>
                </c:pt>
                <c:pt idx="141">
                  <c:v>66613.194568812731</c:v>
                </c:pt>
                <c:pt idx="142">
                  <c:v>69253.711080741283</c:v>
                </c:pt>
                <c:pt idx="143">
                  <c:v>67647.60518111143</c:v>
                </c:pt>
                <c:pt idx="144">
                  <c:v>67129.558090520644</c:v>
                </c:pt>
                <c:pt idx="145">
                  <c:v>67308.014269088861</c:v>
                </c:pt>
                <c:pt idx="146">
                  <c:v>68840.083751868209</c:v>
                </c:pt>
                <c:pt idx="147">
                  <c:v>68434.188156235774</c:v>
                </c:pt>
                <c:pt idx="148">
                  <c:v>69477.832571225532</c:v>
                </c:pt>
                <c:pt idx="149">
                  <c:v>68901.910434470803</c:v>
                </c:pt>
                <c:pt idx="150">
                  <c:v>69002.603976694721</c:v>
                </c:pt>
                <c:pt idx="151">
                  <c:v>70097.637664257869</c:v>
                </c:pt>
                <c:pt idx="152">
                  <c:v>70849.428734207861</c:v>
                </c:pt>
                <c:pt idx="153">
                  <c:v>70923.941538705069</c:v>
                </c:pt>
                <c:pt idx="154">
                  <c:v>71527.877166096863</c:v>
                </c:pt>
                <c:pt idx="155">
                  <c:v>71647.984761229542</c:v>
                </c:pt>
                <c:pt idx="156">
                  <c:v>71284.056746271614</c:v>
                </c:pt>
                <c:pt idx="157">
                  <c:v>72304.271860375622</c:v>
                </c:pt>
                <c:pt idx="158">
                  <c:v>72792.56787869391</c:v>
                </c:pt>
                <c:pt idx="159">
                  <c:v>73855.401707520607</c:v>
                </c:pt>
                <c:pt idx="160">
                  <c:v>74585.971806147209</c:v>
                </c:pt>
                <c:pt idx="161">
                  <c:v>73394.358252948819</c:v>
                </c:pt>
                <c:pt idx="162">
                  <c:v>77043.313628202362</c:v>
                </c:pt>
                <c:pt idx="163">
                  <c:v>76374.817812107562</c:v>
                </c:pt>
                <c:pt idx="164">
                  <c:v>76685.93098835407</c:v>
                </c:pt>
                <c:pt idx="165">
                  <c:v>74520.024903800673</c:v>
                </c:pt>
                <c:pt idx="166">
                  <c:v>74257.20560432713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1B9-451E-AB2C-4103AFBA2C24}"/>
            </c:ext>
          </c:extLst>
        </c:ser>
        <c:ser>
          <c:idx val="1"/>
          <c:order val="1"/>
          <c:tx>
            <c:strRef>
              <c:f>'Real - Simple'!$D$1</c:f>
              <c:strCache>
                <c:ptCount val="1"/>
                <c:pt idx="0">
                  <c:v>Arbol de Decision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'Real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Simple'!$D$4:$D$170</c:f>
              <c:numCache>
                <c:formatCode>General</c:formatCode>
                <c:ptCount val="167"/>
                <c:pt idx="0">
                  <c:v>100000</c:v>
                </c:pt>
                <c:pt idx="1">
                  <c:v>101202.05998518885</c:v>
                </c:pt>
                <c:pt idx="2">
                  <c:v>99464.319970570854</c:v>
                </c:pt>
                <c:pt idx="3">
                  <c:v>97145.992801108441</c:v>
                </c:pt>
                <c:pt idx="4">
                  <c:v>97680.240112936401</c:v>
                </c:pt>
                <c:pt idx="5">
                  <c:v>97574.402739644196</c:v>
                </c:pt>
                <c:pt idx="6">
                  <c:v>97823.658922575574</c:v>
                </c:pt>
                <c:pt idx="7">
                  <c:v>99367.363585788014</c:v>
                </c:pt>
                <c:pt idx="8">
                  <c:v>100416.71454936726</c:v>
                </c:pt>
                <c:pt idx="9">
                  <c:v>101110.20230588973</c:v>
                </c:pt>
                <c:pt idx="10">
                  <c:v>101924.08846374357</c:v>
                </c:pt>
                <c:pt idx="11">
                  <c:v>99266.03973370303</c:v>
                </c:pt>
                <c:pt idx="12">
                  <c:v>97990.266302535427</c:v>
                </c:pt>
                <c:pt idx="13">
                  <c:v>99990.084554003886</c:v>
                </c:pt>
                <c:pt idx="14">
                  <c:v>99114.779284947916</c:v>
                </c:pt>
                <c:pt idx="15">
                  <c:v>99284.272587279236</c:v>
                </c:pt>
                <c:pt idx="16">
                  <c:v>101918.65215400145</c:v>
                </c:pt>
                <c:pt idx="17">
                  <c:v>100024.81609817149</c:v>
                </c:pt>
                <c:pt idx="18">
                  <c:v>100028.8571224725</c:v>
                </c:pt>
                <c:pt idx="19">
                  <c:v>100417.42610951632</c:v>
                </c:pt>
                <c:pt idx="20">
                  <c:v>98465.566761458191</c:v>
                </c:pt>
                <c:pt idx="21">
                  <c:v>100217.19812807442</c:v>
                </c:pt>
                <c:pt idx="22">
                  <c:v>97905.513455555862</c:v>
                </c:pt>
                <c:pt idx="23">
                  <c:v>98166.651062459307</c:v>
                </c:pt>
                <c:pt idx="24">
                  <c:v>98010.329918311472</c:v>
                </c:pt>
                <c:pt idx="25">
                  <c:v>95071.914684896241</c:v>
                </c:pt>
                <c:pt idx="26">
                  <c:v>92617.871627076791</c:v>
                </c:pt>
                <c:pt idx="27">
                  <c:v>88668.53103995834</c:v>
                </c:pt>
                <c:pt idx="28">
                  <c:v>88001.504998490534</c:v>
                </c:pt>
                <c:pt idx="29">
                  <c:v>86364.809579542052</c:v>
                </c:pt>
                <c:pt idx="30">
                  <c:v>86064.375722546014</c:v>
                </c:pt>
                <c:pt idx="31">
                  <c:v>86088.204417292261</c:v>
                </c:pt>
                <c:pt idx="32">
                  <c:v>85188.233958270881</c:v>
                </c:pt>
                <c:pt idx="33">
                  <c:v>85536.284407263054</c:v>
                </c:pt>
                <c:pt idx="34">
                  <c:v>85997.44015801468</c:v>
                </c:pt>
                <c:pt idx="35">
                  <c:v>86717.582374025544</c:v>
                </c:pt>
                <c:pt idx="36">
                  <c:v>86213.187035200041</c:v>
                </c:pt>
                <c:pt idx="37">
                  <c:v>86208.383227468468</c:v>
                </c:pt>
                <c:pt idx="38">
                  <c:v>84978.513314720913</c:v>
                </c:pt>
                <c:pt idx="39">
                  <c:v>84556.536920948944</c:v>
                </c:pt>
                <c:pt idx="40">
                  <c:v>82510.386002366067</c:v>
                </c:pt>
                <c:pt idx="41">
                  <c:v>84157.538394137882</c:v>
                </c:pt>
                <c:pt idx="42">
                  <c:v>85191.31507738764</c:v>
                </c:pt>
                <c:pt idx="43">
                  <c:v>85169.600964374331</c:v>
                </c:pt>
                <c:pt idx="44">
                  <c:v>84201.48056310181</c:v>
                </c:pt>
                <c:pt idx="45">
                  <c:v>84122.420190792778</c:v>
                </c:pt>
                <c:pt idx="46">
                  <c:v>82501.017268118609</c:v>
                </c:pt>
                <c:pt idx="47">
                  <c:v>81340.070482489667</c:v>
                </c:pt>
                <c:pt idx="48">
                  <c:v>78512.477388516782</c:v>
                </c:pt>
                <c:pt idx="49">
                  <c:v>79694.906849501407</c:v>
                </c:pt>
                <c:pt idx="50">
                  <c:v>81555.43391502848</c:v>
                </c:pt>
                <c:pt idx="51">
                  <c:v>77189.742542094682</c:v>
                </c:pt>
                <c:pt idx="52">
                  <c:v>76566.001640274146</c:v>
                </c:pt>
                <c:pt idx="53">
                  <c:v>74528.158388059746</c:v>
                </c:pt>
                <c:pt idx="54">
                  <c:v>73886.405644706581</c:v>
                </c:pt>
                <c:pt idx="55">
                  <c:v>73189.731209949387</c:v>
                </c:pt>
                <c:pt idx="56">
                  <c:v>73042.325565702529</c:v>
                </c:pt>
                <c:pt idx="57">
                  <c:v>73958.450295334827</c:v>
                </c:pt>
                <c:pt idx="58">
                  <c:v>75254.020583330261</c:v>
                </c:pt>
                <c:pt idx="59">
                  <c:v>74873.168516615289</c:v>
                </c:pt>
                <c:pt idx="60">
                  <c:v>75137.349419878068</c:v>
                </c:pt>
                <c:pt idx="61">
                  <c:v>74918.268135664941</c:v>
                </c:pt>
                <c:pt idx="62">
                  <c:v>73102.212841568034</c:v>
                </c:pt>
                <c:pt idx="63">
                  <c:v>73171.314590930793</c:v>
                </c:pt>
                <c:pt idx="64">
                  <c:v>73100.477293699441</c:v>
                </c:pt>
                <c:pt idx="65">
                  <c:v>72365.543928884916</c:v>
                </c:pt>
                <c:pt idx="66">
                  <c:v>75313.689111579777</c:v>
                </c:pt>
                <c:pt idx="67">
                  <c:v>75186.515506834083</c:v>
                </c:pt>
                <c:pt idx="68">
                  <c:v>73999.785141441389</c:v>
                </c:pt>
                <c:pt idx="69">
                  <c:v>73397.903995051936</c:v>
                </c:pt>
                <c:pt idx="70">
                  <c:v>75411.716277888758</c:v>
                </c:pt>
                <c:pt idx="71">
                  <c:v>74929.688662242756</c:v>
                </c:pt>
                <c:pt idx="72">
                  <c:v>74295.37091538505</c:v>
                </c:pt>
                <c:pt idx="73">
                  <c:v>73021.521943916276</c:v>
                </c:pt>
                <c:pt idx="74">
                  <c:v>73712.143543790327</c:v>
                </c:pt>
                <c:pt idx="75">
                  <c:v>73834.972161300233</c:v>
                </c:pt>
                <c:pt idx="76">
                  <c:v>73952.949166741673</c:v>
                </c:pt>
                <c:pt idx="77">
                  <c:v>73808.237130427049</c:v>
                </c:pt>
                <c:pt idx="78">
                  <c:v>74826.111870812339</c:v>
                </c:pt>
                <c:pt idx="79">
                  <c:v>75010.617148524529</c:v>
                </c:pt>
                <c:pt idx="80">
                  <c:v>71917.786567918622</c:v>
                </c:pt>
                <c:pt idx="81">
                  <c:v>70567.409218743094</c:v>
                </c:pt>
                <c:pt idx="82">
                  <c:v>70740.653642898571</c:v>
                </c:pt>
                <c:pt idx="83">
                  <c:v>71326.443458435067</c:v>
                </c:pt>
                <c:pt idx="84">
                  <c:v>71958.849779712356</c:v>
                </c:pt>
                <c:pt idx="85">
                  <c:v>72018.240294294636</c:v>
                </c:pt>
                <c:pt idx="86">
                  <c:v>70105.839374295305</c:v>
                </c:pt>
                <c:pt idx="87">
                  <c:v>69434.777996108271</c:v>
                </c:pt>
                <c:pt idx="88">
                  <c:v>69509.139363029943</c:v>
                </c:pt>
                <c:pt idx="89">
                  <c:v>68234.369662921541</c:v>
                </c:pt>
                <c:pt idx="90">
                  <c:v>67989.064634466195</c:v>
                </c:pt>
                <c:pt idx="91">
                  <c:v>67366.706399295304</c:v>
                </c:pt>
                <c:pt idx="92">
                  <c:v>67304.073577189571</c:v>
                </c:pt>
                <c:pt idx="93">
                  <c:v>67668.455966660025</c:v>
                </c:pt>
                <c:pt idx="94">
                  <c:v>68083.370107750568</c:v>
                </c:pt>
                <c:pt idx="95">
                  <c:v>69133.972638028092</c:v>
                </c:pt>
                <c:pt idx="96">
                  <c:v>69362.795007487002</c:v>
                </c:pt>
                <c:pt idx="97">
                  <c:v>70092.594693268635</c:v>
                </c:pt>
                <c:pt idx="98">
                  <c:v>68420.544729202767</c:v>
                </c:pt>
                <c:pt idx="99">
                  <c:v>68024.741447386332</c:v>
                </c:pt>
                <c:pt idx="100">
                  <c:v>68589.435887966858</c:v>
                </c:pt>
                <c:pt idx="101">
                  <c:v>71122.470491538348</c:v>
                </c:pt>
                <c:pt idx="102">
                  <c:v>69636.030510610944</c:v>
                </c:pt>
                <c:pt idx="103">
                  <c:v>68377.622736461577</c:v>
                </c:pt>
                <c:pt idx="104">
                  <c:v>70168.698041545285</c:v>
                </c:pt>
                <c:pt idx="105">
                  <c:v>70321.2523105039</c:v>
                </c:pt>
                <c:pt idx="106">
                  <c:v>70347.454112386346</c:v>
                </c:pt>
                <c:pt idx="107">
                  <c:v>69632.546700837382</c:v>
                </c:pt>
                <c:pt idx="108">
                  <c:v>66965.279847201266</c:v>
                </c:pt>
                <c:pt idx="109">
                  <c:v>67141.470334415179</c:v>
                </c:pt>
                <c:pt idx="110">
                  <c:v>67586.200896385926</c:v>
                </c:pt>
                <c:pt idx="111">
                  <c:v>68439.265019638973</c:v>
                </c:pt>
                <c:pt idx="112">
                  <c:v>68213.331379278912</c:v>
                </c:pt>
                <c:pt idx="113">
                  <c:v>68899.69294903244</c:v>
                </c:pt>
                <c:pt idx="114">
                  <c:v>71879.340251936999</c:v>
                </c:pt>
                <c:pt idx="115">
                  <c:v>74198.708804053691</c:v>
                </c:pt>
                <c:pt idx="116">
                  <c:v>74341.478509775683</c:v>
                </c:pt>
                <c:pt idx="117">
                  <c:v>73355.55389503183</c:v>
                </c:pt>
                <c:pt idx="118">
                  <c:v>71444.97895605216</c:v>
                </c:pt>
                <c:pt idx="119">
                  <c:v>71072.557397536832</c:v>
                </c:pt>
                <c:pt idx="120">
                  <c:v>72369.88653193762</c:v>
                </c:pt>
                <c:pt idx="121">
                  <c:v>71418.190960926266</c:v>
                </c:pt>
                <c:pt idx="122">
                  <c:v>70788.651377094662</c:v>
                </c:pt>
                <c:pt idx="123">
                  <c:v>70661.312000171805</c:v>
                </c:pt>
                <c:pt idx="124">
                  <c:v>71186.087738459129</c:v>
                </c:pt>
                <c:pt idx="125">
                  <c:v>71209.644000163418</c:v>
                </c:pt>
                <c:pt idx="126">
                  <c:v>71917.695262322522</c:v>
                </c:pt>
                <c:pt idx="127">
                  <c:v>70579.160411682416</c:v>
                </c:pt>
                <c:pt idx="128">
                  <c:v>71221.069780617312</c:v>
                </c:pt>
                <c:pt idx="129">
                  <c:v>70173.461279832976</c:v>
                </c:pt>
                <c:pt idx="130">
                  <c:v>69560.71100422398</c:v>
                </c:pt>
                <c:pt idx="131">
                  <c:v>69593.364179121869</c:v>
                </c:pt>
                <c:pt idx="132">
                  <c:v>68469.541567839784</c:v>
                </c:pt>
                <c:pt idx="133">
                  <c:v>68917.544084919966</c:v>
                </c:pt>
                <c:pt idx="134">
                  <c:v>68728.452222655513</c:v>
                </c:pt>
                <c:pt idx="135">
                  <c:v>64530.68026746939</c:v>
                </c:pt>
                <c:pt idx="136">
                  <c:v>66139.739224385485</c:v>
                </c:pt>
                <c:pt idx="137">
                  <c:v>67849.088359817906</c:v>
                </c:pt>
                <c:pt idx="138">
                  <c:v>69229.117211065735</c:v>
                </c:pt>
                <c:pt idx="139">
                  <c:v>69222.168502013199</c:v>
                </c:pt>
                <c:pt idx="140">
                  <c:v>67976.116795005175</c:v>
                </c:pt>
                <c:pt idx="141">
                  <c:v>68809.27534480457</c:v>
                </c:pt>
                <c:pt idx="142">
                  <c:v>71449.791856733122</c:v>
                </c:pt>
                <c:pt idx="143">
                  <c:v>69843.685957103269</c:v>
                </c:pt>
                <c:pt idx="144">
                  <c:v>69951.733047694055</c:v>
                </c:pt>
                <c:pt idx="145">
                  <c:v>70130.189226262271</c:v>
                </c:pt>
                <c:pt idx="146">
                  <c:v>71662.25870904162</c:v>
                </c:pt>
                <c:pt idx="147">
                  <c:v>71256.363113409185</c:v>
                </c:pt>
                <c:pt idx="148">
                  <c:v>72300.007528398943</c:v>
                </c:pt>
                <c:pt idx="149">
                  <c:v>71724.085391644214</c:v>
                </c:pt>
                <c:pt idx="150">
                  <c:v>71824.778933868132</c:v>
                </c:pt>
                <c:pt idx="151">
                  <c:v>72919.81262143128</c:v>
                </c:pt>
                <c:pt idx="152">
                  <c:v>73671.603691381271</c:v>
                </c:pt>
                <c:pt idx="153">
                  <c:v>73746.116495878479</c:v>
                </c:pt>
                <c:pt idx="154">
                  <c:v>72732.180868486685</c:v>
                </c:pt>
                <c:pt idx="155">
                  <c:v>72852.288463619363</c:v>
                </c:pt>
                <c:pt idx="156">
                  <c:v>72806.216478577291</c:v>
                </c:pt>
                <c:pt idx="157">
                  <c:v>73826.4315926813</c:v>
                </c:pt>
                <c:pt idx="158">
                  <c:v>74314.727610999587</c:v>
                </c:pt>
                <c:pt idx="159">
                  <c:v>75377.561439826284</c:v>
                </c:pt>
                <c:pt idx="160">
                  <c:v>76108.131538452886</c:v>
                </c:pt>
                <c:pt idx="161">
                  <c:v>74916.517985254497</c:v>
                </c:pt>
                <c:pt idx="162">
                  <c:v>78565.47336050804</c:v>
                </c:pt>
                <c:pt idx="163">
                  <c:v>77896.977544413239</c:v>
                </c:pt>
                <c:pt idx="164">
                  <c:v>78208.090720659748</c:v>
                </c:pt>
                <c:pt idx="165">
                  <c:v>76042.184636106351</c:v>
                </c:pt>
                <c:pt idx="166">
                  <c:v>75779.365336632807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1B9-451E-AB2C-4103AFBA2C24}"/>
            </c:ext>
          </c:extLst>
        </c:ser>
        <c:ser>
          <c:idx val="2"/>
          <c:order val="2"/>
          <c:tx>
            <c:strRef>
              <c:f>'Real - Simple'!$E$1</c:f>
              <c:strCache>
                <c:ptCount val="1"/>
                <c:pt idx="0">
                  <c:v>SVR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'Real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Simple'!$E$4:$E$170</c:f>
              <c:numCache>
                <c:formatCode>General</c:formatCode>
                <c:ptCount val="167"/>
                <c:pt idx="0">
                  <c:v>100000</c:v>
                </c:pt>
                <c:pt idx="1">
                  <c:v>101202.05998518885</c:v>
                </c:pt>
                <c:pt idx="2">
                  <c:v>99464.319970570854</c:v>
                </c:pt>
                <c:pt idx="3">
                  <c:v>97145.992801108441</c:v>
                </c:pt>
                <c:pt idx="4">
                  <c:v>97680.240112936401</c:v>
                </c:pt>
                <c:pt idx="5">
                  <c:v>97574.402739644196</c:v>
                </c:pt>
                <c:pt idx="6">
                  <c:v>97823.658922575574</c:v>
                </c:pt>
                <c:pt idx="7">
                  <c:v>99367.363585788014</c:v>
                </c:pt>
                <c:pt idx="8">
                  <c:v>97908.012622208771</c:v>
                </c:pt>
                <c:pt idx="9">
                  <c:v>96804.524865686297</c:v>
                </c:pt>
                <c:pt idx="10">
                  <c:v>95580.638707832462</c:v>
                </c:pt>
                <c:pt idx="11">
                  <c:v>97828.687437872999</c:v>
                </c:pt>
                <c:pt idx="12">
                  <c:v>96552.914006705396</c:v>
                </c:pt>
                <c:pt idx="13">
                  <c:v>98552.732258173855</c:v>
                </c:pt>
                <c:pt idx="14">
                  <c:v>97677.426989117885</c:v>
                </c:pt>
                <c:pt idx="15">
                  <c:v>97846.920291449205</c:v>
                </c:pt>
                <c:pt idx="16">
                  <c:v>100481.29985817142</c:v>
                </c:pt>
                <c:pt idx="17">
                  <c:v>101965.13591400138</c:v>
                </c:pt>
                <c:pt idx="18">
                  <c:v>101551.09488970037</c:v>
                </c:pt>
                <c:pt idx="19">
                  <c:v>100752.52590265655</c:v>
                </c:pt>
                <c:pt idx="20">
                  <c:v>102294.38525071468</c:v>
                </c:pt>
                <c:pt idx="21">
                  <c:v>104046.01661733091</c:v>
                </c:pt>
                <c:pt idx="22">
                  <c:v>101734.33194481235</c:v>
                </c:pt>
                <c:pt idx="23">
                  <c:v>101995.4695517158</c:v>
                </c:pt>
                <c:pt idx="24">
                  <c:v>101741.79069586363</c:v>
                </c:pt>
                <c:pt idx="25">
                  <c:v>98803.375462448399</c:v>
                </c:pt>
                <c:pt idx="26">
                  <c:v>100847.41852026785</c:v>
                </c:pt>
                <c:pt idx="27">
                  <c:v>104386.75910738629</c:v>
                </c:pt>
                <c:pt idx="28">
                  <c:v>103719.73306591848</c:v>
                </c:pt>
                <c:pt idx="29">
                  <c:v>102083.03764697</c:v>
                </c:pt>
                <c:pt idx="30">
                  <c:v>101973.47150396604</c:v>
                </c:pt>
                <c:pt idx="31">
                  <c:v>101539.64280921979</c:v>
                </c:pt>
                <c:pt idx="32">
                  <c:v>102029.61326824117</c:v>
                </c:pt>
                <c:pt idx="33">
                  <c:v>101271.562819249</c:v>
                </c:pt>
                <c:pt idx="34">
                  <c:v>100400.40706849737</c:v>
                </c:pt>
                <c:pt idx="35">
                  <c:v>99270.264852486507</c:v>
                </c:pt>
                <c:pt idx="36">
                  <c:v>99364.66019131201</c:v>
                </c:pt>
                <c:pt idx="37">
                  <c:v>98959.463999043583</c:v>
                </c:pt>
                <c:pt idx="38">
                  <c:v>99779.333911791153</c:v>
                </c:pt>
                <c:pt idx="39">
                  <c:v>99357.357518019184</c:v>
                </c:pt>
                <c:pt idx="40">
                  <c:v>100993.50843660206</c:v>
                </c:pt>
                <c:pt idx="41">
                  <c:v>98936.356044830245</c:v>
                </c:pt>
                <c:pt idx="42">
                  <c:v>97492.579361580487</c:v>
                </c:pt>
                <c:pt idx="43">
                  <c:v>97104.293474593796</c:v>
                </c:pt>
                <c:pt idx="44">
                  <c:v>97662.413875866318</c:v>
                </c:pt>
                <c:pt idx="45">
                  <c:v>97583.353503557286</c:v>
                </c:pt>
                <c:pt idx="46">
                  <c:v>98794.756426231455</c:v>
                </c:pt>
                <c:pt idx="47">
                  <c:v>99545.703211860397</c:v>
                </c:pt>
                <c:pt idx="48">
                  <c:v>96718.110117887511</c:v>
                </c:pt>
                <c:pt idx="49">
                  <c:v>95125.680656902885</c:v>
                </c:pt>
                <c:pt idx="50">
                  <c:v>92855.153591375813</c:v>
                </c:pt>
                <c:pt idx="51">
                  <c:v>88489.462218442015</c:v>
                </c:pt>
                <c:pt idx="52">
                  <c:v>87865.721316621479</c:v>
                </c:pt>
                <c:pt idx="53">
                  <c:v>89493.564568835878</c:v>
                </c:pt>
                <c:pt idx="54">
                  <c:v>89725.317312189043</c:v>
                </c:pt>
                <c:pt idx="55">
                  <c:v>90011.991746946238</c:v>
                </c:pt>
                <c:pt idx="56">
                  <c:v>89864.586102699381</c:v>
                </c:pt>
                <c:pt idx="57">
                  <c:v>88538.461373067083</c:v>
                </c:pt>
                <c:pt idx="58">
                  <c:v>89834.031661062516</c:v>
                </c:pt>
                <c:pt idx="59">
                  <c:v>89804.883727777487</c:v>
                </c:pt>
                <c:pt idx="60">
                  <c:v>89130.702824514708</c:v>
                </c:pt>
                <c:pt idx="61">
                  <c:v>88911.621540301581</c:v>
                </c:pt>
                <c:pt idx="62">
                  <c:v>87095.566246204675</c:v>
                </c:pt>
                <c:pt idx="63">
                  <c:v>86616.464496841916</c:v>
                </c:pt>
                <c:pt idx="64">
                  <c:v>86277.301794073268</c:v>
                </c:pt>
                <c:pt idx="65">
                  <c:v>86602.235158887794</c:v>
                </c:pt>
                <c:pt idx="66">
                  <c:v>83244.089976192918</c:v>
                </c:pt>
                <c:pt idx="67">
                  <c:v>82961.263580938612</c:v>
                </c:pt>
                <c:pt idx="68">
                  <c:v>83737.993946331306</c:v>
                </c:pt>
                <c:pt idx="69">
                  <c:v>83929.875092720758</c:v>
                </c:pt>
                <c:pt idx="70">
                  <c:v>81506.062809883937</c:v>
                </c:pt>
                <c:pt idx="71">
                  <c:v>81578.090425529939</c:v>
                </c:pt>
                <c:pt idx="72">
                  <c:v>81802.408172387644</c:v>
                </c:pt>
                <c:pt idx="73">
                  <c:v>82666.257143856419</c:v>
                </c:pt>
                <c:pt idx="74">
                  <c:v>81565.635543982367</c:v>
                </c:pt>
                <c:pt idx="75">
                  <c:v>81032.806926472462</c:v>
                </c:pt>
                <c:pt idx="76">
                  <c:v>80504.829921031022</c:v>
                </c:pt>
                <c:pt idx="77">
                  <c:v>80360.117884716397</c:v>
                </c:pt>
                <c:pt idx="78">
                  <c:v>81377.992625101688</c:v>
                </c:pt>
                <c:pt idx="79">
                  <c:v>81562.497902813877</c:v>
                </c:pt>
                <c:pt idx="80">
                  <c:v>78469.66732220797</c:v>
                </c:pt>
                <c:pt idx="81">
                  <c:v>77119.289973032443</c:v>
                </c:pt>
                <c:pt idx="82">
                  <c:v>77292.534397187919</c:v>
                </c:pt>
                <c:pt idx="83">
                  <c:v>77878.324212724416</c:v>
                </c:pt>
                <c:pt idx="84">
                  <c:v>78510.730534001705</c:v>
                </c:pt>
                <c:pt idx="85">
                  <c:v>78570.121048583984</c:v>
                </c:pt>
                <c:pt idx="86">
                  <c:v>76657.720128584653</c:v>
                </c:pt>
                <c:pt idx="87">
                  <c:v>76918.781506771687</c:v>
                </c:pt>
                <c:pt idx="88">
                  <c:v>76993.142873693359</c:v>
                </c:pt>
                <c:pt idx="89">
                  <c:v>75718.373173584958</c:v>
                </c:pt>
                <c:pt idx="90">
                  <c:v>75553.678202040304</c:v>
                </c:pt>
                <c:pt idx="91">
                  <c:v>75766.036437211194</c:v>
                </c:pt>
                <c:pt idx="92">
                  <c:v>75418.669259316928</c:v>
                </c:pt>
                <c:pt idx="93">
                  <c:v>74644.286869846474</c:v>
                </c:pt>
                <c:pt idx="94">
                  <c:v>73819.37272875593</c:v>
                </c:pt>
                <c:pt idx="95">
                  <c:v>72358.770198478407</c:v>
                </c:pt>
                <c:pt idx="96">
                  <c:v>71719.947829019497</c:v>
                </c:pt>
                <c:pt idx="97">
                  <c:v>70580.148143237864</c:v>
                </c:pt>
                <c:pt idx="98">
                  <c:v>71842.198107303731</c:v>
                </c:pt>
                <c:pt idx="99">
                  <c:v>71828.001389120167</c:v>
                </c:pt>
                <c:pt idx="100">
                  <c:v>70853.306948539641</c:v>
                </c:pt>
                <c:pt idx="101">
                  <c:v>67910.272344968151</c:v>
                </c:pt>
                <c:pt idx="102">
                  <c:v>68986.712325895554</c:v>
                </c:pt>
                <c:pt idx="103">
                  <c:v>69835.120100044922</c:v>
                </c:pt>
                <c:pt idx="104">
                  <c:v>67634.044794961213</c:v>
                </c:pt>
                <c:pt idx="105">
                  <c:v>67071.490526002599</c:v>
                </c:pt>
                <c:pt idx="106">
                  <c:v>66635.288724120153</c:v>
                </c:pt>
                <c:pt idx="107">
                  <c:v>66940.196135669117</c:v>
                </c:pt>
                <c:pt idx="108">
                  <c:v>69197.462989305233</c:v>
                </c:pt>
                <c:pt idx="109">
                  <c:v>69373.653476519146</c:v>
                </c:pt>
                <c:pt idx="110">
                  <c:v>69818.384038489894</c:v>
                </c:pt>
                <c:pt idx="111">
                  <c:v>70671.448161742941</c:v>
                </c:pt>
                <c:pt idx="112">
                  <c:v>70487.381802103002</c:v>
                </c:pt>
                <c:pt idx="113">
                  <c:v>71173.74337185653</c:v>
                </c:pt>
                <c:pt idx="114">
                  <c:v>67784.096068951971</c:v>
                </c:pt>
                <c:pt idx="115">
                  <c:v>70103.464621068662</c:v>
                </c:pt>
                <c:pt idx="116">
                  <c:v>70246.234326790654</c:v>
                </c:pt>
                <c:pt idx="117">
                  <c:v>70822.158941534508</c:v>
                </c:pt>
                <c:pt idx="118">
                  <c:v>72322.733880514177</c:v>
                </c:pt>
                <c:pt idx="119">
                  <c:v>71950.312321998848</c:v>
                </c:pt>
                <c:pt idx="120">
                  <c:v>70242.98318759806</c:v>
                </c:pt>
                <c:pt idx="121">
                  <c:v>70784.678758609414</c:v>
                </c:pt>
                <c:pt idx="122">
                  <c:v>71004.218342441018</c:v>
                </c:pt>
                <c:pt idx="123">
                  <c:v>70876.878965518161</c:v>
                </c:pt>
                <c:pt idx="124">
                  <c:v>71401.654703805485</c:v>
                </c:pt>
                <c:pt idx="125">
                  <c:v>71425.210965509774</c:v>
                </c:pt>
                <c:pt idx="126">
                  <c:v>72133.262227668878</c:v>
                </c:pt>
                <c:pt idx="127">
                  <c:v>70794.727377028772</c:v>
                </c:pt>
                <c:pt idx="128">
                  <c:v>71436.636745963668</c:v>
                </c:pt>
                <c:pt idx="129">
                  <c:v>72074.245246748003</c:v>
                </c:pt>
                <c:pt idx="130">
                  <c:v>71461.494971139007</c:v>
                </c:pt>
                <c:pt idx="131">
                  <c:v>71018.841796241119</c:v>
                </c:pt>
                <c:pt idx="132">
                  <c:v>69895.019184959034</c:v>
                </c:pt>
                <c:pt idx="133">
                  <c:v>70343.021702039216</c:v>
                </c:pt>
                <c:pt idx="134">
                  <c:v>70153.929839774763</c:v>
                </c:pt>
                <c:pt idx="135">
                  <c:v>65956.15788458864</c:v>
                </c:pt>
                <c:pt idx="136">
                  <c:v>67565.216841504734</c:v>
                </c:pt>
                <c:pt idx="137">
                  <c:v>69274.565976937156</c:v>
                </c:pt>
                <c:pt idx="138">
                  <c:v>70654.594828184985</c:v>
                </c:pt>
                <c:pt idx="139">
                  <c:v>70647.646119132449</c:v>
                </c:pt>
                <c:pt idx="140">
                  <c:v>69401.594412124425</c:v>
                </c:pt>
                <c:pt idx="141">
                  <c:v>70234.752961923819</c:v>
                </c:pt>
                <c:pt idx="142">
                  <c:v>72875.269473852371</c:v>
                </c:pt>
                <c:pt idx="143">
                  <c:v>71269.163574222519</c:v>
                </c:pt>
                <c:pt idx="144">
                  <c:v>71377.210664813305</c:v>
                </c:pt>
                <c:pt idx="145">
                  <c:v>70788.754486245089</c:v>
                </c:pt>
                <c:pt idx="146">
                  <c:v>72320.823969024437</c:v>
                </c:pt>
                <c:pt idx="147">
                  <c:v>71914.928373392002</c:v>
                </c:pt>
                <c:pt idx="148">
                  <c:v>72958.57278838176</c:v>
                </c:pt>
                <c:pt idx="149">
                  <c:v>72382.650651627031</c:v>
                </c:pt>
                <c:pt idx="150">
                  <c:v>72483.34419385095</c:v>
                </c:pt>
                <c:pt idx="151">
                  <c:v>73578.377881414097</c:v>
                </c:pt>
                <c:pt idx="152">
                  <c:v>74330.168951364089</c:v>
                </c:pt>
                <c:pt idx="153">
                  <c:v>73845.656146866881</c:v>
                </c:pt>
                <c:pt idx="154">
                  <c:v>72831.720519475086</c:v>
                </c:pt>
                <c:pt idx="155">
                  <c:v>72951.828114607764</c:v>
                </c:pt>
                <c:pt idx="156">
                  <c:v>72905.756129565692</c:v>
                </c:pt>
                <c:pt idx="157">
                  <c:v>73925.971243669701</c:v>
                </c:pt>
                <c:pt idx="158">
                  <c:v>73027.675225351413</c:v>
                </c:pt>
                <c:pt idx="159">
                  <c:v>71554.841396524716</c:v>
                </c:pt>
                <c:pt idx="160">
                  <c:v>72285.411495151318</c:v>
                </c:pt>
                <c:pt idx="161">
                  <c:v>71093.797941952929</c:v>
                </c:pt>
                <c:pt idx="162">
                  <c:v>74742.753317206472</c:v>
                </c:pt>
                <c:pt idx="163">
                  <c:v>74074.257501111671</c:v>
                </c:pt>
                <c:pt idx="164">
                  <c:v>74385.37067735818</c:v>
                </c:pt>
                <c:pt idx="165">
                  <c:v>72219.464592804783</c:v>
                </c:pt>
                <c:pt idx="166">
                  <c:v>71956.645293331239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1B9-451E-AB2C-4103AFBA2C24}"/>
            </c:ext>
          </c:extLst>
        </c:ser>
        <c:ser>
          <c:idx val="3"/>
          <c:order val="3"/>
          <c:tx>
            <c:strRef>
              <c:f>'Real - Simple'!$F$1</c:f>
              <c:strCache>
                <c:ptCount val="1"/>
                <c:pt idx="0">
                  <c:v>Regresion Polinomica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'Real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Simple'!$F$4:$F$170</c:f>
              <c:numCache>
                <c:formatCode>General</c:formatCode>
                <c:ptCount val="167"/>
                <c:pt idx="0">
                  <c:v>100000</c:v>
                </c:pt>
                <c:pt idx="1">
                  <c:v>98387.940014811145</c:v>
                </c:pt>
                <c:pt idx="2">
                  <c:v>96650.200000193145</c:v>
                </c:pt>
                <c:pt idx="3">
                  <c:v>94331.872830730732</c:v>
                </c:pt>
                <c:pt idx="4">
                  <c:v>94866.120142558691</c:v>
                </c:pt>
                <c:pt idx="5">
                  <c:v>94760.282769266487</c:v>
                </c:pt>
                <c:pt idx="6">
                  <c:v>95009.538952197865</c:v>
                </c:pt>
                <c:pt idx="7">
                  <c:v>96553.243615410305</c:v>
                </c:pt>
                <c:pt idx="8">
                  <c:v>97602.594578989549</c:v>
                </c:pt>
                <c:pt idx="9">
                  <c:v>98296.082335512023</c:v>
                </c:pt>
                <c:pt idx="10">
                  <c:v>99109.968493365857</c:v>
                </c:pt>
                <c:pt idx="11">
                  <c:v>96451.919763325321</c:v>
                </c:pt>
                <c:pt idx="12">
                  <c:v>95176.146332157718</c:v>
                </c:pt>
                <c:pt idx="13">
                  <c:v>97175.964583626177</c:v>
                </c:pt>
                <c:pt idx="14">
                  <c:v>97641.269852682148</c:v>
                </c:pt>
                <c:pt idx="15">
                  <c:v>97061.776550350827</c:v>
                </c:pt>
                <c:pt idx="16">
                  <c:v>99696.156117073042</c:v>
                </c:pt>
                <c:pt idx="17">
                  <c:v>101179.992172903</c:v>
                </c:pt>
                <c:pt idx="18">
                  <c:v>100765.95114860199</c:v>
                </c:pt>
                <c:pt idx="19">
                  <c:v>99967.382161558169</c:v>
                </c:pt>
                <c:pt idx="20">
                  <c:v>101509.2415096163</c:v>
                </c:pt>
                <c:pt idx="21">
                  <c:v>103260.87287623253</c:v>
                </c:pt>
                <c:pt idx="22">
                  <c:v>105162.55754875109</c:v>
                </c:pt>
                <c:pt idx="23">
                  <c:v>104491.41994184765</c:v>
                </c:pt>
                <c:pt idx="24">
                  <c:v>104335.09879769981</c:v>
                </c:pt>
                <c:pt idx="25">
                  <c:v>106863.51403111505</c:v>
                </c:pt>
                <c:pt idx="26">
                  <c:v>108907.5570889345</c:v>
                </c:pt>
                <c:pt idx="27">
                  <c:v>112446.89767605293</c:v>
                </c:pt>
                <c:pt idx="28">
                  <c:v>112703.92371752074</c:v>
                </c:pt>
                <c:pt idx="29">
                  <c:v>111067.22829857226</c:v>
                </c:pt>
                <c:pt idx="30">
                  <c:v>110957.66215556829</c:v>
                </c:pt>
                <c:pt idx="31">
                  <c:v>110523.83346082205</c:v>
                </c:pt>
                <c:pt idx="32">
                  <c:v>111013.80391984343</c:v>
                </c:pt>
                <c:pt idx="33">
                  <c:v>110255.75347085125</c:v>
                </c:pt>
                <c:pt idx="34">
                  <c:v>109384.59772009963</c:v>
                </c:pt>
                <c:pt idx="35">
                  <c:v>108254.45550408876</c:v>
                </c:pt>
                <c:pt idx="36">
                  <c:v>107750.06016526326</c:v>
                </c:pt>
                <c:pt idx="37">
                  <c:v>107344.86397299483</c:v>
                </c:pt>
                <c:pt idx="38">
                  <c:v>106114.99406024726</c:v>
                </c:pt>
                <c:pt idx="39">
                  <c:v>106126.97045401923</c:v>
                </c:pt>
                <c:pt idx="40">
                  <c:v>104080.81953543636</c:v>
                </c:pt>
                <c:pt idx="41">
                  <c:v>105727.97192720817</c:v>
                </c:pt>
                <c:pt idx="42">
                  <c:v>106761.74861045793</c:v>
                </c:pt>
                <c:pt idx="43">
                  <c:v>106740.03449744462</c:v>
                </c:pt>
                <c:pt idx="44">
                  <c:v>105771.9140961721</c:v>
                </c:pt>
                <c:pt idx="45">
                  <c:v>105440.97446848113</c:v>
                </c:pt>
                <c:pt idx="46">
                  <c:v>103819.57154580696</c:v>
                </c:pt>
                <c:pt idx="47">
                  <c:v>102658.62476017802</c:v>
                </c:pt>
                <c:pt idx="48">
                  <c:v>105076.21785415091</c:v>
                </c:pt>
                <c:pt idx="49">
                  <c:v>106258.64731513553</c:v>
                </c:pt>
                <c:pt idx="50">
                  <c:v>108119.1743806626</c:v>
                </c:pt>
                <c:pt idx="51">
                  <c:v>103753.48300772881</c:v>
                </c:pt>
                <c:pt idx="52">
                  <c:v>103129.74210590827</c:v>
                </c:pt>
                <c:pt idx="53">
                  <c:v>104757.58535812267</c:v>
                </c:pt>
                <c:pt idx="54">
                  <c:v>104989.33810147583</c:v>
                </c:pt>
                <c:pt idx="55">
                  <c:v>105276.01253623303</c:v>
                </c:pt>
                <c:pt idx="56">
                  <c:v>105128.60689198617</c:v>
                </c:pt>
                <c:pt idx="57">
                  <c:v>103802.48216235387</c:v>
                </c:pt>
                <c:pt idx="58">
                  <c:v>105098.05245034931</c:v>
                </c:pt>
                <c:pt idx="59">
                  <c:v>105068.90451706428</c:v>
                </c:pt>
                <c:pt idx="60">
                  <c:v>104394.7236138015</c:v>
                </c:pt>
                <c:pt idx="61">
                  <c:v>104175.64232958837</c:v>
                </c:pt>
                <c:pt idx="62">
                  <c:v>102359.58703549147</c:v>
                </c:pt>
                <c:pt idx="63">
                  <c:v>101880.48528612871</c:v>
                </c:pt>
                <c:pt idx="64">
                  <c:v>101541.32258336006</c:v>
                </c:pt>
                <c:pt idx="65">
                  <c:v>101866.25594817458</c:v>
                </c:pt>
                <c:pt idx="66">
                  <c:v>98508.110765479709</c:v>
                </c:pt>
                <c:pt idx="67">
                  <c:v>98225.284370225403</c:v>
                </c:pt>
                <c:pt idx="68">
                  <c:v>99002.014735618097</c:v>
                </c:pt>
                <c:pt idx="69">
                  <c:v>99193.89588200755</c:v>
                </c:pt>
                <c:pt idx="70">
                  <c:v>96770.083599170728</c:v>
                </c:pt>
                <c:pt idx="71">
                  <c:v>96842.11121481673</c:v>
                </c:pt>
                <c:pt idx="72">
                  <c:v>97066.428961674435</c:v>
                </c:pt>
                <c:pt idx="73">
                  <c:v>97930.27793314321</c:v>
                </c:pt>
                <c:pt idx="74">
                  <c:v>96829.656333269158</c:v>
                </c:pt>
                <c:pt idx="75">
                  <c:v>96296.827715759253</c:v>
                </c:pt>
                <c:pt idx="76">
                  <c:v>95768.850710317813</c:v>
                </c:pt>
                <c:pt idx="77">
                  <c:v>95624.138674003188</c:v>
                </c:pt>
                <c:pt idx="78">
                  <c:v>96642.013414388479</c:v>
                </c:pt>
                <c:pt idx="79">
                  <c:v>96826.518692100668</c:v>
                </c:pt>
                <c:pt idx="80">
                  <c:v>93733.688111494761</c:v>
                </c:pt>
                <c:pt idx="81">
                  <c:v>92383.310762319234</c:v>
                </c:pt>
                <c:pt idx="82">
                  <c:v>92556.55518647471</c:v>
                </c:pt>
                <c:pt idx="83">
                  <c:v>93142.345002011207</c:v>
                </c:pt>
                <c:pt idx="84">
                  <c:v>93774.751323288496</c:v>
                </c:pt>
                <c:pt idx="85">
                  <c:v>93834.141837870775</c:v>
                </c:pt>
                <c:pt idx="86">
                  <c:v>91921.740917871444</c:v>
                </c:pt>
                <c:pt idx="87">
                  <c:v>92182.802296058479</c:v>
                </c:pt>
                <c:pt idx="88">
                  <c:v>92257.163662980151</c:v>
                </c:pt>
                <c:pt idx="89">
                  <c:v>90982.393962871749</c:v>
                </c:pt>
                <c:pt idx="90">
                  <c:v>90817.698991327095</c:v>
                </c:pt>
                <c:pt idx="91">
                  <c:v>91030.057226497986</c:v>
                </c:pt>
                <c:pt idx="92">
                  <c:v>90682.690048603719</c:v>
                </c:pt>
                <c:pt idx="93">
                  <c:v>89908.307659133265</c:v>
                </c:pt>
                <c:pt idx="94">
                  <c:v>89083.393518042722</c:v>
                </c:pt>
                <c:pt idx="95">
                  <c:v>87622.790987765198</c:v>
                </c:pt>
                <c:pt idx="96">
                  <c:v>86983.968618306288</c:v>
                </c:pt>
                <c:pt idx="97">
                  <c:v>85844.168932524655</c:v>
                </c:pt>
                <c:pt idx="98">
                  <c:v>87106.218896590522</c:v>
                </c:pt>
                <c:pt idx="99">
                  <c:v>87092.022178406958</c:v>
                </c:pt>
                <c:pt idx="100">
                  <c:v>86117.327737826432</c:v>
                </c:pt>
                <c:pt idx="101">
                  <c:v>83174.293134254942</c:v>
                </c:pt>
                <c:pt idx="102">
                  <c:v>84250.733115182346</c:v>
                </c:pt>
                <c:pt idx="103">
                  <c:v>85099.140889331713</c:v>
                </c:pt>
                <c:pt idx="104">
                  <c:v>82898.065584248005</c:v>
                </c:pt>
                <c:pt idx="105">
                  <c:v>82335.51131528939</c:v>
                </c:pt>
                <c:pt idx="106">
                  <c:v>81899.309513406944</c:v>
                </c:pt>
                <c:pt idx="107">
                  <c:v>82204.216924955908</c:v>
                </c:pt>
                <c:pt idx="108">
                  <c:v>84461.483778592024</c:v>
                </c:pt>
                <c:pt idx="109">
                  <c:v>83875.293291378111</c:v>
                </c:pt>
                <c:pt idx="110">
                  <c:v>83020.562729407364</c:v>
                </c:pt>
                <c:pt idx="111">
                  <c:v>81757.498606154317</c:v>
                </c:pt>
                <c:pt idx="112">
                  <c:v>81573.432246514378</c:v>
                </c:pt>
                <c:pt idx="113">
                  <c:v>80477.07067676085</c:v>
                </c:pt>
                <c:pt idx="114">
                  <c:v>77087.423373856291</c:v>
                </c:pt>
                <c:pt idx="115">
                  <c:v>79406.791925972982</c:v>
                </c:pt>
                <c:pt idx="116">
                  <c:v>79549.561631694974</c:v>
                </c:pt>
                <c:pt idx="117">
                  <c:v>80125.486246438828</c:v>
                </c:pt>
                <c:pt idx="118">
                  <c:v>78214.911307459159</c:v>
                </c:pt>
                <c:pt idx="119">
                  <c:v>77842.48974894383</c:v>
                </c:pt>
                <c:pt idx="120">
                  <c:v>79139.818883344618</c:v>
                </c:pt>
                <c:pt idx="121">
                  <c:v>78188.123312333264</c:v>
                </c:pt>
                <c:pt idx="122">
                  <c:v>77558.583728501661</c:v>
                </c:pt>
                <c:pt idx="123">
                  <c:v>77275.923105424517</c:v>
                </c:pt>
                <c:pt idx="124">
                  <c:v>76341.147367137193</c:v>
                </c:pt>
                <c:pt idx="125">
                  <c:v>76364.703628841482</c:v>
                </c:pt>
                <c:pt idx="126">
                  <c:v>75246.652366682378</c:v>
                </c:pt>
                <c:pt idx="127">
                  <c:v>73908.117516042272</c:v>
                </c:pt>
                <c:pt idx="128">
                  <c:v>74550.026884977167</c:v>
                </c:pt>
                <c:pt idx="129">
                  <c:v>75187.635385761503</c:v>
                </c:pt>
                <c:pt idx="130">
                  <c:v>74574.885110152507</c:v>
                </c:pt>
                <c:pt idx="131">
                  <c:v>74132.231935254618</c:v>
                </c:pt>
                <c:pt idx="132">
                  <c:v>73008.409323972533</c:v>
                </c:pt>
                <c:pt idx="133">
                  <c:v>73456.411841052715</c:v>
                </c:pt>
                <c:pt idx="134">
                  <c:v>73267.319978788262</c:v>
                </c:pt>
                <c:pt idx="135">
                  <c:v>69069.548023602139</c:v>
                </c:pt>
                <c:pt idx="136">
                  <c:v>70678.606980518234</c:v>
                </c:pt>
                <c:pt idx="137">
                  <c:v>72387.956115950656</c:v>
                </c:pt>
                <c:pt idx="138">
                  <c:v>73767.984967198485</c:v>
                </c:pt>
                <c:pt idx="139">
                  <c:v>73761.036258145949</c:v>
                </c:pt>
                <c:pt idx="140">
                  <c:v>72514.984551137924</c:v>
                </c:pt>
                <c:pt idx="141">
                  <c:v>73348.143100937319</c:v>
                </c:pt>
                <c:pt idx="142">
                  <c:v>75988.659612865871</c:v>
                </c:pt>
                <c:pt idx="143">
                  <c:v>74382.553713236019</c:v>
                </c:pt>
                <c:pt idx="144">
                  <c:v>74490.600803826805</c:v>
                </c:pt>
                <c:pt idx="145">
                  <c:v>73902.144625258588</c:v>
                </c:pt>
                <c:pt idx="146">
                  <c:v>75434.214108037937</c:v>
                </c:pt>
                <c:pt idx="147">
                  <c:v>75028.318512405502</c:v>
                </c:pt>
                <c:pt idx="148">
                  <c:v>76071.96292739526</c:v>
                </c:pt>
                <c:pt idx="149">
                  <c:v>75496.040790640531</c:v>
                </c:pt>
                <c:pt idx="150">
                  <c:v>75596.734332864449</c:v>
                </c:pt>
                <c:pt idx="151">
                  <c:v>76691.768020427597</c:v>
                </c:pt>
                <c:pt idx="152">
                  <c:v>77443.559090377588</c:v>
                </c:pt>
                <c:pt idx="153">
                  <c:v>76959.04628588038</c:v>
                </c:pt>
                <c:pt idx="154">
                  <c:v>75945.110658488586</c:v>
                </c:pt>
                <c:pt idx="155">
                  <c:v>76065.218253621264</c:v>
                </c:pt>
                <c:pt idx="156">
                  <c:v>76019.146268579192</c:v>
                </c:pt>
                <c:pt idx="157">
                  <c:v>77039.361382683201</c:v>
                </c:pt>
                <c:pt idx="158">
                  <c:v>76141.065364364913</c:v>
                </c:pt>
                <c:pt idx="159">
                  <c:v>74668.231535538216</c:v>
                </c:pt>
                <c:pt idx="160">
                  <c:v>75398.801634164818</c:v>
                </c:pt>
                <c:pt idx="161">
                  <c:v>74207.188080966429</c:v>
                </c:pt>
                <c:pt idx="162">
                  <c:v>77856.143456219972</c:v>
                </c:pt>
                <c:pt idx="163">
                  <c:v>77187.647640125171</c:v>
                </c:pt>
                <c:pt idx="164">
                  <c:v>77498.76081637168</c:v>
                </c:pt>
                <c:pt idx="165">
                  <c:v>75332.854731818283</c:v>
                </c:pt>
                <c:pt idx="166">
                  <c:v>75070.035432344739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1B9-451E-AB2C-4103AFBA2C24}"/>
            </c:ext>
          </c:extLst>
        </c:ser>
        <c:ser>
          <c:idx val="4"/>
          <c:order val="4"/>
          <c:tx>
            <c:strRef>
              <c:f>'Real - Simple'!$G$1</c:f>
              <c:strCache>
                <c:ptCount val="1"/>
                <c:pt idx="0">
                  <c:v>Regresion Lineal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'Real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Simple'!$G$4:$G$170</c:f>
              <c:numCache>
                <c:formatCode>General</c:formatCode>
                <c:ptCount val="167"/>
                <c:pt idx="0">
                  <c:v>100000</c:v>
                </c:pt>
                <c:pt idx="1">
                  <c:v>98387.940014811145</c:v>
                </c:pt>
                <c:pt idx="2">
                  <c:v>96650.200000193145</c:v>
                </c:pt>
                <c:pt idx="3">
                  <c:v>94331.872830730732</c:v>
                </c:pt>
                <c:pt idx="4">
                  <c:v>94866.120142558691</c:v>
                </c:pt>
                <c:pt idx="5">
                  <c:v>94760.282769266487</c:v>
                </c:pt>
                <c:pt idx="6">
                  <c:v>95009.538952197865</c:v>
                </c:pt>
                <c:pt idx="7">
                  <c:v>96553.243615410305</c:v>
                </c:pt>
                <c:pt idx="8">
                  <c:v>97602.594578989549</c:v>
                </c:pt>
                <c:pt idx="9">
                  <c:v>98296.082335512023</c:v>
                </c:pt>
                <c:pt idx="10">
                  <c:v>99109.968493365857</c:v>
                </c:pt>
                <c:pt idx="11">
                  <c:v>96451.919763325321</c:v>
                </c:pt>
                <c:pt idx="12">
                  <c:v>95176.146332157718</c:v>
                </c:pt>
                <c:pt idx="13">
                  <c:v>97175.964583626177</c:v>
                </c:pt>
                <c:pt idx="14">
                  <c:v>97641.269852682148</c:v>
                </c:pt>
                <c:pt idx="15">
                  <c:v>97061.776550350827</c:v>
                </c:pt>
                <c:pt idx="16">
                  <c:v>99696.156117073042</c:v>
                </c:pt>
                <c:pt idx="17">
                  <c:v>101179.992172903</c:v>
                </c:pt>
                <c:pt idx="18">
                  <c:v>100765.95114860199</c:v>
                </c:pt>
                <c:pt idx="19">
                  <c:v>99967.382161558169</c:v>
                </c:pt>
                <c:pt idx="20">
                  <c:v>101509.2415096163</c:v>
                </c:pt>
                <c:pt idx="21">
                  <c:v>103260.87287623253</c:v>
                </c:pt>
                <c:pt idx="22">
                  <c:v>100949.18820371397</c:v>
                </c:pt>
                <c:pt idx="23">
                  <c:v>100278.05059681053</c:v>
                </c:pt>
                <c:pt idx="24">
                  <c:v>100121.72945266269</c:v>
                </c:pt>
                <c:pt idx="25">
                  <c:v>102650.14468607793</c:v>
                </c:pt>
                <c:pt idx="26">
                  <c:v>104694.18774389738</c:v>
                </c:pt>
                <c:pt idx="27">
                  <c:v>100744.84715677892</c:v>
                </c:pt>
                <c:pt idx="28">
                  <c:v>101001.87319824673</c:v>
                </c:pt>
                <c:pt idx="29">
                  <c:v>99365.177779298247</c:v>
                </c:pt>
                <c:pt idx="30">
                  <c:v>99255.611636294285</c:v>
                </c:pt>
                <c:pt idx="31">
                  <c:v>98821.782941548037</c:v>
                </c:pt>
                <c:pt idx="32">
                  <c:v>99311.753400569418</c:v>
                </c:pt>
                <c:pt idx="33">
                  <c:v>98553.702951577245</c:v>
                </c:pt>
                <c:pt idx="34">
                  <c:v>97682.547200825618</c:v>
                </c:pt>
                <c:pt idx="35">
                  <c:v>96552.404984814755</c:v>
                </c:pt>
                <c:pt idx="36">
                  <c:v>96646.800323640258</c:v>
                </c:pt>
                <c:pt idx="37">
                  <c:v>96241.604131371831</c:v>
                </c:pt>
                <c:pt idx="38">
                  <c:v>95011.734218624275</c:v>
                </c:pt>
                <c:pt idx="39">
                  <c:v>95023.710612396244</c:v>
                </c:pt>
                <c:pt idx="40">
                  <c:v>96659.86153097912</c:v>
                </c:pt>
                <c:pt idx="41">
                  <c:v>98307.013922750935</c:v>
                </c:pt>
                <c:pt idx="42">
                  <c:v>99340.790606000694</c:v>
                </c:pt>
                <c:pt idx="43">
                  <c:v>98952.504719014003</c:v>
                </c:pt>
                <c:pt idx="44">
                  <c:v>99510.625120286524</c:v>
                </c:pt>
                <c:pt idx="45">
                  <c:v>99431.564747977493</c:v>
                </c:pt>
                <c:pt idx="46">
                  <c:v>100642.96767065166</c:v>
                </c:pt>
                <c:pt idx="47">
                  <c:v>99482.020885022721</c:v>
                </c:pt>
                <c:pt idx="48">
                  <c:v>101899.61397899561</c:v>
                </c:pt>
                <c:pt idx="49">
                  <c:v>103082.04343998023</c:v>
                </c:pt>
                <c:pt idx="50">
                  <c:v>100811.51637445316</c:v>
                </c:pt>
                <c:pt idx="51">
                  <c:v>104767.20774738696</c:v>
                </c:pt>
                <c:pt idx="52">
                  <c:v>104143.46684556642</c:v>
                </c:pt>
                <c:pt idx="53">
                  <c:v>102105.62359335202</c:v>
                </c:pt>
                <c:pt idx="54">
                  <c:v>101463.87084999886</c:v>
                </c:pt>
                <c:pt idx="55">
                  <c:v>100767.19641524166</c:v>
                </c:pt>
                <c:pt idx="56">
                  <c:v>100504.60205948852</c:v>
                </c:pt>
                <c:pt idx="57">
                  <c:v>101420.72678912082</c:v>
                </c:pt>
                <c:pt idx="58">
                  <c:v>99715.156501125384</c:v>
                </c:pt>
                <c:pt idx="59">
                  <c:v>99334.304434410413</c:v>
                </c:pt>
                <c:pt idx="60">
                  <c:v>99598.485337673192</c:v>
                </c:pt>
                <c:pt idx="61">
                  <c:v>99407.566621886319</c:v>
                </c:pt>
                <c:pt idx="62">
                  <c:v>100813.62191598323</c:v>
                </c:pt>
                <c:pt idx="63">
                  <c:v>100882.72366534598</c:v>
                </c:pt>
                <c:pt idx="64">
                  <c:v>100811.88636811463</c:v>
                </c:pt>
                <c:pt idx="65">
                  <c:v>100076.95300330011</c:v>
                </c:pt>
                <c:pt idx="66">
                  <c:v>103025.09818599497</c:v>
                </c:pt>
                <c:pt idx="67">
                  <c:v>102742.27179074066</c:v>
                </c:pt>
                <c:pt idx="68">
                  <c:v>101555.54142534797</c:v>
                </c:pt>
                <c:pt idx="69">
                  <c:v>100953.66027895852</c:v>
                </c:pt>
                <c:pt idx="70">
                  <c:v>98529.847996121694</c:v>
                </c:pt>
                <c:pt idx="71">
                  <c:v>98601.875611767697</c:v>
                </c:pt>
                <c:pt idx="72">
                  <c:v>98826.193358625402</c:v>
                </c:pt>
                <c:pt idx="73">
                  <c:v>99690.042330094177</c:v>
                </c:pt>
                <c:pt idx="74">
                  <c:v>98589.420730220125</c:v>
                </c:pt>
                <c:pt idx="75">
                  <c:v>98056.592112710219</c:v>
                </c:pt>
                <c:pt idx="76">
                  <c:v>97528.615107268779</c:v>
                </c:pt>
                <c:pt idx="77">
                  <c:v>97383.903070954155</c:v>
                </c:pt>
                <c:pt idx="78">
                  <c:v>98401.777811339445</c:v>
                </c:pt>
                <c:pt idx="79">
                  <c:v>98586.283089051634</c:v>
                </c:pt>
                <c:pt idx="80">
                  <c:v>95493.452508445727</c:v>
                </c:pt>
                <c:pt idx="81">
                  <c:v>94143.0751592702</c:v>
                </c:pt>
                <c:pt idx="82">
                  <c:v>94316.319583425677</c:v>
                </c:pt>
                <c:pt idx="83">
                  <c:v>93320.52976788918</c:v>
                </c:pt>
                <c:pt idx="84">
                  <c:v>92278.123446611891</c:v>
                </c:pt>
                <c:pt idx="85">
                  <c:v>91808.732932029612</c:v>
                </c:pt>
                <c:pt idx="86">
                  <c:v>93311.133852028943</c:v>
                </c:pt>
                <c:pt idx="87">
                  <c:v>93572.195230215977</c:v>
                </c:pt>
                <c:pt idx="88">
                  <c:v>93087.833863294305</c:v>
                </c:pt>
                <c:pt idx="89">
                  <c:v>93952.603563402707</c:v>
                </c:pt>
                <c:pt idx="90">
                  <c:v>93707.29853494736</c:v>
                </c:pt>
                <c:pt idx="91">
                  <c:v>93084.94029977647</c:v>
                </c:pt>
                <c:pt idx="92">
                  <c:v>93022.307477670736</c:v>
                </c:pt>
                <c:pt idx="93">
                  <c:v>93386.689867141191</c:v>
                </c:pt>
                <c:pt idx="94">
                  <c:v>93801.604008231734</c:v>
                </c:pt>
                <c:pt idx="95">
                  <c:v>94852.206538509257</c:v>
                </c:pt>
                <c:pt idx="96">
                  <c:v>95081.028907968168</c:v>
                </c:pt>
                <c:pt idx="97">
                  <c:v>95810.8285937498</c:v>
                </c:pt>
                <c:pt idx="98">
                  <c:v>94138.778629683933</c:v>
                </c:pt>
                <c:pt idx="99">
                  <c:v>93742.975347867497</c:v>
                </c:pt>
                <c:pt idx="100">
                  <c:v>92768.280907286971</c:v>
                </c:pt>
                <c:pt idx="101">
                  <c:v>89825.246303715481</c:v>
                </c:pt>
                <c:pt idx="102">
                  <c:v>90901.686284642885</c:v>
                </c:pt>
                <c:pt idx="103">
                  <c:v>91750.094058792252</c:v>
                </c:pt>
                <c:pt idx="104">
                  <c:v>89549.018753708544</c:v>
                </c:pt>
                <c:pt idx="105">
                  <c:v>88986.464484749929</c:v>
                </c:pt>
                <c:pt idx="106">
                  <c:v>88550.262682867484</c:v>
                </c:pt>
                <c:pt idx="107">
                  <c:v>88855.170094416448</c:v>
                </c:pt>
                <c:pt idx="108">
                  <c:v>91112.436948052549</c:v>
                </c:pt>
                <c:pt idx="109">
                  <c:v>90526.246460838636</c:v>
                </c:pt>
                <c:pt idx="110">
                  <c:v>89671.515898867889</c:v>
                </c:pt>
                <c:pt idx="111">
                  <c:v>88408.451775614842</c:v>
                </c:pt>
                <c:pt idx="112">
                  <c:v>88224.385415974903</c:v>
                </c:pt>
                <c:pt idx="113">
                  <c:v>87128.023846221375</c:v>
                </c:pt>
                <c:pt idx="114">
                  <c:v>83738.376543316816</c:v>
                </c:pt>
                <c:pt idx="115">
                  <c:v>86057.745095433507</c:v>
                </c:pt>
                <c:pt idx="116">
                  <c:v>86200.514801155499</c:v>
                </c:pt>
                <c:pt idx="117">
                  <c:v>86776.439415899353</c:v>
                </c:pt>
                <c:pt idx="118">
                  <c:v>88277.014354879022</c:v>
                </c:pt>
                <c:pt idx="119">
                  <c:v>87904.592796363693</c:v>
                </c:pt>
                <c:pt idx="120">
                  <c:v>89201.921930764482</c:v>
                </c:pt>
                <c:pt idx="121">
                  <c:v>88250.226359753127</c:v>
                </c:pt>
                <c:pt idx="122">
                  <c:v>87620.686775921524</c:v>
                </c:pt>
                <c:pt idx="123">
                  <c:v>87338.026152844381</c:v>
                </c:pt>
                <c:pt idx="124">
                  <c:v>86403.250414557057</c:v>
                </c:pt>
                <c:pt idx="125">
                  <c:v>86426.806676261345</c:v>
                </c:pt>
                <c:pt idx="126">
                  <c:v>85308.755414102241</c:v>
                </c:pt>
                <c:pt idx="127">
                  <c:v>83970.220563462135</c:v>
                </c:pt>
                <c:pt idx="128">
                  <c:v>84612.129932397031</c:v>
                </c:pt>
                <c:pt idx="129">
                  <c:v>85249.738433181366</c:v>
                </c:pt>
                <c:pt idx="130">
                  <c:v>84636.98815757237</c:v>
                </c:pt>
                <c:pt idx="131">
                  <c:v>84194.334982674482</c:v>
                </c:pt>
                <c:pt idx="132">
                  <c:v>83070.512371392397</c:v>
                </c:pt>
                <c:pt idx="133">
                  <c:v>83518.514888472579</c:v>
                </c:pt>
                <c:pt idx="134">
                  <c:v>83329.423026208126</c:v>
                </c:pt>
                <c:pt idx="135">
                  <c:v>79131.651071022003</c:v>
                </c:pt>
                <c:pt idx="136">
                  <c:v>80740.710027938097</c:v>
                </c:pt>
                <c:pt idx="137">
                  <c:v>82450.059163370519</c:v>
                </c:pt>
                <c:pt idx="138">
                  <c:v>83830.088014618348</c:v>
                </c:pt>
                <c:pt idx="139">
                  <c:v>83823.139305565812</c:v>
                </c:pt>
                <c:pt idx="140">
                  <c:v>82577.087598557788</c:v>
                </c:pt>
                <c:pt idx="141">
                  <c:v>83410.246148357182</c:v>
                </c:pt>
                <c:pt idx="142">
                  <c:v>86050.762660285734</c:v>
                </c:pt>
                <c:pt idx="143">
                  <c:v>87246.868559915587</c:v>
                </c:pt>
                <c:pt idx="144">
                  <c:v>87354.915650506373</c:v>
                </c:pt>
                <c:pt idx="145">
                  <c:v>86766.459471938157</c:v>
                </c:pt>
                <c:pt idx="146">
                  <c:v>88298.528954717505</c:v>
                </c:pt>
                <c:pt idx="147">
                  <c:v>87892.63335908507</c:v>
                </c:pt>
                <c:pt idx="148">
                  <c:v>88936.277774074828</c:v>
                </c:pt>
                <c:pt idx="149">
                  <c:v>88360.355637320099</c:v>
                </c:pt>
                <c:pt idx="150">
                  <c:v>88461.049179544018</c:v>
                </c:pt>
                <c:pt idx="151">
                  <c:v>89556.082867107165</c:v>
                </c:pt>
                <c:pt idx="152">
                  <c:v>90307.873937057157</c:v>
                </c:pt>
                <c:pt idx="153">
                  <c:v>89823.361132559949</c:v>
                </c:pt>
                <c:pt idx="154">
                  <c:v>88809.425505168154</c:v>
                </c:pt>
                <c:pt idx="155">
                  <c:v>88929.533100300832</c:v>
                </c:pt>
                <c:pt idx="156">
                  <c:v>88883.46111525876</c:v>
                </c:pt>
                <c:pt idx="157">
                  <c:v>89903.676229362769</c:v>
                </c:pt>
                <c:pt idx="158">
                  <c:v>89005.380211044481</c:v>
                </c:pt>
                <c:pt idx="159">
                  <c:v>87532.546382217784</c:v>
                </c:pt>
                <c:pt idx="160">
                  <c:v>88263.116480844386</c:v>
                </c:pt>
                <c:pt idx="161">
                  <c:v>87071.502927645997</c:v>
                </c:pt>
                <c:pt idx="162">
                  <c:v>90720.45830289954</c:v>
                </c:pt>
                <c:pt idx="163">
                  <c:v>90978.954118994341</c:v>
                </c:pt>
                <c:pt idx="164">
                  <c:v>90257.840942747833</c:v>
                </c:pt>
                <c:pt idx="165">
                  <c:v>92013.74702730123</c:v>
                </c:pt>
                <c:pt idx="166">
                  <c:v>91866.566326774773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1B9-451E-AB2C-4103AFBA2C24}"/>
            </c:ext>
          </c:extLst>
        </c:ser>
        <c:ser>
          <c:idx val="5"/>
          <c:order val="5"/>
          <c:tx>
            <c:strRef>
              <c:f>'Real - Simple'!$A$1</c:f>
              <c:strCache>
                <c:ptCount val="1"/>
                <c:pt idx="0">
                  <c:v>Monto Inicial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strRef>
              <c:f>'Real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Simple'!$A$4:$A$170</c:f>
              <c:numCache>
                <c:formatCode>General</c:formatCode>
                <c:ptCount val="167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  <c:pt idx="12">
                  <c:v>100000</c:v>
                </c:pt>
                <c:pt idx="13">
                  <c:v>100000</c:v>
                </c:pt>
                <c:pt idx="14">
                  <c:v>100000</c:v>
                </c:pt>
                <c:pt idx="15">
                  <c:v>100000</c:v>
                </c:pt>
                <c:pt idx="16">
                  <c:v>100000</c:v>
                </c:pt>
                <c:pt idx="17">
                  <c:v>100000</c:v>
                </c:pt>
                <c:pt idx="18">
                  <c:v>100000</c:v>
                </c:pt>
                <c:pt idx="19">
                  <c:v>100000</c:v>
                </c:pt>
                <c:pt idx="20">
                  <c:v>100000</c:v>
                </c:pt>
                <c:pt idx="21">
                  <c:v>100000</c:v>
                </c:pt>
                <c:pt idx="22">
                  <c:v>100000</c:v>
                </c:pt>
                <c:pt idx="23">
                  <c:v>100000</c:v>
                </c:pt>
                <c:pt idx="24">
                  <c:v>100000</c:v>
                </c:pt>
                <c:pt idx="25">
                  <c:v>100000</c:v>
                </c:pt>
                <c:pt idx="26">
                  <c:v>100000</c:v>
                </c:pt>
                <c:pt idx="27">
                  <c:v>100000</c:v>
                </c:pt>
                <c:pt idx="28">
                  <c:v>100000</c:v>
                </c:pt>
                <c:pt idx="29">
                  <c:v>100000</c:v>
                </c:pt>
                <c:pt idx="30">
                  <c:v>100000</c:v>
                </c:pt>
                <c:pt idx="31">
                  <c:v>100000</c:v>
                </c:pt>
                <c:pt idx="32">
                  <c:v>100000</c:v>
                </c:pt>
                <c:pt idx="33">
                  <c:v>100000</c:v>
                </c:pt>
                <c:pt idx="34">
                  <c:v>100000</c:v>
                </c:pt>
                <c:pt idx="35">
                  <c:v>100000</c:v>
                </c:pt>
                <c:pt idx="36">
                  <c:v>100000</c:v>
                </c:pt>
                <c:pt idx="37">
                  <c:v>100000</c:v>
                </c:pt>
                <c:pt idx="38">
                  <c:v>100000</c:v>
                </c:pt>
                <c:pt idx="39">
                  <c:v>100000</c:v>
                </c:pt>
                <c:pt idx="40">
                  <c:v>100000</c:v>
                </c:pt>
                <c:pt idx="41">
                  <c:v>100000</c:v>
                </c:pt>
                <c:pt idx="42">
                  <c:v>100000</c:v>
                </c:pt>
                <c:pt idx="43">
                  <c:v>100000</c:v>
                </c:pt>
                <c:pt idx="44">
                  <c:v>100000</c:v>
                </c:pt>
                <c:pt idx="45">
                  <c:v>100000</c:v>
                </c:pt>
                <c:pt idx="46">
                  <c:v>100000</c:v>
                </c:pt>
                <c:pt idx="47">
                  <c:v>100000</c:v>
                </c:pt>
                <c:pt idx="48">
                  <c:v>100000</c:v>
                </c:pt>
                <c:pt idx="49">
                  <c:v>100000</c:v>
                </c:pt>
                <c:pt idx="50">
                  <c:v>100000</c:v>
                </c:pt>
                <c:pt idx="51">
                  <c:v>100000</c:v>
                </c:pt>
                <c:pt idx="52">
                  <c:v>100000</c:v>
                </c:pt>
                <c:pt idx="53">
                  <c:v>100000</c:v>
                </c:pt>
                <c:pt idx="54">
                  <c:v>100000</c:v>
                </c:pt>
                <c:pt idx="55">
                  <c:v>100000</c:v>
                </c:pt>
                <c:pt idx="56">
                  <c:v>100000</c:v>
                </c:pt>
                <c:pt idx="57">
                  <c:v>100000</c:v>
                </c:pt>
                <c:pt idx="58">
                  <c:v>100000</c:v>
                </c:pt>
                <c:pt idx="59">
                  <c:v>100000</c:v>
                </c:pt>
                <c:pt idx="60">
                  <c:v>100000</c:v>
                </c:pt>
                <c:pt idx="61">
                  <c:v>100000</c:v>
                </c:pt>
                <c:pt idx="62">
                  <c:v>100000</c:v>
                </c:pt>
                <c:pt idx="63">
                  <c:v>100000</c:v>
                </c:pt>
                <c:pt idx="64">
                  <c:v>100000</c:v>
                </c:pt>
                <c:pt idx="65">
                  <c:v>100000</c:v>
                </c:pt>
                <c:pt idx="66">
                  <c:v>100000</c:v>
                </c:pt>
                <c:pt idx="67">
                  <c:v>100000</c:v>
                </c:pt>
                <c:pt idx="68">
                  <c:v>100000</c:v>
                </c:pt>
                <c:pt idx="69">
                  <c:v>100000</c:v>
                </c:pt>
                <c:pt idx="70">
                  <c:v>100000</c:v>
                </c:pt>
                <c:pt idx="71">
                  <c:v>100000</c:v>
                </c:pt>
                <c:pt idx="72">
                  <c:v>100000</c:v>
                </c:pt>
                <c:pt idx="73">
                  <c:v>100000</c:v>
                </c:pt>
                <c:pt idx="74">
                  <c:v>100000</c:v>
                </c:pt>
                <c:pt idx="75">
                  <c:v>100000</c:v>
                </c:pt>
                <c:pt idx="76">
                  <c:v>100000</c:v>
                </c:pt>
                <c:pt idx="77">
                  <c:v>100000</c:v>
                </c:pt>
                <c:pt idx="78">
                  <c:v>100000</c:v>
                </c:pt>
                <c:pt idx="79">
                  <c:v>100000</c:v>
                </c:pt>
                <c:pt idx="80">
                  <c:v>100000</c:v>
                </c:pt>
                <c:pt idx="81">
                  <c:v>100000</c:v>
                </c:pt>
                <c:pt idx="82">
                  <c:v>100000</c:v>
                </c:pt>
                <c:pt idx="83">
                  <c:v>100000</c:v>
                </c:pt>
                <c:pt idx="84">
                  <c:v>100000</c:v>
                </c:pt>
                <c:pt idx="85">
                  <c:v>100000</c:v>
                </c:pt>
                <c:pt idx="86">
                  <c:v>100000</c:v>
                </c:pt>
                <c:pt idx="87">
                  <c:v>100000</c:v>
                </c:pt>
                <c:pt idx="88">
                  <c:v>100000</c:v>
                </c:pt>
                <c:pt idx="89">
                  <c:v>100000</c:v>
                </c:pt>
                <c:pt idx="90">
                  <c:v>100000</c:v>
                </c:pt>
                <c:pt idx="91">
                  <c:v>100000</c:v>
                </c:pt>
                <c:pt idx="92">
                  <c:v>100000</c:v>
                </c:pt>
                <c:pt idx="93">
                  <c:v>100000</c:v>
                </c:pt>
                <c:pt idx="94">
                  <c:v>100000</c:v>
                </c:pt>
                <c:pt idx="95">
                  <c:v>100000</c:v>
                </c:pt>
                <c:pt idx="96">
                  <c:v>100000</c:v>
                </c:pt>
                <c:pt idx="97">
                  <c:v>100000</c:v>
                </c:pt>
                <c:pt idx="98">
                  <c:v>100000</c:v>
                </c:pt>
                <c:pt idx="99">
                  <c:v>100000</c:v>
                </c:pt>
                <c:pt idx="100">
                  <c:v>100000</c:v>
                </c:pt>
                <c:pt idx="101">
                  <c:v>100000</c:v>
                </c:pt>
                <c:pt idx="102">
                  <c:v>100000</c:v>
                </c:pt>
                <c:pt idx="103">
                  <c:v>100000</c:v>
                </c:pt>
                <c:pt idx="104">
                  <c:v>100000</c:v>
                </c:pt>
                <c:pt idx="105">
                  <c:v>100000</c:v>
                </c:pt>
                <c:pt idx="106">
                  <c:v>100000</c:v>
                </c:pt>
                <c:pt idx="107">
                  <c:v>100000</c:v>
                </c:pt>
                <c:pt idx="108">
                  <c:v>100000</c:v>
                </c:pt>
                <c:pt idx="109">
                  <c:v>100000</c:v>
                </c:pt>
                <c:pt idx="110">
                  <c:v>100000</c:v>
                </c:pt>
                <c:pt idx="111">
                  <c:v>100000</c:v>
                </c:pt>
                <c:pt idx="112">
                  <c:v>100000</c:v>
                </c:pt>
                <c:pt idx="113">
                  <c:v>100000</c:v>
                </c:pt>
                <c:pt idx="114">
                  <c:v>100000</c:v>
                </c:pt>
                <c:pt idx="115">
                  <c:v>100000</c:v>
                </c:pt>
                <c:pt idx="116">
                  <c:v>100000</c:v>
                </c:pt>
                <c:pt idx="117">
                  <c:v>100000</c:v>
                </c:pt>
                <c:pt idx="118">
                  <c:v>100000</c:v>
                </c:pt>
                <c:pt idx="119">
                  <c:v>100000</c:v>
                </c:pt>
                <c:pt idx="120">
                  <c:v>100000</c:v>
                </c:pt>
                <c:pt idx="121">
                  <c:v>100000</c:v>
                </c:pt>
                <c:pt idx="122">
                  <c:v>100000</c:v>
                </c:pt>
                <c:pt idx="123">
                  <c:v>100000</c:v>
                </c:pt>
                <c:pt idx="124">
                  <c:v>100000</c:v>
                </c:pt>
                <c:pt idx="125">
                  <c:v>100000</c:v>
                </c:pt>
                <c:pt idx="126">
                  <c:v>100000</c:v>
                </c:pt>
                <c:pt idx="127">
                  <c:v>100000</c:v>
                </c:pt>
                <c:pt idx="128">
                  <c:v>100000</c:v>
                </c:pt>
                <c:pt idx="129">
                  <c:v>100000</c:v>
                </c:pt>
                <c:pt idx="130">
                  <c:v>100000</c:v>
                </c:pt>
                <c:pt idx="131">
                  <c:v>100000</c:v>
                </c:pt>
                <c:pt idx="132">
                  <c:v>100000</c:v>
                </c:pt>
                <c:pt idx="133">
                  <c:v>100000</c:v>
                </c:pt>
                <c:pt idx="134">
                  <c:v>100000</c:v>
                </c:pt>
                <c:pt idx="135">
                  <c:v>100000</c:v>
                </c:pt>
                <c:pt idx="136">
                  <c:v>100000</c:v>
                </c:pt>
                <c:pt idx="137">
                  <c:v>100000</c:v>
                </c:pt>
                <c:pt idx="138">
                  <c:v>100000</c:v>
                </c:pt>
                <c:pt idx="139">
                  <c:v>100000</c:v>
                </c:pt>
                <c:pt idx="140">
                  <c:v>100000</c:v>
                </c:pt>
                <c:pt idx="141">
                  <c:v>100000</c:v>
                </c:pt>
                <c:pt idx="142">
                  <c:v>100000</c:v>
                </c:pt>
                <c:pt idx="143">
                  <c:v>100000</c:v>
                </c:pt>
                <c:pt idx="144">
                  <c:v>100000</c:v>
                </c:pt>
                <c:pt idx="145">
                  <c:v>100000</c:v>
                </c:pt>
                <c:pt idx="146">
                  <c:v>100000</c:v>
                </c:pt>
                <c:pt idx="147">
                  <c:v>100000</c:v>
                </c:pt>
                <c:pt idx="148">
                  <c:v>100000</c:v>
                </c:pt>
                <c:pt idx="149">
                  <c:v>100000</c:v>
                </c:pt>
                <c:pt idx="150">
                  <c:v>100000</c:v>
                </c:pt>
                <c:pt idx="151">
                  <c:v>100000</c:v>
                </c:pt>
                <c:pt idx="152">
                  <c:v>100000</c:v>
                </c:pt>
                <c:pt idx="153">
                  <c:v>100000</c:v>
                </c:pt>
                <c:pt idx="154">
                  <c:v>100000</c:v>
                </c:pt>
                <c:pt idx="155">
                  <c:v>100000</c:v>
                </c:pt>
                <c:pt idx="156">
                  <c:v>100000</c:v>
                </c:pt>
                <c:pt idx="157">
                  <c:v>100000</c:v>
                </c:pt>
                <c:pt idx="158">
                  <c:v>100000</c:v>
                </c:pt>
                <c:pt idx="159">
                  <c:v>100000</c:v>
                </c:pt>
                <c:pt idx="160">
                  <c:v>100000</c:v>
                </c:pt>
                <c:pt idx="161">
                  <c:v>100000</c:v>
                </c:pt>
                <c:pt idx="162">
                  <c:v>100000</c:v>
                </c:pt>
                <c:pt idx="163">
                  <c:v>100000</c:v>
                </c:pt>
                <c:pt idx="164">
                  <c:v>100000</c:v>
                </c:pt>
                <c:pt idx="165">
                  <c:v>100000</c:v>
                </c:pt>
                <c:pt idx="166">
                  <c:v>100000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54-468F-9DD8-A7867CE32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419880"/>
        <c:axId val="520422832"/>
      </c:scatterChart>
      <c:valAx>
        <c:axId val="520419880"/>
        <c:scaling>
          <c:orientation val="minMax"/>
          <c:max val="16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22832"/>
        <c:crosses val="autoZero"/>
        <c:crossBetween val="midCat"/>
        <c:majorUnit val="10"/>
      </c:valAx>
      <c:valAx>
        <c:axId val="520422832"/>
        <c:scaling>
          <c:orientation val="minMax"/>
          <c:max val="140000"/>
          <c:min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19880"/>
        <c:crosses val="autoZero"/>
        <c:crossBetween val="midCat"/>
        <c:majorUnit val="10000"/>
        <c:minorUnit val="1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'Real - Compuesta'!$C$1</c:f>
              <c:strCache>
                <c:ptCount val="1"/>
                <c:pt idx="0">
                  <c:v>Bosques Aleatorios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'Real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Compuesta'!$C$4:$C$170</c:f>
              <c:numCache>
                <c:formatCode>General</c:formatCode>
                <c:ptCount val="167"/>
                <c:pt idx="0">
                  <c:v>100000</c:v>
                </c:pt>
                <c:pt idx="1">
                  <c:v>101202.05998518885</c:v>
                </c:pt>
                <c:pt idx="2">
                  <c:v>99443.575540406746</c:v>
                </c:pt>
                <c:pt idx="3">
                  <c:v>97138.081339433469</c:v>
                </c:pt>
                <c:pt idx="4">
                  <c:v>97656.695497511377</c:v>
                </c:pt>
                <c:pt idx="5">
                  <c:v>97553.057019612548</c:v>
                </c:pt>
                <c:pt idx="6">
                  <c:v>97795.920412714855</c:v>
                </c:pt>
                <c:pt idx="7">
                  <c:v>99305.33610700698</c:v>
                </c:pt>
                <c:pt idx="8">
                  <c:v>100347.3142486643</c:v>
                </c:pt>
                <c:pt idx="9">
                  <c:v>101043.25226468776</c:v>
                </c:pt>
                <c:pt idx="10">
                  <c:v>101865.75449858715</c:v>
                </c:pt>
                <c:pt idx="11">
                  <c:v>99158.336995331061</c:v>
                </c:pt>
                <c:pt idx="12">
                  <c:v>97893.200277596421</c:v>
                </c:pt>
                <c:pt idx="13">
                  <c:v>99850.633547727688</c:v>
                </c:pt>
                <c:pt idx="14">
                  <c:v>98976.617767124379</c:v>
                </c:pt>
                <c:pt idx="15">
                  <c:v>99144.25369924579</c:v>
                </c:pt>
                <c:pt idx="16">
                  <c:v>101755.98697072187</c:v>
                </c:pt>
                <c:pt idx="17">
                  <c:v>99829.106118941199</c:v>
                </c:pt>
                <c:pt idx="18">
                  <c:v>99833.11973011322</c:v>
                </c:pt>
                <c:pt idx="19">
                  <c:v>100221.02024655038</c:v>
                </c:pt>
                <c:pt idx="20">
                  <c:v>98264.873416578441</c:v>
                </c:pt>
                <c:pt idx="21">
                  <c:v>99985.903546518952</c:v>
                </c:pt>
                <c:pt idx="22">
                  <c:v>97674.543047980464</c:v>
                </c:pt>
                <c:pt idx="23">
                  <c:v>97929.328957415593</c:v>
                </c:pt>
                <c:pt idx="24">
                  <c:v>97775.99622940796</c:v>
                </c:pt>
                <c:pt idx="25">
                  <c:v>94902.664581127057</c:v>
                </c:pt>
                <c:pt idx="26">
                  <c:v>92573.100649037966</c:v>
                </c:pt>
                <c:pt idx="27">
                  <c:v>88916.182384429383</c:v>
                </c:pt>
                <c:pt idx="28">
                  <c:v>88321.758234732362</c:v>
                </c:pt>
                <c:pt idx="29">
                  <c:v>86874.798674757913</c:v>
                </c:pt>
                <c:pt idx="30">
                  <c:v>86612.222342182766</c:v>
                </c:pt>
                <c:pt idx="31">
                  <c:v>86631.254370938681</c:v>
                </c:pt>
                <c:pt idx="32">
                  <c:v>87054.117676160458</c:v>
                </c:pt>
                <c:pt idx="33">
                  <c:v>87355.55641771965</c:v>
                </c:pt>
                <c:pt idx="34">
                  <c:v>87756.884256511185</c:v>
                </c:pt>
                <c:pt idx="35">
                  <c:v>88387.389453608892</c:v>
                </c:pt>
                <c:pt idx="36">
                  <c:v>87940.174067829779</c:v>
                </c:pt>
                <c:pt idx="37">
                  <c:v>87934.502411836889</c:v>
                </c:pt>
                <c:pt idx="38">
                  <c:v>86851.574564038849</c:v>
                </c:pt>
                <c:pt idx="39">
                  <c:v>86483.503610707034</c:v>
                </c:pt>
                <c:pt idx="40">
                  <c:v>84712.298627587181</c:v>
                </c:pt>
                <c:pt idx="41">
                  <c:v>86105.804756391677</c:v>
                </c:pt>
                <c:pt idx="42">
                  <c:v>86994.279185458581</c:v>
                </c:pt>
                <c:pt idx="43">
                  <c:v>86973.828462863385</c:v>
                </c:pt>
                <c:pt idx="44">
                  <c:v>86130.253945162185</c:v>
                </c:pt>
                <c:pt idx="45">
                  <c:v>86060.494676195842</c:v>
                </c:pt>
                <c:pt idx="46">
                  <c:v>84663.434559609304</c:v>
                </c:pt>
                <c:pt idx="47">
                  <c:v>83678.696749633615</c:v>
                </c:pt>
                <c:pt idx="48">
                  <c:v>81310.645142824418</c:v>
                </c:pt>
                <c:pt idx="49">
                  <c:v>82269.843443326972</c:v>
                </c:pt>
                <c:pt idx="50">
                  <c:v>83798.368528570019</c:v>
                </c:pt>
                <c:pt idx="51">
                  <c:v>80138.046187282394</c:v>
                </c:pt>
                <c:pt idx="52">
                  <c:v>80306.950535446929</c:v>
                </c:pt>
                <c:pt idx="53">
                  <c:v>78668.057596965416</c:v>
                </c:pt>
                <c:pt idx="54">
                  <c:v>78160.643346105877</c:v>
                </c:pt>
                <c:pt idx="55">
                  <c:v>77613.497403073343</c:v>
                </c:pt>
                <c:pt idx="56">
                  <c:v>77496.404346892203</c:v>
                </c:pt>
                <c:pt idx="57">
                  <c:v>78203.667640211555</c:v>
                </c:pt>
                <c:pt idx="58">
                  <c:v>79214.235562397662</c:v>
                </c:pt>
                <c:pt idx="59">
                  <c:v>78910.052217393284</c:v>
                </c:pt>
                <c:pt idx="60">
                  <c:v>78375.524920855023</c:v>
                </c:pt>
                <c:pt idx="61">
                  <c:v>78201.223877340133</c:v>
                </c:pt>
                <c:pt idx="62">
                  <c:v>76778.430557932399</c:v>
                </c:pt>
                <c:pt idx="63">
                  <c:v>76828.699208248159</c:v>
                </c:pt>
                <c:pt idx="64">
                  <c:v>76771.495278136019</c:v>
                </c:pt>
                <c:pt idx="65">
                  <c:v>76204.488524103377</c:v>
                </c:pt>
                <c:pt idx="66">
                  <c:v>78448.252020146887</c:v>
                </c:pt>
                <c:pt idx="67">
                  <c:v>78345.900340435299</c:v>
                </c:pt>
                <c:pt idx="68">
                  <c:v>77413.547259095911</c:v>
                </c:pt>
                <c:pt idx="69">
                  <c:v>76944.899339063209</c:v>
                </c:pt>
                <c:pt idx="70">
                  <c:v>78491.658560890384</c:v>
                </c:pt>
                <c:pt idx="71">
                  <c:v>78110.72608967562</c:v>
                </c:pt>
                <c:pt idx="72">
                  <c:v>77612.62917902015</c:v>
                </c:pt>
                <c:pt idx="73">
                  <c:v>76621.275015994819</c:v>
                </c:pt>
                <c:pt idx="74">
                  <c:v>77147.632644356097</c:v>
                </c:pt>
                <c:pt idx="75">
                  <c:v>77239.64973089211</c:v>
                </c:pt>
                <c:pt idx="76">
                  <c:v>77328.043514625781</c:v>
                </c:pt>
                <c:pt idx="77">
                  <c:v>77213.419893435261</c:v>
                </c:pt>
                <c:pt idx="78">
                  <c:v>77996.621401105382</c:v>
                </c:pt>
                <c:pt idx="79">
                  <c:v>78137.888878595753</c:v>
                </c:pt>
                <c:pt idx="80">
                  <c:v>75718.592902984121</c:v>
                </c:pt>
                <c:pt idx="81">
                  <c:v>74693.192406456146</c:v>
                </c:pt>
                <c:pt idx="82">
                  <c:v>74819.557380612823</c:v>
                </c:pt>
                <c:pt idx="83">
                  <c:v>75254.821074663618</c:v>
                </c:pt>
                <c:pt idx="84">
                  <c:v>75727.767898734659</c:v>
                </c:pt>
                <c:pt idx="85">
                  <c:v>75769.830341919238</c:v>
                </c:pt>
                <c:pt idx="86">
                  <c:v>74317.899789019473</c:v>
                </c:pt>
                <c:pt idx="87">
                  <c:v>73816.099214430302</c:v>
                </c:pt>
                <c:pt idx="88">
                  <c:v>73867.847806720136</c:v>
                </c:pt>
                <c:pt idx="89">
                  <c:v>72923.06700649469</c:v>
                </c:pt>
                <c:pt idx="90">
                  <c:v>72740.933824264677</c:v>
                </c:pt>
                <c:pt idx="91">
                  <c:v>72284.953544328062</c:v>
                </c:pt>
                <c:pt idx="92">
                  <c:v>72030.533535584269</c:v>
                </c:pt>
                <c:pt idx="93">
                  <c:v>72289.643778853817</c:v>
                </c:pt>
                <c:pt idx="94">
                  <c:v>72586.258490689725</c:v>
                </c:pt>
                <c:pt idx="95">
                  <c:v>73345.561910045581</c:v>
                </c:pt>
                <c:pt idx="96">
                  <c:v>73510.194430130301</c:v>
                </c:pt>
                <c:pt idx="97">
                  <c:v>74043.492821430467</c:v>
                </c:pt>
                <c:pt idx="98">
                  <c:v>72802.333845455199</c:v>
                </c:pt>
                <c:pt idx="99">
                  <c:v>72510.916098917383</c:v>
                </c:pt>
                <c:pt idx="100">
                  <c:v>72917.082520873839</c:v>
                </c:pt>
                <c:pt idx="101">
                  <c:v>74760.84750294486</c:v>
                </c:pt>
                <c:pt idx="102">
                  <c:v>73646.543677281268</c:v>
                </c:pt>
                <c:pt idx="103">
                  <c:v>72716.607431495315</c:v>
                </c:pt>
                <c:pt idx="104">
                  <c:v>74015.742622787264</c:v>
                </c:pt>
                <c:pt idx="105">
                  <c:v>74125.538686974483</c:v>
                </c:pt>
                <c:pt idx="106">
                  <c:v>74141.85597840797</c:v>
                </c:pt>
                <c:pt idx="107">
                  <c:v>73608.707377675775</c:v>
                </c:pt>
                <c:pt idx="108">
                  <c:v>71642.199769286352</c:v>
                </c:pt>
                <c:pt idx="109">
                  <c:v>71765.023574082938</c:v>
                </c:pt>
                <c:pt idx="110">
                  <c:v>72080.796369551288</c:v>
                </c:pt>
                <c:pt idx="111">
                  <c:v>72692.341478699353</c:v>
                </c:pt>
                <c:pt idx="112">
                  <c:v>72555.262412979922</c:v>
                </c:pt>
                <c:pt idx="113">
                  <c:v>71756.50103053973</c:v>
                </c:pt>
                <c:pt idx="114">
                  <c:v>73891.202458278553</c:v>
                </c:pt>
                <c:pt idx="115">
                  <c:v>75601.878715171726</c:v>
                </c:pt>
                <c:pt idx="116">
                  <c:v>75706.887520379489</c:v>
                </c:pt>
                <c:pt idx="117">
                  <c:v>74957.559507762067</c:v>
                </c:pt>
                <c:pt idx="118">
                  <c:v>73522.434068076924</c:v>
                </c:pt>
                <c:pt idx="119">
                  <c:v>73245.443365350351</c:v>
                </c:pt>
                <c:pt idx="120">
                  <c:v>74192.467294953909</c:v>
                </c:pt>
                <c:pt idx="121">
                  <c:v>73483.283965759183</c:v>
                </c:pt>
                <c:pt idx="122">
                  <c:v>73017.495599771239</c:v>
                </c:pt>
                <c:pt idx="123">
                  <c:v>72921.277675301797</c:v>
                </c:pt>
                <c:pt idx="124">
                  <c:v>72236.377816864973</c:v>
                </c:pt>
                <c:pt idx="125">
                  <c:v>72250.062372407236</c:v>
                </c:pt>
                <c:pt idx="126">
                  <c:v>72758.299858430488</c:v>
                </c:pt>
                <c:pt idx="127">
                  <c:v>71781.135654075173</c:v>
                </c:pt>
                <c:pt idx="128">
                  <c:v>72238.519225245036</c:v>
                </c:pt>
                <c:pt idx="129">
                  <c:v>71478.410979307664</c:v>
                </c:pt>
                <c:pt idx="130">
                  <c:v>71037.004228348553</c:v>
                </c:pt>
                <c:pt idx="131">
                  <c:v>71056.724506088853</c:v>
                </c:pt>
                <c:pt idx="132">
                  <c:v>70254.699776193738</c:v>
                </c:pt>
                <c:pt idx="133">
                  <c:v>70565.87316353136</c:v>
                </c:pt>
                <c:pt idx="134">
                  <c:v>70428.906744622887</c:v>
                </c:pt>
                <c:pt idx="135">
                  <c:v>67468.913317762272</c:v>
                </c:pt>
                <c:pt idx="136">
                  <c:v>68550.624180233819</c:v>
                </c:pt>
                <c:pt idx="137">
                  <c:v>69718.619756893808</c:v>
                </c:pt>
                <c:pt idx="138">
                  <c:v>70677.12305860153</c:v>
                </c:pt>
                <c:pt idx="139">
                  <c:v>70668.693165720513</c:v>
                </c:pt>
                <c:pt idx="140">
                  <c:v>69784.604951388683</c:v>
                </c:pt>
                <c:pt idx="141">
                  <c:v>70362.39550657908</c:v>
                </c:pt>
                <c:pt idx="142">
                  <c:v>72216.769665579559</c:v>
                </c:pt>
                <c:pt idx="143">
                  <c:v>71053.557879818458</c:v>
                </c:pt>
                <c:pt idx="144">
                  <c:v>70681.993417406396</c:v>
                </c:pt>
                <c:pt idx="145">
                  <c:v>70804.611641005031</c:v>
                </c:pt>
                <c:pt idx="146">
                  <c:v>71885.884041754223</c:v>
                </c:pt>
                <c:pt idx="147">
                  <c:v>71590.72871063232</c:v>
                </c:pt>
                <c:pt idx="148">
                  <c:v>72334.472239916577</c:v>
                </c:pt>
                <c:pt idx="149">
                  <c:v>71914.562138450987</c:v>
                </c:pt>
                <c:pt idx="150">
                  <c:v>71983.605205899628</c:v>
                </c:pt>
                <c:pt idx="151">
                  <c:v>72768.48796505139</c:v>
                </c:pt>
                <c:pt idx="152">
                  <c:v>73312.287177866092</c:v>
                </c:pt>
                <c:pt idx="153">
                  <c:v>73363.711693544712</c:v>
                </c:pt>
                <c:pt idx="154">
                  <c:v>73803.584931442252</c:v>
                </c:pt>
                <c:pt idx="155">
                  <c:v>73889.085072616886</c:v>
                </c:pt>
                <c:pt idx="156">
                  <c:v>73617.048682250257</c:v>
                </c:pt>
                <c:pt idx="157">
                  <c:v>74364.93498530575</c:v>
                </c:pt>
                <c:pt idx="158">
                  <c:v>74724.979794062208</c:v>
                </c:pt>
                <c:pt idx="159">
                  <c:v>75516.149155472696</c:v>
                </c:pt>
                <c:pt idx="160">
                  <c:v>76064.909498735506</c:v>
                </c:pt>
                <c:pt idx="161">
                  <c:v>75155.637517060342</c:v>
                </c:pt>
                <c:pt idx="162">
                  <c:v>77895.051868547234</c:v>
                </c:pt>
                <c:pt idx="163">
                  <c:v>77371.674112085355</c:v>
                </c:pt>
                <c:pt idx="164">
                  <c:v>77609.672185824005</c:v>
                </c:pt>
                <c:pt idx="165">
                  <c:v>75926.032734411594</c:v>
                </c:pt>
                <c:pt idx="166">
                  <c:v>75723.595590989091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A62-4D1B-B6DF-0121EFB952A6}"/>
            </c:ext>
          </c:extLst>
        </c:ser>
        <c:ser>
          <c:idx val="1"/>
          <c:order val="1"/>
          <c:tx>
            <c:strRef>
              <c:f>'Real - Compuesta'!$D$1</c:f>
              <c:strCache>
                <c:ptCount val="1"/>
                <c:pt idx="0">
                  <c:v>Arbol de decision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'Real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Compuesta'!$D$4:$D$170</c:f>
              <c:numCache>
                <c:formatCode>General</c:formatCode>
                <c:ptCount val="167"/>
                <c:pt idx="0">
                  <c:v>100000</c:v>
                </c:pt>
                <c:pt idx="1">
                  <c:v>101202.05998518885</c:v>
                </c:pt>
                <c:pt idx="2">
                  <c:v>99443.575540406746</c:v>
                </c:pt>
                <c:pt idx="3">
                  <c:v>97138.081339433469</c:v>
                </c:pt>
                <c:pt idx="4">
                  <c:v>97656.695497511377</c:v>
                </c:pt>
                <c:pt idx="5">
                  <c:v>97553.057019612548</c:v>
                </c:pt>
                <c:pt idx="6">
                  <c:v>97795.920412714855</c:v>
                </c:pt>
                <c:pt idx="7">
                  <c:v>99305.33610700698</c:v>
                </c:pt>
                <c:pt idx="8">
                  <c:v>100347.3142486643</c:v>
                </c:pt>
                <c:pt idx="9">
                  <c:v>101043.25226468776</c:v>
                </c:pt>
                <c:pt idx="10">
                  <c:v>101865.75449858715</c:v>
                </c:pt>
                <c:pt idx="11">
                  <c:v>99158.336995331061</c:v>
                </c:pt>
                <c:pt idx="12">
                  <c:v>97893.200277596421</c:v>
                </c:pt>
                <c:pt idx="13">
                  <c:v>99850.633547727688</c:v>
                </c:pt>
                <c:pt idx="14">
                  <c:v>98976.617767124379</c:v>
                </c:pt>
                <c:pt idx="15">
                  <c:v>99144.25369924579</c:v>
                </c:pt>
                <c:pt idx="16">
                  <c:v>101755.98697072187</c:v>
                </c:pt>
                <c:pt idx="17">
                  <c:v>99829.106118941199</c:v>
                </c:pt>
                <c:pt idx="18">
                  <c:v>99833.11973011322</c:v>
                </c:pt>
                <c:pt idx="19">
                  <c:v>100221.02024655038</c:v>
                </c:pt>
                <c:pt idx="20">
                  <c:v>98264.873416578441</c:v>
                </c:pt>
                <c:pt idx="21">
                  <c:v>99985.903546518952</c:v>
                </c:pt>
                <c:pt idx="22">
                  <c:v>97674.543047980464</c:v>
                </c:pt>
                <c:pt idx="23">
                  <c:v>97929.328957415593</c:v>
                </c:pt>
                <c:pt idx="24">
                  <c:v>97775.99622940796</c:v>
                </c:pt>
                <c:pt idx="25">
                  <c:v>94902.664581127057</c:v>
                </c:pt>
                <c:pt idx="26">
                  <c:v>92573.100649037966</c:v>
                </c:pt>
                <c:pt idx="27">
                  <c:v>88916.182384429383</c:v>
                </c:pt>
                <c:pt idx="28">
                  <c:v>88321.758234732362</c:v>
                </c:pt>
                <c:pt idx="29">
                  <c:v>86874.798674757913</c:v>
                </c:pt>
                <c:pt idx="30">
                  <c:v>86612.222342182766</c:v>
                </c:pt>
                <c:pt idx="31">
                  <c:v>86631.254370938681</c:v>
                </c:pt>
                <c:pt idx="32">
                  <c:v>85849.994423845084</c:v>
                </c:pt>
                <c:pt idx="33">
                  <c:v>86147.097714227901</c:v>
                </c:pt>
                <c:pt idx="34">
                  <c:v>86542.707661168402</c:v>
                </c:pt>
                <c:pt idx="35">
                  <c:v>87164.323358834677</c:v>
                </c:pt>
                <c:pt idx="36">
                  <c:v>86723.130293496986</c:v>
                </c:pt>
                <c:pt idx="37">
                  <c:v>86717.371056694101</c:v>
                </c:pt>
                <c:pt idx="38">
                  <c:v>85649.266285468955</c:v>
                </c:pt>
                <c:pt idx="39">
                  <c:v>85286.12451225963</c:v>
                </c:pt>
                <c:pt idx="40">
                  <c:v>83539.276027069762</c:v>
                </c:pt>
                <c:pt idx="41">
                  <c:v>84913.319923341754</c:v>
                </c:pt>
                <c:pt idx="42">
                  <c:v>85789.323624073339</c:v>
                </c:pt>
                <c:pt idx="43">
                  <c:v>85768.989952223143</c:v>
                </c:pt>
                <c:pt idx="44">
                  <c:v>84936.93514132456</c:v>
                </c:pt>
                <c:pt idx="45">
                  <c:v>84867.976116390913</c:v>
                </c:pt>
                <c:pt idx="46">
                  <c:v>83490.108428359308</c:v>
                </c:pt>
                <c:pt idx="47">
                  <c:v>82518.851511253568</c:v>
                </c:pt>
                <c:pt idx="48">
                  <c:v>80183.456426876975</c:v>
                </c:pt>
                <c:pt idx="49">
                  <c:v>81129.191253275363</c:v>
                </c:pt>
                <c:pt idx="50">
                  <c:v>82636.357317536167</c:v>
                </c:pt>
                <c:pt idx="51">
                  <c:v>79026.625358095844</c:v>
                </c:pt>
                <c:pt idx="52">
                  <c:v>78531.187167451892</c:v>
                </c:pt>
                <c:pt idx="53">
                  <c:v>76928.268411336205</c:v>
                </c:pt>
                <c:pt idx="54">
                  <c:v>76431.810530601724</c:v>
                </c:pt>
                <c:pt idx="55">
                  <c:v>75896.501463876644</c:v>
                </c:pt>
                <c:pt idx="56">
                  <c:v>75781.733317108665</c:v>
                </c:pt>
                <c:pt idx="57">
                  <c:v>76473.08232456875</c:v>
                </c:pt>
                <c:pt idx="58">
                  <c:v>77461.021627359092</c:v>
                </c:pt>
                <c:pt idx="59">
                  <c:v>77163.305048188049</c:v>
                </c:pt>
                <c:pt idx="60">
                  <c:v>77364.415361057545</c:v>
                </c:pt>
                <c:pt idx="61">
                  <c:v>77192.208136203888</c:v>
                </c:pt>
                <c:pt idx="62">
                  <c:v>75787.618018692403</c:v>
                </c:pt>
                <c:pt idx="63">
                  <c:v>75837.083102705932</c:v>
                </c:pt>
                <c:pt idx="64">
                  <c:v>75780.462612709205</c:v>
                </c:pt>
                <c:pt idx="65">
                  <c:v>75220.620364471135</c:v>
                </c:pt>
                <c:pt idx="66">
                  <c:v>77435.259934583228</c:v>
                </c:pt>
                <c:pt idx="67">
                  <c:v>77334.074954372365</c:v>
                </c:pt>
                <c:pt idx="68">
                  <c:v>76413.608093087809</c:v>
                </c:pt>
                <c:pt idx="69">
                  <c:v>75950.858625670764</c:v>
                </c:pt>
                <c:pt idx="70">
                  <c:v>77477.480448629634</c:v>
                </c:pt>
                <c:pt idx="71">
                  <c:v>77101.314894614334</c:v>
                </c:pt>
                <c:pt idx="72">
                  <c:v>76609.499728964511</c:v>
                </c:pt>
                <c:pt idx="73">
                  <c:v>75630.803544587208</c:v>
                </c:pt>
                <c:pt idx="74">
                  <c:v>76150.201906449787</c:v>
                </c:pt>
                <c:pt idx="75">
                  <c:v>76240.874170911251</c:v>
                </c:pt>
                <c:pt idx="76">
                  <c:v>76327.969776080979</c:v>
                </c:pt>
                <c:pt idx="77">
                  <c:v>76214.673373113532</c:v>
                </c:pt>
                <c:pt idx="78">
                  <c:v>76987.589042650376</c:v>
                </c:pt>
                <c:pt idx="79">
                  <c:v>77126.873718302566</c:v>
                </c:pt>
                <c:pt idx="80">
                  <c:v>74738.725406923797</c:v>
                </c:pt>
                <c:pt idx="81">
                  <c:v>73726.43923501503</c:v>
                </c:pt>
                <c:pt idx="82">
                  <c:v>73851.013352826267</c:v>
                </c:pt>
                <c:pt idx="83">
                  <c:v>74280.48718931996</c:v>
                </c:pt>
                <c:pt idx="84">
                  <c:v>74747.155344243496</c:v>
                </c:pt>
                <c:pt idx="85">
                  <c:v>74788.517723079363</c:v>
                </c:pt>
                <c:pt idx="86">
                  <c:v>73355.236044216101</c:v>
                </c:pt>
                <c:pt idx="87">
                  <c:v>72859.780014570744</c:v>
                </c:pt>
                <c:pt idx="88">
                  <c:v>72910.702716527449</c:v>
                </c:pt>
                <c:pt idx="89">
                  <c:v>71978.008454487033</c:v>
                </c:pt>
                <c:pt idx="90">
                  <c:v>71798.080141380691</c:v>
                </c:pt>
                <c:pt idx="91">
                  <c:v>71347.854646543172</c:v>
                </c:pt>
                <c:pt idx="92">
                  <c:v>71299.729214223727</c:v>
                </c:pt>
                <c:pt idx="93">
                  <c:v>71556.08883872618</c:v>
                </c:pt>
                <c:pt idx="94">
                  <c:v>71849.571900790004</c:v>
                </c:pt>
                <c:pt idx="95">
                  <c:v>72601.047269801362</c:v>
                </c:pt>
                <c:pt idx="96">
                  <c:v>72763.886832088479</c:v>
                </c:pt>
                <c:pt idx="97">
                  <c:v>73291.649115971406</c:v>
                </c:pt>
                <c:pt idx="98">
                  <c:v>72062.971121158436</c:v>
                </c:pt>
                <c:pt idx="99">
                  <c:v>71774.391073021005</c:v>
                </c:pt>
                <c:pt idx="100">
                  <c:v>72176.309996099633</c:v>
                </c:pt>
                <c:pt idx="101">
                  <c:v>74001.222061081397</c:v>
                </c:pt>
                <c:pt idx="102">
                  <c:v>72898.118456637938</c:v>
                </c:pt>
                <c:pt idx="103">
                  <c:v>71977.510640985784</c:v>
                </c:pt>
                <c:pt idx="104">
                  <c:v>73263.319360567388</c:v>
                </c:pt>
                <c:pt idx="105">
                  <c:v>73371.877280155983</c:v>
                </c:pt>
                <c:pt idx="106">
                  <c:v>73387.906659351982</c:v>
                </c:pt>
                <c:pt idx="107">
                  <c:v>72860.057624262758</c:v>
                </c:pt>
                <c:pt idx="108">
                  <c:v>70913.428664625535</c:v>
                </c:pt>
                <c:pt idx="109">
                  <c:v>71034.880991529586</c:v>
                </c:pt>
                <c:pt idx="110">
                  <c:v>71347.319002677454</c:v>
                </c:pt>
                <c:pt idx="111">
                  <c:v>71952.51906227252</c:v>
                </c:pt>
                <c:pt idx="112">
                  <c:v>71786.588418911837</c:v>
                </c:pt>
                <c:pt idx="113">
                  <c:v>72275.918364666664</c:v>
                </c:pt>
                <c:pt idx="114">
                  <c:v>74426.158927072727</c:v>
                </c:pt>
                <c:pt idx="115">
                  <c:v>76149.30699084689</c:v>
                </c:pt>
                <c:pt idx="116">
                  <c:v>76255.163049185954</c:v>
                </c:pt>
                <c:pt idx="117">
                  <c:v>75500.495246236867</c:v>
                </c:pt>
                <c:pt idx="118">
                  <c:v>74055.061764686281</c:v>
                </c:pt>
                <c:pt idx="119">
                  <c:v>73776.151356914503</c:v>
                </c:pt>
                <c:pt idx="120">
                  <c:v>74730.124000870201</c:v>
                </c:pt>
                <c:pt idx="121">
                  <c:v>74015.888335422729</c:v>
                </c:pt>
                <c:pt idx="122">
                  <c:v>73546.810926626888</c:v>
                </c:pt>
                <c:pt idx="123">
                  <c:v>73449.982493157484</c:v>
                </c:pt>
                <c:pt idx="124">
                  <c:v>73832.244178957044</c:v>
                </c:pt>
                <c:pt idx="125">
                  <c:v>73846.496164919459</c:v>
                </c:pt>
                <c:pt idx="126">
                  <c:v>74366.228792615235</c:v>
                </c:pt>
                <c:pt idx="127">
                  <c:v>73367.73485057443</c:v>
                </c:pt>
                <c:pt idx="128">
                  <c:v>73835.493342537651</c:v>
                </c:pt>
                <c:pt idx="129">
                  <c:v>73058.846696886278</c:v>
                </c:pt>
                <c:pt idx="130">
                  <c:v>72607.945473997985</c:v>
                </c:pt>
                <c:pt idx="131">
                  <c:v>72628.367226880247</c:v>
                </c:pt>
                <c:pt idx="132">
                  <c:v>71808.868617846805</c:v>
                </c:pt>
                <c:pt idx="133">
                  <c:v>72127.191220975699</c:v>
                </c:pt>
                <c:pt idx="134">
                  <c:v>71987.459834843437</c:v>
                </c:pt>
                <c:pt idx="135">
                  <c:v>68962.22892982568</c:v>
                </c:pt>
                <c:pt idx="136">
                  <c:v>70068.147318781601</c:v>
                </c:pt>
                <c:pt idx="137">
                  <c:v>71262.264766866967</c:v>
                </c:pt>
                <c:pt idx="138">
                  <c:v>72242.256052474375</c:v>
                </c:pt>
                <c:pt idx="139">
                  <c:v>72233.905219014603</c:v>
                </c:pt>
                <c:pt idx="140">
                  <c:v>71330.50147862079</c:v>
                </c:pt>
                <c:pt idx="141">
                  <c:v>71921.357310482141</c:v>
                </c:pt>
                <c:pt idx="142">
                  <c:v>73817.083188745804</c:v>
                </c:pt>
                <c:pt idx="143">
                  <c:v>72628.36071069933</c:v>
                </c:pt>
                <c:pt idx="144">
                  <c:v>72703.548944676309</c:v>
                </c:pt>
                <c:pt idx="145">
                  <c:v>72830.017345679822</c:v>
                </c:pt>
                <c:pt idx="146">
                  <c:v>73942.563417817379</c:v>
                </c:pt>
                <c:pt idx="147">
                  <c:v>73639.306917216876</c:v>
                </c:pt>
                <c:pt idx="148">
                  <c:v>74404.676147925638</c:v>
                </c:pt>
                <c:pt idx="149">
                  <c:v>73973.091708346823</c:v>
                </c:pt>
                <c:pt idx="150">
                  <c:v>74044.454605685503</c:v>
                </c:pt>
                <c:pt idx="151">
                  <c:v>74852.151661942844</c:v>
                </c:pt>
                <c:pt idx="152">
                  <c:v>75411.865712002196</c:v>
                </c:pt>
                <c:pt idx="153">
                  <c:v>75465.106631953313</c:v>
                </c:pt>
                <c:pt idx="154">
                  <c:v>74696.994842358559</c:v>
                </c:pt>
                <c:pt idx="155">
                  <c:v>74783.675245881182</c:v>
                </c:pt>
                <c:pt idx="156">
                  <c:v>74746.194963237489</c:v>
                </c:pt>
                <c:pt idx="157">
                  <c:v>75505.736484865673</c:v>
                </c:pt>
                <c:pt idx="158">
                  <c:v>75871.488678101348</c:v>
                </c:pt>
                <c:pt idx="159">
                  <c:v>76674.981104848004</c:v>
                </c:pt>
                <c:pt idx="160">
                  <c:v>77232.346587660199</c:v>
                </c:pt>
                <c:pt idx="161">
                  <c:v>76309.303359859012</c:v>
                </c:pt>
                <c:pt idx="162">
                  <c:v>79090.952903030309</c:v>
                </c:pt>
                <c:pt idx="163">
                  <c:v>78559.724106312409</c:v>
                </c:pt>
                <c:pt idx="164">
                  <c:v>78801.560926122809</c:v>
                </c:pt>
                <c:pt idx="165">
                  <c:v>77092.249310611995</c:v>
                </c:pt>
                <c:pt idx="166">
                  <c:v>76886.887070942728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A62-4D1B-B6DF-0121EFB952A6}"/>
            </c:ext>
          </c:extLst>
        </c:ser>
        <c:ser>
          <c:idx val="2"/>
          <c:order val="2"/>
          <c:tx>
            <c:strRef>
              <c:f>'Real - Compuesta'!$E$1</c:f>
              <c:strCache>
                <c:ptCount val="1"/>
                <c:pt idx="0">
                  <c:v>SVR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'Real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Compuesta'!$E$4:$E$170</c:f>
              <c:numCache>
                <c:formatCode>General</c:formatCode>
                <c:ptCount val="167"/>
                <c:pt idx="0">
                  <c:v>100000</c:v>
                </c:pt>
                <c:pt idx="1">
                  <c:v>101202.05998518885</c:v>
                </c:pt>
                <c:pt idx="2">
                  <c:v>99443.575540406746</c:v>
                </c:pt>
                <c:pt idx="3">
                  <c:v>97138.081339433469</c:v>
                </c:pt>
                <c:pt idx="4">
                  <c:v>97656.695497511377</c:v>
                </c:pt>
                <c:pt idx="5">
                  <c:v>97553.057019612548</c:v>
                </c:pt>
                <c:pt idx="6">
                  <c:v>97795.920412714855</c:v>
                </c:pt>
                <c:pt idx="7">
                  <c:v>99305.33610700698</c:v>
                </c:pt>
                <c:pt idx="8">
                  <c:v>97856.039367976613</c:v>
                </c:pt>
                <c:pt idx="9">
                  <c:v>96775.952679257345</c:v>
                </c:pt>
                <c:pt idx="10">
                  <c:v>95591.138304606255</c:v>
                </c:pt>
                <c:pt idx="11">
                  <c:v>97739.5446118908</c:v>
                </c:pt>
                <c:pt idx="12">
                  <c:v>96492.338215341515</c:v>
                </c:pt>
                <c:pt idx="13">
                  <c:v>98421.588686826435</c:v>
                </c:pt>
                <c:pt idx="14">
                  <c:v>97559.909925804459</c:v>
                </c:pt>
                <c:pt idx="15">
                  <c:v>97724.974628080265</c:v>
                </c:pt>
                <c:pt idx="16">
                  <c:v>100299.14838822225</c:v>
                </c:pt>
                <c:pt idx="17">
                  <c:v>101787.45921350368</c:v>
                </c:pt>
                <c:pt idx="18">
                  <c:v>101366.23186987173</c:v>
                </c:pt>
                <c:pt idx="19">
                  <c:v>100556.91652664839</c:v>
                </c:pt>
                <c:pt idx="20">
                  <c:v>102107.42957421673</c:v>
                </c:pt>
                <c:pt idx="21">
                  <c:v>103896.2282298332</c:v>
                </c:pt>
                <c:pt idx="22">
                  <c:v>101494.94259390682</c:v>
                </c:pt>
                <c:pt idx="23">
                  <c:v>101760.16345123584</c:v>
                </c:pt>
                <c:pt idx="24">
                  <c:v>101502.2306524936</c:v>
                </c:pt>
                <c:pt idx="25">
                  <c:v>98519.853912422754</c:v>
                </c:pt>
                <c:pt idx="26">
                  <c:v>100533.46452936299</c:v>
                </c:pt>
                <c:pt idx="27">
                  <c:v>104091.75025883058</c:v>
                </c:pt>
                <c:pt idx="28">
                  <c:v>103397.92218761561</c:v>
                </c:pt>
                <c:pt idx="29">
                  <c:v>101706.0208825455</c:v>
                </c:pt>
                <c:pt idx="30">
                  <c:v>101594.7902407676</c:v>
                </c:pt>
                <c:pt idx="31">
                  <c:v>101154.23426316479</c:v>
                </c:pt>
                <c:pt idx="32">
                  <c:v>101649.99863721516</c:v>
                </c:pt>
                <c:pt idx="33">
                  <c:v>100879.63836598168</c:v>
                </c:pt>
                <c:pt idx="34">
                  <c:v>100000.9251516229</c:v>
                </c:pt>
                <c:pt idx="35">
                  <c:v>98870.77259110118</c:v>
                </c:pt>
                <c:pt idx="36">
                  <c:v>98963.966484598874</c:v>
                </c:pt>
                <c:pt idx="37">
                  <c:v>98562.84393666363</c:v>
                </c:pt>
                <c:pt idx="38">
                  <c:v>99370.758580521069</c:v>
                </c:pt>
                <c:pt idx="39">
                  <c:v>98951.361928028797</c:v>
                </c:pt>
                <c:pt idx="40">
                  <c:v>100570.22970859587</c:v>
                </c:pt>
                <c:pt idx="41">
                  <c:v>98501.41525030011</c:v>
                </c:pt>
                <c:pt idx="42">
                  <c:v>97079.094954075292</c:v>
                </c:pt>
                <c:pt idx="43">
                  <c:v>96701.800020548704</c:v>
                </c:pt>
                <c:pt idx="44">
                  <c:v>97241.116710863615</c:v>
                </c:pt>
                <c:pt idx="45">
                  <c:v>97163.906455959848</c:v>
                </c:pt>
                <c:pt idx="46">
                  <c:v>98340.612527326462</c:v>
                </c:pt>
                <c:pt idx="47">
                  <c:v>99078.899069571504</c:v>
                </c:pt>
                <c:pt idx="48">
                  <c:v>96277.240429784273</c:v>
                </c:pt>
                <c:pt idx="49">
                  <c:v>94743.646557808956</c:v>
                </c:pt>
                <c:pt idx="50">
                  <c:v>92591.835657433534</c:v>
                </c:pt>
                <c:pt idx="51">
                  <c:v>88548.672896374817</c:v>
                </c:pt>
                <c:pt idx="52">
                  <c:v>87994.984446248418</c:v>
                </c:pt>
                <c:pt idx="53">
                  <c:v>89425.964260977329</c:v>
                </c:pt>
                <c:pt idx="54">
                  <c:v>89631.942502133476</c:v>
                </c:pt>
                <c:pt idx="55">
                  <c:v>89887.650199763608</c:v>
                </c:pt>
                <c:pt idx="56">
                  <c:v>89753.937247912254</c:v>
                </c:pt>
                <c:pt idx="57">
                  <c:v>88562.458562718777</c:v>
                </c:pt>
                <c:pt idx="58">
                  <c:v>89708.474957203158</c:v>
                </c:pt>
                <c:pt idx="59">
                  <c:v>89681.091807766483</c:v>
                </c:pt>
                <c:pt idx="60">
                  <c:v>89075.240743977891</c:v>
                </c:pt>
                <c:pt idx="61">
                  <c:v>88878.782591529322</c:v>
                </c:pt>
                <c:pt idx="62">
                  <c:v>87263.36020885795</c:v>
                </c:pt>
                <c:pt idx="63">
                  <c:v>86843.751526769644</c:v>
                </c:pt>
                <c:pt idx="64">
                  <c:v>86547.631162088976</c:v>
                </c:pt>
                <c:pt idx="65">
                  <c:v>86827.239007930664</c:v>
                </c:pt>
                <c:pt idx="66">
                  <c:v>83909.873532599828</c:v>
                </c:pt>
                <c:pt idx="67">
                  <c:v>83670.623446849044</c:v>
                </c:pt>
                <c:pt idx="68">
                  <c:v>84318.559060887725</c:v>
                </c:pt>
                <c:pt idx="69">
                  <c:v>84478.468705720137</c:v>
                </c:pt>
                <c:pt idx="70">
                  <c:v>82429.006621123117</c:v>
                </c:pt>
                <c:pt idx="71">
                  <c:v>82486.269749987536</c:v>
                </c:pt>
                <c:pt idx="72">
                  <c:v>82669.199444127677</c:v>
                </c:pt>
                <c:pt idx="73">
                  <c:v>83381.256777180533</c:v>
                </c:pt>
                <c:pt idx="74">
                  <c:v>82461.550405657705</c:v>
                </c:pt>
                <c:pt idx="75">
                  <c:v>82020.067052702681</c:v>
                </c:pt>
                <c:pt idx="76">
                  <c:v>81584.862366863075</c:v>
                </c:pt>
                <c:pt idx="77">
                  <c:v>81464.58943469153</c:v>
                </c:pt>
                <c:pt idx="78">
                  <c:v>82291.572663637999</c:v>
                </c:pt>
                <c:pt idx="79">
                  <c:v>82441.279947034418</c:v>
                </c:pt>
                <c:pt idx="80">
                  <c:v>79889.403783383255</c:v>
                </c:pt>
                <c:pt idx="81">
                  <c:v>78808.182098755075</c:v>
                </c:pt>
                <c:pt idx="82">
                  <c:v>78942.169861871313</c:v>
                </c:pt>
                <c:pt idx="83">
                  <c:v>79402.078113469106</c:v>
                </c:pt>
                <c:pt idx="84">
                  <c:v>79901.750124057828</c:v>
                </c:pt>
                <c:pt idx="85">
                  <c:v>79946.792394631644</c:v>
                </c:pt>
                <c:pt idx="86">
                  <c:v>78415.48281645411</c:v>
                </c:pt>
                <c:pt idx="87">
                  <c:v>78617.605214544732</c:v>
                </c:pt>
                <c:pt idx="88">
                  <c:v>78673.500453049099</c:v>
                </c:pt>
                <c:pt idx="89">
                  <c:v>77668.035327313351</c:v>
                </c:pt>
                <c:pt idx="90">
                  <c:v>77537.440142871026</c:v>
                </c:pt>
                <c:pt idx="91">
                  <c:v>77699.401775172257</c:v>
                </c:pt>
                <c:pt idx="92">
                  <c:v>77426.823484198147</c:v>
                </c:pt>
                <c:pt idx="93">
                  <c:v>76824.535017228249</c:v>
                </c:pt>
                <c:pt idx="94">
                  <c:v>76188.01750824615</c:v>
                </c:pt>
                <c:pt idx="95">
                  <c:v>75072.355958853412</c:v>
                </c:pt>
                <c:pt idx="96">
                  <c:v>74589.785638423506</c:v>
                </c:pt>
                <c:pt idx="97">
                  <c:v>73736.562270368173</c:v>
                </c:pt>
                <c:pt idx="98">
                  <c:v>74664.002915477206</c:v>
                </c:pt>
                <c:pt idx="99">
                  <c:v>74650.36275774859</c:v>
                </c:pt>
                <c:pt idx="100">
                  <c:v>73919.707865606557</c:v>
                </c:pt>
                <c:pt idx="101">
                  <c:v>71741.095649206676</c:v>
                </c:pt>
                <c:pt idx="102">
                  <c:v>72509.954417008019</c:v>
                </c:pt>
                <c:pt idx="103">
                  <c:v>73121.835701844117</c:v>
                </c:pt>
                <c:pt idx="104">
                  <c:v>71509.143653871171</c:v>
                </c:pt>
                <c:pt idx="105">
                  <c:v>71103.447010789037</c:v>
                </c:pt>
                <c:pt idx="106">
                  <c:v>70789.824907368748</c:v>
                </c:pt>
                <c:pt idx="107">
                  <c:v>71002.163109122732</c:v>
                </c:pt>
                <c:pt idx="108">
                  <c:v>72601.391661922695</c:v>
                </c:pt>
                <c:pt idx="109">
                  <c:v>72726.020574615352</c:v>
                </c:pt>
                <c:pt idx="110">
                  <c:v>73046.182537084751</c:v>
                </c:pt>
                <c:pt idx="111">
                  <c:v>73666.078855618995</c:v>
                </c:pt>
                <c:pt idx="112">
                  <c:v>73527.324315442645</c:v>
                </c:pt>
                <c:pt idx="113">
                  <c:v>74028.81089172975</c:v>
                </c:pt>
                <c:pt idx="114">
                  <c:v>71516.37875727292</c:v>
                </c:pt>
                <c:pt idx="115">
                  <c:v>73171.689121232645</c:v>
                </c:pt>
                <c:pt idx="116">
                  <c:v>73272.936729157387</c:v>
                </c:pt>
                <c:pt idx="117">
                  <c:v>73691.726360133791</c:v>
                </c:pt>
                <c:pt idx="118">
                  <c:v>74794.36894515864</c:v>
                </c:pt>
                <c:pt idx="119">
                  <c:v>74512.793914924798</c:v>
                </c:pt>
                <c:pt idx="120">
                  <c:v>73237.556810829061</c:v>
                </c:pt>
                <c:pt idx="121">
                  <c:v>73631.069919207541</c:v>
                </c:pt>
                <c:pt idx="122">
                  <c:v>73789.554992069228</c:v>
                </c:pt>
                <c:pt idx="123">
                  <c:v>73692.446579107229</c:v>
                </c:pt>
                <c:pt idx="124">
                  <c:v>74076.009753294231</c:v>
                </c:pt>
                <c:pt idx="125">
                  <c:v>74090.348413182204</c:v>
                </c:pt>
                <c:pt idx="126">
                  <c:v>74611.836902069394</c:v>
                </c:pt>
                <c:pt idx="127">
                  <c:v>73610.084882860683</c:v>
                </c:pt>
                <c:pt idx="128">
                  <c:v>74079.42812439063</c:v>
                </c:pt>
                <c:pt idx="129">
                  <c:v>74548.654386819093</c:v>
                </c:pt>
                <c:pt idx="130">
                  <c:v>74088.803140127478</c:v>
                </c:pt>
                <c:pt idx="131">
                  <c:v>73757.737357160673</c:v>
                </c:pt>
                <c:pt idx="132">
                  <c:v>72925.682155653703</c:v>
                </c:pt>
                <c:pt idx="133">
                  <c:v>73249.142129167609</c:v>
                </c:pt>
                <c:pt idx="134">
                  <c:v>73107.423859278337</c:v>
                </c:pt>
                <c:pt idx="135">
                  <c:v>70035.313814217618</c:v>
                </c:pt>
                <c:pt idx="136">
                  <c:v>71158.627541807291</c:v>
                </c:pt>
                <c:pt idx="137">
                  <c:v>72371.515961783763</c:v>
                </c:pt>
                <c:pt idx="138">
                  <c:v>73366.948344057222</c:v>
                </c:pt>
                <c:pt idx="139">
                  <c:v>73358.65432207736</c:v>
                </c:pt>
                <c:pt idx="140">
                  <c:v>72441.370596177643</c:v>
                </c:pt>
                <c:pt idx="141">
                  <c:v>73041.615033363109</c:v>
                </c:pt>
                <c:pt idx="142">
                  <c:v>74967.055932702351</c:v>
                </c:pt>
                <c:pt idx="143">
                  <c:v>73760.001671300328</c:v>
                </c:pt>
                <c:pt idx="144">
                  <c:v>73836.548407326438</c:v>
                </c:pt>
                <c:pt idx="145">
                  <c:v>73398.913061990883</c:v>
                </c:pt>
                <c:pt idx="146">
                  <c:v>74520.243279272836</c:v>
                </c:pt>
                <c:pt idx="147">
                  <c:v>74214.711323141208</c:v>
                </c:pt>
                <c:pt idx="148">
                  <c:v>74986.154778324722</c:v>
                </c:pt>
                <c:pt idx="149">
                  <c:v>74551.29125202859</c:v>
                </c:pt>
                <c:pt idx="150">
                  <c:v>74623.305742914177</c:v>
                </c:pt>
                <c:pt idx="151">
                  <c:v>75437.410876261478</c:v>
                </c:pt>
                <c:pt idx="152">
                  <c:v>76001.595083935856</c:v>
                </c:pt>
                <c:pt idx="153">
                  <c:v>75630.477815542137</c:v>
                </c:pt>
                <c:pt idx="154">
                  <c:v>74860.70911314158</c:v>
                </c:pt>
                <c:pt idx="155">
                  <c:v>74947.605795650219</c:v>
                </c:pt>
                <c:pt idx="156">
                  <c:v>74910.069658614128</c:v>
                </c:pt>
                <c:pt idx="157">
                  <c:v>75671.302719616186</c:v>
                </c:pt>
                <c:pt idx="158">
                  <c:v>74988.630976602653</c:v>
                </c:pt>
                <c:pt idx="159">
                  <c:v>73881.171687522423</c:v>
                </c:pt>
                <c:pt idx="160">
                  <c:v>74417.791176988947</c:v>
                </c:pt>
                <c:pt idx="161">
                  <c:v>73527.948826274311</c:v>
                </c:pt>
                <c:pt idx="162">
                  <c:v>76207.774221143482</c:v>
                </c:pt>
                <c:pt idx="163">
                  <c:v>75695.473371842701</c:v>
                </c:pt>
                <c:pt idx="164">
                  <c:v>75928.055420129298</c:v>
                </c:pt>
                <c:pt idx="165">
                  <c:v>74280.636414552049</c:v>
                </c:pt>
                <c:pt idx="166">
                  <c:v>74082.326242652576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A62-4D1B-B6DF-0121EFB952A6}"/>
            </c:ext>
          </c:extLst>
        </c:ser>
        <c:ser>
          <c:idx val="3"/>
          <c:order val="3"/>
          <c:tx>
            <c:strRef>
              <c:f>'Real - Compuesta'!$F$1</c:f>
              <c:strCache>
                <c:ptCount val="1"/>
                <c:pt idx="0">
                  <c:v>Regresion Polinomica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'Real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Compuesta'!$F$4:$F$170</c:f>
              <c:numCache>
                <c:formatCode>General</c:formatCode>
                <c:ptCount val="167"/>
                <c:pt idx="0">
                  <c:v>100000</c:v>
                </c:pt>
                <c:pt idx="1">
                  <c:v>98387.940014811145</c:v>
                </c:pt>
                <c:pt idx="2">
                  <c:v>96678.019964417195</c:v>
                </c:pt>
                <c:pt idx="3">
                  <c:v>94436.30852307954</c:v>
                </c:pt>
                <c:pt idx="4">
                  <c:v>94940.164319776421</c:v>
                </c:pt>
                <c:pt idx="5">
                  <c:v>94839.074963379448</c:v>
                </c:pt>
                <c:pt idx="6">
                  <c:v>95074.8479105562</c:v>
                </c:pt>
                <c:pt idx="7">
                  <c:v>96541.931753042853</c:v>
                </c:pt>
                <c:pt idx="8">
                  <c:v>97554.580475961789</c:v>
                </c:pt>
                <c:pt idx="9">
                  <c:v>98230.816097146555</c:v>
                </c:pt>
                <c:pt idx="10">
                  <c:v>99030.090810039736</c:v>
                </c:pt>
                <c:pt idx="11">
                  <c:v>96397.706349802684</c:v>
                </c:pt>
                <c:pt idx="12">
                  <c:v>95167.4577486989</c:v>
                </c:pt>
                <c:pt idx="13">
                  <c:v>97070.05403314576</c:v>
                </c:pt>
                <c:pt idx="14">
                  <c:v>97521.374515721443</c:v>
                </c:pt>
                <c:pt idx="15">
                  <c:v>96955.947247003278</c:v>
                </c:pt>
                <c:pt idx="16">
                  <c:v>99509.769623669941</c:v>
                </c:pt>
                <c:pt idx="17">
                  <c:v>100986.27263677413</c:v>
                </c:pt>
                <c:pt idx="18">
                  <c:v>100568.26639186183</c:v>
                </c:pt>
                <c:pt idx="19">
                  <c:v>99765.227597615842</c:v>
                </c:pt>
                <c:pt idx="20">
                  <c:v>101303.43891275287</c:v>
                </c:pt>
                <c:pt idx="21">
                  <c:v>103078.0581368791</c:v>
                </c:pt>
                <c:pt idx="22">
                  <c:v>105038.64713617433</c:v>
                </c:pt>
                <c:pt idx="23">
                  <c:v>104334.29791111719</c:v>
                </c:pt>
                <c:pt idx="24">
                  <c:v>104171.72145863326</c:v>
                </c:pt>
                <c:pt idx="25">
                  <c:v>106806.11573947927</c:v>
                </c:pt>
                <c:pt idx="26">
                  <c:v>108990.09546746744</c:v>
                </c:pt>
                <c:pt idx="27">
                  <c:v>112848.70496374276</c:v>
                </c:pt>
                <c:pt idx="28">
                  <c:v>113140.29736755439</c:v>
                </c:pt>
                <c:pt idx="29">
                  <c:v>111290.11213923903</c:v>
                </c:pt>
                <c:pt idx="30">
                  <c:v>111169.53066927999</c:v>
                </c:pt>
                <c:pt idx="31">
                  <c:v>110688.58568910224</c:v>
                </c:pt>
                <c:pt idx="32">
                  <c:v>111232.20969077009</c:v>
                </c:pt>
                <c:pt idx="33">
                  <c:v>110390.36129094817</c:v>
                </c:pt>
                <c:pt idx="34">
                  <c:v>109429.93615364149</c:v>
                </c:pt>
                <c:pt idx="35">
                  <c:v>108194.3538405539</c:v>
                </c:pt>
                <c:pt idx="36">
                  <c:v>107649.60988537064</c:v>
                </c:pt>
                <c:pt idx="37">
                  <c:v>107214.33571830955</c:v>
                </c:pt>
                <c:pt idx="38">
                  <c:v>105896.60458144409</c:v>
                </c:pt>
                <c:pt idx="39">
                  <c:v>105909.99476834969</c:v>
                </c:pt>
                <c:pt idx="40">
                  <c:v>103743.62563689823</c:v>
                </c:pt>
                <c:pt idx="41">
                  <c:v>105452.89048296363</c:v>
                </c:pt>
                <c:pt idx="42">
                  <c:v>106543.69222344736</c:v>
                </c:pt>
                <c:pt idx="43">
                  <c:v>106521.34244877622</c:v>
                </c:pt>
                <c:pt idx="44">
                  <c:v>105490.87016191411</c:v>
                </c:pt>
                <c:pt idx="45">
                  <c:v>105142.41797337173</c:v>
                </c:pt>
                <c:pt idx="46">
                  <c:v>103438.252825538</c:v>
                </c:pt>
                <c:pt idx="47">
                  <c:v>102237.80234458826</c:v>
                </c:pt>
                <c:pt idx="48">
                  <c:v>104709.76492978203</c:v>
                </c:pt>
                <c:pt idx="49">
                  <c:v>105948.44921063109</c:v>
                </c:pt>
                <c:pt idx="50">
                  <c:v>107920.36259760636</c:v>
                </c:pt>
                <c:pt idx="51">
                  <c:v>103209.8430815555</c:v>
                </c:pt>
                <c:pt idx="52">
                  <c:v>102566.46625672083</c:v>
                </c:pt>
                <c:pt idx="53">
                  <c:v>104236.39553266643</c:v>
                </c:pt>
                <c:pt idx="54">
                  <c:v>104478.47460634976</c:v>
                </c:pt>
                <c:pt idx="55">
                  <c:v>104778.52509982321</c:v>
                </c:pt>
                <c:pt idx="56">
                  <c:v>104624.64906287944</c:v>
                </c:pt>
                <c:pt idx="57">
                  <c:v>103237.75067625313</c:v>
                </c:pt>
                <c:pt idx="58">
                  <c:v>104575.65683009061</c:v>
                </c:pt>
                <c:pt idx="59">
                  <c:v>104545.72426622501</c:v>
                </c:pt>
                <c:pt idx="60">
                  <c:v>103841.44244495631</c:v>
                </c:pt>
                <c:pt idx="61">
                  <c:v>103614.40625239586</c:v>
                </c:pt>
                <c:pt idx="62">
                  <c:v>101733.14507095244</c:v>
                </c:pt>
                <c:pt idx="63">
                  <c:v>101245.94777064426</c:v>
                </c:pt>
                <c:pt idx="64">
                  <c:v>100902.70879147408</c:v>
                </c:pt>
                <c:pt idx="65">
                  <c:v>101230.68368339419</c:v>
                </c:pt>
                <c:pt idx="66">
                  <c:v>97831.358037913218</c:v>
                </c:pt>
                <c:pt idx="67">
                  <c:v>97554.404897510802</c:v>
                </c:pt>
                <c:pt idx="68">
                  <c:v>98311.846111715611</c:v>
                </c:pt>
                <c:pt idx="69">
                  <c:v>98500.28543060481</c:v>
                </c:pt>
                <c:pt idx="70">
                  <c:v>96112.643447960159</c:v>
                </c:pt>
                <c:pt idx="71">
                  <c:v>96181.404610583835</c:v>
                </c:pt>
                <c:pt idx="72">
                  <c:v>96396.698338855655</c:v>
                </c:pt>
                <c:pt idx="73">
                  <c:v>97228.987829786376</c:v>
                </c:pt>
                <c:pt idx="74">
                  <c:v>96158.532066932414</c:v>
                </c:pt>
                <c:pt idx="75">
                  <c:v>95645.710913750387</c:v>
                </c:pt>
                <c:pt idx="76">
                  <c:v>95140.201038744432</c:v>
                </c:pt>
                <c:pt idx="77">
                  <c:v>95001.938540592091</c:v>
                </c:pt>
                <c:pt idx="78">
                  <c:v>95968.339508498015</c:v>
                </c:pt>
                <c:pt idx="79">
                  <c:v>96144.922360564975</c:v>
                </c:pt>
                <c:pt idx="80">
                  <c:v>93170.860190780892</c:v>
                </c:pt>
                <c:pt idx="81">
                  <c:v>91911.882501955479</c:v>
                </c:pt>
                <c:pt idx="82">
                  <c:v>92070.144139426688</c:v>
                </c:pt>
                <c:pt idx="83">
                  <c:v>92608.530084241953</c:v>
                </c:pt>
                <c:pt idx="84">
                  <c:v>93193.30530614678</c:v>
                </c:pt>
                <c:pt idx="85">
                  <c:v>93247.836486361077</c:v>
                </c:pt>
                <c:pt idx="86">
                  <c:v>91463.753743894791</c:v>
                </c:pt>
                <c:pt idx="87">
                  <c:v>91701.505930409461</c:v>
                </c:pt>
                <c:pt idx="88">
                  <c:v>91768.700604418715</c:v>
                </c:pt>
                <c:pt idx="89">
                  <c:v>90597.873259002925</c:v>
                </c:pt>
                <c:pt idx="90">
                  <c:v>90447.534862210028</c:v>
                </c:pt>
                <c:pt idx="91">
                  <c:v>90638.461355182459</c:v>
                </c:pt>
                <c:pt idx="92">
                  <c:v>90322.489705248809</c:v>
                </c:pt>
                <c:pt idx="93">
                  <c:v>89621.886950004729</c:v>
                </c:pt>
                <c:pt idx="94">
                  <c:v>88881.33795747596</c:v>
                </c:pt>
                <c:pt idx="95">
                  <c:v>87581.800646879448</c:v>
                </c:pt>
                <c:pt idx="96">
                  <c:v>87020.818328849899</c:v>
                </c:pt>
                <c:pt idx="97">
                  <c:v>86027.397813172531</c:v>
                </c:pt>
                <c:pt idx="98">
                  <c:v>87111.429844098049</c:v>
                </c:pt>
                <c:pt idx="99">
                  <c:v>87097.516251478708</c:v>
                </c:pt>
                <c:pt idx="100">
                  <c:v>86247.033304642013</c:v>
                </c:pt>
                <c:pt idx="101">
                  <c:v>83707.102913929135</c:v>
                </c:pt>
                <c:pt idx="102">
                  <c:v>84606.204488920397</c:v>
                </c:pt>
                <c:pt idx="103">
                  <c:v>85322.162849755783</c:v>
                </c:pt>
                <c:pt idx="104">
                  <c:v>83442.396453048481</c:v>
                </c:pt>
                <c:pt idx="105">
                  <c:v>82971.000777254842</c:v>
                </c:pt>
                <c:pt idx="106">
                  <c:v>82607.036296917839</c:v>
                </c:pt>
                <c:pt idx="107">
                  <c:v>82856.82411740371</c:v>
                </c:pt>
                <c:pt idx="108">
                  <c:v>84725.066563075525</c:v>
                </c:pt>
                <c:pt idx="109">
                  <c:v>84226.583290584691</c:v>
                </c:pt>
                <c:pt idx="110">
                  <c:v>83504.780131891181</c:v>
                </c:pt>
                <c:pt idx="111">
                  <c:v>82448.081786459763</c:v>
                </c:pt>
                <c:pt idx="112">
                  <c:v>82294.216373536838</c:v>
                </c:pt>
                <c:pt idx="113">
                  <c:v>81389.849517052382</c:v>
                </c:pt>
                <c:pt idx="114">
                  <c:v>78628.787460001578</c:v>
                </c:pt>
                <c:pt idx="115">
                  <c:v>80449.914283754726</c:v>
                </c:pt>
                <c:pt idx="116">
                  <c:v>80562.426379345285</c:v>
                </c:pt>
                <c:pt idx="117">
                  <c:v>81024.072714264359</c:v>
                </c:pt>
                <c:pt idx="118">
                  <c:v>79473.769975170668</c:v>
                </c:pt>
                <c:pt idx="119">
                  <c:v>79175.329374815265</c:v>
                </c:pt>
                <c:pt idx="120">
                  <c:v>80199.995029577505</c:v>
                </c:pt>
                <c:pt idx="121">
                  <c:v>79434.35922833324</c:v>
                </c:pt>
                <c:pt idx="122">
                  <c:v>78931.820616935292</c:v>
                </c:pt>
                <c:pt idx="123">
                  <c:v>78706.183259447353</c:v>
                </c:pt>
                <c:pt idx="124">
                  <c:v>77967.901695797205</c:v>
                </c:pt>
                <c:pt idx="125">
                  <c:v>77983.624166969501</c:v>
                </c:pt>
                <c:pt idx="126">
                  <c:v>77109.085307593326</c:v>
                </c:pt>
                <c:pt idx="127">
                  <c:v>76074.20641797829</c:v>
                </c:pt>
                <c:pt idx="128">
                  <c:v>76559.662781088322</c:v>
                </c:pt>
                <c:pt idx="129">
                  <c:v>77045.000858686093</c:v>
                </c:pt>
                <c:pt idx="130">
                  <c:v>76570.152803684585</c:v>
                </c:pt>
                <c:pt idx="131">
                  <c:v>76228.401009611349</c:v>
                </c:pt>
                <c:pt idx="132">
                  <c:v>75368.876410967714</c:v>
                </c:pt>
                <c:pt idx="133">
                  <c:v>75703.575139553213</c:v>
                </c:pt>
                <c:pt idx="134">
                  <c:v>75557.510268537808</c:v>
                </c:pt>
                <c:pt idx="135">
                  <c:v>72382.845193680478</c:v>
                </c:pt>
                <c:pt idx="136">
                  <c:v>73544.213788963345</c:v>
                </c:pt>
                <c:pt idx="137">
                  <c:v>74798.166477180232</c:v>
                </c:pt>
                <c:pt idx="138">
                  <c:v>75827.378534746953</c:v>
                </c:pt>
                <c:pt idx="139">
                  <c:v>75819.208796254577</c:v>
                </c:pt>
                <c:pt idx="140">
                  <c:v>74871.560555864417</c:v>
                </c:pt>
                <c:pt idx="141">
                  <c:v>75492.343951270537</c:v>
                </c:pt>
                <c:pt idx="142">
                  <c:v>77482.790839819878</c:v>
                </c:pt>
                <c:pt idx="143">
                  <c:v>76235.633099844446</c:v>
                </c:pt>
                <c:pt idx="144">
                  <c:v>76315.151759374276</c:v>
                </c:pt>
                <c:pt idx="145">
                  <c:v>75863.228351873651</c:v>
                </c:pt>
                <c:pt idx="146">
                  <c:v>77022.609309506151</c:v>
                </c:pt>
                <c:pt idx="147">
                  <c:v>76707.220643794833</c:v>
                </c:pt>
                <c:pt idx="148">
                  <c:v>77504.976134414916</c:v>
                </c:pt>
                <c:pt idx="149">
                  <c:v>77055.908416906488</c:v>
                </c:pt>
                <c:pt idx="150">
                  <c:v>77130.745449594324</c:v>
                </c:pt>
                <c:pt idx="151">
                  <c:v>77972.608785189906</c:v>
                </c:pt>
                <c:pt idx="152">
                  <c:v>78556.15660809823</c:v>
                </c:pt>
                <c:pt idx="153">
                  <c:v>78172.968709404086</c:v>
                </c:pt>
                <c:pt idx="154">
                  <c:v>77377.725884914733</c:v>
                </c:pt>
                <c:pt idx="155">
                  <c:v>77467.947737749651</c:v>
                </c:pt>
                <c:pt idx="156">
                  <c:v>77429.552870184052</c:v>
                </c:pt>
                <c:pt idx="157">
                  <c:v>78216.792417693243</c:v>
                </c:pt>
                <c:pt idx="158">
                  <c:v>77511.560100838949</c:v>
                </c:pt>
                <c:pt idx="159">
                  <c:v>76367.245009634556</c:v>
                </c:pt>
                <c:pt idx="160">
                  <c:v>76922.325336221023</c:v>
                </c:pt>
                <c:pt idx="161">
                  <c:v>76002.939161119604</c:v>
                </c:pt>
                <c:pt idx="162">
                  <c:v>78773.372847689301</c:v>
                </c:pt>
                <c:pt idx="163">
                  <c:v>78244.228950747463</c:v>
                </c:pt>
                <c:pt idx="164">
                  <c:v>78485.046364139809</c:v>
                </c:pt>
                <c:pt idx="165">
                  <c:v>76782.552175038043</c:v>
                </c:pt>
                <c:pt idx="166">
                  <c:v>76577.966715554707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A62-4D1B-B6DF-0121EFB952A6}"/>
            </c:ext>
          </c:extLst>
        </c:ser>
        <c:ser>
          <c:idx val="4"/>
          <c:order val="4"/>
          <c:tx>
            <c:strRef>
              <c:f>'Real - Compuesta'!$G$1</c:f>
              <c:strCache>
                <c:ptCount val="1"/>
                <c:pt idx="0">
                  <c:v>Regresion Lineal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'Real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Compuesta'!$G$4:$G$170</c:f>
              <c:numCache>
                <c:formatCode>General</c:formatCode>
                <c:ptCount val="167"/>
                <c:pt idx="0">
                  <c:v>100000</c:v>
                </c:pt>
                <c:pt idx="1">
                  <c:v>98387.940014811145</c:v>
                </c:pt>
                <c:pt idx="2">
                  <c:v>96678.019964417195</c:v>
                </c:pt>
                <c:pt idx="3">
                  <c:v>94436.30852307954</c:v>
                </c:pt>
                <c:pt idx="4">
                  <c:v>94940.164319776421</c:v>
                </c:pt>
                <c:pt idx="5">
                  <c:v>94839.074963379448</c:v>
                </c:pt>
                <c:pt idx="6">
                  <c:v>95074.8479105562</c:v>
                </c:pt>
                <c:pt idx="7">
                  <c:v>96541.931753042853</c:v>
                </c:pt>
                <c:pt idx="8">
                  <c:v>97554.580475961789</c:v>
                </c:pt>
                <c:pt idx="9">
                  <c:v>98230.816097146555</c:v>
                </c:pt>
                <c:pt idx="10">
                  <c:v>99030.090810039736</c:v>
                </c:pt>
                <c:pt idx="11">
                  <c:v>96397.706349802684</c:v>
                </c:pt>
                <c:pt idx="12">
                  <c:v>95167.4577486989</c:v>
                </c:pt>
                <c:pt idx="13">
                  <c:v>97070.05403314576</c:v>
                </c:pt>
                <c:pt idx="14">
                  <c:v>97521.374515721443</c:v>
                </c:pt>
                <c:pt idx="15">
                  <c:v>96955.947247003278</c:v>
                </c:pt>
                <c:pt idx="16">
                  <c:v>99509.769623669941</c:v>
                </c:pt>
                <c:pt idx="17">
                  <c:v>100986.27263677413</c:v>
                </c:pt>
                <c:pt idx="18">
                  <c:v>100568.26639186183</c:v>
                </c:pt>
                <c:pt idx="19">
                  <c:v>99765.227597615842</c:v>
                </c:pt>
                <c:pt idx="20">
                  <c:v>101303.43891275287</c:v>
                </c:pt>
                <c:pt idx="21">
                  <c:v>103078.0581368791</c:v>
                </c:pt>
                <c:pt idx="22">
                  <c:v>100695.58783317552</c:v>
                </c:pt>
                <c:pt idx="23">
                  <c:v>100019.86534527456</c:v>
                </c:pt>
                <c:pt idx="24">
                  <c:v>99863.515531233148</c:v>
                </c:pt>
                <c:pt idx="25">
                  <c:v>102388.46349241259</c:v>
                </c:pt>
                <c:pt idx="26">
                  <c:v>104481.61438805633</c:v>
                </c:pt>
                <c:pt idx="27">
                  <c:v>100355.81737867881</c:v>
                </c:pt>
                <c:pt idx="28">
                  <c:v>100613.80066155533</c:v>
                </c:pt>
                <c:pt idx="29">
                  <c:v>98967.132851377086</c:v>
                </c:pt>
                <c:pt idx="30">
                  <c:v>98858.574437012387</c:v>
                </c:pt>
                <c:pt idx="31">
                  <c:v>98429.560602819998</c:v>
                </c:pt>
                <c:pt idx="32">
                  <c:v>98911.64791999069</c:v>
                </c:pt>
                <c:pt idx="33">
                  <c:v>98161.717126578034</c:v>
                </c:pt>
                <c:pt idx="34">
                  <c:v>97306.35508884849</c:v>
                </c:pt>
                <c:pt idx="35">
                  <c:v>96206.331653738642</c:v>
                </c:pt>
                <c:pt idx="36">
                  <c:v>96296.690706273221</c:v>
                </c:pt>
                <c:pt idx="37">
                  <c:v>95906.055785135657</c:v>
                </c:pt>
                <c:pt idx="38">
                  <c:v>94726.04478722559</c:v>
                </c:pt>
                <c:pt idx="39">
                  <c:v>94736.756676728386</c:v>
                </c:pt>
                <c:pt idx="40">
                  <c:v>96286.161402131504</c:v>
                </c:pt>
                <c:pt idx="41">
                  <c:v>97871.695551980243</c:v>
                </c:pt>
                <c:pt idx="42">
                  <c:v>98883.214923564039</c:v>
                </c:pt>
                <c:pt idx="43">
                  <c:v>98499.131341207947</c:v>
                </c:pt>
                <c:pt idx="44">
                  <c:v>99048.694984060392</c:v>
                </c:pt>
                <c:pt idx="45">
                  <c:v>98970.272560436846</c:v>
                </c:pt>
                <c:pt idx="46">
                  <c:v>100169.07776751982</c:v>
                </c:pt>
                <c:pt idx="47">
                  <c:v>99006.18836831575</c:v>
                </c:pt>
                <c:pt idx="48">
                  <c:v>101399.63588351815</c:v>
                </c:pt>
                <c:pt idx="49">
                  <c:v>102598.78300784202</c:v>
                </c:pt>
                <c:pt idx="50">
                  <c:v>100269.56172470852</c:v>
                </c:pt>
                <c:pt idx="51">
                  <c:v>104235.94847493831</c:v>
                </c:pt>
                <c:pt idx="52">
                  <c:v>103586.29454371653</c:v>
                </c:pt>
                <c:pt idx="53">
                  <c:v>101475.79858548372</c:v>
                </c:pt>
                <c:pt idx="54">
                  <c:v>100824.7519600521</c:v>
                </c:pt>
                <c:pt idx="55">
                  <c:v>100122.43065947428</c:v>
                </c:pt>
                <c:pt idx="56">
                  <c:v>99859.529499398777</c:v>
                </c:pt>
                <c:pt idx="57">
                  <c:v>100774.35048757716</c:v>
                </c:pt>
                <c:pt idx="58">
                  <c:v>99055.666029799177</c:v>
                </c:pt>
                <c:pt idx="59">
                  <c:v>98678.297158449976</c:v>
                </c:pt>
                <c:pt idx="60">
                  <c:v>98938.827770866512</c:v>
                </c:pt>
                <c:pt idx="61">
                  <c:v>98749.807690804286</c:v>
                </c:pt>
                <c:pt idx="62">
                  <c:v>100138.13456667426</c:v>
                </c:pt>
                <c:pt idx="63">
                  <c:v>100207.34834558707</c:v>
                </c:pt>
                <c:pt idx="64">
                  <c:v>100136.38905019332</c:v>
                </c:pt>
                <c:pt idx="65">
                  <c:v>99400.469683428993</c:v>
                </c:pt>
                <c:pt idx="66">
                  <c:v>102330.86789833909</c:v>
                </c:pt>
                <c:pt idx="67">
                  <c:v>102041.72889757756</c:v>
                </c:pt>
                <c:pt idx="68">
                  <c:v>100831.01372284602</c:v>
                </c:pt>
                <c:pt idx="69">
                  <c:v>100224.23058318159</c:v>
                </c:pt>
                <c:pt idx="70">
                  <c:v>97795.010279597715</c:v>
                </c:pt>
                <c:pt idx="71">
                  <c:v>97865.185094956425</c:v>
                </c:pt>
                <c:pt idx="72">
                  <c:v>98084.457895330954</c:v>
                </c:pt>
                <c:pt idx="73">
                  <c:v>98931.52961097793</c:v>
                </c:pt>
                <c:pt idx="74">
                  <c:v>97842.539610547028</c:v>
                </c:pt>
                <c:pt idx="75">
                  <c:v>97320.947664156833</c:v>
                </c:pt>
                <c:pt idx="76">
                  <c:v>96806.793952732085</c:v>
                </c:pt>
                <c:pt idx="77">
                  <c:v>96666.319685186507</c:v>
                </c:pt>
                <c:pt idx="78">
                  <c:v>97649.861694084335</c:v>
                </c:pt>
                <c:pt idx="79">
                  <c:v>97829.748825991875</c:v>
                </c:pt>
                <c:pt idx="80">
                  <c:v>94803.780007230773</c:v>
                </c:pt>
                <c:pt idx="81">
                  <c:v>93522.947689451801</c:v>
                </c:pt>
                <c:pt idx="82">
                  <c:v>93684.193735352354</c:v>
                </c:pt>
                <c:pt idx="83">
                  <c:v>92750.538178616465</c:v>
                </c:pt>
                <c:pt idx="84">
                  <c:v>91782.830770205299</c:v>
                </c:pt>
                <c:pt idx="85">
                  <c:v>91351.024808247268</c:v>
                </c:pt>
                <c:pt idx="86">
                  <c:v>92722.44556837219</c:v>
                </c:pt>
                <c:pt idx="87">
                  <c:v>92963.634756129904</c:v>
                </c:pt>
                <c:pt idx="88">
                  <c:v>92512.510460255784</c:v>
                </c:pt>
                <c:pt idx="89">
                  <c:v>93311.632120780923</c:v>
                </c:pt>
                <c:pt idx="90">
                  <c:v>93081.931390909391</c:v>
                </c:pt>
                <c:pt idx="91">
                  <c:v>92501.798157208847</c:v>
                </c:pt>
                <c:pt idx="92">
                  <c:v>92442.961886303296</c:v>
                </c:pt>
                <c:pt idx="93">
                  <c:v>92778.900915148231</c:v>
                </c:pt>
                <c:pt idx="94">
                  <c:v>93162.987163103375</c:v>
                </c:pt>
                <c:pt idx="95">
                  <c:v>94140.939421980627</c:v>
                </c:pt>
                <c:pt idx="96">
                  <c:v>94355.651862927509</c:v>
                </c:pt>
                <c:pt idx="97">
                  <c:v>95043.581791963908</c:v>
                </c:pt>
                <c:pt idx="98">
                  <c:v>93453.810846579494</c:v>
                </c:pt>
                <c:pt idx="99">
                  <c:v>93083.132053567795</c:v>
                </c:pt>
                <c:pt idx="100">
                  <c:v>92175.025916169878</c:v>
                </c:pt>
                <c:pt idx="101">
                  <c:v>89461.344010715955</c:v>
                </c:pt>
                <c:pt idx="102">
                  <c:v>90423.077046403589</c:v>
                </c:pt>
                <c:pt idx="103">
                  <c:v>91189.084230935929</c:v>
                </c:pt>
                <c:pt idx="104">
                  <c:v>89180.886507104529</c:v>
                </c:pt>
                <c:pt idx="105">
                  <c:v>88677.897329344531</c:v>
                </c:pt>
                <c:pt idx="106">
                  <c:v>88289.72409100199</c:v>
                </c:pt>
                <c:pt idx="107">
                  <c:v>88557.520770282514</c:v>
                </c:pt>
                <c:pt idx="108">
                  <c:v>90555.127235524444</c:v>
                </c:pt>
                <c:pt idx="109">
                  <c:v>90023.168309253597</c:v>
                </c:pt>
                <c:pt idx="110">
                  <c:v>89252.515557057151</c:v>
                </c:pt>
                <c:pt idx="111">
                  <c:v>88123.909355821976</c:v>
                </c:pt>
                <c:pt idx="112">
                  <c:v>87960.277753021015</c:v>
                </c:pt>
                <c:pt idx="113">
                  <c:v>86994.470304418792</c:v>
                </c:pt>
                <c:pt idx="114">
                  <c:v>84044.103924505471</c:v>
                </c:pt>
                <c:pt idx="115">
                  <c:v>85991.481733309658</c:v>
                </c:pt>
                <c:pt idx="116">
                  <c:v>86112.570496534288</c:v>
                </c:pt>
                <c:pt idx="117">
                  <c:v>86606.847494872069</c:v>
                </c:pt>
                <c:pt idx="118">
                  <c:v>87904.840965519848</c:v>
                </c:pt>
                <c:pt idx="119">
                  <c:v>87576.012967701507</c:v>
                </c:pt>
                <c:pt idx="120">
                  <c:v>88710.671220234231</c:v>
                </c:pt>
                <c:pt idx="121">
                  <c:v>87865.060971763247</c:v>
                </c:pt>
                <c:pt idx="122">
                  <c:v>87310.459439904836</c:v>
                </c:pt>
                <c:pt idx="123">
                  <c:v>87062.144406373263</c:v>
                </c:pt>
                <c:pt idx="124">
                  <c:v>86246.756060558575</c:v>
                </c:pt>
                <c:pt idx="125">
                  <c:v>86265.42218285492</c:v>
                </c:pt>
                <c:pt idx="126">
                  <c:v>85299.28239199458</c:v>
                </c:pt>
                <c:pt idx="127">
                  <c:v>84155.757683718854</c:v>
                </c:pt>
                <c:pt idx="128">
                  <c:v>84694.06006771083</c:v>
                </c:pt>
                <c:pt idx="129">
                  <c:v>85232.239881570073</c:v>
                </c:pt>
                <c:pt idx="130">
                  <c:v>84708.206965573831</c:v>
                </c:pt>
                <c:pt idx="131">
                  <c:v>84331.408382877518</c:v>
                </c:pt>
                <c:pt idx="132">
                  <c:v>83381.792716064054</c:v>
                </c:pt>
                <c:pt idx="133">
                  <c:v>83753.351061344525</c:v>
                </c:pt>
                <c:pt idx="134">
                  <c:v>83593.030692241111</c:v>
                </c:pt>
                <c:pt idx="135">
                  <c:v>80082.017057035147</c:v>
                </c:pt>
                <c:pt idx="136">
                  <c:v>81368.193767417295</c:v>
                </c:pt>
                <c:pt idx="137">
                  <c:v>82756.82446734971</c:v>
                </c:pt>
                <c:pt idx="138">
                  <c:v>83896.823340311734</c:v>
                </c:pt>
                <c:pt idx="139">
                  <c:v>83889.06121295433</c:v>
                </c:pt>
                <c:pt idx="140">
                  <c:v>82841.826821062859</c:v>
                </c:pt>
                <c:pt idx="141">
                  <c:v>83529.971603251091</c:v>
                </c:pt>
                <c:pt idx="142">
                  <c:v>85733.617892436552</c:v>
                </c:pt>
                <c:pt idx="143">
                  <c:v>86757.370788161192</c:v>
                </c:pt>
                <c:pt idx="144">
                  <c:v>86849.520487665446</c:v>
                </c:pt>
                <c:pt idx="145">
                  <c:v>86336.871060757432</c:v>
                </c:pt>
                <c:pt idx="146">
                  <c:v>87657.972339193147</c:v>
                </c:pt>
                <c:pt idx="147">
                  <c:v>87300.691446928366</c:v>
                </c:pt>
                <c:pt idx="148">
                  <c:v>88210.276320435296</c:v>
                </c:pt>
                <c:pt idx="149">
                  <c:v>87700.839045371846</c:v>
                </c:pt>
                <c:pt idx="150">
                  <c:v>87787.672227452174</c:v>
                </c:pt>
                <c:pt idx="151">
                  <c:v>88747.511332537586</c:v>
                </c:pt>
                <c:pt idx="152">
                  <c:v>89413.356898898375</c:v>
                </c:pt>
                <c:pt idx="153">
                  <c:v>88978.867338620301</c:v>
                </c:pt>
                <c:pt idx="154">
                  <c:v>88075.356365904983</c:v>
                </c:pt>
                <c:pt idx="155">
                  <c:v>88179.710601104511</c:v>
                </c:pt>
                <c:pt idx="156">
                  <c:v>88137.666023298356</c:v>
                </c:pt>
                <c:pt idx="157">
                  <c:v>89035.436333209349</c:v>
                </c:pt>
                <c:pt idx="158">
                  <c:v>88234.318806095805</c:v>
                </c:pt>
                <c:pt idx="159">
                  <c:v>86933.362028341566</c:v>
                </c:pt>
                <c:pt idx="160">
                  <c:v>87566.903180494846</c:v>
                </c:pt>
                <c:pt idx="161">
                  <c:v>86521.952122461618</c:v>
                </c:pt>
                <c:pt idx="162">
                  <c:v>89677.482179463172</c:v>
                </c:pt>
                <c:pt idx="163">
                  <c:v>89908.056016737784</c:v>
                </c:pt>
                <c:pt idx="164">
                  <c:v>89258.506145015999</c:v>
                </c:pt>
                <c:pt idx="165">
                  <c:v>90824.51270613521</c:v>
                </c:pt>
                <c:pt idx="166">
                  <c:v>90689.735493609318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A62-4D1B-B6DF-0121EFB952A6}"/>
            </c:ext>
          </c:extLst>
        </c:ser>
        <c:ser>
          <c:idx val="5"/>
          <c:order val="5"/>
          <c:tx>
            <c:strRef>
              <c:f>'Real - Compuesta'!$A$1</c:f>
              <c:strCache>
                <c:ptCount val="1"/>
                <c:pt idx="0">
                  <c:v>Monto Inicial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strRef>
              <c:f>'Real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Compuesta'!$A$4:$A$170</c:f>
              <c:numCache>
                <c:formatCode>General</c:formatCode>
                <c:ptCount val="167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  <c:pt idx="12">
                  <c:v>100000</c:v>
                </c:pt>
                <c:pt idx="13">
                  <c:v>100000</c:v>
                </c:pt>
                <c:pt idx="14">
                  <c:v>100000</c:v>
                </c:pt>
                <c:pt idx="15">
                  <c:v>100000</c:v>
                </c:pt>
                <c:pt idx="16">
                  <c:v>100000</c:v>
                </c:pt>
                <c:pt idx="17">
                  <c:v>100000</c:v>
                </c:pt>
                <c:pt idx="18">
                  <c:v>100000</c:v>
                </c:pt>
                <c:pt idx="19">
                  <c:v>100000</c:v>
                </c:pt>
                <c:pt idx="20">
                  <c:v>100000</c:v>
                </c:pt>
                <c:pt idx="21">
                  <c:v>100000</c:v>
                </c:pt>
                <c:pt idx="22">
                  <c:v>100000</c:v>
                </c:pt>
                <c:pt idx="23">
                  <c:v>100000</c:v>
                </c:pt>
                <c:pt idx="24">
                  <c:v>100000</c:v>
                </c:pt>
                <c:pt idx="25">
                  <c:v>100000</c:v>
                </c:pt>
                <c:pt idx="26">
                  <c:v>100000</c:v>
                </c:pt>
                <c:pt idx="27">
                  <c:v>100000</c:v>
                </c:pt>
                <c:pt idx="28">
                  <c:v>100000</c:v>
                </c:pt>
                <c:pt idx="29">
                  <c:v>100000</c:v>
                </c:pt>
                <c:pt idx="30">
                  <c:v>100000</c:v>
                </c:pt>
                <c:pt idx="31">
                  <c:v>100000</c:v>
                </c:pt>
                <c:pt idx="32">
                  <c:v>100000</c:v>
                </c:pt>
                <c:pt idx="33">
                  <c:v>100000</c:v>
                </c:pt>
                <c:pt idx="34">
                  <c:v>100000</c:v>
                </c:pt>
                <c:pt idx="35">
                  <c:v>100000</c:v>
                </c:pt>
                <c:pt idx="36">
                  <c:v>100000</c:v>
                </c:pt>
                <c:pt idx="37">
                  <c:v>100000</c:v>
                </c:pt>
                <c:pt idx="38">
                  <c:v>100000</c:v>
                </c:pt>
                <c:pt idx="39">
                  <c:v>100000</c:v>
                </c:pt>
                <c:pt idx="40">
                  <c:v>100000</c:v>
                </c:pt>
                <c:pt idx="41">
                  <c:v>100000</c:v>
                </c:pt>
                <c:pt idx="42">
                  <c:v>100000</c:v>
                </c:pt>
                <c:pt idx="43">
                  <c:v>100000</c:v>
                </c:pt>
                <c:pt idx="44">
                  <c:v>100000</c:v>
                </c:pt>
                <c:pt idx="45">
                  <c:v>100000</c:v>
                </c:pt>
                <c:pt idx="46">
                  <c:v>100000</c:v>
                </c:pt>
                <c:pt idx="47">
                  <c:v>100000</c:v>
                </c:pt>
                <c:pt idx="48">
                  <c:v>100000</c:v>
                </c:pt>
                <c:pt idx="49">
                  <c:v>100000</c:v>
                </c:pt>
                <c:pt idx="50">
                  <c:v>100000</c:v>
                </c:pt>
                <c:pt idx="51">
                  <c:v>100000</c:v>
                </c:pt>
                <c:pt idx="52">
                  <c:v>100000</c:v>
                </c:pt>
                <c:pt idx="53">
                  <c:v>100000</c:v>
                </c:pt>
                <c:pt idx="54">
                  <c:v>100000</c:v>
                </c:pt>
                <c:pt idx="55">
                  <c:v>100000</c:v>
                </c:pt>
                <c:pt idx="56">
                  <c:v>100000</c:v>
                </c:pt>
                <c:pt idx="57">
                  <c:v>100000</c:v>
                </c:pt>
                <c:pt idx="58">
                  <c:v>100000</c:v>
                </c:pt>
                <c:pt idx="59">
                  <c:v>100000</c:v>
                </c:pt>
                <c:pt idx="60">
                  <c:v>100000</c:v>
                </c:pt>
                <c:pt idx="61">
                  <c:v>100000</c:v>
                </c:pt>
                <c:pt idx="62">
                  <c:v>100000</c:v>
                </c:pt>
                <c:pt idx="63">
                  <c:v>100000</c:v>
                </c:pt>
                <c:pt idx="64">
                  <c:v>100000</c:v>
                </c:pt>
                <c:pt idx="65">
                  <c:v>100000</c:v>
                </c:pt>
                <c:pt idx="66">
                  <c:v>100000</c:v>
                </c:pt>
                <c:pt idx="67">
                  <c:v>100000</c:v>
                </c:pt>
                <c:pt idx="68">
                  <c:v>100000</c:v>
                </c:pt>
                <c:pt idx="69">
                  <c:v>100000</c:v>
                </c:pt>
                <c:pt idx="70">
                  <c:v>100000</c:v>
                </c:pt>
                <c:pt idx="71">
                  <c:v>100000</c:v>
                </c:pt>
                <c:pt idx="72">
                  <c:v>100000</c:v>
                </c:pt>
                <c:pt idx="73">
                  <c:v>100000</c:v>
                </c:pt>
                <c:pt idx="74">
                  <c:v>100000</c:v>
                </c:pt>
                <c:pt idx="75">
                  <c:v>100000</c:v>
                </c:pt>
                <c:pt idx="76">
                  <c:v>100000</c:v>
                </c:pt>
                <c:pt idx="77">
                  <c:v>100000</c:v>
                </c:pt>
                <c:pt idx="78">
                  <c:v>100000</c:v>
                </c:pt>
                <c:pt idx="79">
                  <c:v>100000</c:v>
                </c:pt>
                <c:pt idx="80">
                  <c:v>100000</c:v>
                </c:pt>
                <c:pt idx="81">
                  <c:v>100000</c:v>
                </c:pt>
                <c:pt idx="82">
                  <c:v>100000</c:v>
                </c:pt>
                <c:pt idx="83">
                  <c:v>100000</c:v>
                </c:pt>
                <c:pt idx="84">
                  <c:v>100000</c:v>
                </c:pt>
                <c:pt idx="85">
                  <c:v>100000</c:v>
                </c:pt>
                <c:pt idx="86">
                  <c:v>100000</c:v>
                </c:pt>
                <c:pt idx="87">
                  <c:v>100000</c:v>
                </c:pt>
                <c:pt idx="88">
                  <c:v>100000</c:v>
                </c:pt>
                <c:pt idx="89">
                  <c:v>100000</c:v>
                </c:pt>
                <c:pt idx="90">
                  <c:v>100000</c:v>
                </c:pt>
                <c:pt idx="91">
                  <c:v>100000</c:v>
                </c:pt>
                <c:pt idx="92">
                  <c:v>100000</c:v>
                </c:pt>
                <c:pt idx="93">
                  <c:v>100000</c:v>
                </c:pt>
                <c:pt idx="94">
                  <c:v>100000</c:v>
                </c:pt>
                <c:pt idx="95">
                  <c:v>100000</c:v>
                </c:pt>
                <c:pt idx="96">
                  <c:v>100000</c:v>
                </c:pt>
                <c:pt idx="97">
                  <c:v>100000</c:v>
                </c:pt>
                <c:pt idx="98">
                  <c:v>100000</c:v>
                </c:pt>
                <c:pt idx="99">
                  <c:v>100000</c:v>
                </c:pt>
                <c:pt idx="100">
                  <c:v>100000</c:v>
                </c:pt>
                <c:pt idx="101">
                  <c:v>100000</c:v>
                </c:pt>
                <c:pt idx="102">
                  <c:v>100000</c:v>
                </c:pt>
                <c:pt idx="103">
                  <c:v>100000</c:v>
                </c:pt>
                <c:pt idx="104">
                  <c:v>100000</c:v>
                </c:pt>
                <c:pt idx="105">
                  <c:v>100000</c:v>
                </c:pt>
                <c:pt idx="106">
                  <c:v>100000</c:v>
                </c:pt>
                <c:pt idx="107">
                  <c:v>100000</c:v>
                </c:pt>
                <c:pt idx="108">
                  <c:v>100000</c:v>
                </c:pt>
                <c:pt idx="109">
                  <c:v>100000</c:v>
                </c:pt>
                <c:pt idx="110">
                  <c:v>100000</c:v>
                </c:pt>
                <c:pt idx="111">
                  <c:v>100000</c:v>
                </c:pt>
                <c:pt idx="112">
                  <c:v>100000</c:v>
                </c:pt>
                <c:pt idx="113">
                  <c:v>100000</c:v>
                </c:pt>
                <c:pt idx="114">
                  <c:v>100000</c:v>
                </c:pt>
                <c:pt idx="115">
                  <c:v>100000</c:v>
                </c:pt>
                <c:pt idx="116">
                  <c:v>100000</c:v>
                </c:pt>
                <c:pt idx="117">
                  <c:v>100000</c:v>
                </c:pt>
                <c:pt idx="118">
                  <c:v>100000</c:v>
                </c:pt>
                <c:pt idx="119">
                  <c:v>100000</c:v>
                </c:pt>
                <c:pt idx="120">
                  <c:v>100000</c:v>
                </c:pt>
                <c:pt idx="121">
                  <c:v>100000</c:v>
                </c:pt>
                <c:pt idx="122">
                  <c:v>100000</c:v>
                </c:pt>
                <c:pt idx="123">
                  <c:v>100000</c:v>
                </c:pt>
                <c:pt idx="124">
                  <c:v>100000</c:v>
                </c:pt>
                <c:pt idx="125">
                  <c:v>100000</c:v>
                </c:pt>
                <c:pt idx="126">
                  <c:v>100000</c:v>
                </c:pt>
                <c:pt idx="127">
                  <c:v>100000</c:v>
                </c:pt>
                <c:pt idx="128">
                  <c:v>100000</c:v>
                </c:pt>
                <c:pt idx="129">
                  <c:v>100000</c:v>
                </c:pt>
                <c:pt idx="130">
                  <c:v>100000</c:v>
                </c:pt>
                <c:pt idx="131">
                  <c:v>100000</c:v>
                </c:pt>
                <c:pt idx="132">
                  <c:v>100000</c:v>
                </c:pt>
                <c:pt idx="133">
                  <c:v>100000</c:v>
                </c:pt>
                <c:pt idx="134">
                  <c:v>100000</c:v>
                </c:pt>
                <c:pt idx="135">
                  <c:v>100000</c:v>
                </c:pt>
                <c:pt idx="136">
                  <c:v>100000</c:v>
                </c:pt>
                <c:pt idx="137">
                  <c:v>100000</c:v>
                </c:pt>
                <c:pt idx="138">
                  <c:v>100000</c:v>
                </c:pt>
                <c:pt idx="139">
                  <c:v>100000</c:v>
                </c:pt>
                <c:pt idx="140">
                  <c:v>100000</c:v>
                </c:pt>
                <c:pt idx="141">
                  <c:v>100000</c:v>
                </c:pt>
                <c:pt idx="142">
                  <c:v>100000</c:v>
                </c:pt>
                <c:pt idx="143">
                  <c:v>100000</c:v>
                </c:pt>
                <c:pt idx="144">
                  <c:v>100000</c:v>
                </c:pt>
                <c:pt idx="145">
                  <c:v>100000</c:v>
                </c:pt>
                <c:pt idx="146">
                  <c:v>100000</c:v>
                </c:pt>
                <c:pt idx="147">
                  <c:v>100000</c:v>
                </c:pt>
                <c:pt idx="148">
                  <c:v>100000</c:v>
                </c:pt>
                <c:pt idx="149">
                  <c:v>100000</c:v>
                </c:pt>
                <c:pt idx="150">
                  <c:v>100000</c:v>
                </c:pt>
                <c:pt idx="151">
                  <c:v>100000</c:v>
                </c:pt>
                <c:pt idx="152">
                  <c:v>100000</c:v>
                </c:pt>
                <c:pt idx="153">
                  <c:v>100000</c:v>
                </c:pt>
                <c:pt idx="154">
                  <c:v>100000</c:v>
                </c:pt>
                <c:pt idx="155">
                  <c:v>100000</c:v>
                </c:pt>
                <c:pt idx="156">
                  <c:v>100000</c:v>
                </c:pt>
                <c:pt idx="157">
                  <c:v>100000</c:v>
                </c:pt>
                <c:pt idx="158">
                  <c:v>100000</c:v>
                </c:pt>
                <c:pt idx="159">
                  <c:v>100000</c:v>
                </c:pt>
                <c:pt idx="160">
                  <c:v>100000</c:v>
                </c:pt>
                <c:pt idx="161">
                  <c:v>100000</c:v>
                </c:pt>
                <c:pt idx="162">
                  <c:v>100000</c:v>
                </c:pt>
                <c:pt idx="163">
                  <c:v>100000</c:v>
                </c:pt>
                <c:pt idx="164">
                  <c:v>100000</c:v>
                </c:pt>
                <c:pt idx="165">
                  <c:v>100000</c:v>
                </c:pt>
                <c:pt idx="166">
                  <c:v>100000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1B-4BC3-B91B-3BECCB487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419880"/>
        <c:axId val="520422832"/>
      </c:scatterChart>
      <c:valAx>
        <c:axId val="520419880"/>
        <c:scaling>
          <c:orientation val="minMax"/>
          <c:max val="16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22832"/>
        <c:crosses val="autoZero"/>
        <c:crossBetween val="midCat"/>
        <c:majorUnit val="10"/>
      </c:valAx>
      <c:valAx>
        <c:axId val="520422832"/>
        <c:scaling>
          <c:orientation val="minMax"/>
          <c:max val="140000"/>
          <c:min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19880"/>
        <c:crosses val="autoZero"/>
        <c:crossBetween val="midCat"/>
        <c:majorUnit val="10000"/>
        <c:minorUnit val="1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4</xdr:row>
          <xdr:rowOff>129540</xdr:rowOff>
        </xdr:from>
        <xdr:to>
          <xdr:col>12</xdr:col>
          <xdr:colOff>137160</xdr:colOff>
          <xdr:row>7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488168</xdr:colOff>
      <xdr:row>0</xdr:row>
      <xdr:rowOff>97162</xdr:rowOff>
    </xdr:from>
    <xdr:to>
      <xdr:col>25</xdr:col>
      <xdr:colOff>323039</xdr:colOff>
      <xdr:row>15</xdr:row>
      <xdr:rowOff>89260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508000</xdr:colOff>
      <xdr:row>16</xdr:row>
      <xdr:rowOff>17518</xdr:rowOff>
    </xdr:from>
    <xdr:to>
      <xdr:col>25</xdr:col>
      <xdr:colOff>342871</xdr:colOff>
      <xdr:row>31</xdr:row>
      <xdr:rowOff>9617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18</xdr:col>
      <xdr:colOff>53422</xdr:colOff>
      <xdr:row>24</xdr:row>
      <xdr:rowOff>158054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426720</xdr:colOff>
      <xdr:row>0</xdr:row>
      <xdr:rowOff>129540</xdr:rowOff>
    </xdr:from>
    <xdr:to>
      <xdr:col>17</xdr:col>
      <xdr:colOff>457200</xdr:colOff>
      <xdr:row>24</xdr:row>
      <xdr:rowOff>167640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762000</xdr:colOff>
      <xdr:row>0</xdr:row>
      <xdr:rowOff>0</xdr:rowOff>
    </xdr:from>
    <xdr:to>
      <xdr:col>18</xdr:col>
      <xdr:colOff>22942</xdr:colOff>
      <xdr:row>23</xdr:row>
      <xdr:rowOff>158054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495300</xdr:colOff>
      <xdr:row>3</xdr:row>
      <xdr:rowOff>60960</xdr:rowOff>
    </xdr:from>
    <xdr:to>
      <xdr:col>18</xdr:col>
      <xdr:colOff>548722</xdr:colOff>
      <xdr:row>27</xdr:row>
      <xdr:rowOff>36134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601980</xdr:colOff>
      <xdr:row>1</xdr:row>
      <xdr:rowOff>68580</xdr:rowOff>
    </xdr:from>
    <xdr:to>
      <xdr:col>17</xdr:col>
      <xdr:colOff>655402</xdr:colOff>
      <xdr:row>25</xdr:row>
      <xdr:rowOff>43754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4703"/>
  <sheetViews>
    <sheetView tabSelected="1" zoomScale="84" workbookViewId="0">
      <selection activeCell="G25" sqref="G25"/>
    </sheetView>
  </sheetViews>
  <sheetFormatPr baseColWidth="10" defaultColWidth="8.88671875" defaultRowHeight="14.4" x14ac:dyDescent="0.3"/>
  <cols>
    <col min="4" max="4" width="15.44140625" style="74" bestFit="1" customWidth="1"/>
    <col min="7" max="7" width="11.5546875" bestFit="1" customWidth="1"/>
    <col min="8" max="8" width="19.77734375" bestFit="1" customWidth="1"/>
    <col min="13" max="13" width="6.88671875" style="47" customWidth="1"/>
    <col min="14" max="14" width="18.88671875" customWidth="1"/>
    <col min="15" max="15" width="13.33203125" customWidth="1"/>
    <col min="16" max="16" width="17.88671875" customWidth="1"/>
    <col min="17" max="17" width="17.5546875" customWidth="1"/>
    <col min="18" max="18" width="22.6640625" customWidth="1"/>
    <col min="19" max="20" width="13.33203125" customWidth="1"/>
    <col min="21" max="21" width="17.6640625" customWidth="1"/>
    <col min="22" max="22" width="21.77734375" customWidth="1"/>
    <col min="23" max="23" width="8.77734375" customWidth="1"/>
    <col min="24" max="24" width="20.109375" style="8" customWidth="1"/>
    <col min="25" max="25" width="23.5546875" style="8" customWidth="1"/>
    <col min="26" max="27" width="20.109375" style="8" customWidth="1"/>
    <col min="28" max="28" width="23.5546875" style="8" customWidth="1"/>
    <col min="29" max="29" width="20.109375" style="8" customWidth="1"/>
    <col min="30" max="33" width="8.88671875" customWidth="1"/>
    <col min="35" max="35" width="10.77734375" bestFit="1" customWidth="1"/>
    <col min="36" max="37" width="12.5546875" style="22" bestFit="1" customWidth="1"/>
    <col min="38" max="38" width="10.5546875" style="22" bestFit="1" customWidth="1"/>
    <col min="39" max="39" width="8.5546875" style="22" bestFit="1" customWidth="1"/>
    <col min="40" max="41" width="7.5546875" style="22" bestFit="1" customWidth="1"/>
    <col min="42" max="42" width="7.5546875" bestFit="1" customWidth="1"/>
  </cols>
  <sheetData>
    <row r="1" spans="1:23" x14ac:dyDescent="0.3">
      <c r="B1" s="1" t="s">
        <v>0</v>
      </c>
      <c r="C1" s="1" t="s">
        <v>1</v>
      </c>
      <c r="D1" s="73" t="s">
        <v>2</v>
      </c>
      <c r="E1" s="2" t="s">
        <v>3</v>
      </c>
      <c r="F1" s="2" t="s">
        <v>4</v>
      </c>
      <c r="G1" s="3" t="s">
        <v>5</v>
      </c>
      <c r="H1" s="3" t="s">
        <v>199</v>
      </c>
      <c r="I1" s="3" t="s">
        <v>225</v>
      </c>
      <c r="J1" s="3" t="s">
        <v>230</v>
      </c>
      <c r="K1" s="3"/>
      <c r="L1" s="3"/>
      <c r="N1" s="47" t="s">
        <v>225</v>
      </c>
      <c r="O1" s="47" t="s">
        <v>227</v>
      </c>
      <c r="P1" s="47">
        <f>+COUNTIF(I:I,O1)</f>
        <v>85</v>
      </c>
      <c r="Q1">
        <f>+P1+P2</f>
        <v>167</v>
      </c>
      <c r="R1" s="3" t="s">
        <v>6</v>
      </c>
      <c r="S1">
        <f>+COUNTIF(F:F,"Positivo")</f>
        <v>85</v>
      </c>
      <c r="W1" s="8"/>
    </row>
    <row r="2" spans="1:23" x14ac:dyDescent="0.3">
      <c r="A2" s="1">
        <v>1</v>
      </c>
      <c r="B2">
        <v>243.06</v>
      </c>
      <c r="C2">
        <v>239.64</v>
      </c>
      <c r="D2" s="74">
        <v>243.20765326974151</v>
      </c>
      <c r="E2" t="str">
        <f>+IF(D2&lt;B2,"Venta","Compra")</f>
        <v>Compra</v>
      </c>
      <c r="F2" t="str">
        <f t="shared" ref="F2" si="0">IF(B2="","",IF(E2="Venta",IF(C2&lt;B2,"Positivo","Negativo"),IF(C2&gt;B2,"Positivo","Negativo")))</f>
        <v>Negativo</v>
      </c>
      <c r="G2" s="4">
        <f>+IF(E2="Compra",(C2-B2)/B2,(B2-C2)/B2)</f>
        <v>-1.4070599851888488E-2</v>
      </c>
      <c r="H2" s="4">
        <f>+IF(E2="Compra",(D2-B2)/B2,(B2-D2)/B2)</f>
        <v>6.0747663022097807E-4</v>
      </c>
      <c r="I2" s="47" t="str">
        <f>+IF(C2&lt;B2,"Venta","Compra")</f>
        <v>Venta</v>
      </c>
      <c r="J2" s="47" t="str">
        <f>+E2&amp;I2</f>
        <v>CompraVenta</v>
      </c>
      <c r="K2" s="47"/>
      <c r="L2" s="47"/>
      <c r="N2" s="47" t="s">
        <v>225</v>
      </c>
      <c r="O2" s="47" t="s">
        <v>228</v>
      </c>
      <c r="P2" s="47">
        <f>+COUNTIF(I:I,O2)</f>
        <v>82</v>
      </c>
      <c r="R2" s="3" t="s">
        <v>7</v>
      </c>
      <c r="S2">
        <f>+COUNTIF(F:F,"Negativo")</f>
        <v>82</v>
      </c>
      <c r="W2" s="8"/>
    </row>
    <row r="3" spans="1:23" x14ac:dyDescent="0.3">
      <c r="A3" s="1">
        <v>2</v>
      </c>
      <c r="B3">
        <v>232.59</v>
      </c>
      <c r="C3">
        <v>229.02500000000001</v>
      </c>
      <c r="D3" s="74">
        <v>232.7791777282807</v>
      </c>
      <c r="E3" t="str">
        <f t="shared" ref="E3:E53" si="1">+IF(D3&lt;B3,"Venta","Compra")</f>
        <v>Compra</v>
      </c>
      <c r="F3" t="str">
        <f t="shared" ref="F3:F53" si="2">IF(B3="","",IF(E3="Venta",IF(C3&lt;B3,"Positivo","Negativo"),IF(C3&gt;B3,"Positivo","Negativo")))</f>
        <v>Negativo</v>
      </c>
      <c r="G3" s="4">
        <f t="shared" ref="G3:G53" si="3">+IF(E3="Compra",(C3-B3)/B3,(B3-C3)/B3)</f>
        <v>-1.5327400146179964E-2</v>
      </c>
      <c r="H3" s="4">
        <f t="shared" ref="H3:H53" si="4">+IF(E3="Compra",(D3-B3)/B3,(B3-D3)/B3)</f>
        <v>8.1335280227308568E-4</v>
      </c>
      <c r="I3" s="47" t="str">
        <f t="shared" ref="I3:I53" si="5">+IF(C3&lt;B3,"Venta","Compra")</f>
        <v>Venta</v>
      </c>
      <c r="J3" s="47" t="str">
        <f t="shared" ref="J3:J53" si="6">+E3&amp;I3</f>
        <v>CompraVenta</v>
      </c>
      <c r="K3" s="47"/>
      <c r="L3" s="47"/>
      <c r="N3" s="47" t="s">
        <v>229</v>
      </c>
      <c r="O3" s="47" t="s">
        <v>227</v>
      </c>
      <c r="P3" s="47">
        <f>+COUNTIF(E:E,O3)</f>
        <v>61</v>
      </c>
      <c r="Q3">
        <f>+P3+P4</f>
        <v>167</v>
      </c>
      <c r="W3" s="8"/>
    </row>
    <row r="4" spans="1:23" x14ac:dyDescent="0.3">
      <c r="A4" s="1">
        <v>3</v>
      </c>
      <c r="B4">
        <v>227.13</v>
      </c>
      <c r="C4">
        <v>222.33</v>
      </c>
      <c r="D4" s="74">
        <v>227.62562923509481</v>
      </c>
      <c r="E4" t="str">
        <f t="shared" si="1"/>
        <v>Compra</v>
      </c>
      <c r="F4" t="str">
        <f t="shared" si="2"/>
        <v>Negativo</v>
      </c>
      <c r="G4" s="4">
        <f t="shared" si="3"/>
        <v>-2.1133271694624148E-2</v>
      </c>
      <c r="H4" s="4">
        <f t="shared" si="4"/>
        <v>2.182139017720294E-3</v>
      </c>
      <c r="I4" s="47" t="str">
        <f t="shared" si="5"/>
        <v>Venta</v>
      </c>
      <c r="J4" s="47" t="str">
        <f t="shared" si="6"/>
        <v>CompraVenta</v>
      </c>
      <c r="K4" s="47"/>
      <c r="L4" s="47"/>
      <c r="N4" s="47" t="s">
        <v>229</v>
      </c>
      <c r="O4" s="47" t="s">
        <v>228</v>
      </c>
      <c r="P4" s="47">
        <f>+COUNTIF(E:E,O4)</f>
        <v>106</v>
      </c>
      <c r="R4" t="s">
        <v>211</v>
      </c>
      <c r="W4" s="8"/>
    </row>
    <row r="5" spans="1:23" x14ac:dyDescent="0.3">
      <c r="A5" s="1">
        <v>4</v>
      </c>
      <c r="B5">
        <v>223.2</v>
      </c>
      <c r="C5">
        <v>224.85</v>
      </c>
      <c r="D5" s="74">
        <v>223.69674884955671</v>
      </c>
      <c r="E5" t="str">
        <f t="shared" si="1"/>
        <v>Compra</v>
      </c>
      <c r="F5" t="str">
        <f t="shared" si="2"/>
        <v>Positivo</v>
      </c>
      <c r="G5" s="4">
        <f t="shared" si="3"/>
        <v>7.3924731182795954E-3</v>
      </c>
      <c r="H5" s="4">
        <f t="shared" si="4"/>
        <v>2.2255772829602324E-3</v>
      </c>
      <c r="I5" s="47" t="str">
        <f t="shared" si="5"/>
        <v>Compra</v>
      </c>
      <c r="J5" s="47" t="str">
        <f t="shared" si="6"/>
        <v>CompraCompra</v>
      </c>
      <c r="K5" s="47"/>
      <c r="L5" s="47"/>
      <c r="N5" s="47"/>
      <c r="O5" s="47"/>
      <c r="P5" s="47"/>
      <c r="W5" s="8"/>
    </row>
    <row r="6" spans="1:23" x14ac:dyDescent="0.3">
      <c r="A6" s="1">
        <v>5</v>
      </c>
      <c r="B6">
        <v>226.9</v>
      </c>
      <c r="C6">
        <v>227.125</v>
      </c>
      <c r="D6" s="74">
        <v>227.04760857430529</v>
      </c>
      <c r="E6" t="str">
        <f t="shared" si="1"/>
        <v>Compra</v>
      </c>
      <c r="F6" t="str">
        <f t="shared" si="2"/>
        <v>Positivo</v>
      </c>
      <c r="G6" s="4">
        <f t="shared" si="3"/>
        <v>9.9162626707798279E-4</v>
      </c>
      <c r="H6" s="4">
        <f t="shared" si="4"/>
        <v>6.5054462012023194E-4</v>
      </c>
      <c r="I6" s="47" t="str">
        <f t="shared" si="5"/>
        <v>Compra</v>
      </c>
      <c r="J6" s="47" t="str">
        <f t="shared" si="6"/>
        <v>CompraCompra</v>
      </c>
      <c r="K6" s="47"/>
      <c r="L6" s="47"/>
      <c r="N6" s="47"/>
      <c r="O6" s="47"/>
      <c r="P6" s="47"/>
      <c r="R6" s="22"/>
      <c r="W6" s="8"/>
    </row>
    <row r="7" spans="1:23" x14ac:dyDescent="0.3">
      <c r="A7" s="1">
        <v>6</v>
      </c>
      <c r="B7">
        <v>227.845</v>
      </c>
      <c r="C7">
        <v>228.88</v>
      </c>
      <c r="D7" s="74">
        <v>227.9962337550981</v>
      </c>
      <c r="E7" t="str">
        <f t="shared" si="1"/>
        <v>Compra</v>
      </c>
      <c r="F7" t="str">
        <f t="shared" si="2"/>
        <v>Positivo</v>
      </c>
      <c r="G7" s="4">
        <f t="shared" si="3"/>
        <v>4.5425618293137727E-3</v>
      </c>
      <c r="H7" s="4">
        <f t="shared" si="4"/>
        <v>6.6375718184776683E-4</v>
      </c>
      <c r="I7" s="47" t="str">
        <f t="shared" si="5"/>
        <v>Compra</v>
      </c>
      <c r="J7" s="47" t="str">
        <f t="shared" si="6"/>
        <v>CompraCompra</v>
      </c>
      <c r="K7" s="47"/>
      <c r="L7" s="47"/>
      <c r="N7" s="48"/>
      <c r="O7" s="49"/>
      <c r="P7" s="49" t="s">
        <v>225</v>
      </c>
      <c r="Q7" s="50"/>
      <c r="R7" s="50"/>
      <c r="S7" s="50"/>
      <c r="T7" s="50"/>
      <c r="U7" s="51"/>
      <c r="W7" s="8"/>
    </row>
    <row r="8" spans="1:23" x14ac:dyDescent="0.3">
      <c r="A8" s="1">
        <v>7</v>
      </c>
      <c r="B8">
        <v>231.6</v>
      </c>
      <c r="C8">
        <v>235.65</v>
      </c>
      <c r="D8" s="74">
        <v>231.82924937615181</v>
      </c>
      <c r="E8" t="str">
        <f t="shared" si="1"/>
        <v>Compra</v>
      </c>
      <c r="F8" t="str">
        <f t="shared" si="2"/>
        <v>Positivo</v>
      </c>
      <c r="G8" s="4">
        <f t="shared" si="3"/>
        <v>1.7487046632124401E-2</v>
      </c>
      <c r="H8" s="4">
        <f t="shared" si="4"/>
        <v>9.8985050151905482E-4</v>
      </c>
      <c r="I8" s="47" t="str">
        <f t="shared" si="5"/>
        <v>Compra</v>
      </c>
      <c r="J8" s="47" t="str">
        <f t="shared" si="6"/>
        <v>CompraCompra</v>
      </c>
      <c r="K8" s="47"/>
      <c r="L8" s="47"/>
      <c r="N8" s="52"/>
      <c r="O8" s="47"/>
      <c r="P8" s="47" t="s">
        <v>227</v>
      </c>
      <c r="Q8" t="s">
        <v>228</v>
      </c>
      <c r="U8" s="53"/>
      <c r="W8" s="8"/>
    </row>
    <row r="9" spans="1:23" x14ac:dyDescent="0.3">
      <c r="A9" s="1">
        <v>8</v>
      </c>
      <c r="B9">
        <v>235.58</v>
      </c>
      <c r="C9">
        <v>238.535</v>
      </c>
      <c r="D9" s="74">
        <v>235.66255644454529</v>
      </c>
      <c r="E9" t="str">
        <f t="shared" si="1"/>
        <v>Compra</v>
      </c>
      <c r="F9" t="str">
        <f t="shared" si="2"/>
        <v>Positivo</v>
      </c>
      <c r="G9" s="4">
        <f t="shared" si="3"/>
        <v>1.2543509635792444E-2</v>
      </c>
      <c r="H9" s="4">
        <f t="shared" si="4"/>
        <v>3.5043910580386938E-4</v>
      </c>
      <c r="I9" s="47" t="str">
        <f t="shared" si="5"/>
        <v>Compra</v>
      </c>
      <c r="J9" s="47" t="str">
        <f t="shared" si="6"/>
        <v>CompraCompra</v>
      </c>
      <c r="K9" s="47"/>
      <c r="L9" s="47"/>
      <c r="N9" s="52" t="s">
        <v>226</v>
      </c>
      <c r="O9" s="47" t="s">
        <v>227</v>
      </c>
      <c r="P9" s="47">
        <f>+COUNTIF(J:J,O9&amp;P8)</f>
        <v>32</v>
      </c>
      <c r="Q9">
        <f>+COUNTIF(J:J,O9&amp;Q8)</f>
        <v>29</v>
      </c>
      <c r="R9">
        <f>+Q9+P9</f>
        <v>61</v>
      </c>
      <c r="U9" s="53"/>
      <c r="W9" s="8"/>
    </row>
    <row r="10" spans="1:23" x14ac:dyDescent="0.3">
      <c r="A10" s="1">
        <v>9</v>
      </c>
      <c r="B10">
        <v>237.065</v>
      </c>
      <c r="C10">
        <v>239.19499999999999</v>
      </c>
      <c r="D10" s="74">
        <v>237.2958738448844</v>
      </c>
      <c r="E10" t="str">
        <f t="shared" si="1"/>
        <v>Compra</v>
      </c>
      <c r="F10" t="str">
        <f t="shared" si="2"/>
        <v>Positivo</v>
      </c>
      <c r="G10" s="4">
        <f t="shared" si="3"/>
        <v>8.9848775652247078E-3</v>
      </c>
      <c r="H10" s="4">
        <f t="shared" si="4"/>
        <v>9.7388414521080578E-4</v>
      </c>
      <c r="I10" s="47" t="str">
        <f t="shared" si="5"/>
        <v>Compra</v>
      </c>
      <c r="J10" s="47" t="str">
        <f t="shared" si="6"/>
        <v>CompraCompra</v>
      </c>
      <c r="K10" s="47"/>
      <c r="L10" s="47"/>
      <c r="N10" s="52"/>
      <c r="O10" s="47" t="s">
        <v>228</v>
      </c>
      <c r="P10" s="47">
        <f>+COUNTIF(J:J,O10&amp;P8)</f>
        <v>53</v>
      </c>
      <c r="Q10">
        <f>+COUNTIF(J:J,O10&amp;Q8)</f>
        <v>53</v>
      </c>
      <c r="R10">
        <f>+Q10+P10</f>
        <v>106</v>
      </c>
      <c r="S10">
        <f>+R10+R9</f>
        <v>167</v>
      </c>
      <c r="U10" s="53"/>
      <c r="W10" s="8"/>
    </row>
    <row r="11" spans="1:23" x14ac:dyDescent="0.3">
      <c r="A11" s="1">
        <v>10</v>
      </c>
      <c r="B11">
        <v>238.005</v>
      </c>
      <c r="C11">
        <v>240.43</v>
      </c>
      <c r="D11" s="74">
        <v>238.5173472755489</v>
      </c>
      <c r="E11" t="str">
        <f t="shared" si="1"/>
        <v>Compra</v>
      </c>
      <c r="F11" t="str">
        <f t="shared" si="2"/>
        <v>Positivo</v>
      </c>
      <c r="G11" s="4">
        <f t="shared" si="3"/>
        <v>1.0188861578538313E-2</v>
      </c>
      <c r="H11" s="4">
        <f t="shared" si="4"/>
        <v>2.1526744209109249E-3</v>
      </c>
      <c r="I11" s="47" t="str">
        <f t="shared" si="5"/>
        <v>Compra</v>
      </c>
      <c r="J11" s="47" t="str">
        <f t="shared" si="6"/>
        <v>CompraCompra</v>
      </c>
      <c r="K11" s="47"/>
      <c r="L11" s="47"/>
      <c r="N11" s="52"/>
      <c r="O11" s="47"/>
      <c r="P11" s="47">
        <f>+P10+P9</f>
        <v>85</v>
      </c>
      <c r="Q11" s="47">
        <f>+Q10+Q9</f>
        <v>82</v>
      </c>
      <c r="U11" s="53"/>
      <c r="W11" s="8"/>
    </row>
    <row r="12" spans="1:23" x14ac:dyDescent="0.3">
      <c r="A12" s="1">
        <v>11</v>
      </c>
      <c r="B12">
        <v>241.74</v>
      </c>
      <c r="C12">
        <v>235.81</v>
      </c>
      <c r="D12" s="74">
        <v>242.0841832423221</v>
      </c>
      <c r="E12" t="str">
        <f t="shared" si="1"/>
        <v>Compra</v>
      </c>
      <c r="F12" t="str">
        <f t="shared" si="2"/>
        <v>Negativo</v>
      </c>
      <c r="G12" s="4">
        <f t="shared" si="3"/>
        <v>-2.4530487300405423E-2</v>
      </c>
      <c r="H12" s="4">
        <f t="shared" si="4"/>
        <v>1.423774478042892E-3</v>
      </c>
      <c r="I12" s="47" t="str">
        <f t="shared" si="5"/>
        <v>Venta</v>
      </c>
      <c r="J12" s="47" t="str">
        <f t="shared" si="6"/>
        <v>CompraVenta</v>
      </c>
      <c r="K12" s="47"/>
      <c r="L12" s="47"/>
      <c r="N12" s="52"/>
      <c r="O12" s="47"/>
      <c r="P12" s="47"/>
      <c r="Q12">
        <f>+Q11+P11</f>
        <v>167</v>
      </c>
      <c r="U12" s="53">
        <f>+T13+T15</f>
        <v>85</v>
      </c>
      <c r="W12" s="8"/>
    </row>
    <row r="13" spans="1:23" x14ac:dyDescent="0.3">
      <c r="A13" s="1">
        <v>12</v>
      </c>
      <c r="B13">
        <v>234.41</v>
      </c>
      <c r="C13">
        <v>231.9</v>
      </c>
      <c r="D13" s="74">
        <v>235.25474834392639</v>
      </c>
      <c r="E13" t="str">
        <f t="shared" si="1"/>
        <v>Compra</v>
      </c>
      <c r="F13" t="str">
        <f t="shared" si="2"/>
        <v>Negativo</v>
      </c>
      <c r="G13" s="4">
        <f t="shared" si="3"/>
        <v>-1.0707734311676084E-2</v>
      </c>
      <c r="H13" s="4">
        <f t="shared" si="4"/>
        <v>3.6037214450168409E-3</v>
      </c>
      <c r="I13" s="47" t="str">
        <f t="shared" si="5"/>
        <v>Venta</v>
      </c>
      <c r="J13" s="47" t="str">
        <f t="shared" si="6"/>
        <v>CompraVenta</v>
      </c>
      <c r="K13" s="47"/>
      <c r="L13" s="47"/>
      <c r="N13" s="52"/>
      <c r="S13" t="s">
        <v>235</v>
      </c>
      <c r="T13">
        <f>+P9</f>
        <v>32</v>
      </c>
      <c r="U13" s="53"/>
      <c r="W13" s="8"/>
    </row>
    <row r="14" spans="1:23" x14ac:dyDescent="0.3">
      <c r="A14" s="1">
        <v>13</v>
      </c>
      <c r="B14">
        <v>234.94</v>
      </c>
      <c r="C14">
        <v>240.12</v>
      </c>
      <c r="D14" s="74">
        <v>235.69028480232001</v>
      </c>
      <c r="E14" t="str">
        <f t="shared" si="1"/>
        <v>Compra</v>
      </c>
      <c r="F14" t="str">
        <f t="shared" si="2"/>
        <v>Positivo</v>
      </c>
      <c r="G14" s="4">
        <f t="shared" si="3"/>
        <v>2.2048182514684631E-2</v>
      </c>
      <c r="H14" s="4">
        <f t="shared" si="4"/>
        <v>3.1935166524219381E-3</v>
      </c>
      <c r="I14" s="47" t="str">
        <f t="shared" si="5"/>
        <v>Compra</v>
      </c>
      <c r="J14" s="47" t="str">
        <f t="shared" si="6"/>
        <v>CompraCompra</v>
      </c>
      <c r="K14" s="47"/>
      <c r="L14" s="47"/>
      <c r="N14" s="52"/>
      <c r="O14" s="3" t="s">
        <v>231</v>
      </c>
      <c r="P14" s="54">
        <f>+(P9+Q10)/Q12</f>
        <v>0.50898203592814373</v>
      </c>
      <c r="Q14" s="31"/>
      <c r="S14" t="s">
        <v>238</v>
      </c>
      <c r="T14">
        <f>+Q9</f>
        <v>29</v>
      </c>
      <c r="U14" s="53"/>
      <c r="W14" s="8"/>
    </row>
    <row r="15" spans="1:23" x14ac:dyDescent="0.3">
      <c r="A15" s="1">
        <v>14</v>
      </c>
      <c r="B15">
        <v>240.935</v>
      </c>
      <c r="C15">
        <v>242.55</v>
      </c>
      <c r="D15" s="74">
        <v>241.36503043437719</v>
      </c>
      <c r="E15" t="str">
        <f t="shared" si="1"/>
        <v>Compra</v>
      </c>
      <c r="F15" t="str">
        <f t="shared" si="2"/>
        <v>Positivo</v>
      </c>
      <c r="G15" s="4">
        <f t="shared" si="3"/>
        <v>6.7030526905597319E-3</v>
      </c>
      <c r="H15" s="4">
        <f t="shared" si="4"/>
        <v>1.7848400372597879E-3</v>
      </c>
      <c r="I15" s="47" t="str">
        <f t="shared" si="5"/>
        <v>Compra</v>
      </c>
      <c r="J15" s="47" t="str">
        <f t="shared" si="6"/>
        <v>CompraCompra</v>
      </c>
      <c r="K15" s="47"/>
      <c r="L15" s="47"/>
      <c r="N15" s="52"/>
      <c r="O15" s="31"/>
      <c r="P15" s="3" t="s">
        <v>227</v>
      </c>
      <c r="Q15" s="31" t="s">
        <v>228</v>
      </c>
      <c r="S15" t="s">
        <v>236</v>
      </c>
      <c r="T15">
        <f>+Q10</f>
        <v>53</v>
      </c>
      <c r="U15" s="53"/>
      <c r="W15" s="8"/>
    </row>
    <row r="16" spans="1:23" x14ac:dyDescent="0.3">
      <c r="A16" s="1">
        <v>15</v>
      </c>
      <c r="B16">
        <v>242.995</v>
      </c>
      <c r="C16">
        <v>242.08500000000001</v>
      </c>
      <c r="D16" s="74">
        <v>243.18034621271491</v>
      </c>
      <c r="E16" t="str">
        <f t="shared" si="1"/>
        <v>Compra</v>
      </c>
      <c r="F16" t="str">
        <f t="shared" si="2"/>
        <v>Negativo</v>
      </c>
      <c r="G16" s="4">
        <f t="shared" si="3"/>
        <v>-3.7449330233132226E-3</v>
      </c>
      <c r="H16" s="4">
        <f t="shared" si="4"/>
        <v>7.6275731070558808E-4</v>
      </c>
      <c r="I16" s="47" t="str">
        <f t="shared" si="5"/>
        <v>Venta</v>
      </c>
      <c r="J16" s="47" t="str">
        <f t="shared" si="6"/>
        <v>CompraVenta</v>
      </c>
      <c r="K16" s="47"/>
      <c r="L16" s="47"/>
      <c r="N16" s="52"/>
      <c r="O16" s="3" t="s">
        <v>232</v>
      </c>
      <c r="P16" s="54">
        <f>+P9/(P9+Q9)</f>
        <v>0.52459016393442626</v>
      </c>
      <c r="Q16" s="30">
        <f>+Q10/(Q10+P10)</f>
        <v>0.5</v>
      </c>
      <c r="S16" t="s">
        <v>237</v>
      </c>
      <c r="T16">
        <f>+P10</f>
        <v>53</v>
      </c>
      <c r="U16" s="53"/>
      <c r="W16" s="8"/>
    </row>
    <row r="17" spans="1:44" x14ac:dyDescent="0.3">
      <c r="A17" s="1">
        <v>16</v>
      </c>
      <c r="B17">
        <v>234.03</v>
      </c>
      <c r="C17">
        <v>240.67500000000001</v>
      </c>
      <c r="D17" s="74">
        <v>235.08172826088551</v>
      </c>
      <c r="E17" t="str">
        <f t="shared" si="1"/>
        <v>Compra</v>
      </c>
      <c r="F17" t="str">
        <f t="shared" si="2"/>
        <v>Positivo</v>
      </c>
      <c r="G17" s="4">
        <f t="shared" si="3"/>
        <v>2.8393795667222194E-2</v>
      </c>
      <c r="H17" s="4">
        <f t="shared" si="4"/>
        <v>4.4939890650152166E-3</v>
      </c>
      <c r="I17" s="47" t="str">
        <f t="shared" si="5"/>
        <v>Compra</v>
      </c>
      <c r="J17" s="47" t="str">
        <f t="shared" si="6"/>
        <v>CompraCompra</v>
      </c>
      <c r="K17" s="47"/>
      <c r="L17" s="47"/>
      <c r="N17" s="52"/>
      <c r="O17" s="3" t="s">
        <v>233</v>
      </c>
      <c r="P17" s="54">
        <f>+P9/(P9+P10)</f>
        <v>0.37647058823529411</v>
      </c>
      <c r="Q17" s="30">
        <f>+Q10/(Q10+Q9)</f>
        <v>0.64634146341463417</v>
      </c>
      <c r="T17">
        <f>+SUM(T13:T16)</f>
        <v>167</v>
      </c>
      <c r="U17" s="53">
        <f>+T16+T14</f>
        <v>82</v>
      </c>
      <c r="W17" s="8"/>
    </row>
    <row r="18" spans="1:44" x14ac:dyDescent="0.3">
      <c r="A18" s="1">
        <v>17</v>
      </c>
      <c r="B18">
        <v>243.95500000000001</v>
      </c>
      <c r="C18">
        <v>248.07499999999999</v>
      </c>
      <c r="D18" s="74">
        <v>244.5303169244736</v>
      </c>
      <c r="E18" t="str">
        <f t="shared" si="1"/>
        <v>Compra</v>
      </c>
      <c r="F18" t="str">
        <f t="shared" si="2"/>
        <v>Positivo</v>
      </c>
      <c r="G18" s="4">
        <f t="shared" si="3"/>
        <v>1.6888360558299589E-2</v>
      </c>
      <c r="H18" s="4">
        <f t="shared" si="4"/>
        <v>2.3582911785927033E-3</v>
      </c>
      <c r="I18" s="47" t="str">
        <f t="shared" si="5"/>
        <v>Compra</v>
      </c>
      <c r="J18" s="47" t="str">
        <f t="shared" si="6"/>
        <v>CompraCompra</v>
      </c>
      <c r="K18" s="47"/>
      <c r="L18" s="47"/>
      <c r="N18" s="55"/>
      <c r="O18" s="56" t="s">
        <v>234</v>
      </c>
      <c r="P18" s="57">
        <f>2*P16*P17/(P16+P17)</f>
        <v>0.43835616438356162</v>
      </c>
      <c r="Q18" s="57">
        <f>2*Q16*Q17/(Q16+Q17)</f>
        <v>0.56382978723404253</v>
      </c>
      <c r="R18" s="58"/>
      <c r="S18" s="58"/>
      <c r="T18" s="58"/>
      <c r="U18" s="59"/>
      <c r="W18" s="8"/>
    </row>
    <row r="19" spans="1:44" x14ac:dyDescent="0.3">
      <c r="A19" s="1">
        <v>18</v>
      </c>
      <c r="B19">
        <v>248.755</v>
      </c>
      <c r="C19">
        <v>248.23500000000001</v>
      </c>
      <c r="D19" s="74">
        <v>249.35434716202329</v>
      </c>
      <c r="E19" t="str">
        <f t="shared" si="1"/>
        <v>Compra</v>
      </c>
      <c r="F19" t="str">
        <f t="shared" si="2"/>
        <v>Negativo</v>
      </c>
      <c r="G19" s="4">
        <f t="shared" si="3"/>
        <v>-2.0904102430101177E-3</v>
      </c>
      <c r="H19" s="4">
        <f t="shared" si="4"/>
        <v>2.4093873973318825E-3</v>
      </c>
      <c r="I19" s="47" t="str">
        <f t="shared" si="5"/>
        <v>Venta</v>
      </c>
      <c r="J19" s="47" t="str">
        <f t="shared" si="6"/>
        <v>CompraVenta</v>
      </c>
      <c r="K19" s="47"/>
      <c r="L19" s="47"/>
      <c r="N19" s="47"/>
      <c r="O19" s="47"/>
      <c r="P19" s="47"/>
      <c r="Q19">
        <v>252</v>
      </c>
      <c r="W19" s="8"/>
    </row>
    <row r="20" spans="1:44" x14ac:dyDescent="0.3">
      <c r="A20" s="1">
        <v>19</v>
      </c>
      <c r="B20">
        <v>244.285</v>
      </c>
      <c r="C20">
        <v>242.83500000000001</v>
      </c>
      <c r="D20" s="74">
        <v>245.12687420109691</v>
      </c>
      <c r="E20" t="str">
        <f t="shared" si="1"/>
        <v>Compra</v>
      </c>
      <c r="F20" t="str">
        <f t="shared" si="2"/>
        <v>Negativo</v>
      </c>
      <c r="G20" s="4">
        <f t="shared" si="3"/>
        <v>-5.9356898704381713E-3</v>
      </c>
      <c r="H20" s="4">
        <f t="shared" si="4"/>
        <v>3.446278736299462E-3</v>
      </c>
      <c r="I20" s="47" t="str">
        <f t="shared" si="5"/>
        <v>Venta</v>
      </c>
      <c r="J20" s="47" t="str">
        <f t="shared" si="6"/>
        <v>CompraVenta</v>
      </c>
      <c r="K20" s="47"/>
      <c r="L20" s="47"/>
      <c r="N20" s="47"/>
      <c r="O20" s="47"/>
      <c r="P20" s="47"/>
      <c r="Q20" s="10">
        <f>+'Flujo de caja'!J169</f>
        <v>97701.570820898851</v>
      </c>
      <c r="R20" s="10">
        <f>+'Flujo de caja'!L169</f>
        <v>96192.065511140798</v>
      </c>
      <c r="U20" s="10">
        <f>+'Flujo de caja'!O169</f>
        <v>64667.570820898873</v>
      </c>
      <c r="V20" s="10">
        <f>+'Flujo de caja'!Q169</f>
        <v>68768.074388651337</v>
      </c>
      <c r="W20" s="8"/>
      <c r="X20" s="8" t="s">
        <v>285</v>
      </c>
      <c r="Y20" s="8" t="s">
        <v>285</v>
      </c>
      <c r="Z20" s="8" t="s">
        <v>285</v>
      </c>
      <c r="AA20" s="8" t="s">
        <v>286</v>
      </c>
      <c r="AB20" s="8" t="s">
        <v>286</v>
      </c>
      <c r="AC20" s="8" t="s">
        <v>286</v>
      </c>
    </row>
    <row r="21" spans="1:44" x14ac:dyDescent="0.3">
      <c r="A21" s="1">
        <v>20</v>
      </c>
      <c r="B21">
        <v>243.58</v>
      </c>
      <c r="C21">
        <v>247.83500000000001</v>
      </c>
      <c r="D21" s="74">
        <v>244.47790424166681</v>
      </c>
      <c r="E21" t="str">
        <f t="shared" si="1"/>
        <v>Compra</v>
      </c>
      <c r="F21" t="str">
        <f t="shared" si="2"/>
        <v>Positivo</v>
      </c>
      <c r="G21" s="4">
        <f t="shared" si="3"/>
        <v>1.7468593480581308E-2</v>
      </c>
      <c r="H21" s="4">
        <f t="shared" si="4"/>
        <v>3.6862806538582545E-3</v>
      </c>
      <c r="I21" s="47" t="str">
        <f t="shared" si="5"/>
        <v>Compra</v>
      </c>
      <c r="J21" s="47" t="str">
        <f t="shared" si="6"/>
        <v>CompraCompra</v>
      </c>
      <c r="K21" s="47"/>
      <c r="L21" s="47"/>
      <c r="N21" s="60"/>
      <c r="O21" s="61" t="s">
        <v>212</v>
      </c>
      <c r="P21" s="61" t="s">
        <v>198</v>
      </c>
      <c r="Q21" s="61" t="s">
        <v>9</v>
      </c>
      <c r="R21" s="61" t="s">
        <v>10</v>
      </c>
      <c r="S21" s="70" t="s">
        <v>212</v>
      </c>
      <c r="T21" s="61" t="s">
        <v>198</v>
      </c>
      <c r="U21" s="61" t="s">
        <v>9</v>
      </c>
      <c r="V21" s="71" t="s">
        <v>10</v>
      </c>
      <c r="W21" s="66" t="s">
        <v>231</v>
      </c>
      <c r="X21" s="66" t="s">
        <v>232</v>
      </c>
      <c r="Y21" s="66" t="s">
        <v>233</v>
      </c>
      <c r="Z21" s="66" t="s">
        <v>234</v>
      </c>
      <c r="AA21" s="66" t="s">
        <v>232</v>
      </c>
      <c r="AB21" s="66" t="s">
        <v>233</v>
      </c>
      <c r="AC21" s="67" t="s">
        <v>234</v>
      </c>
      <c r="AD21" s="31" t="s">
        <v>287</v>
      </c>
      <c r="AE21" s="31" t="s">
        <v>288</v>
      </c>
      <c r="AF21" s="31" t="s">
        <v>289</v>
      </c>
      <c r="AG21" s="31" t="s">
        <v>290</v>
      </c>
      <c r="AH21" s="31" t="s">
        <v>291</v>
      </c>
      <c r="AI21" s="31"/>
    </row>
    <row r="22" spans="1:44" x14ac:dyDescent="0.3">
      <c r="A22" s="1">
        <v>21</v>
      </c>
      <c r="B22">
        <v>247.875</v>
      </c>
      <c r="C22">
        <v>252.72499999999999</v>
      </c>
      <c r="D22" s="74">
        <v>248.44986209229401</v>
      </c>
      <c r="E22" t="str">
        <f t="shared" si="1"/>
        <v>Compra</v>
      </c>
      <c r="F22" t="str">
        <f t="shared" si="2"/>
        <v>Positivo</v>
      </c>
      <c r="G22" s="4">
        <f t="shared" si="3"/>
        <v>1.9566313666162356E-2</v>
      </c>
      <c r="H22" s="4">
        <f t="shared" si="4"/>
        <v>2.3191612397136137E-3</v>
      </c>
      <c r="I22" s="47" t="str">
        <f t="shared" si="5"/>
        <v>Compra</v>
      </c>
      <c r="J22" s="47" t="str">
        <f t="shared" si="6"/>
        <v>CompraCompra</v>
      </c>
      <c r="K22" s="47"/>
      <c r="L22" s="47"/>
      <c r="N22" s="62"/>
      <c r="O22" s="32">
        <v>0</v>
      </c>
      <c r="P22" s="32">
        <v>0</v>
      </c>
      <c r="Q22" s="34">
        <f>+(Q20-'Flujo de caja'!A2)/'Flujo de caja'!A2</f>
        <v>-2.2984291791011493E-2</v>
      </c>
      <c r="R22" s="34">
        <f>+(R20-'Flujo de caja'!A2)/'Flujo de caja'!A2</f>
        <v>-3.807934488859202E-2</v>
      </c>
      <c r="S22" s="72">
        <v>6</v>
      </c>
      <c r="T22" s="63">
        <v>1.9300000000000001E-3</v>
      </c>
      <c r="U22" s="34">
        <f>+(U20-'Flujo de caja'!A2)/'Flujo de caja'!A2</f>
        <v>-0.35332429179101127</v>
      </c>
      <c r="V22" s="64">
        <f>+(V20-'Flujo de caja'!A2)/'Flujo de caja'!A2</f>
        <v>-0.31231925611348665</v>
      </c>
      <c r="W22" s="4">
        <f>+P14</f>
        <v>0.50898203592814373</v>
      </c>
      <c r="X22" s="76">
        <f>+P16</f>
        <v>0.52459016393442626</v>
      </c>
      <c r="Y22" s="77">
        <f>+P17</f>
        <v>0.37647058823529411</v>
      </c>
      <c r="Z22" s="77">
        <f>+P18</f>
        <v>0.43835616438356162</v>
      </c>
      <c r="AA22" s="77">
        <f>+Q16</f>
        <v>0.5</v>
      </c>
      <c r="AB22" s="77">
        <f>+Q17</f>
        <v>0.64634146341463417</v>
      </c>
      <c r="AC22" s="78">
        <f>+Q18</f>
        <v>0.56382978723404253</v>
      </c>
    </row>
    <row r="23" spans="1:44" x14ac:dyDescent="0.3">
      <c r="A23" s="1">
        <v>22</v>
      </c>
      <c r="B23">
        <v>259.17500000000001</v>
      </c>
      <c r="C23">
        <v>264.63499999999999</v>
      </c>
      <c r="D23" s="74">
        <v>259.06442841722651</v>
      </c>
      <c r="E23" t="str">
        <f t="shared" si="1"/>
        <v>Venta</v>
      </c>
      <c r="F23" t="str">
        <f t="shared" si="2"/>
        <v>Negativo</v>
      </c>
      <c r="G23" s="4">
        <f t="shared" si="3"/>
        <v>-2.1066846725185606E-2</v>
      </c>
      <c r="H23" s="4">
        <f t="shared" si="4"/>
        <v>4.266290451374652E-4</v>
      </c>
      <c r="I23" s="47" t="str">
        <f t="shared" si="5"/>
        <v>Compra</v>
      </c>
      <c r="J23" s="47" t="str">
        <f t="shared" si="6"/>
        <v>VentaCompra</v>
      </c>
      <c r="K23" s="47"/>
      <c r="L23" s="47"/>
      <c r="N23" s="52"/>
      <c r="O23" s="61" t="s">
        <v>212</v>
      </c>
      <c r="P23" s="61" t="s">
        <v>198</v>
      </c>
      <c r="Q23" s="61" t="s">
        <v>9</v>
      </c>
      <c r="R23" s="61" t="s">
        <v>10</v>
      </c>
      <c r="S23" s="70" t="s">
        <v>212</v>
      </c>
      <c r="T23" s="61" t="s">
        <v>198</v>
      </c>
      <c r="U23" s="61" t="s">
        <v>9</v>
      </c>
      <c r="V23" s="71" t="s">
        <v>10</v>
      </c>
      <c r="W23" s="66" t="s">
        <v>231</v>
      </c>
      <c r="X23" s="66" t="s">
        <v>232</v>
      </c>
      <c r="Y23" s="66" t="s">
        <v>233</v>
      </c>
      <c r="Z23" s="66" t="s">
        <v>234</v>
      </c>
      <c r="AA23" s="66" t="s">
        <v>232</v>
      </c>
      <c r="AB23" s="66" t="s">
        <v>233</v>
      </c>
      <c r="AC23" s="67" t="s">
        <v>234</v>
      </c>
      <c r="AD23" s="31" t="s">
        <v>287</v>
      </c>
      <c r="AE23" s="31" t="s">
        <v>288</v>
      </c>
      <c r="AF23" s="31" t="s">
        <v>289</v>
      </c>
      <c r="AG23" s="31" t="s">
        <v>290</v>
      </c>
      <c r="AH23" s="31" t="s">
        <v>291</v>
      </c>
      <c r="AK23" s="69"/>
      <c r="AL23" s="69"/>
      <c r="AM23" s="69"/>
      <c r="AN23" s="69"/>
      <c r="AO23" s="69"/>
      <c r="AP23" s="31"/>
      <c r="AQ23" s="31"/>
      <c r="AR23" s="31"/>
    </row>
    <row r="24" spans="1:44" x14ac:dyDescent="0.3">
      <c r="A24" s="1">
        <v>23</v>
      </c>
      <c r="B24">
        <v>259.58</v>
      </c>
      <c r="C24">
        <v>258.37</v>
      </c>
      <c r="D24" s="74">
        <v>259.75553755818629</v>
      </c>
      <c r="E24" t="str">
        <f t="shared" si="1"/>
        <v>Compra</v>
      </c>
      <c r="F24" t="str">
        <f t="shared" si="2"/>
        <v>Negativo</v>
      </c>
      <c r="G24" s="4">
        <f t="shared" si="3"/>
        <v>-4.661376069034516E-3</v>
      </c>
      <c r="H24" s="4">
        <f t="shared" si="4"/>
        <v>6.7623683714579841E-4</v>
      </c>
      <c r="I24" s="47" t="str">
        <f t="shared" si="5"/>
        <v>Venta</v>
      </c>
      <c r="J24" s="47" t="str">
        <f t="shared" si="6"/>
        <v>CompraVenta</v>
      </c>
      <c r="K24" s="47"/>
      <c r="L24" s="47"/>
      <c r="N24" s="52" t="s">
        <v>260</v>
      </c>
      <c r="O24" s="32">
        <v>0</v>
      </c>
      <c r="P24" s="32">
        <v>0</v>
      </c>
      <c r="Q24" s="34">
        <v>0.23385871001429767</v>
      </c>
      <c r="R24" s="34">
        <v>0.22800622001934157</v>
      </c>
      <c r="S24" s="72">
        <v>6</v>
      </c>
      <c r="T24" s="63">
        <v>1.5900000000000001E-3</v>
      </c>
      <c r="U24" s="34">
        <v>-0.17534128998570203</v>
      </c>
      <c r="V24" s="64">
        <v>-0.18770239138463729</v>
      </c>
      <c r="W24" s="4">
        <v>0.54618473895582331</v>
      </c>
      <c r="X24" s="76">
        <v>0.58878504672897192</v>
      </c>
      <c r="Y24" s="77">
        <v>0.47727272727272729</v>
      </c>
      <c r="Z24" s="77">
        <v>0.52719665271966532</v>
      </c>
      <c r="AA24" s="77">
        <v>0.5140845070422535</v>
      </c>
      <c r="AB24" s="77">
        <v>0.62393162393162394</v>
      </c>
      <c r="AC24" s="78">
        <v>0.56370656370656369</v>
      </c>
      <c r="AD24">
        <v>2.6397490978266358</v>
      </c>
      <c r="AE24">
        <v>1.195052736186399</v>
      </c>
      <c r="AF24">
        <v>1.1967096092270891E-2</v>
      </c>
      <c r="AG24">
        <v>0.95737436845234314</v>
      </c>
      <c r="AH24">
        <v>0.95502634637556538</v>
      </c>
      <c r="AI24" s="22">
        <v>2.6397490978266358</v>
      </c>
    </row>
    <row r="25" spans="1:44" x14ac:dyDescent="0.3">
      <c r="A25" s="1">
        <v>24</v>
      </c>
      <c r="B25">
        <v>256.78500000000003</v>
      </c>
      <c r="C25">
        <v>256.91000000000003</v>
      </c>
      <c r="D25" s="74">
        <v>257.25528524776081</v>
      </c>
      <c r="E25" t="str">
        <f t="shared" si="1"/>
        <v>Compra</v>
      </c>
      <c r="F25" t="str">
        <f t="shared" si="2"/>
        <v>Positivo</v>
      </c>
      <c r="G25" s="4">
        <f t="shared" si="3"/>
        <v>4.8678855852172045E-4</v>
      </c>
      <c r="H25" s="4">
        <f t="shared" si="4"/>
        <v>1.831435822812021E-3</v>
      </c>
      <c r="I25" s="47" t="str">
        <f t="shared" si="5"/>
        <v>Compra</v>
      </c>
      <c r="J25" s="47" t="str">
        <f t="shared" si="6"/>
        <v>CompraCompra</v>
      </c>
      <c r="K25" s="47"/>
      <c r="L25" s="47"/>
      <c r="N25" s="52" t="s">
        <v>261</v>
      </c>
      <c r="O25" s="32">
        <v>0</v>
      </c>
      <c r="P25" s="32">
        <v>0</v>
      </c>
      <c r="Q25" s="34">
        <v>0.19766052111490717</v>
      </c>
      <c r="R25" s="34">
        <v>0.18363786735109694</v>
      </c>
      <c r="S25" s="72">
        <v>6</v>
      </c>
      <c r="T25" s="63">
        <v>1.5900000000000001E-3</v>
      </c>
      <c r="U25" s="34">
        <v>-0.21153947888509284</v>
      </c>
      <c r="V25" s="64">
        <v>-0.21812489035278093</v>
      </c>
      <c r="W25" s="4">
        <v>0.50200803212851408</v>
      </c>
      <c r="X25" s="76">
        <v>0.53125</v>
      </c>
      <c r="Y25" s="77">
        <v>0.51515151515151514</v>
      </c>
      <c r="Z25" s="77">
        <v>0.52307692307692311</v>
      </c>
      <c r="AA25" s="77">
        <v>0.47107438016528924</v>
      </c>
      <c r="AB25" s="77">
        <v>0.48717948717948717</v>
      </c>
      <c r="AC25" s="78">
        <v>0.47899159663865543</v>
      </c>
      <c r="AD25">
        <v>87155.145944369942</v>
      </c>
      <c r="AE25">
        <v>95.623664325647383</v>
      </c>
      <c r="AF25">
        <v>0.9185083681661993</v>
      </c>
      <c r="AG25">
        <v>-1406.347062478646</v>
      </c>
      <c r="AH25">
        <v>-1483.8704176151821</v>
      </c>
      <c r="AI25" s="22">
        <v>315.5331768750151</v>
      </c>
    </row>
    <row r="26" spans="1:44" x14ac:dyDescent="0.3">
      <c r="A26" s="1">
        <v>25</v>
      </c>
      <c r="B26">
        <v>260.48</v>
      </c>
      <c r="C26">
        <v>267.60000000000002</v>
      </c>
      <c r="D26" s="74">
        <v>260.62768257931299</v>
      </c>
      <c r="E26" t="str">
        <f t="shared" si="1"/>
        <v>Compra</v>
      </c>
      <c r="F26" t="str">
        <f t="shared" si="2"/>
        <v>Positivo</v>
      </c>
      <c r="G26" s="4">
        <f t="shared" si="3"/>
        <v>2.7334152334152349E-2</v>
      </c>
      <c r="H26" s="4">
        <f t="shared" si="4"/>
        <v>5.6696321910692019E-4</v>
      </c>
      <c r="I26" s="47" t="str">
        <f t="shared" si="5"/>
        <v>Compra</v>
      </c>
      <c r="J26" s="47" t="str">
        <f t="shared" si="6"/>
        <v>CompraCompra</v>
      </c>
      <c r="K26" s="47"/>
      <c r="L26" s="47"/>
      <c r="N26" s="52" t="s">
        <v>262</v>
      </c>
      <c r="O26" s="32">
        <v>0</v>
      </c>
      <c r="P26" s="32">
        <v>0</v>
      </c>
      <c r="Q26" s="34">
        <v>0.13893076332944504</v>
      </c>
      <c r="R26" s="34">
        <v>0.11485277175184441</v>
      </c>
      <c r="S26" s="72">
        <v>6</v>
      </c>
      <c r="T26" s="63">
        <v>1.5900000000000001E-3</v>
      </c>
      <c r="U26" s="34">
        <v>-0.27026923667055514</v>
      </c>
      <c r="V26" s="64">
        <v>-0.26492913436706367</v>
      </c>
      <c r="W26" s="4">
        <v>0.46987951807228917</v>
      </c>
      <c r="X26" s="76" t="e">
        <v>#DIV/0!</v>
      </c>
      <c r="Y26" s="77">
        <v>0</v>
      </c>
      <c r="Z26" s="77" t="e">
        <v>#DIV/0!</v>
      </c>
      <c r="AA26" s="77">
        <v>0.46987951807228917</v>
      </c>
      <c r="AB26" s="77">
        <v>1</v>
      </c>
      <c r="AC26" s="78">
        <v>0.63934426229508201</v>
      </c>
      <c r="AD26">
        <v>952.25942094007473</v>
      </c>
      <c r="AE26">
        <v>29.60874363721733</v>
      </c>
      <c r="AF26">
        <v>0.28804307370614662</v>
      </c>
      <c r="AG26">
        <v>-14.37671108522999</v>
      </c>
      <c r="AH26">
        <v>-15.22373330602656</v>
      </c>
      <c r="AI26" s="22">
        <v>636.50653772844919</v>
      </c>
    </row>
    <row r="27" spans="1:44" x14ac:dyDescent="0.3">
      <c r="A27" s="1">
        <v>26</v>
      </c>
      <c r="B27">
        <v>273.005</v>
      </c>
      <c r="C27">
        <v>266.86500000000001</v>
      </c>
      <c r="D27" s="74">
        <v>272.73765410530751</v>
      </c>
      <c r="E27" t="str">
        <f t="shared" si="1"/>
        <v>Venta</v>
      </c>
      <c r="F27" t="str">
        <f t="shared" si="2"/>
        <v>Positivo</v>
      </c>
      <c r="G27" s="4">
        <f t="shared" si="3"/>
        <v>2.2490430578194488E-2</v>
      </c>
      <c r="H27" s="4">
        <f t="shared" si="4"/>
        <v>9.7927105618022571E-4</v>
      </c>
      <c r="I27" s="47" t="str">
        <f t="shared" si="5"/>
        <v>Venta</v>
      </c>
      <c r="J27" s="47" t="str">
        <f t="shared" si="6"/>
        <v>VentaVenta</v>
      </c>
      <c r="K27" s="47"/>
      <c r="L27" s="47"/>
      <c r="N27" s="52" t="s">
        <v>263</v>
      </c>
      <c r="O27" s="32">
        <v>0</v>
      </c>
      <c r="P27" s="32">
        <v>0</v>
      </c>
      <c r="Q27" s="34">
        <v>0.17820778800792933</v>
      </c>
      <c r="R27" s="34">
        <v>0.16011731717056943</v>
      </c>
      <c r="S27" s="72">
        <v>6</v>
      </c>
      <c r="T27" s="63">
        <v>1.5900000000000001E-3</v>
      </c>
      <c r="U27" s="34">
        <v>-0.23099221199207082</v>
      </c>
      <c r="V27" s="64">
        <v>-0.23442085324090933</v>
      </c>
      <c r="W27" s="4">
        <v>0.47389558232931728</v>
      </c>
      <c r="X27" s="76">
        <v>1</v>
      </c>
      <c r="Y27" s="77">
        <v>7.575757575757576E-3</v>
      </c>
      <c r="Z27" s="77">
        <v>1.5037593984962407E-2</v>
      </c>
      <c r="AA27" s="77">
        <v>0.47177419354838712</v>
      </c>
      <c r="AB27" s="77">
        <v>1</v>
      </c>
      <c r="AC27" s="78">
        <v>0.64109589041095894</v>
      </c>
      <c r="AD27">
        <v>266.80331100100028</v>
      </c>
      <c r="AE27">
        <v>14.37165000000001</v>
      </c>
      <c r="AF27">
        <v>0.1369823873365778</v>
      </c>
      <c r="AG27">
        <v>-3.3082350666534568</v>
      </c>
      <c r="AH27">
        <v>-3.5455530999860629</v>
      </c>
      <c r="AI27" s="22">
        <v>266.80331100100028</v>
      </c>
      <c r="AJ27" s="22" t="s">
        <v>290</v>
      </c>
      <c r="AK27" s="22" t="s">
        <v>342</v>
      </c>
      <c r="AL27" s="87" t="s">
        <v>335</v>
      </c>
      <c r="AM27" s="87" t="s">
        <v>336</v>
      </c>
      <c r="AN27" s="87" t="s">
        <v>215</v>
      </c>
      <c r="AO27" s="87" t="s">
        <v>337</v>
      </c>
      <c r="AP27" s="87" t="s">
        <v>338</v>
      </c>
    </row>
    <row r="28" spans="1:44" x14ac:dyDescent="0.3">
      <c r="A28" s="1">
        <v>27</v>
      </c>
      <c r="B28">
        <v>273.88</v>
      </c>
      <c r="C28">
        <v>263.625</v>
      </c>
      <c r="D28" s="74">
        <v>273.93662953430157</v>
      </c>
      <c r="E28" t="str">
        <f t="shared" si="1"/>
        <v>Compra</v>
      </c>
      <c r="F28" t="str">
        <f t="shared" si="2"/>
        <v>Negativo</v>
      </c>
      <c r="G28" s="4">
        <f t="shared" si="3"/>
        <v>-3.7443405871184443E-2</v>
      </c>
      <c r="H28" s="4">
        <f t="shared" si="4"/>
        <v>2.0676768767919577E-4</v>
      </c>
      <c r="I28" s="47" t="str">
        <f t="shared" si="5"/>
        <v>Venta</v>
      </c>
      <c r="J28" s="47" t="str">
        <f t="shared" si="6"/>
        <v>CompraVenta</v>
      </c>
      <c r="K28" s="47"/>
      <c r="L28" s="47"/>
      <c r="N28" s="52" t="s">
        <v>264</v>
      </c>
      <c r="O28" s="32">
        <v>0</v>
      </c>
      <c r="P28" s="32">
        <v>0</v>
      </c>
      <c r="Q28" s="34">
        <v>0.13893076332944504</v>
      </c>
      <c r="R28" s="34">
        <v>0.11485277175184441</v>
      </c>
      <c r="S28" s="72">
        <v>6</v>
      </c>
      <c r="T28" s="63">
        <v>1.5900000000000001E-3</v>
      </c>
      <c r="U28" s="34">
        <v>-0.27026923667055514</v>
      </c>
      <c r="V28" s="64">
        <v>-0.26492913436706367</v>
      </c>
      <c r="W28" s="4">
        <v>0.46987951807228917</v>
      </c>
      <c r="X28" s="76" t="e">
        <v>#DIV/0!</v>
      </c>
      <c r="Y28" s="77">
        <v>0</v>
      </c>
      <c r="Z28" s="77" t="e">
        <v>#DIV/0!</v>
      </c>
      <c r="AA28" s="77">
        <v>0.46987951807228917</v>
      </c>
      <c r="AB28" s="77">
        <v>1</v>
      </c>
      <c r="AC28" s="78">
        <v>0.63934426229508201</v>
      </c>
      <c r="AD28">
        <v>282.8768097473461</v>
      </c>
      <c r="AE28">
        <v>14.910928900000039</v>
      </c>
      <c r="AF28">
        <v>0.14233213979152709</v>
      </c>
      <c r="AG28">
        <v>-3.5677836107963659</v>
      </c>
      <c r="AH28">
        <v>-3.8193988096961662</v>
      </c>
      <c r="AI28" s="22">
        <v>266.80331100100028</v>
      </c>
      <c r="AK28" s="87" t="s">
        <v>341</v>
      </c>
      <c r="AL28" s="87" t="s">
        <v>335</v>
      </c>
      <c r="AM28" s="87" t="s">
        <v>336</v>
      </c>
      <c r="AN28" s="87" t="s">
        <v>215</v>
      </c>
      <c r="AO28" s="87" t="s">
        <v>337</v>
      </c>
      <c r="AP28" s="87" t="s">
        <v>338</v>
      </c>
    </row>
    <row r="29" spans="1:44" x14ac:dyDescent="0.3">
      <c r="A29" s="1">
        <v>28</v>
      </c>
      <c r="B29">
        <v>261.89</v>
      </c>
      <c r="C29">
        <v>263.10000000000002</v>
      </c>
      <c r="D29" s="74">
        <v>262.51639541121631</v>
      </c>
      <c r="E29" t="str">
        <f t="shared" si="1"/>
        <v>Compra</v>
      </c>
      <c r="F29" t="str">
        <f t="shared" si="2"/>
        <v>Positivo</v>
      </c>
      <c r="G29" s="4">
        <f t="shared" si="3"/>
        <v>4.6202604146780577E-3</v>
      </c>
      <c r="H29" s="4">
        <f t="shared" si="4"/>
        <v>2.3918263821311311E-3</v>
      </c>
      <c r="I29" s="47" t="str">
        <f t="shared" si="5"/>
        <v>Compra</v>
      </c>
      <c r="J29" s="47" t="str">
        <f t="shared" si="6"/>
        <v>CompraCompra</v>
      </c>
      <c r="K29" s="47"/>
      <c r="L29" s="47"/>
      <c r="M29" s="47" t="s">
        <v>293</v>
      </c>
      <c r="N29" s="52" t="s">
        <v>260</v>
      </c>
      <c r="O29" s="32">
        <v>0</v>
      </c>
      <c r="P29" s="32">
        <v>0</v>
      </c>
      <c r="Q29" s="34">
        <v>0.23385871001429767</v>
      </c>
      <c r="R29" s="34">
        <v>0.22800622001934157</v>
      </c>
      <c r="S29" s="72">
        <v>6</v>
      </c>
      <c r="T29" s="63">
        <v>1.5900000000000001E-3</v>
      </c>
      <c r="U29" s="34">
        <v>-0.17534128998570203</v>
      </c>
      <c r="V29" s="64">
        <v>-0.18770239138463729</v>
      </c>
      <c r="W29" s="4">
        <v>0.54618473895582331</v>
      </c>
      <c r="X29" s="76">
        <v>0.58878504672897192</v>
      </c>
      <c r="Y29" s="77">
        <v>0.47727272727272729</v>
      </c>
      <c r="Z29" s="77">
        <v>0.52719665271966532</v>
      </c>
      <c r="AA29" s="77">
        <v>0.5140845070422535</v>
      </c>
      <c r="AB29" s="77">
        <v>0.62393162393162394</v>
      </c>
      <c r="AC29" s="78">
        <v>0.56370656370656369</v>
      </c>
      <c r="AD29">
        <v>2.6397490978267748</v>
      </c>
      <c r="AE29">
        <v>9.1287948727464112</v>
      </c>
      <c r="AF29">
        <v>9.112981267681429E-2</v>
      </c>
      <c r="AG29">
        <v>0.95737436845234092</v>
      </c>
      <c r="AH29">
        <v>0.95502634637556305</v>
      </c>
      <c r="AI29" s="22">
        <v>1.5842258329850609</v>
      </c>
      <c r="AK29" s="87" t="s">
        <v>255</v>
      </c>
      <c r="AL29" s="86">
        <v>0.95502634637556538</v>
      </c>
      <c r="AM29" s="86">
        <v>-4.3757684074891339</v>
      </c>
      <c r="AN29" s="86">
        <v>-9.8442217410191759</v>
      </c>
      <c r="AO29" s="86">
        <v>-3.5455530999860629</v>
      </c>
      <c r="AP29" s="86">
        <v>-3.5455530999860629</v>
      </c>
    </row>
    <row r="30" spans="1:44" x14ac:dyDescent="0.3">
      <c r="A30" s="1">
        <v>29</v>
      </c>
      <c r="B30">
        <v>267.51499999999999</v>
      </c>
      <c r="C30">
        <v>271.34500000000003</v>
      </c>
      <c r="D30" s="74">
        <v>267.41225427174948</v>
      </c>
      <c r="E30" t="str">
        <f t="shared" si="1"/>
        <v>Venta</v>
      </c>
      <c r="F30" t="str">
        <f t="shared" si="2"/>
        <v>Negativo</v>
      </c>
      <c r="G30" s="4">
        <f t="shared" si="3"/>
        <v>-1.4316954189484855E-2</v>
      </c>
      <c r="H30" s="4">
        <f t="shared" si="4"/>
        <v>3.8407464347984638E-4</v>
      </c>
      <c r="I30" s="47" t="str">
        <f t="shared" si="5"/>
        <v>Compra</v>
      </c>
      <c r="J30" s="47" t="str">
        <f t="shared" si="6"/>
        <v>VentaCompra</v>
      </c>
      <c r="K30" s="47"/>
      <c r="L30" s="47"/>
      <c r="M30" s="47" t="s">
        <v>293</v>
      </c>
      <c r="N30" s="52" t="s">
        <v>261</v>
      </c>
      <c r="O30" s="32">
        <v>0</v>
      </c>
      <c r="P30" s="32">
        <v>0</v>
      </c>
      <c r="Q30" s="34">
        <v>0.13893076332944504</v>
      </c>
      <c r="R30" s="34">
        <v>0.11485277175184441</v>
      </c>
      <c r="S30" s="72">
        <v>6</v>
      </c>
      <c r="T30" s="63">
        <v>1.5900000000000001E-3</v>
      </c>
      <c r="U30" s="34">
        <v>-0.27026923667055514</v>
      </c>
      <c r="V30" s="64">
        <v>-0.26492913436706367</v>
      </c>
      <c r="W30" s="4">
        <v>0.46987951807228917</v>
      </c>
      <c r="X30" s="76" t="e">
        <v>#DIV/0!</v>
      </c>
      <c r="Y30" s="77">
        <v>0</v>
      </c>
      <c r="Z30" s="77" t="e">
        <v>#DIV/0!</v>
      </c>
      <c r="AA30" s="77">
        <v>0.46987951807228917</v>
      </c>
      <c r="AB30" s="77">
        <v>1</v>
      </c>
      <c r="AC30" s="78">
        <v>0.63934426229508201</v>
      </c>
      <c r="AD30">
        <v>315.5331768750151</v>
      </c>
      <c r="AE30">
        <v>15.83446300552777</v>
      </c>
      <c r="AF30">
        <v>0.15387052020733691</v>
      </c>
      <c r="AG30">
        <v>-4.0951057998692191</v>
      </c>
      <c r="AH30">
        <v>-4.3757684074891339</v>
      </c>
      <c r="AI30" s="22">
        <v>315.5331768750151</v>
      </c>
      <c r="AK30" s="87" t="s">
        <v>256</v>
      </c>
      <c r="AL30" s="86">
        <v>0.99235661805084097</v>
      </c>
      <c r="AM30" s="86">
        <v>0.35549762830979348</v>
      </c>
      <c r="AN30" s="86">
        <v>-3.6496473367027571</v>
      </c>
      <c r="AO30" s="86">
        <v>-1.3141652152877039</v>
      </c>
      <c r="AP30" s="86">
        <v>-1.305909504421336</v>
      </c>
    </row>
    <row r="31" spans="1:44" x14ac:dyDescent="0.3">
      <c r="A31" s="1">
        <v>30</v>
      </c>
      <c r="B31">
        <v>272.44</v>
      </c>
      <c r="C31">
        <v>272.18</v>
      </c>
      <c r="D31" s="74">
        <v>272.26696281392958</v>
      </c>
      <c r="E31" t="str">
        <f t="shared" si="1"/>
        <v>Venta</v>
      </c>
      <c r="F31" t="str">
        <f t="shared" si="2"/>
        <v>Positivo</v>
      </c>
      <c r="G31" s="4">
        <f t="shared" si="3"/>
        <v>9.5433856996032492E-4</v>
      </c>
      <c r="H31" s="4">
        <f t="shared" si="4"/>
        <v>6.3513869501694584E-4</v>
      </c>
      <c r="I31" s="47" t="str">
        <f t="shared" si="5"/>
        <v>Venta</v>
      </c>
      <c r="J31" s="47" t="str">
        <f t="shared" si="6"/>
        <v>VentaVenta</v>
      </c>
      <c r="K31" s="47"/>
      <c r="L31" s="47"/>
      <c r="M31" s="47" t="s">
        <v>293</v>
      </c>
      <c r="N31" s="52" t="s">
        <v>262</v>
      </c>
      <c r="O31" s="32">
        <v>0</v>
      </c>
      <c r="P31" s="32">
        <v>0</v>
      </c>
      <c r="Q31" s="34">
        <v>0.13893076332944504</v>
      </c>
      <c r="R31" s="34">
        <v>0.11485277175184441</v>
      </c>
      <c r="S31" s="72">
        <v>6</v>
      </c>
      <c r="T31" s="63">
        <v>1.5900000000000001E-3</v>
      </c>
      <c r="U31" s="34">
        <v>-0.27026923667055514</v>
      </c>
      <c r="V31" s="64">
        <v>-0.26492913436706367</v>
      </c>
      <c r="W31" s="4">
        <v>0.46987951807228917</v>
      </c>
      <c r="X31" s="76" t="e">
        <v>#DIV/0!</v>
      </c>
      <c r="Y31" s="77">
        <v>0</v>
      </c>
      <c r="Z31" s="77" t="e">
        <v>#DIV/0!</v>
      </c>
      <c r="AA31" s="77">
        <v>0.46987951807228917</v>
      </c>
      <c r="AB31" s="77">
        <v>1</v>
      </c>
      <c r="AC31" s="78">
        <v>0.63934426229508201</v>
      </c>
      <c r="AD31">
        <v>636.50653772844919</v>
      </c>
      <c r="AE31">
        <v>23.198831604909831</v>
      </c>
      <c r="AF31">
        <v>0.22319927903447601</v>
      </c>
      <c r="AG31">
        <v>-9.2780575537370495</v>
      </c>
      <c r="AH31">
        <v>-9.8442217410191759</v>
      </c>
      <c r="AI31" s="22">
        <v>636.50653772844919</v>
      </c>
      <c r="AK31" s="87" t="s">
        <v>257</v>
      </c>
      <c r="AL31" s="9">
        <v>-5357.8907549936775</v>
      </c>
      <c r="AM31" s="86">
        <v>-26.773228175033839</v>
      </c>
      <c r="AN31" s="86">
        <v>-6.2653882375545944</v>
      </c>
      <c r="AO31" s="86">
        <v>-2.157251506776678</v>
      </c>
      <c r="AP31" s="86">
        <v>-2.1655364309216081</v>
      </c>
    </row>
    <row r="32" spans="1:44" x14ac:dyDescent="0.3">
      <c r="A32" s="1">
        <v>31</v>
      </c>
      <c r="B32">
        <v>268.76</v>
      </c>
      <c r="C32">
        <v>269.375</v>
      </c>
      <c r="D32" s="74">
        <v>268.63552554272758</v>
      </c>
      <c r="E32" t="str">
        <f t="shared" si="1"/>
        <v>Venta</v>
      </c>
      <c r="F32" t="str">
        <f t="shared" si="2"/>
        <v>Negativo</v>
      </c>
      <c r="G32" s="4">
        <f t="shared" si="3"/>
        <v>-2.288286947462454E-3</v>
      </c>
      <c r="H32" s="4">
        <f t="shared" si="4"/>
        <v>4.6314353799826248E-4</v>
      </c>
      <c r="I32" s="47" t="str">
        <f t="shared" si="5"/>
        <v>Compra</v>
      </c>
      <c r="J32" s="47" t="str">
        <f t="shared" si="6"/>
        <v>VentaCompra</v>
      </c>
      <c r="K32" s="47"/>
      <c r="L32" s="47"/>
      <c r="M32" s="47" t="s">
        <v>293</v>
      </c>
      <c r="N32" s="52" t="s">
        <v>263</v>
      </c>
      <c r="O32" s="32">
        <v>0</v>
      </c>
      <c r="P32" s="32">
        <v>0</v>
      </c>
      <c r="Q32" s="34">
        <v>0.17820778800792933</v>
      </c>
      <c r="R32" s="34">
        <v>0.16011731717056943</v>
      </c>
      <c r="S32" s="72">
        <v>6</v>
      </c>
      <c r="T32" s="63">
        <v>1.5900000000000001E-3</v>
      </c>
      <c r="U32" s="34">
        <v>-0.23099221199207082</v>
      </c>
      <c r="V32" s="64">
        <v>-0.23442085324090933</v>
      </c>
      <c r="W32" s="4">
        <v>0.47389558232931728</v>
      </c>
      <c r="X32" s="76">
        <v>1</v>
      </c>
      <c r="Y32" s="77">
        <v>7.575757575757576E-3</v>
      </c>
      <c r="Z32" s="77">
        <v>1.5037593984962407E-2</v>
      </c>
      <c r="AA32" s="77">
        <v>0.47177419354838712</v>
      </c>
      <c r="AB32" s="77">
        <v>1</v>
      </c>
      <c r="AC32" s="78">
        <v>0.64109589041095894</v>
      </c>
      <c r="AD32">
        <v>266.80331100100028</v>
      </c>
      <c r="AE32">
        <v>14.37165000000001</v>
      </c>
      <c r="AF32">
        <v>0.1369823873365778</v>
      </c>
      <c r="AG32">
        <v>-3.3082350666534568</v>
      </c>
      <c r="AH32">
        <v>-3.5455530999860629</v>
      </c>
      <c r="AI32" s="22">
        <v>266.80331100100028</v>
      </c>
      <c r="AK32" s="87" t="s">
        <v>292</v>
      </c>
      <c r="AL32" s="86">
        <v>0.99304304059917403</v>
      </c>
      <c r="AM32" s="86">
        <v>-1.299015875894292</v>
      </c>
      <c r="AN32" s="86">
        <v>-5.2865806794218084</v>
      </c>
      <c r="AO32" s="86">
        <v>-2.3041775012689909</v>
      </c>
      <c r="AP32" s="86">
        <v>-2.0859693527802459</v>
      </c>
    </row>
    <row r="33" spans="1:42" x14ac:dyDescent="0.3">
      <c r="A33" s="1">
        <v>32</v>
      </c>
      <c r="B33">
        <v>264.04000000000002</v>
      </c>
      <c r="C33">
        <v>262.20499999999998</v>
      </c>
      <c r="D33" s="74">
        <v>263.94440225934568</v>
      </c>
      <c r="E33" t="str">
        <f t="shared" si="1"/>
        <v>Venta</v>
      </c>
      <c r="F33" t="str">
        <f t="shared" si="2"/>
        <v>Positivo</v>
      </c>
      <c r="G33" s="4">
        <f t="shared" si="3"/>
        <v>6.9497045902137409E-3</v>
      </c>
      <c r="H33" s="4">
        <f t="shared" si="4"/>
        <v>3.6205779675178428E-4</v>
      </c>
      <c r="I33" s="47" t="str">
        <f t="shared" si="5"/>
        <v>Venta</v>
      </c>
      <c r="J33" s="47" t="str">
        <f t="shared" si="6"/>
        <v>VentaVenta</v>
      </c>
      <c r="K33" s="47"/>
      <c r="L33" s="47"/>
      <c r="M33" s="47" t="s">
        <v>293</v>
      </c>
      <c r="N33" s="52" t="s">
        <v>264</v>
      </c>
      <c r="O33" s="32">
        <v>0</v>
      </c>
      <c r="P33" s="32">
        <v>0</v>
      </c>
      <c r="Q33" s="34">
        <v>0.17820778800792933</v>
      </c>
      <c r="R33" s="34">
        <v>0.16011731717056943</v>
      </c>
      <c r="S33" s="72">
        <v>6</v>
      </c>
      <c r="T33" s="63">
        <v>1.5900000000000001E-3</v>
      </c>
      <c r="U33" s="34">
        <v>-0.23099221199207082</v>
      </c>
      <c r="V33" s="64">
        <v>-0.23442085324090933</v>
      </c>
      <c r="W33" s="4">
        <v>0.47389558232931728</v>
      </c>
      <c r="X33" s="76">
        <v>1</v>
      </c>
      <c r="Y33" s="77">
        <v>7.575757575757576E-3</v>
      </c>
      <c r="Z33" s="77">
        <v>1.5037593984962407E-2</v>
      </c>
      <c r="AA33" s="77">
        <v>0.47177419354838712</v>
      </c>
      <c r="AB33" s="77">
        <v>1</v>
      </c>
      <c r="AC33" s="78">
        <v>0.64109589041095894</v>
      </c>
      <c r="AD33">
        <v>266.80331100100028</v>
      </c>
      <c r="AE33">
        <v>14.37165000000001</v>
      </c>
      <c r="AF33">
        <v>0.1369823873365778</v>
      </c>
      <c r="AG33">
        <v>-3.3082350666534568</v>
      </c>
      <c r="AH33">
        <v>-3.5455530999860629</v>
      </c>
      <c r="AI33" s="22">
        <v>266.80331100100028</v>
      </c>
      <c r="AK33" s="87" t="s">
        <v>258</v>
      </c>
      <c r="AL33" s="86">
        <v>0.89740240920091885</v>
      </c>
      <c r="AM33" s="86">
        <v>0.48393631357747779</v>
      </c>
      <c r="AN33" s="86">
        <v>0.72365754745083799</v>
      </c>
      <c r="AO33" s="86">
        <v>0.7754144042033726</v>
      </c>
      <c r="AP33" s="86">
        <v>0.76049767136994539</v>
      </c>
    </row>
    <row r="34" spans="1:42" x14ac:dyDescent="0.3">
      <c r="A34" s="1">
        <v>33</v>
      </c>
      <c r="B34">
        <v>259.47000000000003</v>
      </c>
      <c r="C34">
        <v>258.03500000000003</v>
      </c>
      <c r="D34" s="74">
        <v>259.63363043440307</v>
      </c>
      <c r="E34" t="str">
        <f t="shared" si="1"/>
        <v>Compra</v>
      </c>
      <c r="F34" t="str">
        <f t="shared" si="2"/>
        <v>Negativo</v>
      </c>
      <c r="G34" s="4">
        <f t="shared" si="3"/>
        <v>-5.5305044899217719E-3</v>
      </c>
      <c r="H34" s="4">
        <f t="shared" si="4"/>
        <v>6.3063334644870828E-4</v>
      </c>
      <c r="I34" s="47" t="str">
        <f t="shared" si="5"/>
        <v>Venta</v>
      </c>
      <c r="J34" s="47" t="str">
        <f t="shared" si="6"/>
        <v>CompraVenta</v>
      </c>
      <c r="K34" s="47"/>
      <c r="L34" s="47"/>
      <c r="N34" s="52" t="s">
        <v>270</v>
      </c>
      <c r="O34" s="32">
        <v>0</v>
      </c>
      <c r="P34" s="32">
        <v>0</v>
      </c>
      <c r="Q34" s="34">
        <v>0.21920879481229888</v>
      </c>
      <c r="R34" s="34">
        <v>0.23311159019898361</v>
      </c>
      <c r="S34" s="72">
        <v>6</v>
      </c>
      <c r="T34" s="63">
        <v>1.98E-3</v>
      </c>
      <c r="U34" s="34">
        <v>-0.28671120518770127</v>
      </c>
      <c r="V34" s="64">
        <v>-0.2611527856421817</v>
      </c>
      <c r="W34" s="4">
        <v>0.51807228915662651</v>
      </c>
      <c r="X34" s="76">
        <v>0.59756097560975607</v>
      </c>
      <c r="Y34" s="77">
        <v>0.36029411764705882</v>
      </c>
      <c r="Z34" s="77">
        <v>0.44954128440366969</v>
      </c>
      <c r="AA34" s="77">
        <v>0.47904191616766467</v>
      </c>
      <c r="AB34" s="77">
        <v>0.70796460176991149</v>
      </c>
      <c r="AC34" s="78">
        <v>0.5714285714285714</v>
      </c>
      <c r="AD34">
        <v>1.5842258329850609</v>
      </c>
      <c r="AE34">
        <v>0.97600232049359681</v>
      </c>
      <c r="AF34">
        <v>7.5754229728477E-3</v>
      </c>
      <c r="AG34">
        <v>0.99275407391219694</v>
      </c>
      <c r="AH34">
        <v>0.99235661805084063</v>
      </c>
      <c r="AI34" s="22">
        <v>1.584225832984983</v>
      </c>
      <c r="AK34" s="87" t="s">
        <v>339</v>
      </c>
      <c r="AL34" s="86">
        <v>0.95252103252447451</v>
      </c>
      <c r="AM34" s="86">
        <v>0.38810024853181091</v>
      </c>
      <c r="AN34" s="86">
        <v>-0.24192962462222889</v>
      </c>
      <c r="AO34" s="86">
        <v>0.59271662264400171</v>
      </c>
      <c r="AP34" s="86">
        <v>0.71174888688845894</v>
      </c>
    </row>
    <row r="35" spans="1:42" x14ac:dyDescent="0.3">
      <c r="A35" s="1">
        <v>34</v>
      </c>
      <c r="B35">
        <v>254.44499999999999</v>
      </c>
      <c r="C35">
        <v>252.75</v>
      </c>
      <c r="D35" s="74">
        <v>254.77062456569189</v>
      </c>
      <c r="E35" t="str">
        <f t="shared" si="1"/>
        <v>Compra</v>
      </c>
      <c r="F35" t="str">
        <f t="shared" si="2"/>
        <v>Negativo</v>
      </c>
      <c r="G35" s="4">
        <f t="shared" si="3"/>
        <v>-6.6615575075163322E-3</v>
      </c>
      <c r="H35" s="4">
        <f t="shared" si="4"/>
        <v>1.2797444072074372E-3</v>
      </c>
      <c r="I35" s="47" t="str">
        <f t="shared" si="5"/>
        <v>Venta</v>
      </c>
      <c r="J35" s="47" t="str">
        <f t="shared" si="6"/>
        <v>CompraVenta</v>
      </c>
      <c r="K35" s="47"/>
      <c r="L35" s="47"/>
      <c r="N35" s="52" t="s">
        <v>271</v>
      </c>
      <c r="O35" s="32">
        <v>0</v>
      </c>
      <c r="P35" s="32">
        <v>0</v>
      </c>
      <c r="Q35" s="34">
        <v>-0.11764385657797204</v>
      </c>
      <c r="R35" s="34">
        <v>-0.12216724120144033</v>
      </c>
      <c r="S35" s="72">
        <v>6</v>
      </c>
      <c r="T35" s="63">
        <v>1.98E-3</v>
      </c>
      <c r="U35" s="34">
        <v>-0.62356385657797164</v>
      </c>
      <c r="V35" s="64">
        <v>-0.4771499730922219</v>
      </c>
      <c r="W35" s="4">
        <v>0.46586345381526106</v>
      </c>
      <c r="X35" s="76">
        <v>0.51648351648351654</v>
      </c>
      <c r="Y35" s="77">
        <v>0.34558823529411764</v>
      </c>
      <c r="Z35" s="77">
        <v>0.41409691629955947</v>
      </c>
      <c r="AA35" s="77">
        <v>0.43670886075949367</v>
      </c>
      <c r="AB35" s="77">
        <v>0.61061946902654862</v>
      </c>
      <c r="AC35" s="78">
        <v>0.5092250922509225</v>
      </c>
      <c r="AD35">
        <v>465.2099372918247</v>
      </c>
      <c r="AE35">
        <v>16.22844015782179</v>
      </c>
      <c r="AF35">
        <v>0.1156579570738374</v>
      </c>
      <c r="AG35">
        <v>-1.1277754413185741</v>
      </c>
      <c r="AH35">
        <v>-1.244488862150394</v>
      </c>
      <c r="AI35" s="22">
        <v>133.58449354530279</v>
      </c>
      <c r="AK35" s="87" t="s">
        <v>340</v>
      </c>
      <c r="AL35" s="86">
        <v>0.98718221797317995</v>
      </c>
      <c r="AM35" s="86">
        <v>0.72280918502854319</v>
      </c>
      <c r="AN35" s="86">
        <v>0.97753133952239624</v>
      </c>
      <c r="AO35" s="86">
        <v>0.96475715914741711</v>
      </c>
      <c r="AP35" s="86">
        <v>0.98226461044147984</v>
      </c>
    </row>
    <row r="36" spans="1:42" x14ac:dyDescent="0.3">
      <c r="A36" s="1">
        <v>35</v>
      </c>
      <c r="B36">
        <v>254.01499999999999</v>
      </c>
      <c r="C36">
        <v>251.66499999999999</v>
      </c>
      <c r="D36" s="74">
        <v>254.14636245997721</v>
      </c>
      <c r="E36" t="str">
        <f t="shared" si="1"/>
        <v>Compra</v>
      </c>
      <c r="F36" t="str">
        <f t="shared" si="2"/>
        <v>Negativo</v>
      </c>
      <c r="G36" s="4">
        <f t="shared" si="3"/>
        <v>-9.2514221601086334E-3</v>
      </c>
      <c r="H36" s="4">
        <f t="shared" si="4"/>
        <v>5.171444992509317E-4</v>
      </c>
      <c r="I36" s="47" t="str">
        <f t="shared" si="5"/>
        <v>Venta</v>
      </c>
      <c r="J36" s="47" t="str">
        <f t="shared" si="6"/>
        <v>CompraVenta</v>
      </c>
      <c r="K36" s="47"/>
      <c r="L36" s="47"/>
      <c r="N36" s="52" t="s">
        <v>272</v>
      </c>
      <c r="O36" s="32">
        <v>0</v>
      </c>
      <c r="P36" s="32">
        <v>0</v>
      </c>
      <c r="Q36" s="34">
        <v>8.4605959736578085E-2</v>
      </c>
      <c r="R36" s="34">
        <v>7.6753297630801687E-2</v>
      </c>
      <c r="S36" s="72">
        <v>6</v>
      </c>
      <c r="T36" s="63">
        <v>1.98E-3</v>
      </c>
      <c r="U36" s="34">
        <v>-0.42131404026342223</v>
      </c>
      <c r="V36" s="64">
        <v>-0.35614366289213095</v>
      </c>
      <c r="W36" s="4">
        <v>0.47791164658634538</v>
      </c>
      <c r="X36" s="76">
        <v>0.7142857142857143</v>
      </c>
      <c r="Y36" s="77">
        <v>7.3529411764705885E-2</v>
      </c>
      <c r="Z36" s="77">
        <v>0.13333333333333333</v>
      </c>
      <c r="AA36" s="77">
        <v>0.46382978723404256</v>
      </c>
      <c r="AB36" s="77">
        <v>0.96460176991150437</v>
      </c>
      <c r="AC36" s="78">
        <v>0.62643678160919547</v>
      </c>
      <c r="AD36">
        <v>1025.7008491328511</v>
      </c>
      <c r="AE36">
        <v>27.891579834702728</v>
      </c>
      <c r="AF36">
        <v>0.2023548048383782</v>
      </c>
      <c r="AG36">
        <v>-3.6913466415388219</v>
      </c>
      <c r="AH36">
        <v>-3.9486778919185892</v>
      </c>
      <c r="AI36" s="22">
        <v>963.72148795793441</v>
      </c>
      <c r="AK36" s="87" t="s">
        <v>259</v>
      </c>
      <c r="AL36" s="86">
        <v>0.98751919813846079</v>
      </c>
      <c r="AM36" s="86">
        <v>0.78996397311272681</v>
      </c>
      <c r="AN36" s="86">
        <v>0.96819701694625016</v>
      </c>
      <c r="AO36" s="86">
        <v>0.95796528451104501</v>
      </c>
      <c r="AP36" s="86">
        <v>0.98121584411574891</v>
      </c>
    </row>
    <row r="37" spans="1:42" x14ac:dyDescent="0.3">
      <c r="A37" s="1">
        <v>36</v>
      </c>
      <c r="B37">
        <v>255.51499999999999</v>
      </c>
      <c r="C37">
        <v>254.75</v>
      </c>
      <c r="D37" s="74">
        <v>255.17560024234041</v>
      </c>
      <c r="E37" t="str">
        <f t="shared" si="1"/>
        <v>Venta</v>
      </c>
      <c r="F37" t="str">
        <f t="shared" si="2"/>
        <v>Positivo</v>
      </c>
      <c r="G37" s="4">
        <f t="shared" si="3"/>
        <v>2.9939533882550394E-3</v>
      </c>
      <c r="H37" s="4">
        <f t="shared" si="4"/>
        <v>1.3282968031605893E-3</v>
      </c>
      <c r="I37" s="47" t="str">
        <f t="shared" si="5"/>
        <v>Venta</v>
      </c>
      <c r="J37" s="47" t="str">
        <f t="shared" si="6"/>
        <v>VentaVenta</v>
      </c>
      <c r="K37" s="47"/>
      <c r="L37" s="47"/>
      <c r="N37" s="52" t="s">
        <v>273</v>
      </c>
      <c r="O37" s="32">
        <v>0</v>
      </c>
      <c r="P37" s="32">
        <v>0</v>
      </c>
      <c r="Q37" s="34">
        <v>-3.1355320651194341E-2</v>
      </c>
      <c r="R37" s="34">
        <v>-4.2745898808296913E-2</v>
      </c>
      <c r="S37" s="72">
        <v>6</v>
      </c>
      <c r="T37" s="63">
        <v>1.98E-3</v>
      </c>
      <c r="U37" s="34">
        <v>-0.53727532065119554</v>
      </c>
      <c r="V37" s="64">
        <v>-0.4293264878211836</v>
      </c>
      <c r="W37" s="4">
        <v>0.45381526104417669</v>
      </c>
      <c r="X37" s="76">
        <v>0.5</v>
      </c>
      <c r="Y37" s="77">
        <v>6.6176470588235295E-2</v>
      </c>
      <c r="Z37" s="77">
        <v>0.11688311688311688</v>
      </c>
      <c r="AA37" s="77">
        <v>0.45021645021645024</v>
      </c>
      <c r="AB37" s="77">
        <v>0.92035398230088494</v>
      </c>
      <c r="AC37" s="78">
        <v>0.60465116279069775</v>
      </c>
      <c r="AD37">
        <v>521.35964038047803</v>
      </c>
      <c r="AE37">
        <v>19.10509561752988</v>
      </c>
      <c r="AF37">
        <v>0.1372934799335046</v>
      </c>
      <c r="AG37">
        <v>-1.38459273968686</v>
      </c>
      <c r="AH37">
        <v>-1.5153931853236919</v>
      </c>
      <c r="AI37" s="22">
        <v>479.65159143426303</v>
      </c>
    </row>
    <row r="38" spans="1:42" x14ac:dyDescent="0.3">
      <c r="A38" s="1">
        <v>37</v>
      </c>
      <c r="B38">
        <v>249.755</v>
      </c>
      <c r="C38">
        <v>249.255</v>
      </c>
      <c r="D38" s="74">
        <v>249.82682159095529</v>
      </c>
      <c r="E38" t="str">
        <f t="shared" si="1"/>
        <v>Compra</v>
      </c>
      <c r="F38" t="str">
        <f t="shared" si="2"/>
        <v>Negativo</v>
      </c>
      <c r="G38" s="4">
        <f t="shared" si="3"/>
        <v>-2.0019619226842307E-3</v>
      </c>
      <c r="H38" s="4">
        <f t="shared" si="4"/>
        <v>2.8756818063820658E-4</v>
      </c>
      <c r="I38" s="47" t="str">
        <f t="shared" si="5"/>
        <v>Venta</v>
      </c>
      <c r="J38" s="47" t="str">
        <f t="shared" si="6"/>
        <v>CompraVenta</v>
      </c>
      <c r="K38" s="47"/>
      <c r="L38" s="47"/>
      <c r="N38" s="52" t="s">
        <v>274</v>
      </c>
      <c r="O38" s="32">
        <v>0</v>
      </c>
      <c r="P38" s="32">
        <v>0</v>
      </c>
      <c r="Q38" s="34">
        <v>-1.6421192363514274E-3</v>
      </c>
      <c r="R38" s="34">
        <v>-1.3430177867441962E-2</v>
      </c>
      <c r="S38" s="72">
        <v>6</v>
      </c>
      <c r="T38" s="63">
        <v>1.98E-3</v>
      </c>
      <c r="U38" s="34">
        <v>-0.50756211923635242</v>
      </c>
      <c r="V38" s="64">
        <v>-0.41136973456553627</v>
      </c>
      <c r="W38" s="4">
        <v>0.45783132530120479</v>
      </c>
      <c r="X38" s="76">
        <v>0.51724137931034486</v>
      </c>
      <c r="Y38" s="77">
        <v>0.11029411764705882</v>
      </c>
      <c r="Z38" s="77">
        <v>0.18181818181818182</v>
      </c>
      <c r="AA38" s="77">
        <v>0.45</v>
      </c>
      <c r="AB38" s="77">
        <v>0.87610619469026552</v>
      </c>
      <c r="AC38" s="78">
        <v>0.59459459459459463</v>
      </c>
      <c r="AD38">
        <v>477.94044962411272</v>
      </c>
      <c r="AE38">
        <v>17.988643844621539</v>
      </c>
      <c r="AF38">
        <v>0.12870672360510721</v>
      </c>
      <c r="AG38">
        <v>-1.1860022101914269</v>
      </c>
      <c r="AH38">
        <v>-1.305909504421336</v>
      </c>
      <c r="AI38" s="22">
        <v>477.94044962411272</v>
      </c>
      <c r="AK38" s="22" t="s">
        <v>287</v>
      </c>
    </row>
    <row r="39" spans="1:42" x14ac:dyDescent="0.3">
      <c r="A39" s="1">
        <v>38</v>
      </c>
      <c r="B39">
        <v>252.715</v>
      </c>
      <c r="C39">
        <v>250.125</v>
      </c>
      <c r="D39" s="74">
        <v>252.72282260023329</v>
      </c>
      <c r="E39" t="str">
        <f t="shared" si="1"/>
        <v>Compra</v>
      </c>
      <c r="F39" t="str">
        <f t="shared" si="2"/>
        <v>Negativo</v>
      </c>
      <c r="G39" s="4">
        <f t="shared" si="3"/>
        <v>-1.0248699127475629E-2</v>
      </c>
      <c r="H39" s="4">
        <f t="shared" si="4"/>
        <v>3.0954237909434058E-5</v>
      </c>
      <c r="I39" s="47" t="str">
        <f t="shared" si="5"/>
        <v>Venta</v>
      </c>
      <c r="J39" s="47" t="str">
        <f t="shared" si="6"/>
        <v>CompraVenta</v>
      </c>
      <c r="K39" s="47"/>
      <c r="L39" s="47"/>
      <c r="M39" s="47" t="s">
        <v>293</v>
      </c>
      <c r="N39" s="52" t="s">
        <v>270</v>
      </c>
      <c r="O39" s="32">
        <v>0</v>
      </c>
      <c r="P39" s="32">
        <v>0</v>
      </c>
      <c r="Q39" s="34">
        <v>0.21920879481229888</v>
      </c>
      <c r="R39" s="34">
        <v>0.23311159019898361</v>
      </c>
      <c r="S39" s="72">
        <v>6</v>
      </c>
      <c r="T39" s="63">
        <v>1.98E-3</v>
      </c>
      <c r="U39" s="34">
        <v>-0.28671120518770127</v>
      </c>
      <c r="V39" s="64">
        <v>-0.2611527856421817</v>
      </c>
      <c r="W39" s="4">
        <v>0.51807228915662651</v>
      </c>
      <c r="X39" s="76">
        <v>0.59756097560975607</v>
      </c>
      <c r="Y39" s="77">
        <v>0.36029411764705882</v>
      </c>
      <c r="Z39" s="77">
        <v>0.44954128440366969</v>
      </c>
      <c r="AA39" s="77">
        <v>0.47904191616766467</v>
      </c>
      <c r="AB39" s="77">
        <v>0.70796460176991149</v>
      </c>
      <c r="AC39" s="78">
        <v>0.5714285714285714</v>
      </c>
      <c r="AD39">
        <v>1.584225832984983</v>
      </c>
      <c r="AE39">
        <v>16.744155065500259</v>
      </c>
      <c r="AF39">
        <v>0.1320617220671963</v>
      </c>
      <c r="AG39">
        <v>0.99275407391219728</v>
      </c>
      <c r="AH39">
        <v>0.99235661805084097</v>
      </c>
      <c r="AI39" s="22">
        <v>1.584225832984983</v>
      </c>
      <c r="AK39" s="87" t="s">
        <v>341</v>
      </c>
      <c r="AL39" s="87" t="s">
        <v>335</v>
      </c>
      <c r="AM39" s="87" t="s">
        <v>336</v>
      </c>
      <c r="AN39" s="87" t="s">
        <v>215</v>
      </c>
      <c r="AO39" s="87" t="s">
        <v>337</v>
      </c>
      <c r="AP39" s="87" t="s">
        <v>338</v>
      </c>
    </row>
    <row r="40" spans="1:42" x14ac:dyDescent="0.3">
      <c r="A40" s="1">
        <v>39</v>
      </c>
      <c r="B40">
        <v>248.875</v>
      </c>
      <c r="C40">
        <v>249.41499999999999</v>
      </c>
      <c r="D40" s="74">
        <v>249.11955409309559</v>
      </c>
      <c r="E40" t="str">
        <f t="shared" si="1"/>
        <v>Compra</v>
      </c>
      <c r="F40" t="str">
        <f t="shared" si="2"/>
        <v>Positivo</v>
      </c>
      <c r="G40" s="4">
        <f t="shared" si="3"/>
        <v>2.1697639377197069E-3</v>
      </c>
      <c r="H40" s="4">
        <f t="shared" si="4"/>
        <v>9.8263824448252004E-4</v>
      </c>
      <c r="I40" s="47" t="str">
        <f t="shared" si="5"/>
        <v>Compra</v>
      </c>
      <c r="J40" s="47" t="str">
        <f t="shared" si="6"/>
        <v>CompraCompra</v>
      </c>
      <c r="K40" s="47"/>
      <c r="L40" s="47"/>
      <c r="M40" s="47" t="s">
        <v>293</v>
      </c>
      <c r="N40" s="52" t="s">
        <v>271</v>
      </c>
      <c r="O40" s="32">
        <v>0</v>
      </c>
      <c r="P40" s="32">
        <v>0</v>
      </c>
      <c r="Q40" s="34">
        <v>0.18356423624115806</v>
      </c>
      <c r="R40" s="34">
        <v>0.18903863170309879</v>
      </c>
      <c r="S40" s="72">
        <v>6</v>
      </c>
      <c r="T40" s="63">
        <v>1.98E-3</v>
      </c>
      <c r="U40" s="34">
        <v>-0.32235576375884206</v>
      </c>
      <c r="V40" s="64">
        <v>-0.28854364876570093</v>
      </c>
      <c r="W40" s="4">
        <v>0.48192771084337349</v>
      </c>
      <c r="X40" s="76">
        <v>0.56603773584905659</v>
      </c>
      <c r="Y40" s="77">
        <v>0.22058823529411764</v>
      </c>
      <c r="Z40" s="77">
        <v>0.31746031746031744</v>
      </c>
      <c r="AA40" s="77">
        <v>0.45918367346938777</v>
      </c>
      <c r="AB40" s="77">
        <v>0.79646017699115046</v>
      </c>
      <c r="AC40" s="78">
        <v>0.58252427184466016</v>
      </c>
      <c r="AD40">
        <v>133.58449354530279</v>
      </c>
      <c r="AE40">
        <v>9.7004419052012629</v>
      </c>
      <c r="AF40">
        <v>7.2277907432350505E-2</v>
      </c>
      <c r="AG40">
        <v>0.3890117516376842</v>
      </c>
      <c r="AH40">
        <v>0.35549762830979348</v>
      </c>
      <c r="AI40" s="22">
        <v>133.58449354530279</v>
      </c>
      <c r="AK40" s="87" t="s">
        <v>255</v>
      </c>
      <c r="AL40" s="9">
        <v>2.6397490978266358</v>
      </c>
      <c r="AM40" s="9">
        <v>315.5331768750151</v>
      </c>
      <c r="AN40" s="9">
        <v>636.50653772844919</v>
      </c>
      <c r="AO40" s="9">
        <v>266.80331100100028</v>
      </c>
      <c r="AP40" s="9">
        <v>266.80331100100028</v>
      </c>
    </row>
    <row r="41" spans="1:42" x14ac:dyDescent="0.3">
      <c r="A41" s="1">
        <v>40</v>
      </c>
      <c r="B41">
        <v>250.93</v>
      </c>
      <c r="C41">
        <v>246.31</v>
      </c>
      <c r="D41" s="74">
        <v>250.578878897301</v>
      </c>
      <c r="E41" t="str">
        <f t="shared" si="1"/>
        <v>Venta</v>
      </c>
      <c r="F41" t="str">
        <f t="shared" si="2"/>
        <v>Positivo</v>
      </c>
      <c r="G41" s="4">
        <f t="shared" si="3"/>
        <v>1.8411509185828734E-2</v>
      </c>
      <c r="H41" s="4">
        <f t="shared" si="4"/>
        <v>1.3992790925716778E-3</v>
      </c>
      <c r="I41" s="47" t="str">
        <f t="shared" si="5"/>
        <v>Venta</v>
      </c>
      <c r="J41" s="47" t="str">
        <f t="shared" si="6"/>
        <v>VentaVenta</v>
      </c>
      <c r="K41" s="47"/>
      <c r="L41" s="47"/>
      <c r="M41" s="47" t="s">
        <v>293</v>
      </c>
      <c r="N41" s="52" t="s">
        <v>272</v>
      </c>
      <c r="O41" s="32">
        <v>0</v>
      </c>
      <c r="P41" s="32">
        <v>0</v>
      </c>
      <c r="Q41" s="34">
        <v>9.6228535589022071E-2</v>
      </c>
      <c r="R41" s="34">
        <v>8.9458182990813803E-2</v>
      </c>
      <c r="S41" s="72">
        <v>6</v>
      </c>
      <c r="T41" s="63">
        <v>1.98E-3</v>
      </c>
      <c r="U41" s="34">
        <v>-0.4096914644109782</v>
      </c>
      <c r="V41" s="64">
        <v>-0.34840314603883255</v>
      </c>
      <c r="W41" s="4">
        <v>0.47791164658634538</v>
      </c>
      <c r="X41" s="76">
        <v>0.7142857142857143</v>
      </c>
      <c r="Y41" s="77">
        <v>7.3529411764705885E-2</v>
      </c>
      <c r="Z41" s="77">
        <v>0.13333333333333333</v>
      </c>
      <c r="AA41" s="77">
        <v>0.46382978723404256</v>
      </c>
      <c r="AB41" s="77">
        <v>0.96460176991150437</v>
      </c>
      <c r="AC41" s="78">
        <v>0.62643678160919547</v>
      </c>
      <c r="AD41">
        <v>963.72148795793441</v>
      </c>
      <c r="AE41">
        <v>25.95132843030887</v>
      </c>
      <c r="AF41">
        <v>0.18624681420543279</v>
      </c>
      <c r="AG41">
        <v>-3.407865675194214</v>
      </c>
      <c r="AH41">
        <v>-3.6496473367027571</v>
      </c>
      <c r="AI41" s="22">
        <v>963.72148795793441</v>
      </c>
      <c r="AK41" s="87" t="s">
        <v>256</v>
      </c>
      <c r="AL41" s="9">
        <v>1.584225832984983</v>
      </c>
      <c r="AM41" s="9">
        <v>133.58449354530279</v>
      </c>
      <c r="AN41" s="9">
        <v>963.72148795793441</v>
      </c>
      <c r="AO41" s="9">
        <v>479.65159143426303</v>
      </c>
      <c r="AP41" s="9">
        <v>477.94044962411272</v>
      </c>
    </row>
    <row r="42" spans="1:42" x14ac:dyDescent="0.3">
      <c r="A42" s="1">
        <v>41</v>
      </c>
      <c r="B42">
        <v>246.47</v>
      </c>
      <c r="C42">
        <v>251.035</v>
      </c>
      <c r="D42" s="74">
        <v>246.42307821295421</v>
      </c>
      <c r="E42" t="str">
        <f t="shared" si="1"/>
        <v>Venta</v>
      </c>
      <c r="F42" t="str">
        <f t="shared" si="2"/>
        <v>Negativo</v>
      </c>
      <c r="G42" s="4">
        <f t="shared" si="3"/>
        <v>-1.852152391771817E-2</v>
      </c>
      <c r="H42" s="4">
        <f t="shared" si="4"/>
        <v>1.9037524666608367E-4</v>
      </c>
      <c r="I42" s="47" t="str">
        <f t="shared" si="5"/>
        <v>Compra</v>
      </c>
      <c r="J42" s="47" t="str">
        <f t="shared" si="6"/>
        <v>VentaCompra</v>
      </c>
      <c r="K42" s="47"/>
      <c r="L42" s="47"/>
      <c r="M42" s="47" t="s">
        <v>293</v>
      </c>
      <c r="N42" s="52" t="s">
        <v>273</v>
      </c>
      <c r="O42" s="32">
        <v>0</v>
      </c>
      <c r="P42" s="32">
        <v>0</v>
      </c>
      <c r="Q42" s="34">
        <v>-4.0012426673391021E-4</v>
      </c>
      <c r="R42" s="34">
        <v>-1.2229961204242282E-2</v>
      </c>
      <c r="S42" s="72">
        <v>6</v>
      </c>
      <c r="T42" s="63">
        <v>1.98E-3</v>
      </c>
      <c r="U42" s="34">
        <v>-0.50632012426673467</v>
      </c>
      <c r="V42" s="64">
        <v>-0.41066446316588445</v>
      </c>
      <c r="W42" s="4">
        <v>0.45783132530120479</v>
      </c>
      <c r="X42" s="76">
        <v>0.52380952380952384</v>
      </c>
      <c r="Y42" s="77">
        <v>8.0882352941176475E-2</v>
      </c>
      <c r="Z42" s="77">
        <v>0.14012738853503184</v>
      </c>
      <c r="AA42" s="77">
        <v>0.4517543859649123</v>
      </c>
      <c r="AB42" s="77">
        <v>0.91150442477876104</v>
      </c>
      <c r="AC42" s="78">
        <v>0.60410557184750724</v>
      </c>
      <c r="AD42">
        <v>479.65159143426303</v>
      </c>
      <c r="AE42">
        <v>18.301322709163351</v>
      </c>
      <c r="AF42">
        <v>0.1315974206757819</v>
      </c>
      <c r="AG42">
        <v>-1.1938286240927429</v>
      </c>
      <c r="AH42">
        <v>-1.3141652152877039</v>
      </c>
      <c r="AI42" s="22">
        <v>479.65159143426303</v>
      </c>
      <c r="AK42" s="87" t="s">
        <v>257</v>
      </c>
      <c r="AL42" s="9">
        <v>2662646.0821495522</v>
      </c>
      <c r="AM42" s="9">
        <v>13799.54930411464</v>
      </c>
      <c r="AN42" s="9">
        <v>3609.9182480989011</v>
      </c>
      <c r="AO42" s="9">
        <v>1568.7282572509921</v>
      </c>
      <c r="AP42" s="9">
        <v>1572.8447473650799</v>
      </c>
    </row>
    <row r="43" spans="1:42" x14ac:dyDescent="0.3">
      <c r="A43" s="1">
        <v>42</v>
      </c>
      <c r="B43">
        <v>252.26499999999999</v>
      </c>
      <c r="C43">
        <v>255.39</v>
      </c>
      <c r="D43" s="74">
        <v>252.2290055427118</v>
      </c>
      <c r="E43" t="str">
        <f t="shared" si="1"/>
        <v>Venta</v>
      </c>
      <c r="F43" t="str">
        <f t="shared" si="2"/>
        <v>Negativo</v>
      </c>
      <c r="G43" s="4">
        <f t="shared" si="3"/>
        <v>-1.2387766832497572E-2</v>
      </c>
      <c r="H43" s="4">
        <f t="shared" si="4"/>
        <v>1.4268510212745708E-4</v>
      </c>
      <c r="I43" s="47" t="str">
        <f t="shared" si="5"/>
        <v>Compra</v>
      </c>
      <c r="J43" s="47" t="str">
        <f t="shared" si="6"/>
        <v>VentaCompra</v>
      </c>
      <c r="K43" s="47"/>
      <c r="L43" s="47"/>
      <c r="M43" s="47" t="s">
        <v>293</v>
      </c>
      <c r="N43" s="52" t="s">
        <v>274</v>
      </c>
      <c r="O43" s="32">
        <v>0</v>
      </c>
      <c r="P43" s="32">
        <v>0</v>
      </c>
      <c r="Q43" s="34">
        <v>1.3050451056614256E-2</v>
      </c>
      <c r="R43" s="34">
        <v>1.3438514347439922E-3</v>
      </c>
      <c r="S43" s="72">
        <v>6</v>
      </c>
      <c r="T43" s="63">
        <v>1.98E-3</v>
      </c>
      <c r="U43" s="34">
        <v>-0.49286954894338625</v>
      </c>
      <c r="V43" s="64">
        <v>-0.40235298056533475</v>
      </c>
      <c r="W43" s="4">
        <v>0.45783132530120479</v>
      </c>
      <c r="X43" s="76">
        <v>0.52380952380952384</v>
      </c>
      <c r="Y43" s="77">
        <v>8.0882352941176475E-2</v>
      </c>
      <c r="Z43" s="77">
        <v>0.14012738853503184</v>
      </c>
      <c r="AA43" s="77">
        <v>0.4517543859649123</v>
      </c>
      <c r="AB43" s="77">
        <v>0.91150442477876104</v>
      </c>
      <c r="AC43" s="78">
        <v>0.60410557184750724</v>
      </c>
      <c r="AD43">
        <v>479.2649085000001</v>
      </c>
      <c r="AE43">
        <v>18.194984063745022</v>
      </c>
      <c r="AF43">
        <v>0.13058663696313971</v>
      </c>
      <c r="AG43">
        <v>-1.192060015159127</v>
      </c>
      <c r="AH43">
        <v>-1.312299594049712</v>
      </c>
      <c r="AI43" s="22">
        <v>479.2649085000001</v>
      </c>
      <c r="AK43" s="87" t="s">
        <v>292</v>
      </c>
      <c r="AL43" s="9">
        <v>8.9786029612704059</v>
      </c>
      <c r="AM43" s="9">
        <v>2967.093749154471</v>
      </c>
      <c r="AN43" s="9">
        <v>8113.4168898298494</v>
      </c>
      <c r="AO43" s="9">
        <v>4264.3482861111124</v>
      </c>
      <c r="AP43" s="9">
        <v>3982.7303816050471</v>
      </c>
    </row>
    <row r="44" spans="1:42" x14ac:dyDescent="0.3">
      <c r="A44" s="1">
        <v>43</v>
      </c>
      <c r="B44">
        <v>256.43</v>
      </c>
      <c r="C44">
        <v>256.89999999999998</v>
      </c>
      <c r="D44" s="74">
        <v>256.09724589502252</v>
      </c>
      <c r="E44" t="str">
        <f t="shared" si="1"/>
        <v>Venta</v>
      </c>
      <c r="F44" t="str">
        <f t="shared" si="2"/>
        <v>Negativo</v>
      </c>
      <c r="G44" s="4">
        <f t="shared" si="3"/>
        <v>-1.832858869866905E-3</v>
      </c>
      <c r="H44" s="4">
        <f t="shared" si="4"/>
        <v>1.2976410910481701E-3</v>
      </c>
      <c r="I44" s="47" t="str">
        <f t="shared" si="5"/>
        <v>Compra</v>
      </c>
      <c r="J44" s="47" t="str">
        <f t="shared" si="6"/>
        <v>VentaCompra</v>
      </c>
      <c r="K44" s="47"/>
      <c r="L44" s="47"/>
      <c r="N44" s="52" t="s">
        <v>265</v>
      </c>
      <c r="O44" s="32">
        <v>0</v>
      </c>
      <c r="P44" s="32">
        <v>0</v>
      </c>
      <c r="Q44" s="34">
        <v>0.44584915754817689</v>
      </c>
      <c r="R44" s="34">
        <v>0.50256064515914567</v>
      </c>
      <c r="S44" s="72">
        <v>6</v>
      </c>
      <c r="T44" s="63">
        <v>2.5100000000000001E-3</v>
      </c>
      <c r="U44" s="34">
        <v>-0.1915108424518224</v>
      </c>
      <c r="V44" s="64">
        <v>-0.20942930315113598</v>
      </c>
      <c r="W44" s="4">
        <v>0.57429718875502012</v>
      </c>
      <c r="X44" s="76">
        <v>0.68354430379746833</v>
      </c>
      <c r="Y44" s="77">
        <v>0.4</v>
      </c>
      <c r="Z44" s="77">
        <v>0.50467289719626174</v>
      </c>
      <c r="AA44" s="77">
        <v>0.52352941176470591</v>
      </c>
      <c r="AB44" s="77">
        <v>0.7807017543859649</v>
      </c>
      <c r="AC44" s="78">
        <v>0.62676056338028174</v>
      </c>
      <c r="AD44">
        <v>2662646.0821495522</v>
      </c>
      <c r="AE44">
        <v>953.95061841598476</v>
      </c>
      <c r="AF44">
        <v>4.4756090810518616</v>
      </c>
      <c r="AG44">
        <v>-5080.3386441772727</v>
      </c>
      <c r="AH44">
        <v>-5357.8907549936775</v>
      </c>
      <c r="AI44" s="22">
        <v>2662646.0821495522</v>
      </c>
      <c r="AK44" s="87" t="s">
        <v>258</v>
      </c>
      <c r="AL44" s="9">
        <v>64.340558071522068</v>
      </c>
      <c r="AM44" s="9">
        <v>323.63163039467241</v>
      </c>
      <c r="AN44" s="9">
        <v>173.29868545047199</v>
      </c>
      <c r="AO44" s="9">
        <v>140.8411489571713</v>
      </c>
      <c r="AP44" s="9">
        <v>150.19566603336659</v>
      </c>
    </row>
    <row r="45" spans="1:42" x14ac:dyDescent="0.3">
      <c r="A45" s="1">
        <v>44</v>
      </c>
      <c r="B45">
        <v>256.185</v>
      </c>
      <c r="C45">
        <v>254.23</v>
      </c>
      <c r="D45" s="74">
        <v>255.76402173237099</v>
      </c>
      <c r="E45" t="str">
        <f t="shared" si="1"/>
        <v>Venta</v>
      </c>
      <c r="F45" t="str">
        <f t="shared" si="2"/>
        <v>Positivo</v>
      </c>
      <c r="G45" s="4">
        <f t="shared" si="3"/>
        <v>7.6312040127252279E-3</v>
      </c>
      <c r="H45" s="4">
        <f t="shared" si="4"/>
        <v>1.6432588466499224E-3</v>
      </c>
      <c r="I45" s="47" t="str">
        <f t="shared" si="5"/>
        <v>Venta</v>
      </c>
      <c r="J45" s="47" t="str">
        <f t="shared" si="6"/>
        <v>VentaVenta</v>
      </c>
      <c r="K45" s="47"/>
      <c r="L45" s="47"/>
      <c r="N45" s="52" t="s">
        <v>266</v>
      </c>
      <c r="O45" s="32">
        <v>0</v>
      </c>
      <c r="P45" s="32">
        <v>0</v>
      </c>
      <c r="Q45" s="34">
        <v>-0.49808818679460803</v>
      </c>
      <c r="R45" s="34">
        <v>-0.42171156583659053</v>
      </c>
      <c r="S45" s="72">
        <v>6</v>
      </c>
      <c r="T45" s="63">
        <v>2.5100000000000001E-3</v>
      </c>
      <c r="U45" s="34">
        <v>-1.135448186794608</v>
      </c>
      <c r="V45" s="64">
        <v>-0.70298782287244088</v>
      </c>
      <c r="W45" s="4">
        <v>0.45783132530120479</v>
      </c>
      <c r="X45" s="76">
        <v>0.5</v>
      </c>
      <c r="Y45" s="77">
        <v>0.25185185185185183</v>
      </c>
      <c r="Z45" s="77">
        <v>0.33497536945812806</v>
      </c>
      <c r="AA45" s="77">
        <v>0.44198895027624308</v>
      </c>
      <c r="AB45" s="77">
        <v>0.70175438596491224</v>
      </c>
      <c r="AC45" s="78">
        <v>0.5423728813559322</v>
      </c>
      <c r="AD45">
        <v>1.4637527055970909E+22</v>
      </c>
      <c r="AE45">
        <v>56770913650.224403</v>
      </c>
      <c r="AF45">
        <v>267315089.60972559</v>
      </c>
      <c r="AG45">
        <v>-2.79339535146368E+19</v>
      </c>
      <c r="AH45">
        <v>-2.9459757698209391E+19</v>
      </c>
      <c r="AI45" s="22">
        <v>13799.54930411464</v>
      </c>
      <c r="AK45" s="87" t="s">
        <v>339</v>
      </c>
      <c r="AL45" s="9">
        <v>58.899236371759457</v>
      </c>
      <c r="AM45" s="9">
        <v>759.08196858164422</v>
      </c>
      <c r="AN45" s="9">
        <v>1540.6549553846551</v>
      </c>
      <c r="AO45" s="9">
        <v>505.24855928143688</v>
      </c>
      <c r="AP45" s="9">
        <v>357.5850813169252</v>
      </c>
    </row>
    <row r="46" spans="1:42" x14ac:dyDescent="0.3">
      <c r="A46" s="1">
        <v>45</v>
      </c>
      <c r="B46">
        <v>254.09</v>
      </c>
      <c r="C46">
        <v>253.77</v>
      </c>
      <c r="D46" s="74">
        <v>253.89752353911339</v>
      </c>
      <c r="E46" t="str">
        <f t="shared" si="1"/>
        <v>Venta</v>
      </c>
      <c r="F46" t="str">
        <f t="shared" si="2"/>
        <v>Positivo</v>
      </c>
      <c r="G46" s="4">
        <f t="shared" si="3"/>
        <v>1.2593962769097296E-3</v>
      </c>
      <c r="H46" s="4">
        <f t="shared" si="4"/>
        <v>7.5751293197925875E-4</v>
      </c>
      <c r="I46" s="47" t="str">
        <f t="shared" si="5"/>
        <v>Venta</v>
      </c>
      <c r="J46" s="47" t="str">
        <f t="shared" si="6"/>
        <v>VentaVenta</v>
      </c>
      <c r="K46" s="47"/>
      <c r="L46" s="47"/>
      <c r="N46" s="52" t="s">
        <v>267</v>
      </c>
      <c r="O46" s="32">
        <v>0</v>
      </c>
      <c r="P46" s="32">
        <v>0</v>
      </c>
      <c r="Q46" s="34">
        <v>-0.22988022743794762</v>
      </c>
      <c r="R46" s="34">
        <v>-0.24069976802770005</v>
      </c>
      <c r="S46" s="72">
        <v>6</v>
      </c>
      <c r="T46" s="63">
        <v>2.5100000000000001E-3</v>
      </c>
      <c r="U46" s="34">
        <v>-0.86724022743794815</v>
      </c>
      <c r="V46" s="64">
        <v>-0.60641017412693032</v>
      </c>
      <c r="W46" s="4">
        <v>0.45783132530120479</v>
      </c>
      <c r="X46" s="76" t="e">
        <v>#DIV/0!</v>
      </c>
      <c r="Y46" s="77">
        <v>0</v>
      </c>
      <c r="Z46" s="77" t="e">
        <v>#DIV/0!</v>
      </c>
      <c r="AA46" s="77">
        <v>0.45783132530120479</v>
      </c>
      <c r="AB46" s="77">
        <v>1</v>
      </c>
      <c r="AC46" s="78">
        <v>0.62809917355371903</v>
      </c>
      <c r="AD46">
        <v>3911.419263150513</v>
      </c>
      <c r="AE46">
        <v>58.47582818601699</v>
      </c>
      <c r="AF46">
        <v>0.29270177707625461</v>
      </c>
      <c r="AG46">
        <v>-6.4644715227721257</v>
      </c>
      <c r="AH46">
        <v>-6.8721947572092592</v>
      </c>
      <c r="AI46" s="22">
        <v>3609.9182480989011</v>
      </c>
      <c r="AK46" s="87" t="s">
        <v>340</v>
      </c>
      <c r="AL46" s="9">
        <v>15.90088440209928</v>
      </c>
      <c r="AM46" s="9">
        <v>343.86441405871761</v>
      </c>
      <c r="AN46" s="9">
        <v>27.87311971578519</v>
      </c>
      <c r="AO46" s="9">
        <v>43.719914820359342</v>
      </c>
      <c r="AP46" s="9">
        <v>22.001339904684819</v>
      </c>
    </row>
    <row r="47" spans="1:42" x14ac:dyDescent="0.3">
      <c r="A47" s="1">
        <v>46</v>
      </c>
      <c r="B47">
        <v>255.93</v>
      </c>
      <c r="C47">
        <v>252.30500000000001</v>
      </c>
      <c r="D47" s="74">
        <v>255.72401178961431</v>
      </c>
      <c r="E47" t="str">
        <f t="shared" si="1"/>
        <v>Venta</v>
      </c>
      <c r="F47" t="str">
        <f t="shared" si="2"/>
        <v>Positivo</v>
      </c>
      <c r="G47" s="4">
        <f t="shared" si="3"/>
        <v>1.4164029226741686E-2</v>
      </c>
      <c r="H47" s="4">
        <f t="shared" si="4"/>
        <v>8.0486152614268674E-4</v>
      </c>
      <c r="I47" s="47" t="str">
        <f t="shared" si="5"/>
        <v>Venta</v>
      </c>
      <c r="J47" s="47" t="str">
        <f t="shared" si="6"/>
        <v>VentaVenta</v>
      </c>
      <c r="K47" s="47"/>
      <c r="L47" s="47"/>
      <c r="N47" s="52" t="s">
        <v>268</v>
      </c>
      <c r="O47" s="32">
        <v>0</v>
      </c>
      <c r="P47" s="32">
        <v>0</v>
      </c>
      <c r="Q47" s="34">
        <v>0.17326302506339228</v>
      </c>
      <c r="R47" s="34">
        <v>0.14265451950494201</v>
      </c>
      <c r="S47" s="72">
        <v>6</v>
      </c>
      <c r="T47" s="63">
        <v>2.5100000000000001E-3</v>
      </c>
      <c r="U47" s="34">
        <v>-0.46409697493660773</v>
      </c>
      <c r="V47" s="64">
        <v>-0.40103006096297089</v>
      </c>
      <c r="W47" s="4">
        <v>0.46987951807228917</v>
      </c>
      <c r="X47" s="76">
        <v>0.56521739130434778</v>
      </c>
      <c r="Y47" s="77">
        <v>9.6296296296296297E-2</v>
      </c>
      <c r="Z47" s="77">
        <v>0.16455696202531644</v>
      </c>
      <c r="AA47" s="77">
        <v>0.46017699115044247</v>
      </c>
      <c r="AB47" s="77">
        <v>0.91228070175438591</v>
      </c>
      <c r="AC47" s="78">
        <v>0.61176470588235288</v>
      </c>
      <c r="AD47">
        <v>1568.7282572509921</v>
      </c>
      <c r="AE47">
        <v>33.97144642857144</v>
      </c>
      <c r="AF47">
        <v>0.165608239090105</v>
      </c>
      <c r="AG47">
        <v>-1.9937285203699171</v>
      </c>
      <c r="AH47">
        <v>-2.157251506776678</v>
      </c>
      <c r="AI47" s="22">
        <v>1568.7282572509921</v>
      </c>
      <c r="AK47" s="87" t="s">
        <v>259</v>
      </c>
      <c r="AL47" s="9">
        <v>15.48284931282114</v>
      </c>
      <c r="AM47" s="9">
        <v>260.55666860480329</v>
      </c>
      <c r="AN47" s="9">
        <v>39.452656951216483</v>
      </c>
      <c r="AO47" s="9">
        <v>52.145460928143613</v>
      </c>
      <c r="AP47" s="9">
        <v>23.302369371043991</v>
      </c>
    </row>
    <row r="48" spans="1:42" x14ac:dyDescent="0.3">
      <c r="A48" s="1">
        <v>47</v>
      </c>
      <c r="B48">
        <v>251.06</v>
      </c>
      <c r="C48">
        <v>248.66</v>
      </c>
      <c r="D48" s="74">
        <v>251.18469777335</v>
      </c>
      <c r="E48" t="str">
        <f t="shared" si="1"/>
        <v>Compra</v>
      </c>
      <c r="F48" t="str">
        <f t="shared" si="2"/>
        <v>Negativo</v>
      </c>
      <c r="G48" s="4">
        <f t="shared" si="3"/>
        <v>-9.5594678562893557E-3</v>
      </c>
      <c r="H48" s="4">
        <f t="shared" si="4"/>
        <v>4.9668514837088033E-4</v>
      </c>
      <c r="I48" s="47" t="str">
        <f t="shared" si="5"/>
        <v>Venta</v>
      </c>
      <c r="J48" s="47" t="str">
        <f t="shared" si="6"/>
        <v>CompraVenta</v>
      </c>
      <c r="K48" s="47"/>
      <c r="L48" s="47"/>
      <c r="N48" s="52" t="s">
        <v>269</v>
      </c>
      <c r="O48" s="32">
        <v>0</v>
      </c>
      <c r="P48" s="32">
        <v>0</v>
      </c>
      <c r="Q48" s="34">
        <v>0.19460023400949344</v>
      </c>
      <c r="R48" s="34">
        <v>0.16753101677937549</v>
      </c>
      <c r="S48" s="72">
        <v>6</v>
      </c>
      <c r="T48" s="63">
        <v>2.5100000000000001E-3</v>
      </c>
      <c r="U48" s="34">
        <v>-0.44275976599050626</v>
      </c>
      <c r="V48" s="64">
        <v>-0.38770596896103487</v>
      </c>
      <c r="W48" s="4">
        <v>0.47791164658634538</v>
      </c>
      <c r="X48" s="76">
        <v>0.60869565217391308</v>
      </c>
      <c r="Y48" s="77">
        <v>0.1037037037037037</v>
      </c>
      <c r="Z48" s="77">
        <v>0.17721518987341769</v>
      </c>
      <c r="AA48" s="77">
        <v>0.46460176991150443</v>
      </c>
      <c r="AB48" s="77">
        <v>0.92105263157894735</v>
      </c>
      <c r="AC48" s="78">
        <v>0.61764705882352944</v>
      </c>
      <c r="AD48">
        <v>1673.4377832109601</v>
      </c>
      <c r="AE48">
        <v>35.348129384920377</v>
      </c>
      <c r="AF48">
        <v>0.17282897688790469</v>
      </c>
      <c r="AG48">
        <v>-2.1935540113508019</v>
      </c>
      <c r="AH48">
        <v>-2.3679918355002161</v>
      </c>
      <c r="AI48" s="22">
        <v>1572.8447473650799</v>
      </c>
    </row>
    <row r="49" spans="1:35" x14ac:dyDescent="0.3">
      <c r="A49" s="1">
        <v>48</v>
      </c>
      <c r="B49">
        <v>247.465</v>
      </c>
      <c r="C49">
        <v>253.95500000000001</v>
      </c>
      <c r="D49" s="74">
        <v>247.84600887500309</v>
      </c>
      <c r="E49" t="str">
        <f t="shared" si="1"/>
        <v>Compra</v>
      </c>
      <c r="F49" t="str">
        <f t="shared" si="2"/>
        <v>Positivo</v>
      </c>
      <c r="G49" s="4">
        <f t="shared" si="3"/>
        <v>2.6225930939728886E-2</v>
      </c>
      <c r="H49" s="4">
        <f t="shared" si="4"/>
        <v>1.5396475259252418E-3</v>
      </c>
      <c r="I49" s="47" t="str">
        <f t="shared" si="5"/>
        <v>Compra</v>
      </c>
      <c r="J49" s="47" t="str">
        <f t="shared" si="6"/>
        <v>CompraCompra</v>
      </c>
      <c r="K49" s="47"/>
      <c r="L49" s="47"/>
      <c r="M49" s="47" t="s">
        <v>293</v>
      </c>
      <c r="N49" s="52" t="s">
        <v>265</v>
      </c>
      <c r="O49" s="32">
        <v>0</v>
      </c>
      <c r="P49" s="32">
        <v>0</v>
      </c>
      <c r="Q49" s="34">
        <v>0.44584915754817689</v>
      </c>
      <c r="R49" s="34">
        <v>0.50256064515914567</v>
      </c>
      <c r="S49" s="72">
        <v>6</v>
      </c>
      <c r="T49" s="63">
        <v>2.5100000000000001E-3</v>
      </c>
      <c r="U49" s="34">
        <v>-0.1915108424518224</v>
      </c>
      <c r="V49" s="64">
        <v>-0.20942930315113598</v>
      </c>
      <c r="W49" s="4">
        <v>0.57429718875502012</v>
      </c>
      <c r="X49" s="76">
        <v>0.68354430379746833</v>
      </c>
      <c r="Y49" s="77">
        <v>0.4</v>
      </c>
      <c r="Z49" s="77">
        <v>0.50467289719626174</v>
      </c>
      <c r="AA49" s="77">
        <v>0.52352941176470591</v>
      </c>
      <c r="AB49" s="77">
        <v>0.7807017543859649</v>
      </c>
      <c r="AC49" s="78">
        <v>0.62676056338028174</v>
      </c>
      <c r="AD49">
        <v>2662646.0821584691</v>
      </c>
      <c r="AE49">
        <v>961.71186790927868</v>
      </c>
      <c r="AF49">
        <v>5.0487844320482536</v>
      </c>
      <c r="AG49">
        <v>-5080.3386441942903</v>
      </c>
      <c r="AH49">
        <v>-5357.8907550116264</v>
      </c>
      <c r="AI49" s="22">
        <v>8.9786029612704059</v>
      </c>
    </row>
    <row r="50" spans="1:35" x14ac:dyDescent="0.3">
      <c r="A50" s="1">
        <v>49</v>
      </c>
      <c r="B50">
        <v>256.95</v>
      </c>
      <c r="C50">
        <v>260.51499999999999</v>
      </c>
      <c r="D50" s="74">
        <v>256.83801625392368</v>
      </c>
      <c r="E50" t="str">
        <f t="shared" si="1"/>
        <v>Venta</v>
      </c>
      <c r="F50" t="str">
        <f t="shared" si="2"/>
        <v>Negativo</v>
      </c>
      <c r="G50" s="4">
        <f t="shared" si="3"/>
        <v>-1.3874294609846266E-2</v>
      </c>
      <c r="H50" s="4">
        <f t="shared" si="4"/>
        <v>4.3581921025999274E-4</v>
      </c>
      <c r="I50" s="47" t="str">
        <f t="shared" si="5"/>
        <v>Compra</v>
      </c>
      <c r="J50" s="47" t="str">
        <f t="shared" si="6"/>
        <v>VentaCompra</v>
      </c>
      <c r="K50" s="47"/>
      <c r="L50" s="47"/>
      <c r="M50" s="47" t="s">
        <v>293</v>
      </c>
      <c r="N50" s="52" t="s">
        <v>266</v>
      </c>
      <c r="O50" s="32">
        <v>0</v>
      </c>
      <c r="P50" s="32">
        <v>0</v>
      </c>
      <c r="Q50" s="34">
        <v>2.392479809426077E-2</v>
      </c>
      <c r="R50" s="34">
        <v>-1.7598616863339848E-2</v>
      </c>
      <c r="S50" s="72">
        <v>6</v>
      </c>
      <c r="T50" s="63">
        <v>2.5100000000000001E-3</v>
      </c>
      <c r="U50" s="34">
        <v>-0.61343520190573897</v>
      </c>
      <c r="V50" s="64">
        <v>-0.48695887619355244</v>
      </c>
      <c r="W50" s="4">
        <v>0.48995983935742971</v>
      </c>
      <c r="X50" s="76">
        <v>0.54166666666666663</v>
      </c>
      <c r="Y50" s="77">
        <v>0.38518518518518519</v>
      </c>
      <c r="Z50" s="77">
        <v>0.45021645021645018</v>
      </c>
      <c r="AA50" s="77">
        <v>0.45751633986928103</v>
      </c>
      <c r="AB50" s="77">
        <v>0.61403508771929827</v>
      </c>
      <c r="AC50" s="78">
        <v>0.52434456928838946</v>
      </c>
      <c r="AD50">
        <v>13799.54930411464</v>
      </c>
      <c r="AE50">
        <v>83.751023504098598</v>
      </c>
      <c r="AF50">
        <v>0.40229258745776408</v>
      </c>
      <c r="AG50">
        <v>-25.334774126127709</v>
      </c>
      <c r="AH50">
        <v>-26.773228175033839</v>
      </c>
      <c r="AI50" s="22">
        <v>9207.427393128839</v>
      </c>
    </row>
    <row r="51" spans="1:35" x14ac:dyDescent="0.3">
      <c r="A51" s="1">
        <v>50</v>
      </c>
      <c r="B51">
        <v>259.74</v>
      </c>
      <c r="C51">
        <v>265.10500000000002</v>
      </c>
      <c r="D51" s="74">
        <v>259.53355082431727</v>
      </c>
      <c r="E51" t="str">
        <f t="shared" si="1"/>
        <v>Venta</v>
      </c>
      <c r="F51" t="str">
        <f t="shared" si="2"/>
        <v>Negativo</v>
      </c>
      <c r="G51" s="4">
        <f t="shared" si="3"/>
        <v>-2.0655270655270688E-2</v>
      </c>
      <c r="H51" s="4">
        <f t="shared" si="4"/>
        <v>7.9483012120865146E-4</v>
      </c>
      <c r="I51" s="47" t="str">
        <f t="shared" si="5"/>
        <v>Compra</v>
      </c>
      <c r="J51" s="47" t="str">
        <f t="shared" si="6"/>
        <v>VentaCompra</v>
      </c>
      <c r="K51" s="47"/>
      <c r="L51" s="47"/>
      <c r="M51" s="47" t="s">
        <v>293</v>
      </c>
      <c r="N51" s="52" t="s">
        <v>267</v>
      </c>
      <c r="O51" s="32">
        <v>0</v>
      </c>
      <c r="P51" s="32">
        <v>0</v>
      </c>
      <c r="Q51" s="34">
        <v>-0.22988022743794762</v>
      </c>
      <c r="R51" s="34">
        <v>-0.24069976802770005</v>
      </c>
      <c r="S51" s="72">
        <v>6</v>
      </c>
      <c r="T51" s="63">
        <v>2.5100000000000001E-3</v>
      </c>
      <c r="U51" s="34">
        <v>-0.86724022743794815</v>
      </c>
      <c r="V51" s="64">
        <v>-0.60641017412693032</v>
      </c>
      <c r="W51" s="4">
        <v>0.45783132530120479</v>
      </c>
      <c r="X51" s="76" t="e">
        <v>#DIV/0!</v>
      </c>
      <c r="Y51" s="77">
        <v>0</v>
      </c>
      <c r="Z51" s="77" t="e">
        <v>#DIV/0!</v>
      </c>
      <c r="AA51" s="77">
        <v>0.45783132530120479</v>
      </c>
      <c r="AB51" s="77">
        <v>1</v>
      </c>
      <c r="AC51" s="78">
        <v>0.62809917355371903</v>
      </c>
      <c r="AD51">
        <v>3609.9182480989011</v>
      </c>
      <c r="AE51">
        <v>53.699231529084997</v>
      </c>
      <c r="AF51">
        <v>0.26463100702587172</v>
      </c>
      <c r="AG51">
        <v>-5.8890932292350344</v>
      </c>
      <c r="AH51">
        <v>-6.2653882375545944</v>
      </c>
      <c r="AI51" s="22">
        <v>3609.9182480989011</v>
      </c>
    </row>
    <row r="52" spans="1:35" x14ac:dyDescent="0.3">
      <c r="A52" s="1">
        <v>51</v>
      </c>
      <c r="B52">
        <v>264.98</v>
      </c>
      <c r="C52">
        <v>276.005</v>
      </c>
      <c r="D52" s="74">
        <v>264.97751678218242</v>
      </c>
      <c r="E52" t="str">
        <f t="shared" si="1"/>
        <v>Venta</v>
      </c>
      <c r="F52" t="str">
        <f t="shared" si="2"/>
        <v>Negativo</v>
      </c>
      <c r="G52" s="4">
        <f t="shared" si="3"/>
        <v>-4.1606913729337974E-2</v>
      </c>
      <c r="H52" s="4">
        <f t="shared" si="4"/>
        <v>9.3713405449408072E-6</v>
      </c>
      <c r="I52" s="47" t="str">
        <f t="shared" si="5"/>
        <v>Compra</v>
      </c>
      <c r="J52" s="47" t="str">
        <f t="shared" si="6"/>
        <v>VentaCompra</v>
      </c>
      <c r="K52" s="47"/>
      <c r="L52" s="47"/>
      <c r="M52" s="47" t="s">
        <v>293</v>
      </c>
      <c r="N52" s="52" t="s">
        <v>268</v>
      </c>
      <c r="O52" s="32">
        <v>0</v>
      </c>
      <c r="P52" s="32">
        <v>0</v>
      </c>
      <c r="Q52" s="34">
        <v>0.19460023400949344</v>
      </c>
      <c r="R52" s="34">
        <v>0.16753101677937549</v>
      </c>
      <c r="S52" s="72">
        <v>6</v>
      </c>
      <c r="T52" s="63">
        <v>2.5100000000000001E-3</v>
      </c>
      <c r="U52" s="34">
        <v>-0.44275976599050626</v>
      </c>
      <c r="V52" s="64">
        <v>-0.38770596896103487</v>
      </c>
      <c r="W52" s="4">
        <v>0.47791164658634538</v>
      </c>
      <c r="X52" s="76">
        <v>0.60869565217391308</v>
      </c>
      <c r="Y52" s="77">
        <v>0.1037037037037037</v>
      </c>
      <c r="Z52" s="77">
        <v>0.17721518987341769</v>
      </c>
      <c r="AA52" s="77">
        <v>0.46460176991150443</v>
      </c>
      <c r="AB52" s="77">
        <v>0.92105263157894735</v>
      </c>
      <c r="AC52" s="78">
        <v>0.61764705882352944</v>
      </c>
      <c r="AD52">
        <v>1572.972633394842</v>
      </c>
      <c r="AE52">
        <v>34.129940476190477</v>
      </c>
      <c r="AF52">
        <v>0.16670870439685831</v>
      </c>
      <c r="AG52">
        <v>-2.001828399908828</v>
      </c>
      <c r="AH52">
        <v>-2.165793816710571</v>
      </c>
      <c r="AI52" s="22">
        <v>1572.972633394842</v>
      </c>
    </row>
    <row r="53" spans="1:35" x14ac:dyDescent="0.3">
      <c r="A53" s="1">
        <v>52</v>
      </c>
      <c r="B53">
        <v>278.21499999999997</v>
      </c>
      <c r="C53">
        <v>279.38</v>
      </c>
      <c r="D53" s="74">
        <v>277.68267506606048</v>
      </c>
      <c r="E53" t="str">
        <f t="shared" si="1"/>
        <v>Venta</v>
      </c>
      <c r="F53" t="str">
        <f t="shared" si="2"/>
        <v>Negativo</v>
      </c>
      <c r="G53" s="4">
        <f t="shared" si="3"/>
        <v>-4.1874090182054185E-3</v>
      </c>
      <c r="H53" s="4">
        <f t="shared" si="4"/>
        <v>1.913358136475359E-3</v>
      </c>
      <c r="I53" s="47" t="str">
        <f t="shared" si="5"/>
        <v>Compra</v>
      </c>
      <c r="J53" s="47" t="str">
        <f t="shared" si="6"/>
        <v>VentaCompra</v>
      </c>
      <c r="K53" s="47"/>
      <c r="L53" s="47"/>
      <c r="M53" s="47" t="s">
        <v>293</v>
      </c>
      <c r="N53" s="52" t="s">
        <v>269</v>
      </c>
      <c r="O53" s="32">
        <v>0</v>
      </c>
      <c r="P53" s="32">
        <v>0</v>
      </c>
      <c r="Q53" s="34">
        <v>0.19460023400949344</v>
      </c>
      <c r="R53" s="34">
        <v>0.16753101677937549</v>
      </c>
      <c r="S53" s="72">
        <v>6</v>
      </c>
      <c r="T53" s="63">
        <v>2.5100000000000001E-3</v>
      </c>
      <c r="U53" s="34">
        <v>-0.44275976599050626</v>
      </c>
      <c r="V53" s="64">
        <v>-0.38770596896103487</v>
      </c>
      <c r="W53" s="4">
        <v>0.47791164658634538</v>
      </c>
      <c r="X53" s="76">
        <v>0.60869565217391308</v>
      </c>
      <c r="Y53" s="77">
        <v>0.1037037037037037</v>
      </c>
      <c r="Z53" s="77">
        <v>0.17721518987341769</v>
      </c>
      <c r="AA53" s="77">
        <v>0.46460176991150443</v>
      </c>
      <c r="AB53" s="77">
        <v>0.92105263157894735</v>
      </c>
      <c r="AC53" s="78">
        <v>0.61764705882352944</v>
      </c>
      <c r="AD53">
        <v>1572.8447473650799</v>
      </c>
      <c r="AE53">
        <v>34.164158730158739</v>
      </c>
      <c r="AF53">
        <v>0.16694488546137429</v>
      </c>
      <c r="AG53">
        <v>-2.0015843448579389</v>
      </c>
      <c r="AH53">
        <v>-2.1655364309216081</v>
      </c>
      <c r="AI53" s="22">
        <v>1572.8447473650799</v>
      </c>
    </row>
    <row r="54" spans="1:35" x14ac:dyDescent="0.3">
      <c r="A54" s="1">
        <v>53</v>
      </c>
      <c r="B54">
        <v>277.16500000000002</v>
      </c>
      <c r="C54">
        <v>272.08499999999998</v>
      </c>
      <c r="D54" s="74">
        <v>277.44399922234248</v>
      </c>
      <c r="E54" t="str">
        <f t="shared" ref="E54:E117" si="7">+IF(D54&lt;B54,"Venta","Compra")</f>
        <v>Compra</v>
      </c>
      <c r="F54" t="str">
        <f t="shared" ref="F54:F117" si="8">IF(B54="","",IF(E54="Venta",IF(C54&lt;B54,"Positivo","Negativo"),IF(C54&gt;B54,"Positivo","Negativo")))</f>
        <v>Negativo</v>
      </c>
      <c r="G54" s="4">
        <f t="shared" ref="G54:G117" si="9">+IF(E54="Compra",(C54-B54)/B54,(B54-C54)/B54)</f>
        <v>-1.8328432522143997E-2</v>
      </c>
      <c r="H54" s="4">
        <f t="shared" ref="H54:H117" si="10">+IF(E54="Compra",(D54-B54)/B54,(B54-D54)/B54)</f>
        <v>1.0066177992981195E-3</v>
      </c>
      <c r="I54" s="47" t="str">
        <f t="shared" ref="I54:I117" si="11">+IF(C54&lt;B54,"Venta","Compra")</f>
        <v>Venta</v>
      </c>
      <c r="J54" s="47" t="str">
        <f t="shared" ref="J54:J117" si="12">+E54&amp;I54</f>
        <v>CompraVenta</v>
      </c>
      <c r="K54" s="47"/>
      <c r="L54" s="47"/>
      <c r="N54" s="52" t="s">
        <v>275</v>
      </c>
      <c r="O54" s="32">
        <v>0</v>
      </c>
      <c r="P54" s="32">
        <v>0</v>
      </c>
      <c r="Q54" s="34">
        <v>0.16010634469837665</v>
      </c>
      <c r="R54" s="34">
        <v>0.16016170351823036</v>
      </c>
      <c r="S54" s="72">
        <v>6</v>
      </c>
      <c r="T54" s="63">
        <v>2.5100000000000001E-3</v>
      </c>
      <c r="U54" s="34">
        <v>-0.47725365530162323</v>
      </c>
      <c r="V54" s="64">
        <v>-0.39189001123771527</v>
      </c>
      <c r="W54" s="4">
        <v>0.53413654618473894</v>
      </c>
      <c r="X54" s="76">
        <v>0.56097560975609762</v>
      </c>
      <c r="Y54" s="77">
        <v>0.67647058823529416</v>
      </c>
      <c r="Z54" s="77">
        <v>0.6133333333333334</v>
      </c>
      <c r="AA54" s="77">
        <v>0.4823529411764706</v>
      </c>
      <c r="AB54" s="77">
        <v>0.36283185840707965</v>
      </c>
      <c r="AC54" s="78">
        <v>0.4141414141414142</v>
      </c>
      <c r="AD54">
        <v>8.9786029612704059</v>
      </c>
      <c r="AE54">
        <v>2.2948934566905321</v>
      </c>
      <c r="AF54">
        <v>8.3728020721760988E-3</v>
      </c>
      <c r="AG54">
        <v>0.99340336120559136</v>
      </c>
      <c r="AH54">
        <v>0.99304304059917403</v>
      </c>
      <c r="AI54" s="22">
        <v>8.9786029612704059</v>
      </c>
    </row>
    <row r="55" spans="1:35" x14ac:dyDescent="0.3">
      <c r="A55" s="1">
        <v>54</v>
      </c>
      <c r="B55">
        <v>274.755</v>
      </c>
      <c r="C55">
        <v>273.55500000000001</v>
      </c>
      <c r="D55" s="74">
        <v>275.32274229751738</v>
      </c>
      <c r="E55" t="str">
        <f t="shared" si="7"/>
        <v>Compra</v>
      </c>
      <c r="F55" t="str">
        <f t="shared" si="8"/>
        <v>Negativo</v>
      </c>
      <c r="G55" s="4">
        <f t="shared" si="9"/>
        <v>-4.3675274335316502E-3</v>
      </c>
      <c r="H55" s="4">
        <f t="shared" si="10"/>
        <v>2.066358382986239E-3</v>
      </c>
      <c r="I55" s="47" t="str">
        <f t="shared" si="11"/>
        <v>Venta</v>
      </c>
      <c r="J55" s="47" t="str">
        <f t="shared" si="12"/>
        <v>CompraVenta</v>
      </c>
      <c r="K55" s="47"/>
      <c r="L55" s="47"/>
      <c r="N55" s="52" t="s">
        <v>276</v>
      </c>
      <c r="O55" s="32">
        <v>0</v>
      </c>
      <c r="P55" s="32">
        <v>0</v>
      </c>
      <c r="Q55" s="34">
        <v>-0.34956559447514896</v>
      </c>
      <c r="R55" s="34">
        <v>-0.30675882246075414</v>
      </c>
      <c r="S55" s="72">
        <v>6</v>
      </c>
      <c r="T55" s="63">
        <v>2.5100000000000001E-3</v>
      </c>
      <c r="U55" s="34">
        <v>-0.98692559447514938</v>
      </c>
      <c r="V55" s="64">
        <v>-0.64100649457115622</v>
      </c>
      <c r="W55" s="4">
        <v>0.44578313253012047</v>
      </c>
      <c r="X55" s="76">
        <v>0</v>
      </c>
      <c r="Y55" s="77">
        <v>0</v>
      </c>
      <c r="Z55" s="77" t="e">
        <v>#DIV/0!</v>
      </c>
      <c r="AA55" s="77">
        <v>0.44939271255060731</v>
      </c>
      <c r="AB55" s="77">
        <v>0.98230088495575218</v>
      </c>
      <c r="AC55" s="78">
        <v>0.61666666666666659</v>
      </c>
      <c r="AD55">
        <v>9207.427393128839</v>
      </c>
      <c r="AE55">
        <v>88.323191595203227</v>
      </c>
      <c r="AF55">
        <v>0.30760146491545759</v>
      </c>
      <c r="AG55">
        <v>-5.7647576132067844</v>
      </c>
      <c r="AH55">
        <v>-6.1342611803147182</v>
      </c>
      <c r="AI55" s="22">
        <v>2967.093749154471</v>
      </c>
    </row>
    <row r="56" spans="1:35" x14ac:dyDescent="0.3">
      <c r="A56" s="1">
        <v>55</v>
      </c>
      <c r="B56">
        <v>273.55500000000001</v>
      </c>
      <c r="C56">
        <v>272.20999999999998</v>
      </c>
      <c r="D56" s="74">
        <v>274.5530731041049</v>
      </c>
      <c r="E56" t="str">
        <f t="shared" si="7"/>
        <v>Compra</v>
      </c>
      <c r="F56" t="str">
        <f t="shared" si="8"/>
        <v>Negativo</v>
      </c>
      <c r="G56" s="4">
        <f t="shared" si="9"/>
        <v>-4.916744347571886E-3</v>
      </c>
      <c r="H56" s="4">
        <f t="shared" si="10"/>
        <v>3.6485280989376535E-3</v>
      </c>
      <c r="I56" s="47" t="str">
        <f t="shared" si="11"/>
        <v>Venta</v>
      </c>
      <c r="J56" s="47" t="str">
        <f t="shared" si="12"/>
        <v>CompraVenta</v>
      </c>
      <c r="K56" s="47"/>
      <c r="L56" s="47"/>
      <c r="N56" s="52" t="s">
        <v>277</v>
      </c>
      <c r="O56" s="32">
        <v>0</v>
      </c>
      <c r="P56" s="32">
        <v>0</v>
      </c>
      <c r="Q56" s="34">
        <v>-0.30477441304539432</v>
      </c>
      <c r="R56" s="34">
        <v>-0.27441874268372773</v>
      </c>
      <c r="S56" s="72">
        <v>6</v>
      </c>
      <c r="T56" s="63">
        <v>2.5100000000000001E-3</v>
      </c>
      <c r="U56" s="34">
        <v>-0.94213441304539458</v>
      </c>
      <c r="V56" s="64">
        <v>-0.62363737649220385</v>
      </c>
      <c r="W56" s="4">
        <v>0.45381526104417669</v>
      </c>
      <c r="X56" s="76" t="e">
        <v>#DIV/0!</v>
      </c>
      <c r="Y56" s="77">
        <v>0</v>
      </c>
      <c r="Z56" s="77" t="e">
        <v>#DIV/0!</v>
      </c>
      <c r="AA56" s="77">
        <v>0.45381526104417669</v>
      </c>
      <c r="AB56" s="77">
        <v>1</v>
      </c>
      <c r="AC56" s="78">
        <v>0.62430939226519344</v>
      </c>
      <c r="AD56">
        <v>8113.4168898298494</v>
      </c>
      <c r="AE56">
        <v>81.953768636057461</v>
      </c>
      <c r="AF56">
        <v>0.28416291412033351</v>
      </c>
      <c r="AG56">
        <v>-4.9609808832764557</v>
      </c>
      <c r="AH56">
        <v>-5.2865806794218084</v>
      </c>
      <c r="AI56" s="22">
        <v>8113.4168898298494</v>
      </c>
    </row>
    <row r="57" spans="1:35" x14ac:dyDescent="0.3">
      <c r="A57" s="1">
        <v>56</v>
      </c>
      <c r="B57">
        <v>277.80500000000001</v>
      </c>
      <c r="C57">
        <v>277.64499999999998</v>
      </c>
      <c r="D57" s="74">
        <v>278.49163560931788</v>
      </c>
      <c r="E57" t="str">
        <f t="shared" si="7"/>
        <v>Compra</v>
      </c>
      <c r="F57" t="str">
        <f t="shared" si="8"/>
        <v>Negativo</v>
      </c>
      <c r="G57" s="4">
        <f t="shared" si="9"/>
        <v>-5.7594355753145198E-4</v>
      </c>
      <c r="H57" s="4">
        <f t="shared" si="10"/>
        <v>2.4716459722390711E-3</v>
      </c>
      <c r="I57" s="47" t="str">
        <f t="shared" si="11"/>
        <v>Venta</v>
      </c>
      <c r="J57" s="47" t="str">
        <f t="shared" si="12"/>
        <v>CompraVenta</v>
      </c>
      <c r="K57" s="47"/>
      <c r="L57" s="47"/>
      <c r="N57" s="52" t="s">
        <v>278</v>
      </c>
      <c r="O57" s="32">
        <v>0</v>
      </c>
      <c r="P57" s="32">
        <v>0</v>
      </c>
      <c r="Q57" s="34">
        <v>-0.25563868238499055</v>
      </c>
      <c r="R57" s="34">
        <v>-0.23726052322532967</v>
      </c>
      <c r="S57" s="72">
        <v>6</v>
      </c>
      <c r="T57" s="63">
        <v>2.5100000000000001E-3</v>
      </c>
      <c r="U57" s="34">
        <v>-0.89299868238499069</v>
      </c>
      <c r="V57" s="64">
        <v>-0.6036965097747643</v>
      </c>
      <c r="W57" s="4">
        <v>0.45381526104417669</v>
      </c>
      <c r="X57" s="76">
        <v>0.5</v>
      </c>
      <c r="Y57" s="77">
        <v>4.4117647058823532E-2</v>
      </c>
      <c r="Z57" s="77">
        <v>8.1081081081081099E-2</v>
      </c>
      <c r="AA57" s="77">
        <v>0.45147679324894513</v>
      </c>
      <c r="AB57" s="77">
        <v>0.94690265486725667</v>
      </c>
      <c r="AC57" s="78">
        <v>0.61142857142857143</v>
      </c>
      <c r="AD57">
        <v>4264.3482861111124</v>
      </c>
      <c r="AE57">
        <v>54.325992063492073</v>
      </c>
      <c r="AF57">
        <v>0.18292780942024681</v>
      </c>
      <c r="AG57">
        <v>-2.1330448020000792</v>
      </c>
      <c r="AH57">
        <v>-2.3041775012689909</v>
      </c>
      <c r="AI57" s="22">
        <v>4264.3482861111124</v>
      </c>
    </row>
    <row r="58" spans="1:35" x14ac:dyDescent="0.3">
      <c r="A58" s="1">
        <v>57</v>
      </c>
      <c r="B58">
        <v>277.39999999999998</v>
      </c>
      <c r="C58">
        <v>280.51</v>
      </c>
      <c r="D58" s="74">
        <v>278.0844653599363</v>
      </c>
      <c r="E58" t="str">
        <f t="shared" si="7"/>
        <v>Compra</v>
      </c>
      <c r="F58" t="str">
        <f t="shared" si="8"/>
        <v>Positivo</v>
      </c>
      <c r="G58" s="4">
        <f t="shared" si="9"/>
        <v>1.121124729632305E-2</v>
      </c>
      <c r="H58" s="4">
        <f t="shared" si="10"/>
        <v>2.4674310019334013E-3</v>
      </c>
      <c r="I58" s="47" t="str">
        <f t="shared" si="11"/>
        <v>Compra</v>
      </c>
      <c r="J58" s="47" t="str">
        <f t="shared" si="12"/>
        <v>CompraCompra</v>
      </c>
      <c r="K58" s="47"/>
      <c r="L58" s="47"/>
      <c r="N58" s="52" t="s">
        <v>279</v>
      </c>
      <c r="O58" s="32">
        <v>0</v>
      </c>
      <c r="P58" s="32">
        <v>0</v>
      </c>
      <c r="Q58" s="34">
        <v>-0.2424204487589332</v>
      </c>
      <c r="R58" s="34">
        <v>-0.22693786842960953</v>
      </c>
      <c r="S58" s="72">
        <v>6</v>
      </c>
      <c r="T58" s="63">
        <v>2.5100000000000001E-3</v>
      </c>
      <c r="U58" s="34">
        <v>-0.87978044875893324</v>
      </c>
      <c r="V58" s="64">
        <v>-0.59814884695902737</v>
      </c>
      <c r="W58" s="4">
        <v>0.46184738955823296</v>
      </c>
      <c r="X58" s="76">
        <v>0.75</v>
      </c>
      <c r="Y58" s="77">
        <v>2.2058823529411766E-2</v>
      </c>
      <c r="Z58" s="77">
        <v>4.2857142857142858E-2</v>
      </c>
      <c r="AA58" s="77">
        <v>0.45714285714285713</v>
      </c>
      <c r="AB58" s="77">
        <v>0.99115044247787609</v>
      </c>
      <c r="AC58" s="78">
        <v>0.62569832402234637</v>
      </c>
      <c r="AD58">
        <v>3982.7303816050471</v>
      </c>
      <c r="AE58">
        <v>51.886932003968163</v>
      </c>
      <c r="AF58">
        <v>0.17410850533822009</v>
      </c>
      <c r="AG58">
        <v>-1.9261382707637389</v>
      </c>
      <c r="AH58">
        <v>-2.0859693527802459</v>
      </c>
      <c r="AI58" s="22">
        <v>3982.7303816050471</v>
      </c>
    </row>
    <row r="59" spans="1:35" x14ac:dyDescent="0.3">
      <c r="A59" s="1">
        <v>58</v>
      </c>
      <c r="B59">
        <v>280.56</v>
      </c>
      <c r="C59">
        <v>276.35000000000002</v>
      </c>
      <c r="D59" s="74">
        <v>281.02219579323111</v>
      </c>
      <c r="E59" t="str">
        <f t="shared" si="7"/>
        <v>Compra</v>
      </c>
      <c r="F59" t="str">
        <f t="shared" si="8"/>
        <v>Negativo</v>
      </c>
      <c r="G59" s="4">
        <f t="shared" si="9"/>
        <v>-1.5005702879954303E-2</v>
      </c>
      <c r="H59" s="4">
        <f t="shared" si="10"/>
        <v>1.6474044526343862E-3</v>
      </c>
      <c r="I59" s="47" t="str">
        <f t="shared" si="11"/>
        <v>Venta</v>
      </c>
      <c r="J59" s="47" t="str">
        <f t="shared" si="12"/>
        <v>CompraVenta</v>
      </c>
      <c r="K59" s="47"/>
      <c r="L59" s="47"/>
      <c r="M59" s="47" t="s">
        <v>293</v>
      </c>
      <c r="N59" s="52" t="s">
        <v>275</v>
      </c>
      <c r="O59" s="32">
        <v>0</v>
      </c>
      <c r="P59" s="32">
        <v>0</v>
      </c>
      <c r="Q59" s="34">
        <v>0.16010634469837665</v>
      </c>
      <c r="R59" s="34">
        <v>0.16016170351823036</v>
      </c>
      <c r="S59" s="72">
        <v>6</v>
      </c>
      <c r="T59" s="63">
        <v>2.5100000000000001E-3</v>
      </c>
      <c r="U59" s="34">
        <v>-0.47725365530162323</v>
      </c>
      <c r="V59" s="64">
        <v>-0.39189001123771527</v>
      </c>
      <c r="W59" s="4">
        <v>0.53413654618473894</v>
      </c>
      <c r="X59" s="76">
        <v>0.56097560975609762</v>
      </c>
      <c r="Y59" s="77">
        <v>0.67647058823529416</v>
      </c>
      <c r="Z59" s="77">
        <v>0.6133333333333334</v>
      </c>
      <c r="AA59" s="77">
        <v>0.4823529411764706</v>
      </c>
      <c r="AB59" s="77">
        <v>0.36283185840707965</v>
      </c>
      <c r="AC59" s="78">
        <v>0.4141414141414142</v>
      </c>
      <c r="AD59">
        <v>8.9786029612707559</v>
      </c>
      <c r="AE59">
        <v>42.029262176572423</v>
      </c>
      <c r="AF59">
        <v>0.15393022480637431</v>
      </c>
      <c r="AG59">
        <v>0.99340336120559103</v>
      </c>
      <c r="AH59">
        <v>0.9930430405991737</v>
      </c>
      <c r="AI59" s="22">
        <v>8.9786029612707559</v>
      </c>
    </row>
    <row r="60" spans="1:35" x14ac:dyDescent="0.3">
      <c r="A60" s="1">
        <v>59</v>
      </c>
      <c r="B60">
        <v>275.8</v>
      </c>
      <c r="C60">
        <v>275.31500000000011</v>
      </c>
      <c r="D60" s="74">
        <v>276.49120798784958</v>
      </c>
      <c r="E60" t="str">
        <f t="shared" si="7"/>
        <v>Compra</v>
      </c>
      <c r="F60" t="str">
        <f t="shared" si="8"/>
        <v>Negativo</v>
      </c>
      <c r="G60" s="4">
        <f t="shared" si="9"/>
        <v>-1.758520667149746E-3</v>
      </c>
      <c r="H60" s="4">
        <f t="shared" si="10"/>
        <v>2.5061928493457794E-3</v>
      </c>
      <c r="I60" s="47" t="str">
        <f t="shared" si="11"/>
        <v>Venta</v>
      </c>
      <c r="J60" s="47" t="str">
        <f t="shared" si="12"/>
        <v>CompraVenta</v>
      </c>
      <c r="K60" s="47"/>
      <c r="L60" s="47"/>
      <c r="M60" s="47" t="s">
        <v>293</v>
      </c>
      <c r="N60" s="52" t="s">
        <v>276</v>
      </c>
      <c r="O60" s="32">
        <v>0</v>
      </c>
      <c r="P60" s="32">
        <v>0</v>
      </c>
      <c r="Q60" s="34">
        <v>-0.23065117988013562</v>
      </c>
      <c r="R60" s="34">
        <v>-0.21763297739070928</v>
      </c>
      <c r="S60" s="72">
        <v>6</v>
      </c>
      <c r="T60" s="63">
        <v>2.5100000000000001E-3</v>
      </c>
      <c r="U60" s="34">
        <v>-0.86801117988013565</v>
      </c>
      <c r="V60" s="64">
        <v>-0.59314425100153512</v>
      </c>
      <c r="W60" s="4">
        <v>0.46184738955823296</v>
      </c>
      <c r="X60" s="76">
        <v>0.75</v>
      </c>
      <c r="Y60" s="77">
        <v>2.2058823529411766E-2</v>
      </c>
      <c r="Z60" s="77">
        <v>4.2857142857142858E-2</v>
      </c>
      <c r="AA60" s="77">
        <v>0.45714285714285713</v>
      </c>
      <c r="AB60" s="77">
        <v>0.99115044247787609</v>
      </c>
      <c r="AC60" s="78">
        <v>0.62569832402234637</v>
      </c>
      <c r="AD60">
        <v>2967.093749154471</v>
      </c>
      <c r="AE60">
        <v>48.036041486708967</v>
      </c>
      <c r="AF60">
        <v>0.16713192210948921</v>
      </c>
      <c r="AG60">
        <v>-1.1799433404894091</v>
      </c>
      <c r="AH60">
        <v>-1.299015875894292</v>
      </c>
      <c r="AI60" s="22">
        <v>2967.093749154471</v>
      </c>
    </row>
    <row r="61" spans="1:35" x14ac:dyDescent="0.3">
      <c r="A61" s="1">
        <v>60</v>
      </c>
      <c r="B61">
        <v>279.20999999999998</v>
      </c>
      <c r="C61">
        <v>280.52</v>
      </c>
      <c r="D61" s="74">
        <v>279.42125489417822</v>
      </c>
      <c r="E61" t="str">
        <f t="shared" si="7"/>
        <v>Compra</v>
      </c>
      <c r="F61" t="str">
        <f t="shared" si="8"/>
        <v>Positivo</v>
      </c>
      <c r="G61" s="4">
        <f t="shared" si="9"/>
        <v>4.6918090326277797E-3</v>
      </c>
      <c r="H61" s="4">
        <f t="shared" si="10"/>
        <v>7.5661650434525728E-4</v>
      </c>
      <c r="I61" s="47" t="str">
        <f t="shared" si="11"/>
        <v>Compra</v>
      </c>
      <c r="J61" s="47" t="str">
        <f t="shared" si="12"/>
        <v>CompraCompra</v>
      </c>
      <c r="K61" s="47"/>
      <c r="L61" s="47"/>
      <c r="M61" s="47" t="s">
        <v>293</v>
      </c>
      <c r="N61" s="52" t="s">
        <v>277</v>
      </c>
      <c r="O61" s="32">
        <v>0</v>
      </c>
      <c r="P61" s="32">
        <v>0</v>
      </c>
      <c r="Q61" s="34">
        <v>-0.30477441304539432</v>
      </c>
      <c r="R61" s="34">
        <v>-0.27441874268372773</v>
      </c>
      <c r="S61" s="72">
        <v>6</v>
      </c>
      <c r="T61" s="63">
        <v>2.5100000000000001E-3</v>
      </c>
      <c r="U61" s="34">
        <v>-0.94213441304539458</v>
      </c>
      <c r="V61" s="64">
        <v>-0.62363737649220385</v>
      </c>
      <c r="W61" s="4">
        <v>0.45381526104417669</v>
      </c>
      <c r="X61" s="76" t="e">
        <v>#DIV/0!</v>
      </c>
      <c r="Y61" s="77">
        <v>0</v>
      </c>
      <c r="Z61" s="77" t="e">
        <v>#DIV/0!</v>
      </c>
      <c r="AA61" s="77">
        <v>0.45381526104417669</v>
      </c>
      <c r="AB61" s="77">
        <v>1</v>
      </c>
      <c r="AC61" s="78">
        <v>0.62430939226519344</v>
      </c>
      <c r="AD61">
        <v>8503.3890975048143</v>
      </c>
      <c r="AE61">
        <v>80.32513488674374</v>
      </c>
      <c r="AF61">
        <v>0.27433560103679738</v>
      </c>
      <c r="AG61">
        <v>-5.247496035465109</v>
      </c>
      <c r="AH61">
        <v>-5.5887458189148838</v>
      </c>
      <c r="AI61" s="22">
        <v>976.98489237429419</v>
      </c>
    </row>
    <row r="62" spans="1:35" x14ac:dyDescent="0.3">
      <c r="A62" s="1">
        <v>61</v>
      </c>
      <c r="B62">
        <v>284.065</v>
      </c>
      <c r="C62">
        <v>284.10500000000002</v>
      </c>
      <c r="D62" s="74">
        <v>284.16344091669538</v>
      </c>
      <c r="E62" t="str">
        <f t="shared" si="7"/>
        <v>Compra</v>
      </c>
      <c r="F62" t="str">
        <f t="shared" si="8"/>
        <v>Positivo</v>
      </c>
      <c r="G62" s="4">
        <f t="shared" si="9"/>
        <v>1.4081284213127442E-4</v>
      </c>
      <c r="H62" s="4">
        <f t="shared" si="10"/>
        <v>3.4654363154693827E-4</v>
      </c>
      <c r="I62" s="47" t="str">
        <f t="shared" si="11"/>
        <v>Compra</v>
      </c>
      <c r="J62" s="47" t="str">
        <f t="shared" si="12"/>
        <v>CompraCompra</v>
      </c>
      <c r="K62" s="47"/>
      <c r="L62" s="47"/>
      <c r="M62" s="47" t="s">
        <v>293</v>
      </c>
      <c r="N62" s="52" t="s">
        <v>278</v>
      </c>
      <c r="O62" s="32">
        <v>0</v>
      </c>
      <c r="P62" s="32">
        <v>0</v>
      </c>
      <c r="Q62" s="34">
        <v>-0.25563868238499055</v>
      </c>
      <c r="R62" s="34">
        <v>-0.23726052322532967</v>
      </c>
      <c r="S62" s="72">
        <v>6</v>
      </c>
      <c r="T62" s="63">
        <v>2.5100000000000001E-3</v>
      </c>
      <c r="U62" s="34">
        <v>-0.89299868238499069</v>
      </c>
      <c r="V62" s="64">
        <v>-0.6036965097747643</v>
      </c>
      <c r="W62" s="4">
        <v>0.45381526104417669</v>
      </c>
      <c r="X62" s="76">
        <v>0.5</v>
      </c>
      <c r="Y62" s="77">
        <v>4.4117647058823532E-2</v>
      </c>
      <c r="Z62" s="77">
        <v>8.1081081081081099E-2</v>
      </c>
      <c r="AA62" s="77">
        <v>0.45147679324894513</v>
      </c>
      <c r="AB62" s="77">
        <v>0.94690265486725667</v>
      </c>
      <c r="AC62" s="78">
        <v>0.61142857142857143</v>
      </c>
      <c r="AD62">
        <v>4264.6559196428589</v>
      </c>
      <c r="AE62">
        <v>54.364166666666677</v>
      </c>
      <c r="AF62">
        <v>0.1831066486391022</v>
      </c>
      <c r="AG62">
        <v>-2.133270822384179</v>
      </c>
      <c r="AH62">
        <v>-2.3044158673043231</v>
      </c>
      <c r="AI62" s="22">
        <v>358.5035401523906</v>
      </c>
    </row>
    <row r="63" spans="1:35" x14ac:dyDescent="0.3">
      <c r="A63" s="1">
        <v>62</v>
      </c>
      <c r="B63">
        <v>283.66500000000002</v>
      </c>
      <c r="C63">
        <v>288.23500000000001</v>
      </c>
      <c r="D63" s="74">
        <v>284.1372038587657</v>
      </c>
      <c r="E63" t="str">
        <f t="shared" si="7"/>
        <v>Compra</v>
      </c>
      <c r="F63" t="str">
        <f t="shared" si="8"/>
        <v>Positivo</v>
      </c>
      <c r="G63" s="4">
        <f t="shared" si="9"/>
        <v>1.6110552940969077E-2</v>
      </c>
      <c r="H63" s="4">
        <f t="shared" si="10"/>
        <v>1.6646532309790814E-3</v>
      </c>
      <c r="I63" s="47" t="str">
        <f t="shared" si="11"/>
        <v>Compra</v>
      </c>
      <c r="J63" s="47" t="str">
        <f t="shared" si="12"/>
        <v>CompraCompra</v>
      </c>
      <c r="K63" s="47"/>
      <c r="L63" s="47"/>
      <c r="M63" s="47" t="s">
        <v>293</v>
      </c>
      <c r="N63" s="52" t="s">
        <v>279</v>
      </c>
      <c r="O63" s="32">
        <v>0</v>
      </c>
      <c r="P63" s="32">
        <v>0</v>
      </c>
      <c r="Q63" s="34">
        <v>-0.25563868238499055</v>
      </c>
      <c r="R63" s="34">
        <v>-0.23726052322532967</v>
      </c>
      <c r="S63" s="72">
        <v>6</v>
      </c>
      <c r="T63" s="63">
        <v>2.5100000000000001E-3</v>
      </c>
      <c r="U63" s="34">
        <v>-0.89299868238499069</v>
      </c>
      <c r="V63" s="64">
        <v>-0.6036965097747643</v>
      </c>
      <c r="W63" s="4">
        <v>0.45381526104417669</v>
      </c>
      <c r="X63" s="76">
        <v>0.5</v>
      </c>
      <c r="Y63" s="77">
        <v>4.4117647058823532E-2</v>
      </c>
      <c r="Z63" s="77">
        <v>8.1081081081081099E-2</v>
      </c>
      <c r="AA63" s="77">
        <v>0.45147679324894513</v>
      </c>
      <c r="AB63" s="77">
        <v>0.94690265486725667</v>
      </c>
      <c r="AC63" s="78">
        <v>0.61142857142857143</v>
      </c>
      <c r="AD63">
        <v>4264.6315154761915</v>
      </c>
      <c r="AE63">
        <v>54.352857142857161</v>
      </c>
      <c r="AF63">
        <v>0.18305371999592679</v>
      </c>
      <c r="AG63">
        <v>-2.133252892482024</v>
      </c>
      <c r="AH63">
        <v>-2.3043969580377639</v>
      </c>
      <c r="AI63" s="22">
        <v>150.19566603336659</v>
      </c>
    </row>
    <row r="64" spans="1:35" x14ac:dyDescent="0.3">
      <c r="A64" s="1">
        <v>63</v>
      </c>
      <c r="B64">
        <v>286.39</v>
      </c>
      <c r="C64">
        <v>287.17500000000001</v>
      </c>
      <c r="D64" s="74">
        <v>286.60248422891988</v>
      </c>
      <c r="E64" t="str">
        <f t="shared" si="7"/>
        <v>Compra</v>
      </c>
      <c r="F64" t="str">
        <f t="shared" si="8"/>
        <v>Positivo</v>
      </c>
      <c r="G64" s="4">
        <f t="shared" si="9"/>
        <v>2.7410174936276584E-3</v>
      </c>
      <c r="H64" s="4">
        <f t="shared" si="10"/>
        <v>7.4194011285272159E-4</v>
      </c>
      <c r="I64" s="47" t="str">
        <f t="shared" si="11"/>
        <v>Compra</v>
      </c>
      <c r="J64" s="47" t="str">
        <f t="shared" si="12"/>
        <v>CompraCompra</v>
      </c>
      <c r="K64" s="47"/>
      <c r="L64" s="47"/>
      <c r="N64" s="52" t="s">
        <v>294</v>
      </c>
      <c r="O64" s="32">
        <v>0</v>
      </c>
      <c r="P64" s="32">
        <v>0</v>
      </c>
      <c r="Q64" s="34">
        <v>-4.0138348379440865E-2</v>
      </c>
      <c r="R64" s="34">
        <v>-8.0822831661124653E-2</v>
      </c>
      <c r="S64" s="72">
        <v>6</v>
      </c>
      <c r="T64" s="63">
        <v>2.16E-3</v>
      </c>
      <c r="U64" s="34">
        <v>-0.59069834837944235</v>
      </c>
      <c r="V64" s="64">
        <v>-0.47722562802612833</v>
      </c>
      <c r="W64" s="4">
        <v>0.52610441767068272</v>
      </c>
      <c r="X64" s="76">
        <v>0.52439024390243905</v>
      </c>
      <c r="Y64" s="77">
        <v>0.99230769230769234</v>
      </c>
      <c r="Z64" s="77">
        <v>0.68617021276595747</v>
      </c>
      <c r="AA64" s="77">
        <v>0.66666666666666663</v>
      </c>
      <c r="AB64" s="77">
        <v>1.680672268907563E-2</v>
      </c>
      <c r="AC64" s="78">
        <v>3.2786885245901634E-2</v>
      </c>
      <c r="AD64">
        <v>64.340558071522494</v>
      </c>
      <c r="AE64">
        <v>6.6020017334552694</v>
      </c>
      <c r="AF64">
        <v>2.545711330364624E-2</v>
      </c>
      <c r="AG64">
        <v>0.90273748392247055</v>
      </c>
      <c r="AH64">
        <v>0.89740240920091829</v>
      </c>
      <c r="AI64" s="22">
        <v>64.340558071522068</v>
      </c>
    </row>
    <row r="65" spans="1:35" x14ac:dyDescent="0.3">
      <c r="A65" s="1">
        <v>64</v>
      </c>
      <c r="B65">
        <v>286.96499999999997</v>
      </c>
      <c r="C65">
        <v>287.35000000000002</v>
      </c>
      <c r="D65" s="74">
        <v>287.28094833610328</v>
      </c>
      <c r="E65" t="str">
        <f t="shared" si="7"/>
        <v>Compra</v>
      </c>
      <c r="F65" t="str">
        <f t="shared" si="8"/>
        <v>Positivo</v>
      </c>
      <c r="G65" s="4">
        <f t="shared" si="9"/>
        <v>1.3416270276864696E-3</v>
      </c>
      <c r="H65" s="4">
        <f t="shared" si="10"/>
        <v>1.1009995508278153E-3</v>
      </c>
      <c r="I65" s="47" t="str">
        <f t="shared" si="11"/>
        <v>Compra</v>
      </c>
      <c r="J65" s="47" t="str">
        <f t="shared" si="12"/>
        <v>CompraCompra</v>
      </c>
      <c r="K65" s="47"/>
      <c r="L65" s="47"/>
      <c r="N65" s="52" t="s">
        <v>295</v>
      </c>
      <c r="O65" s="32">
        <v>0</v>
      </c>
      <c r="P65" s="32">
        <v>0</v>
      </c>
      <c r="Q65" s="34">
        <v>-0.22690557675480769</v>
      </c>
      <c r="R65" s="34">
        <v>-0.23905991642944516</v>
      </c>
      <c r="S65" s="72">
        <v>6</v>
      </c>
      <c r="T65" s="63">
        <v>2.16E-3</v>
      </c>
      <c r="U65" s="34">
        <v>-0.77746557675480943</v>
      </c>
      <c r="V65" s="64">
        <v>-0.56905428011821124</v>
      </c>
      <c r="W65" s="4">
        <v>0.51405622489959835</v>
      </c>
      <c r="X65" s="76">
        <v>0.51965065502183405</v>
      </c>
      <c r="Y65" s="77">
        <v>0.91538461538461535</v>
      </c>
      <c r="Z65" s="77">
        <v>0.66295264623955441</v>
      </c>
      <c r="AA65" s="77">
        <v>0.45</v>
      </c>
      <c r="AB65" s="77">
        <v>7.5630252100840331E-2</v>
      </c>
      <c r="AC65" s="78">
        <v>0.12949640287769781</v>
      </c>
      <c r="AD65">
        <v>4264.4731178953316</v>
      </c>
      <c r="AE65">
        <v>54.518567616370767</v>
      </c>
      <c r="AF65">
        <v>0.20241526872964249</v>
      </c>
      <c r="AG65">
        <v>-5.4465307361868858</v>
      </c>
      <c r="AH65">
        <v>-5.8001379073701322</v>
      </c>
      <c r="AI65" s="22">
        <v>323.63163039467241</v>
      </c>
    </row>
    <row r="66" spans="1:35" x14ac:dyDescent="0.3">
      <c r="A66" s="1">
        <v>65</v>
      </c>
      <c r="B66">
        <v>285.88499999999999</v>
      </c>
      <c r="C66">
        <v>284.37</v>
      </c>
      <c r="D66" s="74">
        <v>286.24043161528391</v>
      </c>
      <c r="E66" t="str">
        <f t="shared" si="7"/>
        <v>Compra</v>
      </c>
      <c r="F66" t="str">
        <f t="shared" si="8"/>
        <v>Negativo</v>
      </c>
      <c r="G66" s="4">
        <f t="shared" si="9"/>
        <v>-5.2993336481451858E-3</v>
      </c>
      <c r="H66" s="4">
        <f t="shared" si="10"/>
        <v>1.2432678009826302E-3</v>
      </c>
      <c r="I66" s="47" t="str">
        <f t="shared" si="11"/>
        <v>Venta</v>
      </c>
      <c r="J66" s="47" t="str">
        <f t="shared" si="12"/>
        <v>CompraVenta</v>
      </c>
      <c r="K66" s="47"/>
      <c r="L66" s="47"/>
      <c r="N66" s="52" t="s">
        <v>296</v>
      </c>
      <c r="O66" s="32">
        <v>0</v>
      </c>
      <c r="P66" s="32">
        <v>0</v>
      </c>
      <c r="Q66" s="34">
        <v>0.6102749413910078</v>
      </c>
      <c r="R66" s="34">
        <v>0.77427122736958931</v>
      </c>
      <c r="S66" s="72">
        <v>6</v>
      </c>
      <c r="T66" s="63">
        <v>2.16E-3</v>
      </c>
      <c r="U66" s="34">
        <v>5.9714941391008469E-2</v>
      </c>
      <c r="V66" s="64">
        <v>2.3135831479560002E-2</v>
      </c>
      <c r="W66" s="4">
        <v>0.55421686746987953</v>
      </c>
      <c r="X66" s="76">
        <v>0.55555555555555558</v>
      </c>
      <c r="Y66" s="77">
        <v>0.73076923076923073</v>
      </c>
      <c r="Z66" s="77">
        <v>0.6312292358803987</v>
      </c>
      <c r="AA66" s="77">
        <v>0.55128205128205132</v>
      </c>
      <c r="AB66" s="77">
        <v>0.36134453781512604</v>
      </c>
      <c r="AC66" s="78">
        <v>0.43654822335025378</v>
      </c>
      <c r="AD66">
        <v>976.98489237429419</v>
      </c>
      <c r="AE66">
        <v>26.27772466354093</v>
      </c>
      <c r="AF66">
        <v>0.10321608552888401</v>
      </c>
      <c r="AG66">
        <v>-0.47689127434094131</v>
      </c>
      <c r="AH66">
        <v>-0.55790218812335568</v>
      </c>
      <c r="AI66" s="22">
        <v>173.29868545047199</v>
      </c>
    </row>
    <row r="67" spans="1:35" x14ac:dyDescent="0.3">
      <c r="A67" s="1">
        <v>66</v>
      </c>
      <c r="B67">
        <v>282.57499999999999</v>
      </c>
      <c r="C67">
        <v>291.48500000000001</v>
      </c>
      <c r="D67" s="74">
        <v>282.44952739443983</v>
      </c>
      <c r="E67" t="str">
        <f t="shared" si="7"/>
        <v>Venta</v>
      </c>
      <c r="F67" t="str">
        <f t="shared" si="8"/>
        <v>Negativo</v>
      </c>
      <c r="G67" s="4">
        <f t="shared" si="9"/>
        <v>-3.1531451826948685E-2</v>
      </c>
      <c r="H67" s="4">
        <f t="shared" si="10"/>
        <v>4.4403293129315145E-4</v>
      </c>
      <c r="I67" s="47" t="str">
        <f t="shared" si="11"/>
        <v>Compra</v>
      </c>
      <c r="J67" s="47" t="str">
        <f t="shared" si="12"/>
        <v>VentaCompra</v>
      </c>
      <c r="K67" s="47"/>
      <c r="L67" s="47"/>
      <c r="N67" s="52" t="s">
        <v>297</v>
      </c>
      <c r="O67" s="32">
        <v>0</v>
      </c>
      <c r="P67" s="32">
        <v>0</v>
      </c>
      <c r="Q67" s="34">
        <v>-1.7777971187655204E-2</v>
      </c>
      <c r="R67" s="34">
        <v>-5.9133267061099906E-2</v>
      </c>
      <c r="S67" s="72">
        <v>6</v>
      </c>
      <c r="T67" s="63">
        <v>2.16E-3</v>
      </c>
      <c r="U67" s="34">
        <v>-0.56833797118765572</v>
      </c>
      <c r="V67" s="64">
        <v>-0.46436838204239911</v>
      </c>
      <c r="W67" s="4">
        <v>0.50200803212851408</v>
      </c>
      <c r="X67" s="76">
        <v>0.5145631067961165</v>
      </c>
      <c r="Y67" s="77">
        <v>0.81538461538461537</v>
      </c>
      <c r="Z67" s="77">
        <v>0.63095238095238093</v>
      </c>
      <c r="AA67" s="77">
        <v>0.44186046511627908</v>
      </c>
      <c r="AB67" s="77">
        <v>0.15966386554621848</v>
      </c>
      <c r="AC67" s="78">
        <v>0.23456790123456786</v>
      </c>
      <c r="AD67">
        <v>358.5035401523906</v>
      </c>
      <c r="AE67">
        <v>14.603635458167339</v>
      </c>
      <c r="AF67">
        <v>5.3742075409481477E-2</v>
      </c>
      <c r="AG67">
        <v>0.4580563584922287</v>
      </c>
      <c r="AH67">
        <v>0.42832949208040999</v>
      </c>
      <c r="AI67" s="22">
        <v>140.8411489571713</v>
      </c>
    </row>
    <row r="68" spans="1:35" x14ac:dyDescent="0.3">
      <c r="A68" s="1">
        <v>67</v>
      </c>
      <c r="B68">
        <v>289.10500000000002</v>
      </c>
      <c r="C68">
        <v>289.33</v>
      </c>
      <c r="D68" s="74">
        <v>288.67462351276089</v>
      </c>
      <c r="E68" t="str">
        <f t="shared" si="7"/>
        <v>Venta</v>
      </c>
      <c r="F68" t="str">
        <f t="shared" si="8"/>
        <v>Negativo</v>
      </c>
      <c r="G68" s="4">
        <f t="shared" si="9"/>
        <v>-7.7826395254307562E-4</v>
      </c>
      <c r="H68" s="4">
        <f t="shared" si="10"/>
        <v>1.4886511379572467E-3</v>
      </c>
      <c r="I68" s="47" t="str">
        <f t="shared" si="11"/>
        <v>Compra</v>
      </c>
      <c r="J68" s="47" t="str">
        <f t="shared" si="12"/>
        <v>VentaCompra</v>
      </c>
      <c r="K68" s="47"/>
      <c r="L68" s="47"/>
      <c r="N68" s="52" t="s">
        <v>298</v>
      </c>
      <c r="O68" s="32">
        <v>0</v>
      </c>
      <c r="P68" s="32">
        <v>0</v>
      </c>
      <c r="Q68" s="34">
        <v>2.9101225973736291E-2</v>
      </c>
      <c r="R68" s="34">
        <v>-1.5249548471083981E-2</v>
      </c>
      <c r="S68" s="72">
        <v>6</v>
      </c>
      <c r="T68" s="63">
        <v>2.16E-3</v>
      </c>
      <c r="U68" s="34">
        <v>-0.52145877402626484</v>
      </c>
      <c r="V68" s="64">
        <v>-0.44024144980613317</v>
      </c>
      <c r="W68" s="4">
        <v>0.51807228915662651</v>
      </c>
      <c r="X68" s="76">
        <v>0.52192982456140347</v>
      </c>
      <c r="Y68" s="77">
        <v>0.91538461538461535</v>
      </c>
      <c r="Z68" s="77">
        <v>0.66480446927374293</v>
      </c>
      <c r="AA68" s="77">
        <v>0.47619047619047616</v>
      </c>
      <c r="AB68" s="77">
        <v>8.4033613445378158E-2</v>
      </c>
      <c r="AC68" s="78">
        <v>0.14285714285714285</v>
      </c>
      <c r="AD68">
        <v>150.19566603336659</v>
      </c>
      <c r="AE68">
        <v>10.18524023904383</v>
      </c>
      <c r="AF68">
        <v>3.8723067326946387E-2</v>
      </c>
      <c r="AG68">
        <v>0.77295179245870826</v>
      </c>
      <c r="AH68">
        <v>0.76049767136994539</v>
      </c>
      <c r="AI68" s="22">
        <v>150.19566603336659</v>
      </c>
    </row>
    <row r="69" spans="1:35" x14ac:dyDescent="0.3">
      <c r="A69" s="1">
        <v>68</v>
      </c>
      <c r="B69">
        <v>285.72000000000003</v>
      </c>
      <c r="C69">
        <v>282.91500000000002</v>
      </c>
      <c r="D69" s="74">
        <v>285.59603480787251</v>
      </c>
      <c r="E69" t="str">
        <f t="shared" si="7"/>
        <v>Venta</v>
      </c>
      <c r="F69" t="str">
        <f t="shared" si="8"/>
        <v>Positivo</v>
      </c>
      <c r="G69" s="4">
        <f t="shared" si="9"/>
        <v>9.817303653926945E-3</v>
      </c>
      <c r="H69" s="4">
        <f t="shared" si="10"/>
        <v>4.3386949505639782E-4</v>
      </c>
      <c r="I69" s="47" t="str">
        <f t="shared" si="11"/>
        <v>Venta</v>
      </c>
      <c r="J69" s="47" t="str">
        <f t="shared" si="12"/>
        <v>VentaVenta</v>
      </c>
      <c r="K69" s="47"/>
      <c r="L69" s="47"/>
      <c r="M69" s="47" t="s">
        <v>293</v>
      </c>
      <c r="N69" s="52" t="s">
        <v>294</v>
      </c>
      <c r="O69" s="32">
        <v>0</v>
      </c>
      <c r="P69" s="32">
        <v>0</v>
      </c>
      <c r="Q69" s="34">
        <v>-4.0138348379440865E-2</v>
      </c>
      <c r="R69" s="34">
        <v>-8.0822831661124653E-2</v>
      </c>
      <c r="S69" s="72">
        <v>6</v>
      </c>
      <c r="T69" s="63">
        <v>2.16E-3</v>
      </c>
      <c r="U69" s="34">
        <v>-0.59069834837944235</v>
      </c>
      <c r="V69" s="64">
        <v>-0.47722562802612833</v>
      </c>
      <c r="W69" s="4">
        <v>0.52610441767068272</v>
      </c>
      <c r="X69" s="76">
        <v>0.52439024390243905</v>
      </c>
      <c r="Y69" s="77">
        <v>0.99230769230769234</v>
      </c>
      <c r="Z69" s="77">
        <v>0.68617021276595747</v>
      </c>
      <c r="AA69" s="77">
        <v>0.66666666666666663</v>
      </c>
      <c r="AB69" s="77">
        <v>1.680672268907563E-2</v>
      </c>
      <c r="AC69" s="78">
        <v>3.2786885245901634E-2</v>
      </c>
      <c r="AD69">
        <v>64.340558071522068</v>
      </c>
      <c r="AE69">
        <v>28.827179034839311</v>
      </c>
      <c r="AF69">
        <v>0.10899334917783</v>
      </c>
      <c r="AG69">
        <v>0.90273748392247111</v>
      </c>
      <c r="AH69">
        <v>0.89740240920091885</v>
      </c>
      <c r="AI69" s="22">
        <v>58.899236371759457</v>
      </c>
    </row>
    <row r="70" spans="1:35" x14ac:dyDescent="0.3">
      <c r="A70" s="1">
        <v>69</v>
      </c>
      <c r="B70">
        <v>284.72000000000003</v>
      </c>
      <c r="C70">
        <v>283.58999999999997</v>
      </c>
      <c r="D70" s="74">
        <v>284.68946421560702</v>
      </c>
      <c r="E70" t="str">
        <f t="shared" si="7"/>
        <v>Venta</v>
      </c>
      <c r="F70" t="str">
        <f t="shared" si="8"/>
        <v>Positivo</v>
      </c>
      <c r="G70" s="4">
        <f t="shared" si="9"/>
        <v>3.9688114638945357E-3</v>
      </c>
      <c r="H70" s="4">
        <f t="shared" si="10"/>
        <v>1.0724847005131227E-4</v>
      </c>
      <c r="I70" s="47" t="str">
        <f t="shared" si="11"/>
        <v>Venta</v>
      </c>
      <c r="J70" s="47" t="str">
        <f t="shared" si="12"/>
        <v>VentaVenta</v>
      </c>
      <c r="K70" s="47"/>
      <c r="L70" s="47"/>
      <c r="M70" s="47" t="s">
        <v>293</v>
      </c>
      <c r="N70" s="52" t="s">
        <v>295</v>
      </c>
      <c r="O70" s="32">
        <v>0</v>
      </c>
      <c r="P70" s="32">
        <v>0</v>
      </c>
      <c r="Q70" s="34">
        <v>-1.0013924034765368E-2</v>
      </c>
      <c r="R70" s="34">
        <v>-5.2898205160803048E-2</v>
      </c>
      <c r="S70" s="72">
        <v>6</v>
      </c>
      <c r="T70" s="63">
        <v>2.16E-3</v>
      </c>
      <c r="U70" s="34">
        <v>-0.5605739240347668</v>
      </c>
      <c r="V70" s="64">
        <v>-0.46148588670220697</v>
      </c>
      <c r="W70" s="4">
        <v>0.51807228915662651</v>
      </c>
      <c r="X70" s="76">
        <v>0.52314814814814814</v>
      </c>
      <c r="Y70" s="77">
        <v>0.86923076923076925</v>
      </c>
      <c r="Z70" s="77">
        <v>0.65317919075144515</v>
      </c>
      <c r="AA70" s="77">
        <v>0.48484848484848486</v>
      </c>
      <c r="AB70" s="77">
        <v>0.13445378151260504</v>
      </c>
      <c r="AC70" s="78">
        <v>0.21052631578947367</v>
      </c>
      <c r="AD70">
        <v>323.63163039467241</v>
      </c>
      <c r="AE70">
        <v>14.792860245575049</v>
      </c>
      <c r="AF70">
        <v>5.625367074424683E-2</v>
      </c>
      <c r="AG70">
        <v>0.51077162527144893</v>
      </c>
      <c r="AH70">
        <v>0.48393631357747779</v>
      </c>
      <c r="AI70" s="22">
        <v>323.63163039467241</v>
      </c>
    </row>
    <row r="71" spans="1:35" x14ac:dyDescent="0.3">
      <c r="A71" s="1">
        <v>70</v>
      </c>
      <c r="B71">
        <v>283.48500000000001</v>
      </c>
      <c r="C71">
        <v>289.77499999999998</v>
      </c>
      <c r="D71" s="74">
        <v>283.2254275400789</v>
      </c>
      <c r="E71" t="str">
        <f t="shared" si="7"/>
        <v>Venta</v>
      </c>
      <c r="F71" t="str">
        <f t="shared" si="8"/>
        <v>Negativo</v>
      </c>
      <c r="G71" s="4">
        <f t="shared" si="9"/>
        <v>-2.2188122828368215E-2</v>
      </c>
      <c r="H71" s="4">
        <f t="shared" si="10"/>
        <v>9.1564795287622498E-4</v>
      </c>
      <c r="I71" s="47" t="str">
        <f t="shared" si="11"/>
        <v>Compra</v>
      </c>
      <c r="J71" s="47" t="str">
        <f t="shared" si="12"/>
        <v>VentaCompra</v>
      </c>
      <c r="K71" s="47"/>
      <c r="L71" s="47"/>
      <c r="M71" s="47" t="s">
        <v>293</v>
      </c>
      <c r="N71" s="52" t="s">
        <v>296</v>
      </c>
      <c r="O71" s="32">
        <v>0</v>
      </c>
      <c r="P71" s="32">
        <v>0</v>
      </c>
      <c r="Q71" s="34">
        <v>0.39825085271427962</v>
      </c>
      <c r="R71" s="34">
        <v>0.43367954656399788</v>
      </c>
      <c r="S71" s="72">
        <v>6</v>
      </c>
      <c r="T71" s="63">
        <v>2.16E-3</v>
      </c>
      <c r="U71" s="34">
        <v>-0.15230914728571968</v>
      </c>
      <c r="V71" s="64">
        <v>-0.17547296511029883</v>
      </c>
      <c r="W71" s="4">
        <v>0.52610441767068272</v>
      </c>
      <c r="X71" s="76">
        <v>0.53846153846153844</v>
      </c>
      <c r="Y71" s="77">
        <v>0.64615384615384619</v>
      </c>
      <c r="Z71" s="77">
        <v>0.58741258741258739</v>
      </c>
      <c r="AA71" s="77">
        <v>0.5053763440860215</v>
      </c>
      <c r="AB71" s="77">
        <v>0.3949579831932773</v>
      </c>
      <c r="AC71" s="78">
        <v>0.44339622641509435</v>
      </c>
      <c r="AD71">
        <v>173.29868545047199</v>
      </c>
      <c r="AE71">
        <v>10.233850631551981</v>
      </c>
      <c r="AF71">
        <v>4.0490336224864587E-2</v>
      </c>
      <c r="AG71">
        <v>0.73802735498339445</v>
      </c>
      <c r="AH71">
        <v>0.72365754745083799</v>
      </c>
      <c r="AI71" s="22">
        <v>173.29868545047199</v>
      </c>
    </row>
    <row r="72" spans="1:35" x14ac:dyDescent="0.3">
      <c r="A72" s="1">
        <v>71</v>
      </c>
      <c r="B72">
        <v>286.97500000000002</v>
      </c>
      <c r="C72">
        <v>286.17999999999989</v>
      </c>
      <c r="D72" s="74">
        <v>286.52424321202278</v>
      </c>
      <c r="E72" t="str">
        <f t="shared" si="7"/>
        <v>Venta</v>
      </c>
      <c r="F72" t="str">
        <f t="shared" si="8"/>
        <v>Positivo</v>
      </c>
      <c r="G72" s="4">
        <f t="shared" si="9"/>
        <v>2.7702761564600735E-3</v>
      </c>
      <c r="H72" s="4">
        <f t="shared" si="10"/>
        <v>1.570717964900221E-3</v>
      </c>
      <c r="I72" s="47" t="str">
        <f t="shared" si="11"/>
        <v>Venta</v>
      </c>
      <c r="J72" s="47" t="str">
        <f t="shared" si="12"/>
        <v>VentaVenta</v>
      </c>
      <c r="K72" s="47"/>
      <c r="L72" s="47"/>
      <c r="M72" s="47" t="s">
        <v>293</v>
      </c>
      <c r="N72" s="52" t="s">
        <v>297</v>
      </c>
      <c r="O72" s="32">
        <v>0</v>
      </c>
      <c r="P72" s="32">
        <v>0</v>
      </c>
      <c r="Q72" s="34">
        <v>0.31090726665475088</v>
      </c>
      <c r="R72" s="34">
        <v>0.31047948525209679</v>
      </c>
      <c r="S72" s="72">
        <v>6</v>
      </c>
      <c r="T72" s="63">
        <v>2.16E-3</v>
      </c>
      <c r="U72" s="34">
        <v>-0.23965273334524928</v>
      </c>
      <c r="V72" s="64">
        <v>-0.24955900455627691</v>
      </c>
      <c r="W72" s="4">
        <v>0.52208835341365467</v>
      </c>
      <c r="X72" s="76">
        <v>0.5300546448087432</v>
      </c>
      <c r="Y72" s="77">
        <v>0.74615384615384617</v>
      </c>
      <c r="Z72" s="77">
        <v>0.61980830670926534</v>
      </c>
      <c r="AA72" s="77">
        <v>0.5</v>
      </c>
      <c r="AB72" s="77">
        <v>0.27731092436974791</v>
      </c>
      <c r="AC72" s="78">
        <v>0.35675675675675678</v>
      </c>
      <c r="AD72">
        <v>140.8411489571713</v>
      </c>
      <c r="AE72">
        <v>8.9629063745019941</v>
      </c>
      <c r="AF72">
        <v>3.3288278824942723E-2</v>
      </c>
      <c r="AG72">
        <v>0.78709285518479721</v>
      </c>
      <c r="AH72">
        <v>0.7754144042033726</v>
      </c>
      <c r="AI72" s="22">
        <v>140.8411489571713</v>
      </c>
    </row>
    <row r="73" spans="1:35" x14ac:dyDescent="0.3">
      <c r="A73" s="1">
        <v>72</v>
      </c>
      <c r="B73">
        <v>289.995</v>
      </c>
      <c r="C73">
        <v>288.75</v>
      </c>
      <c r="D73" s="74">
        <v>289.32466308452717</v>
      </c>
      <c r="E73" t="str">
        <f t="shared" si="7"/>
        <v>Venta</v>
      </c>
      <c r="F73" t="str">
        <f t="shared" si="8"/>
        <v>Positivo</v>
      </c>
      <c r="G73" s="4">
        <f t="shared" si="9"/>
        <v>4.2931774685770604E-3</v>
      </c>
      <c r="H73" s="4">
        <f t="shared" si="10"/>
        <v>2.3115464593280251E-3</v>
      </c>
      <c r="I73" s="47" t="str">
        <f t="shared" si="11"/>
        <v>Venta</v>
      </c>
      <c r="J73" s="47" t="str">
        <f t="shared" si="12"/>
        <v>VentaVenta</v>
      </c>
      <c r="K73" s="47"/>
      <c r="L73" s="47"/>
      <c r="M73" s="47" t="s">
        <v>293</v>
      </c>
      <c r="N73" s="52" t="s">
        <v>298</v>
      </c>
      <c r="O73" s="32">
        <v>0</v>
      </c>
      <c r="P73" s="32">
        <v>0</v>
      </c>
      <c r="Q73" s="34">
        <v>-0.22422026697706562</v>
      </c>
      <c r="R73" s="34">
        <v>-0.23616261669127211</v>
      </c>
      <c r="S73" s="72">
        <v>6</v>
      </c>
      <c r="T73" s="63">
        <v>2.16E-3</v>
      </c>
      <c r="U73" s="34">
        <v>-0.77478026697706603</v>
      </c>
      <c r="V73" s="64">
        <v>-0.56691480047092302</v>
      </c>
      <c r="W73" s="4">
        <v>0.48995983935742971</v>
      </c>
      <c r="X73" s="76">
        <v>0.50710900473933651</v>
      </c>
      <c r="Y73" s="77">
        <v>0.82307692307692304</v>
      </c>
      <c r="Z73" s="77">
        <v>0.62756598240469208</v>
      </c>
      <c r="AA73" s="77">
        <v>0.39473684210526316</v>
      </c>
      <c r="AB73" s="77">
        <v>0.12605042016806722</v>
      </c>
      <c r="AC73" s="78">
        <v>0.19108280254777071</v>
      </c>
      <c r="AD73">
        <v>354.28605971414368</v>
      </c>
      <c r="AE73">
        <v>14.716723107569729</v>
      </c>
      <c r="AF73">
        <v>5.4098535908773053E-2</v>
      </c>
      <c r="AG73">
        <v>0.46443185120206298</v>
      </c>
      <c r="AH73">
        <v>0.43505469536082603</v>
      </c>
      <c r="AI73" s="22">
        <v>354.28605971414368</v>
      </c>
    </row>
    <row r="74" spans="1:35" x14ac:dyDescent="0.3">
      <c r="A74" s="1">
        <v>73</v>
      </c>
      <c r="B74">
        <v>291.435</v>
      </c>
      <c r="C74">
        <v>288.32</v>
      </c>
      <c r="D74" s="74">
        <v>291.16329098220848</v>
      </c>
      <c r="E74" t="str">
        <f t="shared" si="7"/>
        <v>Venta</v>
      </c>
      <c r="F74" t="str">
        <f t="shared" si="8"/>
        <v>Positivo</v>
      </c>
      <c r="G74" s="4">
        <f t="shared" si="9"/>
        <v>1.0688489714687697E-2</v>
      </c>
      <c r="H74" s="4">
        <f t="shared" si="10"/>
        <v>9.3231429921431007E-4</v>
      </c>
      <c r="I74" s="47" t="str">
        <f t="shared" si="11"/>
        <v>Venta</v>
      </c>
      <c r="J74" s="47" t="str">
        <f t="shared" si="12"/>
        <v>VentaVenta</v>
      </c>
      <c r="K74" s="47"/>
      <c r="L74" s="47"/>
      <c r="N74" s="52" t="s">
        <v>299</v>
      </c>
      <c r="O74" s="32">
        <v>0</v>
      </c>
      <c r="P74" s="32">
        <v>0</v>
      </c>
      <c r="Q74" s="34">
        <v>-9.3620234537623331E-2</v>
      </c>
      <c r="R74" s="34">
        <v>-0.11685289637039678</v>
      </c>
      <c r="S74" s="72">
        <v>6</v>
      </c>
      <c r="T74" s="63">
        <v>2.4599999999999999E-3</v>
      </c>
      <c r="U74" s="34">
        <v>-0.71858023453762365</v>
      </c>
      <c r="V74" s="64">
        <v>-0.53502522811198538</v>
      </c>
      <c r="W74" s="4">
        <v>0.51004016064257029</v>
      </c>
      <c r="X74" s="76">
        <v>0.5280898876404494</v>
      </c>
      <c r="Y74" s="77">
        <v>0.37007874015748032</v>
      </c>
      <c r="Z74" s="77">
        <v>0.43518518518518517</v>
      </c>
      <c r="AA74" s="77">
        <v>0.5</v>
      </c>
      <c r="AB74" s="77">
        <v>0.65573770491803274</v>
      </c>
      <c r="AC74" s="78">
        <v>0.56737588652482274</v>
      </c>
      <c r="AD74">
        <v>58.899236371759457</v>
      </c>
      <c r="AE74">
        <v>6.4513812073076711</v>
      </c>
      <c r="AF74">
        <v>2.1026609937289858E-2</v>
      </c>
      <c r="AG74">
        <v>0.95623926491713618</v>
      </c>
      <c r="AH74">
        <v>0.95252103252447451</v>
      </c>
      <c r="AI74" s="22">
        <v>58.899236371759457</v>
      </c>
    </row>
    <row r="75" spans="1:35" x14ac:dyDescent="0.3">
      <c r="A75" s="1">
        <v>74</v>
      </c>
      <c r="B75">
        <v>285.83499999999998</v>
      </c>
      <c r="C75">
        <v>288.39499999999998</v>
      </c>
      <c r="D75" s="74">
        <v>285.54403615526059</v>
      </c>
      <c r="E75" t="str">
        <f t="shared" si="7"/>
        <v>Venta</v>
      </c>
      <c r="F75" t="str">
        <f t="shared" si="8"/>
        <v>Negativo</v>
      </c>
      <c r="G75" s="4">
        <f t="shared" si="9"/>
        <v>-8.9562159987405399E-3</v>
      </c>
      <c r="H75" s="4">
        <f t="shared" si="10"/>
        <v>1.0179433755117273E-3</v>
      </c>
      <c r="I75" s="47" t="str">
        <f t="shared" si="11"/>
        <v>Compra</v>
      </c>
      <c r="J75" s="47" t="str">
        <f t="shared" si="12"/>
        <v>VentaCompra</v>
      </c>
      <c r="K75" s="47"/>
      <c r="L75" s="47"/>
      <c r="N75" s="52" t="s">
        <v>300</v>
      </c>
      <c r="O75" s="32">
        <v>0</v>
      </c>
      <c r="P75" s="32">
        <v>0</v>
      </c>
      <c r="Q75" s="34">
        <v>-3.8981023452817606E-2</v>
      </c>
      <c r="R75" s="34">
        <v>-6.6520631553638812E-2</v>
      </c>
      <c r="S75" s="72">
        <v>6</v>
      </c>
      <c r="T75" s="63">
        <v>2.4599999999999999E-3</v>
      </c>
      <c r="U75" s="34">
        <v>-0.66394102345281858</v>
      </c>
      <c r="V75" s="64">
        <v>-0.50770234991844077</v>
      </c>
      <c r="W75" s="4">
        <v>0.51807228915662651</v>
      </c>
      <c r="X75" s="76">
        <v>0.53465346534653468</v>
      </c>
      <c r="Y75" s="77">
        <v>0.42519685039370081</v>
      </c>
      <c r="Z75" s="77">
        <v>0.47368421052631582</v>
      </c>
      <c r="AA75" s="77">
        <v>0.5067567567567568</v>
      </c>
      <c r="AB75" s="77">
        <v>0.61475409836065575</v>
      </c>
      <c r="AC75" s="78">
        <v>0.55555555555555547</v>
      </c>
      <c r="AD75">
        <v>3875.6434663169762</v>
      </c>
      <c r="AE75">
        <v>52.534945068445047</v>
      </c>
      <c r="AF75">
        <v>0.1656501643670511</v>
      </c>
      <c r="AG75">
        <v>-1.8795111355034191</v>
      </c>
      <c r="AH75">
        <v>-2.1241754803501141</v>
      </c>
      <c r="AI75" s="22">
        <v>759.08196858164422</v>
      </c>
    </row>
    <row r="76" spans="1:35" x14ac:dyDescent="0.3">
      <c r="A76" s="1">
        <v>75</v>
      </c>
      <c r="B76">
        <v>285.20999999999998</v>
      </c>
      <c r="C76">
        <v>286.14499999999998</v>
      </c>
      <c r="D76" s="74">
        <v>284.63964009329948</v>
      </c>
      <c r="E76" t="str">
        <f t="shared" si="7"/>
        <v>Venta</v>
      </c>
      <c r="F76" t="str">
        <f t="shared" si="8"/>
        <v>Negativo</v>
      </c>
      <c r="G76" s="4">
        <f t="shared" si="9"/>
        <v>-3.2782861750990581E-3</v>
      </c>
      <c r="H76" s="4">
        <f t="shared" si="10"/>
        <v>1.9997893015690298E-3</v>
      </c>
      <c r="I76" s="47" t="str">
        <f t="shared" si="11"/>
        <v>Compra</v>
      </c>
      <c r="J76" s="47" t="str">
        <f t="shared" si="12"/>
        <v>VentaCompra</v>
      </c>
      <c r="K76" s="47"/>
      <c r="L76" s="47"/>
      <c r="N76" s="52" t="s">
        <v>301</v>
      </c>
      <c r="O76" s="32">
        <v>0</v>
      </c>
      <c r="P76" s="32">
        <v>0</v>
      </c>
      <c r="Q76" s="34">
        <v>-3.8981023452817606E-2</v>
      </c>
      <c r="R76" s="34">
        <v>-6.6520631553638812E-2</v>
      </c>
      <c r="S76" s="72">
        <v>6</v>
      </c>
      <c r="T76" s="63">
        <v>2.4599999999999999E-3</v>
      </c>
      <c r="U76" s="34">
        <v>-0.66394102345281858</v>
      </c>
      <c r="V76" s="64">
        <v>-0.50770234991844077</v>
      </c>
      <c r="W76" s="4">
        <v>0.51807228915662651</v>
      </c>
      <c r="X76" s="76">
        <v>0.53465346534653468</v>
      </c>
      <c r="Y76" s="77">
        <v>0.42519685039370081</v>
      </c>
      <c r="Z76" s="77">
        <v>0.47368421052631582</v>
      </c>
      <c r="AA76" s="77">
        <v>0.5067567567567568</v>
      </c>
      <c r="AB76" s="77">
        <v>0.61475409836065575</v>
      </c>
      <c r="AC76" s="78">
        <v>0.55555555555555547</v>
      </c>
      <c r="AD76">
        <v>3997.8405149790128</v>
      </c>
      <c r="AE76">
        <v>53.469557140624971</v>
      </c>
      <c r="AF76">
        <v>0.16863855253573359</v>
      </c>
      <c r="AG76">
        <v>-1.9703006432086689</v>
      </c>
      <c r="AH76">
        <v>-2.2226791292329349</v>
      </c>
      <c r="AI76" s="22">
        <v>1540.6549553846551</v>
      </c>
    </row>
    <row r="77" spans="1:35" x14ac:dyDescent="0.3">
      <c r="A77" s="1">
        <v>76</v>
      </c>
      <c r="B77">
        <v>284.85000000000002</v>
      </c>
      <c r="C77">
        <v>285.77</v>
      </c>
      <c r="D77" s="74">
        <v>284.3298266897425</v>
      </c>
      <c r="E77" t="str">
        <f t="shared" si="7"/>
        <v>Venta</v>
      </c>
      <c r="F77" t="str">
        <f t="shared" si="8"/>
        <v>Negativo</v>
      </c>
      <c r="G77" s="4">
        <f t="shared" si="9"/>
        <v>-3.2297700544144602E-3</v>
      </c>
      <c r="H77" s="4">
        <f t="shared" si="10"/>
        <v>1.8261306310602737E-3</v>
      </c>
      <c r="I77" s="47" t="str">
        <f t="shared" si="11"/>
        <v>Compra</v>
      </c>
      <c r="J77" s="47" t="str">
        <f t="shared" si="12"/>
        <v>VentaCompra</v>
      </c>
      <c r="K77" s="47"/>
      <c r="L77" s="47"/>
      <c r="N77" s="52" t="s">
        <v>302</v>
      </c>
      <c r="O77" s="32">
        <v>0</v>
      </c>
      <c r="P77" s="32">
        <v>0</v>
      </c>
      <c r="Q77" s="34">
        <v>2.8887217386763222E-2</v>
      </c>
      <c r="R77" s="34">
        <v>-1.559039587664156E-3</v>
      </c>
      <c r="S77" s="72">
        <v>6</v>
      </c>
      <c r="T77" s="63">
        <v>2.4599999999999999E-3</v>
      </c>
      <c r="U77" s="34">
        <v>-0.59607278261323637</v>
      </c>
      <c r="V77" s="64">
        <v>-0.47380818655074219</v>
      </c>
      <c r="W77" s="4">
        <v>0.51405622489959835</v>
      </c>
      <c r="X77" s="76">
        <v>0.52307692307692311</v>
      </c>
      <c r="Y77" s="77">
        <v>0.53543307086614178</v>
      </c>
      <c r="Z77" s="77">
        <v>0.52918287937743191</v>
      </c>
      <c r="AA77" s="77">
        <v>0.50420168067226889</v>
      </c>
      <c r="AB77" s="77">
        <v>0.49180327868852458</v>
      </c>
      <c r="AC77" s="78">
        <v>0.49792531120331951</v>
      </c>
      <c r="AD77">
        <v>517.27296991017977</v>
      </c>
      <c r="AE77">
        <v>16.650628742514971</v>
      </c>
      <c r="AF77">
        <v>5.1809863448898222E-2</v>
      </c>
      <c r="AG77">
        <v>0.61567845703651558</v>
      </c>
      <c r="AH77">
        <v>0.58302368541216731</v>
      </c>
      <c r="AI77" s="22">
        <v>505.24855928143688</v>
      </c>
    </row>
    <row r="78" spans="1:35" x14ac:dyDescent="0.3">
      <c r="A78" s="1">
        <v>77</v>
      </c>
      <c r="B78">
        <v>281.98</v>
      </c>
      <c r="C78">
        <v>281.81</v>
      </c>
      <c r="D78" s="74">
        <v>281.38944149850272</v>
      </c>
      <c r="E78" t="str">
        <f t="shared" si="7"/>
        <v>Venta</v>
      </c>
      <c r="F78" t="str">
        <f t="shared" si="8"/>
        <v>Positivo</v>
      </c>
      <c r="G78" s="4">
        <f t="shared" si="9"/>
        <v>6.0287963685373399E-4</v>
      </c>
      <c r="H78" s="4">
        <f t="shared" si="10"/>
        <v>2.0943276171973137E-3</v>
      </c>
      <c r="I78" s="47" t="str">
        <f t="shared" si="11"/>
        <v>Venta</v>
      </c>
      <c r="J78" s="47" t="str">
        <f t="shared" si="12"/>
        <v>VentaVenta</v>
      </c>
      <c r="K78" s="47"/>
      <c r="L78" s="47"/>
      <c r="N78" s="52" t="s">
        <v>303</v>
      </c>
      <c r="O78" s="32">
        <v>0</v>
      </c>
      <c r="P78" s="32">
        <v>0</v>
      </c>
      <c r="Q78" s="34">
        <v>1.3427229897941434E-2</v>
      </c>
      <c r="R78" s="34">
        <v>-1.7742374314183545E-2</v>
      </c>
      <c r="S78" s="72">
        <v>6</v>
      </c>
      <c r="T78" s="63">
        <v>2.4599999999999999E-3</v>
      </c>
      <c r="U78" s="34">
        <v>-0.6115327701020592</v>
      </c>
      <c r="V78" s="64">
        <v>-0.48321095652144902</v>
      </c>
      <c r="W78" s="4">
        <v>0.51004016064257029</v>
      </c>
      <c r="X78" s="76">
        <v>0.51937984496124034</v>
      </c>
      <c r="Y78" s="77">
        <v>0.52755905511811019</v>
      </c>
      <c r="Z78" s="77">
        <v>0.5234375</v>
      </c>
      <c r="AA78" s="77">
        <v>0.5</v>
      </c>
      <c r="AB78" s="77">
        <v>0.49180327868852458</v>
      </c>
      <c r="AC78" s="78">
        <v>0.49586776859504134</v>
      </c>
      <c r="AD78">
        <v>357.5850813169252</v>
      </c>
      <c r="AE78">
        <v>13.357305299401171</v>
      </c>
      <c r="AF78">
        <v>4.1278527849628717E-2</v>
      </c>
      <c r="AG78">
        <v>0.73432276924056761</v>
      </c>
      <c r="AH78">
        <v>0.71174888688845894</v>
      </c>
      <c r="AI78" s="22">
        <v>357.5850813169252</v>
      </c>
    </row>
    <row r="79" spans="1:35" x14ac:dyDescent="0.3">
      <c r="A79" s="1">
        <v>78</v>
      </c>
      <c r="B79">
        <v>279.26</v>
      </c>
      <c r="C79">
        <v>275.84500000000003</v>
      </c>
      <c r="D79" s="74">
        <v>278.76534539487898</v>
      </c>
      <c r="E79" t="str">
        <f t="shared" si="7"/>
        <v>Venta</v>
      </c>
      <c r="F79" t="str">
        <f t="shared" si="8"/>
        <v>Positivo</v>
      </c>
      <c r="G79" s="4">
        <f t="shared" si="9"/>
        <v>1.2228747403852911E-2</v>
      </c>
      <c r="H79" s="4">
        <f t="shared" si="10"/>
        <v>1.7713048955131901E-3</v>
      </c>
      <c r="I79" s="47" t="str">
        <f t="shared" si="11"/>
        <v>Venta</v>
      </c>
      <c r="J79" s="47" t="str">
        <f t="shared" si="12"/>
        <v>VentaVenta</v>
      </c>
      <c r="K79" s="47"/>
      <c r="L79" s="47"/>
      <c r="M79" s="47" t="s">
        <v>293</v>
      </c>
      <c r="N79" s="52" t="s">
        <v>299</v>
      </c>
      <c r="O79" s="32">
        <v>0</v>
      </c>
      <c r="P79" s="32">
        <v>0</v>
      </c>
      <c r="Q79" s="34">
        <v>-9.3620234537623331E-2</v>
      </c>
      <c r="R79" s="34">
        <v>-0.11685289637039678</v>
      </c>
      <c r="S79" s="72">
        <v>6</v>
      </c>
      <c r="T79" s="63">
        <v>2.4599999999999999E-3</v>
      </c>
      <c r="U79" s="34">
        <v>-0.71858023453762365</v>
      </c>
      <c r="V79" s="64">
        <v>-0.53502522811198538</v>
      </c>
      <c r="W79" s="4">
        <v>0.51004016064257029</v>
      </c>
      <c r="X79" s="76">
        <v>0.5280898876404494</v>
      </c>
      <c r="Y79" s="77">
        <v>0.37007874015748032</v>
      </c>
      <c r="Z79" s="77">
        <v>0.43518518518518517</v>
      </c>
      <c r="AA79" s="77">
        <v>0.5</v>
      </c>
      <c r="AB79" s="77">
        <v>0.65573770491803274</v>
      </c>
      <c r="AC79" s="78">
        <v>0.56737588652482274</v>
      </c>
      <c r="AD79">
        <v>58.899236371761717</v>
      </c>
      <c r="AE79">
        <v>40.757588641990807</v>
      </c>
      <c r="AF79">
        <v>0.14035533424878621</v>
      </c>
      <c r="AG79">
        <v>0.95623926491713451</v>
      </c>
      <c r="AH79">
        <v>0.95252103252447273</v>
      </c>
      <c r="AI79" s="22">
        <v>15.90088440209928</v>
      </c>
    </row>
    <row r="80" spans="1:35" x14ac:dyDescent="0.3">
      <c r="A80" s="1">
        <v>79</v>
      </c>
      <c r="B80">
        <v>296.52999999999997</v>
      </c>
      <c r="C80">
        <v>295.375</v>
      </c>
      <c r="D80" s="74">
        <v>295.47237428197218</v>
      </c>
      <c r="E80" t="str">
        <f t="shared" si="7"/>
        <v>Venta</v>
      </c>
      <c r="F80" t="str">
        <f t="shared" si="8"/>
        <v>Positivo</v>
      </c>
      <c r="G80" s="4">
        <f t="shared" si="9"/>
        <v>3.8950527771219531E-3</v>
      </c>
      <c r="H80" s="4">
        <f t="shared" si="10"/>
        <v>3.5666735845539862E-3</v>
      </c>
      <c r="I80" s="47" t="str">
        <f t="shared" si="11"/>
        <v>Venta</v>
      </c>
      <c r="J80" s="47" t="str">
        <f t="shared" si="12"/>
        <v>VentaVenta</v>
      </c>
      <c r="K80" s="47"/>
      <c r="L80" s="47"/>
      <c r="M80" s="47" t="s">
        <v>293</v>
      </c>
      <c r="N80" s="52" t="s">
        <v>300</v>
      </c>
      <c r="O80" s="32">
        <v>0</v>
      </c>
      <c r="P80" s="32">
        <v>0</v>
      </c>
      <c r="Q80" s="34">
        <v>-0.21644472195182796</v>
      </c>
      <c r="R80" s="34">
        <v>-0.22033343202104369</v>
      </c>
      <c r="S80" s="72">
        <v>6</v>
      </c>
      <c r="T80" s="63">
        <v>2.4599999999999999E-3</v>
      </c>
      <c r="U80" s="34">
        <v>-0.84140472195182836</v>
      </c>
      <c r="V80" s="64">
        <v>-0.59113219588941279</v>
      </c>
      <c r="W80" s="4">
        <v>0.47389558232931728</v>
      </c>
      <c r="X80" s="76">
        <v>0.48717948717948717</v>
      </c>
      <c r="Y80" s="77">
        <v>0.59842519685039375</v>
      </c>
      <c r="Z80" s="77">
        <v>0.53710247349823326</v>
      </c>
      <c r="AA80" s="77">
        <v>0.45161290322580644</v>
      </c>
      <c r="AB80" s="77">
        <v>0.34426229508196721</v>
      </c>
      <c r="AC80" s="78">
        <v>0.39069767441860465</v>
      </c>
      <c r="AD80">
        <v>759.08196858164422</v>
      </c>
      <c r="AE80">
        <v>18.76114949730383</v>
      </c>
      <c r="AF80">
        <v>5.8935774629873788E-2</v>
      </c>
      <c r="AG80">
        <v>0.4360201085865486</v>
      </c>
      <c r="AH80">
        <v>0.38810024853181091</v>
      </c>
      <c r="AI80" s="22">
        <v>759.08196858164422</v>
      </c>
    </row>
    <row r="81" spans="1:35" x14ac:dyDescent="0.3">
      <c r="A81" s="1">
        <v>80</v>
      </c>
      <c r="B81">
        <v>296.07000000000011</v>
      </c>
      <c r="C81">
        <v>304.62</v>
      </c>
      <c r="D81" s="74">
        <v>295.66456059262202</v>
      </c>
      <c r="E81" t="str">
        <f t="shared" si="7"/>
        <v>Venta</v>
      </c>
      <c r="F81" t="str">
        <f t="shared" si="8"/>
        <v>Negativo</v>
      </c>
      <c r="G81" s="4">
        <f t="shared" si="9"/>
        <v>-2.8878305806059022E-2</v>
      </c>
      <c r="H81" s="4">
        <f t="shared" si="10"/>
        <v>1.3694038821159948E-3</v>
      </c>
      <c r="I81" s="47" t="str">
        <f t="shared" si="11"/>
        <v>Compra</v>
      </c>
      <c r="J81" s="47" t="str">
        <f t="shared" si="12"/>
        <v>VentaCompra</v>
      </c>
      <c r="K81" s="47"/>
      <c r="L81" s="47"/>
      <c r="M81" s="47" t="s">
        <v>293</v>
      </c>
      <c r="N81" s="52" t="s">
        <v>301</v>
      </c>
      <c r="O81" s="32">
        <v>0</v>
      </c>
      <c r="P81" s="32">
        <v>0</v>
      </c>
      <c r="Q81" s="34">
        <v>-0.10899064762117588</v>
      </c>
      <c r="R81" s="34">
        <v>-0.13055004184788252</v>
      </c>
      <c r="S81" s="72">
        <v>6</v>
      </c>
      <c r="T81" s="63">
        <v>2.4599999999999999E-3</v>
      </c>
      <c r="U81" s="34">
        <v>-0.73395064762117612</v>
      </c>
      <c r="V81" s="64">
        <v>-0.54248439431139694</v>
      </c>
      <c r="W81" s="4">
        <v>0.49799196787148592</v>
      </c>
      <c r="X81" s="76">
        <v>0.51041666666666663</v>
      </c>
      <c r="Y81" s="77">
        <v>0.38582677165354329</v>
      </c>
      <c r="Z81" s="77">
        <v>0.43946188340807169</v>
      </c>
      <c r="AA81" s="77">
        <v>0.49019607843137253</v>
      </c>
      <c r="AB81" s="77">
        <v>0.61475409836065575</v>
      </c>
      <c r="AC81" s="78">
        <v>0.54545454545454541</v>
      </c>
      <c r="AD81">
        <v>1540.6549553846551</v>
      </c>
      <c r="AE81">
        <v>28.437762863189381</v>
      </c>
      <c r="AF81">
        <v>8.7240797688367872E-2</v>
      </c>
      <c r="AG81">
        <v>-0.14467007570603041</v>
      </c>
      <c r="AH81">
        <v>-0.24192962462222889</v>
      </c>
      <c r="AI81" s="22">
        <v>1540.6549553846551</v>
      </c>
    </row>
    <row r="82" spans="1:35" x14ac:dyDescent="0.3">
      <c r="A82" s="1">
        <v>81</v>
      </c>
      <c r="B82">
        <v>303.83</v>
      </c>
      <c r="C82">
        <v>307.31</v>
      </c>
      <c r="D82" s="74">
        <v>303.07460395789928</v>
      </c>
      <c r="E82" t="str">
        <f t="shared" si="7"/>
        <v>Venta</v>
      </c>
      <c r="F82" t="str">
        <f t="shared" si="8"/>
        <v>Negativo</v>
      </c>
      <c r="G82" s="4">
        <f t="shared" si="9"/>
        <v>-1.1453773491755319E-2</v>
      </c>
      <c r="H82" s="4">
        <f t="shared" si="10"/>
        <v>2.4862457364338581E-3</v>
      </c>
      <c r="I82" s="47" t="str">
        <f t="shared" si="11"/>
        <v>Compra</v>
      </c>
      <c r="J82" s="47" t="str">
        <f t="shared" si="12"/>
        <v>VentaCompra</v>
      </c>
      <c r="K82" s="47"/>
      <c r="L82" s="47"/>
      <c r="M82" s="47" t="s">
        <v>293</v>
      </c>
      <c r="N82" s="52" t="s">
        <v>302</v>
      </c>
      <c r="O82" s="32">
        <v>0</v>
      </c>
      <c r="P82" s="32">
        <v>0</v>
      </c>
      <c r="Q82" s="34">
        <v>0.13526445038017221</v>
      </c>
      <c r="R82" s="34">
        <v>0.11117095446529231</v>
      </c>
      <c r="S82" s="72">
        <v>6</v>
      </c>
      <c r="T82" s="63">
        <v>2.4599999999999999E-3</v>
      </c>
      <c r="U82" s="34">
        <v>-0.48969554961982775</v>
      </c>
      <c r="V82" s="64">
        <v>-0.41352581128447324</v>
      </c>
      <c r="W82" s="4">
        <v>0.51807228915662651</v>
      </c>
      <c r="X82" s="76">
        <v>0.52892561983471076</v>
      </c>
      <c r="Y82" s="77">
        <v>0.50393700787401574</v>
      </c>
      <c r="Z82" s="77">
        <v>0.5161290322580645</v>
      </c>
      <c r="AA82" s="77">
        <v>0.5078125</v>
      </c>
      <c r="AB82" s="77">
        <v>0.53278688524590168</v>
      </c>
      <c r="AC82" s="78">
        <v>0.52</v>
      </c>
      <c r="AD82">
        <v>505.24855928143688</v>
      </c>
      <c r="AE82">
        <v>16.525449101796401</v>
      </c>
      <c r="AF82">
        <v>5.1521113869490452E-2</v>
      </c>
      <c r="AG82">
        <v>0.62461230882248353</v>
      </c>
      <c r="AH82">
        <v>0.59271662264400171</v>
      </c>
      <c r="AI82" s="22">
        <v>43.719914820359342</v>
      </c>
    </row>
    <row r="83" spans="1:35" x14ac:dyDescent="0.3">
      <c r="A83" s="1">
        <v>82</v>
      </c>
      <c r="B83">
        <v>306.68</v>
      </c>
      <c r="C83">
        <v>305.52</v>
      </c>
      <c r="D83" s="74">
        <v>306.35062176406961</v>
      </c>
      <c r="E83" t="str">
        <f t="shared" si="7"/>
        <v>Venta</v>
      </c>
      <c r="F83" t="str">
        <f t="shared" si="8"/>
        <v>Positivo</v>
      </c>
      <c r="G83" s="4">
        <f t="shared" si="9"/>
        <v>3.7824442415547964E-3</v>
      </c>
      <c r="H83" s="4">
        <f t="shared" si="10"/>
        <v>1.0740127687830698E-3</v>
      </c>
      <c r="I83" s="47" t="str">
        <f t="shared" si="11"/>
        <v>Venta</v>
      </c>
      <c r="J83" s="47" t="str">
        <f t="shared" si="12"/>
        <v>VentaVenta</v>
      </c>
      <c r="K83" s="47"/>
      <c r="L83" s="47"/>
      <c r="M83" s="47" t="s">
        <v>293</v>
      </c>
      <c r="N83" s="52" t="s">
        <v>303</v>
      </c>
      <c r="O83" s="32">
        <v>0</v>
      </c>
      <c r="P83" s="32">
        <v>0</v>
      </c>
      <c r="Q83" s="34">
        <v>-8.9358750381980642E-2</v>
      </c>
      <c r="R83" s="34">
        <v>-0.11340975394310968</v>
      </c>
      <c r="S83" s="72">
        <v>6</v>
      </c>
      <c r="T83" s="63">
        <v>2.4599999999999999E-3</v>
      </c>
      <c r="U83" s="34">
        <v>-0.71431875038198067</v>
      </c>
      <c r="V83" s="64">
        <v>-0.53347475619825924</v>
      </c>
      <c r="W83" s="4">
        <v>0.50200803212851408</v>
      </c>
      <c r="X83" s="76">
        <v>0.51145038167938928</v>
      </c>
      <c r="Y83" s="77">
        <v>0.52755905511811019</v>
      </c>
      <c r="Z83" s="77">
        <v>0.51937984496124012</v>
      </c>
      <c r="AA83" s="77">
        <v>0.49152542372881358</v>
      </c>
      <c r="AB83" s="77">
        <v>0.47540983606557374</v>
      </c>
      <c r="AC83" s="78">
        <v>0.48333333333333334</v>
      </c>
      <c r="AD83">
        <v>449.51343053892231</v>
      </c>
      <c r="AE83">
        <v>15.701976047904189</v>
      </c>
      <c r="AF83">
        <v>4.9038535210856792E-2</v>
      </c>
      <c r="AG83">
        <v>0.66602218701370453</v>
      </c>
      <c r="AH83">
        <v>0.63764498721748342</v>
      </c>
      <c r="AI83" s="22">
        <v>22.001339904684819</v>
      </c>
    </row>
    <row r="84" spans="1:35" x14ac:dyDescent="0.3">
      <c r="A84" s="1">
        <v>83</v>
      </c>
      <c r="B84">
        <v>307.92</v>
      </c>
      <c r="C84">
        <v>305.48500000000001</v>
      </c>
      <c r="D84" s="74">
        <v>307.87927859662369</v>
      </c>
      <c r="E84" t="str">
        <f t="shared" si="7"/>
        <v>Venta</v>
      </c>
      <c r="F84" t="str">
        <f t="shared" si="8"/>
        <v>Positivo</v>
      </c>
      <c r="G84" s="4">
        <f t="shared" si="9"/>
        <v>7.9078981553650368E-3</v>
      </c>
      <c r="H84" s="4">
        <f t="shared" si="10"/>
        <v>1.3224669841622468E-4</v>
      </c>
      <c r="I84" s="47" t="str">
        <f t="shared" si="11"/>
        <v>Venta</v>
      </c>
      <c r="J84" s="47" t="str">
        <f t="shared" si="12"/>
        <v>VentaVenta</v>
      </c>
      <c r="K84" s="47"/>
      <c r="L84" s="47"/>
      <c r="N84" s="52" t="s">
        <v>329</v>
      </c>
      <c r="O84" s="32">
        <v>0</v>
      </c>
      <c r="P84" s="32">
        <v>0</v>
      </c>
      <c r="Q84" s="34">
        <v>0.10884501000046803</v>
      </c>
      <c r="R84" s="34">
        <v>9.8762326412270923E-2</v>
      </c>
      <c r="S84" s="72">
        <v>6</v>
      </c>
      <c r="T84" s="63">
        <v>2.2000000000000001E-3</v>
      </c>
      <c r="U84" s="34">
        <v>-0.26631498999953224</v>
      </c>
      <c r="V84" s="64">
        <v>-0.24795999174319527</v>
      </c>
      <c r="W84" s="4">
        <v>0.52694610778443118</v>
      </c>
      <c r="X84" s="65">
        <v>0.59375</v>
      </c>
      <c r="Y84" s="4">
        <v>0.22352941176470589</v>
      </c>
      <c r="Z84" s="4">
        <v>0.3247863247863248</v>
      </c>
      <c r="AA84" s="4">
        <v>0.51111111111111107</v>
      </c>
      <c r="AB84" s="4">
        <v>0.84146341463414631</v>
      </c>
      <c r="AC84" s="68">
        <v>0.63594470046082952</v>
      </c>
      <c r="AD84">
        <v>15.90088440209928</v>
      </c>
      <c r="AE84">
        <v>3.003639024933118</v>
      </c>
      <c r="AF84">
        <v>1.0168325405289461E-2</v>
      </c>
      <c r="AG84">
        <v>0.9881860201800996</v>
      </c>
      <c r="AH84">
        <v>0.98718221797317995</v>
      </c>
      <c r="AI84" s="22">
        <v>15.90088440209928</v>
      </c>
    </row>
    <row r="85" spans="1:35" x14ac:dyDescent="0.3">
      <c r="A85" s="1">
        <v>84</v>
      </c>
      <c r="B85">
        <v>306.89999999999998</v>
      </c>
      <c r="C85">
        <v>304.33</v>
      </c>
      <c r="D85" s="74">
        <v>307.18232762222692</v>
      </c>
      <c r="E85" t="str">
        <f t="shared" si="7"/>
        <v>Compra</v>
      </c>
      <c r="F85" t="str">
        <f t="shared" si="8"/>
        <v>Negativo</v>
      </c>
      <c r="G85" s="4">
        <f t="shared" si="9"/>
        <v>-8.3740632127728681E-3</v>
      </c>
      <c r="H85" s="4">
        <f t="shared" si="10"/>
        <v>9.1993360126081528E-4</v>
      </c>
      <c r="I85" s="47" t="str">
        <f t="shared" si="11"/>
        <v>Venta</v>
      </c>
      <c r="J85" s="47" t="str">
        <f t="shared" si="12"/>
        <v>CompraVenta</v>
      </c>
      <c r="K85" s="47"/>
      <c r="L85" s="47"/>
      <c r="N85" s="52" t="s">
        <v>330</v>
      </c>
      <c r="O85" s="32">
        <v>0</v>
      </c>
      <c r="P85" s="32">
        <v>0</v>
      </c>
      <c r="Q85" s="34">
        <v>-3.4726362414749308E-2</v>
      </c>
      <c r="R85" s="34">
        <v>-4.8903848926786883E-2</v>
      </c>
      <c r="S85" s="72">
        <v>6</v>
      </c>
      <c r="T85" s="63">
        <v>2.2000000000000001E-3</v>
      </c>
      <c r="U85" s="34">
        <v>-0.40988636241474924</v>
      </c>
      <c r="V85" s="64">
        <v>-0.34996401527745985</v>
      </c>
      <c r="W85" s="4">
        <v>0.49700598802395207</v>
      </c>
      <c r="X85" s="65">
        <v>0.51515151515151514</v>
      </c>
      <c r="Y85" s="4">
        <v>0.2</v>
      </c>
      <c r="Z85" s="4">
        <v>0.28813559322033899</v>
      </c>
      <c r="AA85" s="4">
        <v>0.4925373134328358</v>
      </c>
      <c r="AB85" s="4">
        <v>0.80487804878048785</v>
      </c>
      <c r="AC85" s="68">
        <v>0.61111111111111105</v>
      </c>
      <c r="AD85">
        <v>3021.354235664558</v>
      </c>
      <c r="AE85">
        <v>46.071359180171051</v>
      </c>
      <c r="AF85">
        <v>0.14566091480121901</v>
      </c>
      <c r="AG85">
        <v>-1.2447945074174089</v>
      </c>
      <c r="AH85">
        <v>-1.4355286812502599</v>
      </c>
      <c r="AI85" s="22">
        <v>343.86441405871761</v>
      </c>
    </row>
    <row r="86" spans="1:35" x14ac:dyDescent="0.3">
      <c r="A86" s="1">
        <v>85</v>
      </c>
      <c r="B86">
        <v>306.36500000000001</v>
      </c>
      <c r="C86">
        <v>305.55500000000001</v>
      </c>
      <c r="D86" s="74">
        <v>306.60030215109248</v>
      </c>
      <c r="E86" t="str">
        <f t="shared" si="7"/>
        <v>Compra</v>
      </c>
      <c r="F86" t="str">
        <f t="shared" si="8"/>
        <v>Negativo</v>
      </c>
      <c r="G86" s="4">
        <f t="shared" si="9"/>
        <v>-2.6439051458228002E-3</v>
      </c>
      <c r="H86" s="4">
        <f t="shared" si="10"/>
        <v>7.6804514579821158E-4</v>
      </c>
      <c r="I86" s="47" t="str">
        <f t="shared" si="11"/>
        <v>Venta</v>
      </c>
      <c r="J86" s="47" t="str">
        <f t="shared" si="12"/>
        <v>CompraVenta</v>
      </c>
      <c r="K86" s="47"/>
      <c r="L86" s="47"/>
      <c r="N86" s="52" t="s">
        <v>331</v>
      </c>
      <c r="O86" s="32">
        <v>0</v>
      </c>
      <c r="P86" s="32">
        <v>0</v>
      </c>
      <c r="Q86" s="34">
        <v>-1.541534062320672E-2</v>
      </c>
      <c r="R86" s="34">
        <v>-3.0203957668007059E-2</v>
      </c>
      <c r="S86" s="72">
        <v>6</v>
      </c>
      <c r="T86" s="63">
        <v>2.2000000000000001E-3</v>
      </c>
      <c r="U86" s="34">
        <v>-0.39057534062320665</v>
      </c>
      <c r="V86" s="64">
        <v>-0.33699074976591148</v>
      </c>
      <c r="W86" s="4">
        <v>0.50898203592814373</v>
      </c>
      <c r="X86" s="65">
        <v>0.54838709677419351</v>
      </c>
      <c r="Y86" s="4">
        <v>0.2</v>
      </c>
      <c r="Z86" s="4">
        <v>0.2931034482758621</v>
      </c>
      <c r="AA86" s="4">
        <v>0.5</v>
      </c>
      <c r="AB86" s="4">
        <v>0.82926829268292679</v>
      </c>
      <c r="AC86" s="68">
        <v>0.62385321100917435</v>
      </c>
      <c r="AD86">
        <v>3137.2927775028652</v>
      </c>
      <c r="AE86">
        <v>46.897189351616049</v>
      </c>
      <c r="AF86">
        <v>0.1480970567076236</v>
      </c>
      <c r="AG86">
        <v>-1.330934093052381</v>
      </c>
      <c r="AH86">
        <v>-1.5289873166450669</v>
      </c>
      <c r="AI86" s="22">
        <v>27.87311971578519</v>
      </c>
    </row>
    <row r="87" spans="1:35" x14ac:dyDescent="0.3">
      <c r="A87" s="1">
        <v>86</v>
      </c>
      <c r="B87">
        <v>305.435</v>
      </c>
      <c r="C87">
        <v>310.64999999999998</v>
      </c>
      <c r="D87" s="74">
        <v>305.55009556736911</v>
      </c>
      <c r="E87" t="str">
        <f t="shared" si="7"/>
        <v>Compra</v>
      </c>
      <c r="F87" t="str">
        <f t="shared" si="8"/>
        <v>Positivo</v>
      </c>
      <c r="G87" s="4">
        <f t="shared" si="9"/>
        <v>1.707400919999337E-2</v>
      </c>
      <c r="H87" s="4">
        <f t="shared" si="10"/>
        <v>3.7682507692016334E-4</v>
      </c>
      <c r="I87" s="47" t="str">
        <f t="shared" si="11"/>
        <v>Compra</v>
      </c>
      <c r="J87" s="47" t="str">
        <f t="shared" si="12"/>
        <v>CompraCompra</v>
      </c>
      <c r="K87" s="47"/>
      <c r="L87" s="47"/>
      <c r="N87" s="52" t="s">
        <v>332</v>
      </c>
      <c r="O87" s="32">
        <v>0</v>
      </c>
      <c r="P87" s="32">
        <v>0</v>
      </c>
      <c r="Q87" s="34">
        <v>-3.8821013512229108E-2</v>
      </c>
      <c r="R87" s="34">
        <v>-5.3697428776872259E-2</v>
      </c>
      <c r="S87" s="72">
        <v>6</v>
      </c>
      <c r="T87" s="63">
        <v>2.2000000000000001E-3</v>
      </c>
      <c r="U87" s="34">
        <v>-0.41398101351223021</v>
      </c>
      <c r="V87" s="64">
        <v>-0.354046938315207</v>
      </c>
      <c r="W87" s="4">
        <v>0.53293413173652693</v>
      </c>
      <c r="X87" s="65">
        <v>0.5376344086021505</v>
      </c>
      <c r="Y87" s="4">
        <v>0.58823529411764708</v>
      </c>
      <c r="Z87" s="4">
        <v>0.56179775280898869</v>
      </c>
      <c r="AA87" s="4">
        <v>0.52702702702702697</v>
      </c>
      <c r="AB87" s="4">
        <v>0.47560975609756095</v>
      </c>
      <c r="AC87" s="68">
        <v>0.5</v>
      </c>
      <c r="AD87">
        <v>43.719914820359342</v>
      </c>
      <c r="AE87">
        <v>5.2389520958083864</v>
      </c>
      <c r="AF87">
        <v>1.778017019483704E-2</v>
      </c>
      <c r="AG87">
        <v>0.96751714065996874</v>
      </c>
      <c r="AH87">
        <v>0.96475715914741711</v>
      </c>
      <c r="AI87" s="22">
        <v>43.719914820359342</v>
      </c>
    </row>
    <row r="88" spans="1:35" x14ac:dyDescent="0.3">
      <c r="A88" s="1">
        <v>87</v>
      </c>
      <c r="B88">
        <v>310.04500000000002</v>
      </c>
      <c r="C88">
        <v>308.60000000000002</v>
      </c>
      <c r="D88" s="74">
        <v>309.74374223223981</v>
      </c>
      <c r="E88" t="str">
        <f t="shared" si="7"/>
        <v>Venta</v>
      </c>
      <c r="F88" t="str">
        <f t="shared" si="8"/>
        <v>Positivo</v>
      </c>
      <c r="G88" s="4">
        <f t="shared" si="9"/>
        <v>4.6606137818703515E-3</v>
      </c>
      <c r="H88" s="4">
        <f t="shared" si="10"/>
        <v>9.7165820368077301E-4</v>
      </c>
      <c r="I88" s="47" t="str">
        <f t="shared" si="11"/>
        <v>Venta</v>
      </c>
      <c r="J88" s="47" t="str">
        <f t="shared" si="12"/>
        <v>VentaVenta</v>
      </c>
      <c r="K88" s="47"/>
      <c r="L88" s="47"/>
      <c r="N88" s="52" t="s">
        <v>333</v>
      </c>
      <c r="O88" s="32">
        <v>0</v>
      </c>
      <c r="P88" s="32">
        <v>0</v>
      </c>
      <c r="Q88" s="34">
        <v>0.15032571622392554</v>
      </c>
      <c r="R88" s="34">
        <v>0.14420810257806704</v>
      </c>
      <c r="S88" s="72">
        <v>6</v>
      </c>
      <c r="T88" s="63">
        <v>2.2000000000000001E-3</v>
      </c>
      <c r="U88" s="34">
        <v>-0.22483428377607503</v>
      </c>
      <c r="V88" s="64">
        <v>-0.21768159973908172</v>
      </c>
      <c r="W88" s="4">
        <v>0.55688622754491013</v>
      </c>
      <c r="X88" s="65">
        <v>0.55913978494623651</v>
      </c>
      <c r="Y88" s="4">
        <v>0.61176470588235299</v>
      </c>
      <c r="Z88" s="4">
        <v>0.5842696629213483</v>
      </c>
      <c r="AA88" s="4">
        <v>0.55405405405405406</v>
      </c>
      <c r="AB88" s="4">
        <v>0.5</v>
      </c>
      <c r="AC88" s="68">
        <v>0.52564102564102566</v>
      </c>
      <c r="AD88">
        <v>22.001339904684819</v>
      </c>
      <c r="AE88">
        <v>3.448717724550912</v>
      </c>
      <c r="AF88">
        <v>1.161375678181817E-2</v>
      </c>
      <c r="AG88">
        <v>0.98365352649124349</v>
      </c>
      <c r="AH88">
        <v>0.98226461044147984</v>
      </c>
      <c r="AI88" s="22">
        <v>22.001339904684819</v>
      </c>
    </row>
    <row r="89" spans="1:35" x14ac:dyDescent="0.3">
      <c r="A89" s="1">
        <v>88</v>
      </c>
      <c r="B89">
        <v>307.84500000000003</v>
      </c>
      <c r="C89">
        <v>306.98500000000001</v>
      </c>
      <c r="D89" s="74">
        <v>307.95147575120791</v>
      </c>
      <c r="E89" t="str">
        <f t="shared" si="7"/>
        <v>Compra</v>
      </c>
      <c r="F89" t="str">
        <f t="shared" si="8"/>
        <v>Negativo</v>
      </c>
      <c r="G89" s="4">
        <f t="shared" si="9"/>
        <v>-2.7936136692166954E-3</v>
      </c>
      <c r="H89" s="4">
        <f t="shared" si="10"/>
        <v>3.4587455117959142E-4</v>
      </c>
      <c r="I89" s="47" t="str">
        <f t="shared" si="11"/>
        <v>Venta</v>
      </c>
      <c r="J89" s="47" t="str">
        <f t="shared" si="12"/>
        <v>CompraVenta</v>
      </c>
      <c r="K89" s="47"/>
      <c r="L89" s="47"/>
      <c r="M89" s="47" t="s">
        <v>293</v>
      </c>
      <c r="N89" s="52" t="s">
        <v>329</v>
      </c>
      <c r="O89" s="32">
        <v>0</v>
      </c>
      <c r="P89" s="32">
        <v>0</v>
      </c>
      <c r="Q89" s="34">
        <v>0.10884501000046803</v>
      </c>
      <c r="R89" s="34">
        <v>9.8762326412270923E-2</v>
      </c>
      <c r="S89" s="72">
        <v>6</v>
      </c>
      <c r="T89" s="63">
        <v>2.2000000000000001E-3</v>
      </c>
      <c r="U89" s="34">
        <v>-0.26631498999953224</v>
      </c>
      <c r="V89" s="64">
        <v>-0.24795999174319527</v>
      </c>
      <c r="W89" s="4">
        <v>0.52694610778443118</v>
      </c>
      <c r="X89" s="65">
        <v>0.59375</v>
      </c>
      <c r="Y89" s="4">
        <v>0.22352941176470589</v>
      </c>
      <c r="Z89" s="4">
        <v>0.3247863247863248</v>
      </c>
      <c r="AA89" s="4">
        <v>0.51111111111111107</v>
      </c>
      <c r="AB89" s="4">
        <v>0.84146341463414631</v>
      </c>
      <c r="AC89" s="68">
        <v>0.63594470046082952</v>
      </c>
      <c r="AD89">
        <v>15.900884402099519</v>
      </c>
      <c r="AE89">
        <v>41.809205131882202</v>
      </c>
      <c r="AF89">
        <v>0.1454299376340534</v>
      </c>
      <c r="AG89">
        <v>0.98818602018009949</v>
      </c>
      <c r="AH89">
        <v>0.98718221797317984</v>
      </c>
      <c r="AI89" s="22">
        <v>15.482849312821189</v>
      </c>
    </row>
    <row r="90" spans="1:35" x14ac:dyDescent="0.3">
      <c r="A90" s="1">
        <v>89</v>
      </c>
      <c r="B90">
        <v>308.94500000000011</v>
      </c>
      <c r="C90">
        <v>312.25</v>
      </c>
      <c r="D90" s="74">
        <v>308.9578810778512</v>
      </c>
      <c r="E90" t="str">
        <f t="shared" si="7"/>
        <v>Compra</v>
      </c>
      <c r="F90" t="str">
        <f t="shared" si="8"/>
        <v>Positivo</v>
      </c>
      <c r="G90" s="4">
        <f t="shared" si="9"/>
        <v>1.0697697001083986E-2</v>
      </c>
      <c r="H90" s="4">
        <f t="shared" si="10"/>
        <v>4.1693757306611357E-5</v>
      </c>
      <c r="I90" s="47" t="str">
        <f t="shared" si="11"/>
        <v>Compra</v>
      </c>
      <c r="J90" s="47" t="str">
        <f t="shared" si="12"/>
        <v>CompraCompra</v>
      </c>
      <c r="K90" s="47"/>
      <c r="L90" s="47"/>
      <c r="M90" s="47" t="s">
        <v>293</v>
      </c>
      <c r="N90" s="52" t="s">
        <v>330</v>
      </c>
      <c r="O90" s="32">
        <v>0</v>
      </c>
      <c r="P90" s="32">
        <v>0</v>
      </c>
      <c r="Q90" s="34">
        <v>-0.11195905843481291</v>
      </c>
      <c r="R90" s="34">
        <v>-0.11909418760388769</v>
      </c>
      <c r="S90" s="72">
        <v>6</v>
      </c>
      <c r="T90" s="63">
        <v>2.2000000000000001E-3</v>
      </c>
      <c r="U90" s="34">
        <v>-0.48711905843481368</v>
      </c>
      <c r="V90" s="64">
        <v>-0.39754519969423396</v>
      </c>
      <c r="W90" s="4">
        <v>0.49700598802395207</v>
      </c>
      <c r="X90" s="65">
        <v>0.5074626865671642</v>
      </c>
      <c r="Y90" s="4">
        <v>0.4</v>
      </c>
      <c r="Z90" s="4">
        <v>0.44736842105263158</v>
      </c>
      <c r="AA90" s="4">
        <v>0.49</v>
      </c>
      <c r="AB90" s="4">
        <v>0.59756097560975607</v>
      </c>
      <c r="AC90" s="68">
        <v>0.53846153846153855</v>
      </c>
      <c r="AD90">
        <v>343.86441405871761</v>
      </c>
      <c r="AE90">
        <v>15.313211526567329</v>
      </c>
      <c r="AF90">
        <v>5.1371491247150847E-2</v>
      </c>
      <c r="AG90">
        <v>0.74451689945401878</v>
      </c>
      <c r="AH90">
        <v>0.72280918502854319</v>
      </c>
      <c r="AI90" s="22">
        <v>343.86441405871761</v>
      </c>
    </row>
    <row r="91" spans="1:35" x14ac:dyDescent="0.3">
      <c r="A91" s="1">
        <v>90</v>
      </c>
      <c r="B91">
        <v>310.13499999999999</v>
      </c>
      <c r="C91">
        <v>310.01</v>
      </c>
      <c r="D91" s="74">
        <v>310.08705179744999</v>
      </c>
      <c r="E91" t="str">
        <f t="shared" si="7"/>
        <v>Venta</v>
      </c>
      <c r="F91" t="str">
        <f t="shared" si="8"/>
        <v>Positivo</v>
      </c>
      <c r="G91" s="4">
        <f t="shared" si="9"/>
        <v>4.0305028455350089E-4</v>
      </c>
      <c r="H91" s="4">
        <f t="shared" si="10"/>
        <v>1.5460429345286186E-4</v>
      </c>
      <c r="I91" s="47" t="str">
        <f t="shared" si="11"/>
        <v>Venta</v>
      </c>
      <c r="J91" s="47" t="str">
        <f t="shared" si="12"/>
        <v>VentaVenta</v>
      </c>
      <c r="K91" s="47"/>
      <c r="L91" s="47"/>
      <c r="M91" s="47" t="s">
        <v>293</v>
      </c>
      <c r="N91" s="52" t="s">
        <v>331</v>
      </c>
      <c r="O91" s="32">
        <v>0</v>
      </c>
      <c r="P91" s="32">
        <v>0</v>
      </c>
      <c r="Q91" s="34">
        <v>0.31295507104619757</v>
      </c>
      <c r="R91" s="34">
        <v>0.34836009988203004</v>
      </c>
      <c r="S91" s="72">
        <v>6</v>
      </c>
      <c r="T91" s="63">
        <v>2.2000000000000001E-3</v>
      </c>
      <c r="U91" s="34">
        <v>-6.2204928953802446E-2</v>
      </c>
      <c r="V91" s="64">
        <v>-7.571390235304018E-2</v>
      </c>
      <c r="W91" s="4">
        <v>0.58682634730538918</v>
      </c>
      <c r="X91" s="65">
        <v>0.66</v>
      </c>
      <c r="Y91" s="4">
        <v>0.38823529411764707</v>
      </c>
      <c r="Z91" s="4">
        <v>0.48888888888888887</v>
      </c>
      <c r="AA91" s="4">
        <v>0.55555555555555558</v>
      </c>
      <c r="AB91" s="4">
        <v>0.79268292682926833</v>
      </c>
      <c r="AC91" s="68">
        <v>0.65326633165829151</v>
      </c>
      <c r="AD91">
        <v>27.87311971578519</v>
      </c>
      <c r="AE91">
        <v>4.0025801612529133</v>
      </c>
      <c r="AF91">
        <v>1.336867174446139E-2</v>
      </c>
      <c r="AG91">
        <v>0.97929093341522067</v>
      </c>
      <c r="AH91">
        <v>0.97753133952239624</v>
      </c>
      <c r="AI91" s="22">
        <v>27.87311971578519</v>
      </c>
    </row>
    <row r="92" spans="1:35" x14ac:dyDescent="0.3">
      <c r="A92" s="1">
        <v>91</v>
      </c>
      <c r="B92">
        <v>310.28500000000003</v>
      </c>
      <c r="C92">
        <v>308.99</v>
      </c>
      <c r="D92" s="74">
        <v>310.50664848943802</v>
      </c>
      <c r="E92" t="str">
        <f t="shared" si="7"/>
        <v>Compra</v>
      </c>
      <c r="F92" t="str">
        <f t="shared" si="8"/>
        <v>Negativo</v>
      </c>
      <c r="G92" s="4">
        <f t="shared" si="9"/>
        <v>-4.1735823517089635E-3</v>
      </c>
      <c r="H92" s="4">
        <f t="shared" si="10"/>
        <v>7.1433839675780642E-4</v>
      </c>
      <c r="I92" s="47" t="str">
        <f t="shared" si="11"/>
        <v>Venta</v>
      </c>
      <c r="J92" s="47" t="str">
        <f t="shared" si="12"/>
        <v>CompraVenta</v>
      </c>
      <c r="K92" s="47"/>
      <c r="L92" s="47"/>
      <c r="M92" s="47" t="s">
        <v>293</v>
      </c>
      <c r="N92" s="52" t="s">
        <v>332</v>
      </c>
      <c r="O92" s="32">
        <v>0</v>
      </c>
      <c r="P92" s="32">
        <v>0</v>
      </c>
      <c r="Q92" s="34">
        <v>-3.198796193893213E-3</v>
      </c>
      <c r="R92" s="34">
        <v>-1.8974651940465118E-2</v>
      </c>
      <c r="S92" s="72">
        <v>6</v>
      </c>
      <c r="T92" s="63">
        <v>2.2000000000000001E-3</v>
      </c>
      <c r="U92" s="34">
        <v>-0.37835879619389384</v>
      </c>
      <c r="V92" s="64">
        <v>-0.32981656486298833</v>
      </c>
      <c r="W92" s="4">
        <v>0.55688622754491013</v>
      </c>
      <c r="X92" s="65">
        <v>0.5617977528089888</v>
      </c>
      <c r="Y92" s="4">
        <v>0.58823529411764708</v>
      </c>
      <c r="Z92" s="4">
        <v>0.57471264367816088</v>
      </c>
      <c r="AA92" s="4">
        <v>0.55128205128205132</v>
      </c>
      <c r="AB92" s="4">
        <v>0.52439024390243905</v>
      </c>
      <c r="AC92" s="68">
        <v>0.53749999999999998</v>
      </c>
      <c r="AD92">
        <v>44.471946856287452</v>
      </c>
      <c r="AE92">
        <v>5.2654790419161701</v>
      </c>
      <c r="AF92">
        <v>1.7983729428101509E-2</v>
      </c>
      <c r="AG92">
        <v>0.96695839870123834</v>
      </c>
      <c r="AH92">
        <v>0.96415094238173571</v>
      </c>
      <c r="AI92" s="22">
        <v>44.471946856287452</v>
      </c>
    </row>
    <row r="93" spans="1:35" x14ac:dyDescent="0.3">
      <c r="A93" s="1">
        <v>92</v>
      </c>
      <c r="B93">
        <v>309.06</v>
      </c>
      <c r="C93">
        <v>309.5</v>
      </c>
      <c r="D93" s="74">
        <v>309.64563672397031</v>
      </c>
      <c r="E93" t="str">
        <f t="shared" si="7"/>
        <v>Compra</v>
      </c>
      <c r="F93" t="str">
        <f t="shared" si="8"/>
        <v>Positivo</v>
      </c>
      <c r="G93" s="4">
        <f t="shared" si="9"/>
        <v>1.4236717789425928E-3</v>
      </c>
      <c r="H93" s="4">
        <f t="shared" si="10"/>
        <v>1.894896537793019E-3</v>
      </c>
      <c r="I93" s="47" t="str">
        <f t="shared" si="11"/>
        <v>Compra</v>
      </c>
      <c r="J93" s="47" t="str">
        <f t="shared" si="12"/>
        <v>CompraCompra</v>
      </c>
      <c r="K93" s="47"/>
      <c r="L93" s="47"/>
      <c r="M93" s="47" t="s">
        <v>293</v>
      </c>
      <c r="N93" s="52" t="s">
        <v>333</v>
      </c>
      <c r="O93" s="32">
        <v>0</v>
      </c>
      <c r="P93" s="32">
        <v>0</v>
      </c>
      <c r="Q93" s="34">
        <v>-5.6795943114037947E-2</v>
      </c>
      <c r="R93" s="34">
        <v>-7.0874144326125529E-2</v>
      </c>
      <c r="S93" s="72">
        <v>6</v>
      </c>
      <c r="T93" s="63">
        <v>2.2000000000000001E-3</v>
      </c>
      <c r="U93" s="34">
        <v>-0.43195594311403829</v>
      </c>
      <c r="V93" s="64">
        <v>-0.36606072177673377</v>
      </c>
      <c r="W93" s="4">
        <v>0.55688622754491013</v>
      </c>
      <c r="X93" s="65">
        <v>0.5662650602409639</v>
      </c>
      <c r="Y93" s="4">
        <v>0.55294117647058827</v>
      </c>
      <c r="Z93" s="4">
        <v>0.55952380952380942</v>
      </c>
      <c r="AA93" s="4">
        <v>0.54761904761904767</v>
      </c>
      <c r="AB93" s="4">
        <v>0.56097560975609762</v>
      </c>
      <c r="AC93" s="68">
        <v>0.55421686746987964</v>
      </c>
      <c r="AD93">
        <v>44.479065718562786</v>
      </c>
      <c r="AE93">
        <v>5.3954191616766387</v>
      </c>
      <c r="AF93">
        <v>1.841169754831061E-2</v>
      </c>
      <c r="AG93">
        <v>0.96695310955548175</v>
      </c>
      <c r="AH93">
        <v>0.96414520383143776</v>
      </c>
      <c r="AI93" s="22">
        <v>23.302369371043991</v>
      </c>
    </row>
    <row r="94" spans="1:35" x14ac:dyDescent="0.3">
      <c r="A94" s="1">
        <v>93</v>
      </c>
      <c r="B94">
        <v>309.98500000000001</v>
      </c>
      <c r="C94">
        <v>311.75</v>
      </c>
      <c r="D94" s="74">
        <v>310.2135104099716</v>
      </c>
      <c r="E94" t="str">
        <f t="shared" si="7"/>
        <v>Compra</v>
      </c>
      <c r="F94" t="str">
        <f t="shared" si="8"/>
        <v>Positivo</v>
      </c>
      <c r="G94" s="4">
        <f t="shared" si="9"/>
        <v>5.6938238947045385E-3</v>
      </c>
      <c r="H94" s="4">
        <f t="shared" si="10"/>
        <v>7.3716602407081276E-4</v>
      </c>
      <c r="I94" s="47" t="str">
        <f t="shared" si="11"/>
        <v>Compra</v>
      </c>
      <c r="J94" s="47" t="str">
        <f t="shared" si="12"/>
        <v>CompraCompra</v>
      </c>
      <c r="K94" s="47"/>
      <c r="L94" s="47"/>
      <c r="N94" s="85" t="s">
        <v>280</v>
      </c>
      <c r="O94" s="33">
        <v>0</v>
      </c>
      <c r="P94" s="33">
        <v>0</v>
      </c>
      <c r="Q94" s="40">
        <v>0.24900566326774787</v>
      </c>
      <c r="R94" s="40">
        <v>0.26474844679331511</v>
      </c>
      <c r="S94" s="80">
        <v>6</v>
      </c>
      <c r="T94" s="81">
        <v>1.9300000000000001E-3</v>
      </c>
      <c r="U94" s="40">
        <v>-8.1334336732252266E-2</v>
      </c>
      <c r="V94" s="82">
        <v>-9.3102645063906822E-2</v>
      </c>
      <c r="W94" s="30">
        <v>0.53293413173652693</v>
      </c>
      <c r="X94" s="83">
        <v>0.54545454545454541</v>
      </c>
      <c r="Y94" s="30">
        <v>0.49411764705882355</v>
      </c>
      <c r="Z94" s="30">
        <v>0.5185185185185186</v>
      </c>
      <c r="AA94" s="30">
        <v>0.52222222222222225</v>
      </c>
      <c r="AB94" s="30">
        <v>0.57317073170731703</v>
      </c>
      <c r="AC94" s="84">
        <v>0.54651162790697683</v>
      </c>
      <c r="AD94" s="31">
        <v>15.482849312821189</v>
      </c>
      <c r="AE94" s="31">
        <v>2.9792129921884989</v>
      </c>
      <c r="AF94" s="31">
        <v>1.0097037464126549E-2</v>
      </c>
      <c r="AG94" s="31">
        <v>0.98849661033243663</v>
      </c>
      <c r="AH94" s="31">
        <v>0.98751919813846067</v>
      </c>
      <c r="AI94" s="22">
        <v>15.48284931282114</v>
      </c>
    </row>
    <row r="95" spans="1:35" x14ac:dyDescent="0.3">
      <c r="A95" s="1">
        <v>94</v>
      </c>
      <c r="B95">
        <v>312.14</v>
      </c>
      <c r="C95">
        <v>314.07499999999999</v>
      </c>
      <c r="D95" s="74">
        <v>312.46192709247589</v>
      </c>
      <c r="E95" t="str">
        <f t="shared" si="7"/>
        <v>Compra</v>
      </c>
      <c r="F95" t="str">
        <f t="shared" si="8"/>
        <v>Positivo</v>
      </c>
      <c r="G95" s="4">
        <f t="shared" si="9"/>
        <v>6.1991414109053705E-3</v>
      </c>
      <c r="H95" s="4">
        <f t="shared" si="10"/>
        <v>1.0313548166716955E-3</v>
      </c>
      <c r="I95" s="47" t="str">
        <f t="shared" si="11"/>
        <v>Compra</v>
      </c>
      <c r="J95" s="47" t="str">
        <f t="shared" si="12"/>
        <v>CompraCompra</v>
      </c>
      <c r="K95" s="47"/>
      <c r="L95" s="47"/>
      <c r="N95" s="79" t="s">
        <v>281</v>
      </c>
      <c r="O95" s="33">
        <v>0</v>
      </c>
      <c r="P95" s="33">
        <v>0</v>
      </c>
      <c r="Q95" s="40">
        <v>8.1040354323447542E-2</v>
      </c>
      <c r="R95" s="40">
        <v>6.8853062630683859E-2</v>
      </c>
      <c r="S95" s="80">
        <v>6</v>
      </c>
      <c r="T95" s="81">
        <v>1.9300000000000001E-3</v>
      </c>
      <c r="U95" s="40">
        <v>-0.24929964567655261</v>
      </c>
      <c r="V95" s="82">
        <v>-0.23422033284445293</v>
      </c>
      <c r="W95" s="30">
        <v>0.51497005988023947</v>
      </c>
      <c r="X95" s="83">
        <v>0.54545454545454541</v>
      </c>
      <c r="Y95" s="30">
        <v>0.28235294117647058</v>
      </c>
      <c r="Z95" s="30">
        <v>0.37209302325581395</v>
      </c>
      <c r="AA95" s="30">
        <v>0.50406504065040647</v>
      </c>
      <c r="AB95" s="30">
        <v>0.75609756097560976</v>
      </c>
      <c r="AC95" s="84">
        <v>0.60487804878048768</v>
      </c>
      <c r="AD95" s="31">
        <v>2552.808029582241</v>
      </c>
      <c r="AE95" s="31">
        <v>42.701683351781988</v>
      </c>
      <c r="AF95" s="31">
        <v>0.1360043703423848</v>
      </c>
      <c r="AG95" s="31">
        <v>-0.89667579380569462</v>
      </c>
      <c r="AH95" s="31">
        <v>-1.0578312534101</v>
      </c>
      <c r="AI95" s="22">
        <v>260.55666860480329</v>
      </c>
    </row>
    <row r="96" spans="1:35" x14ac:dyDescent="0.3">
      <c r="A96" s="1">
        <v>95</v>
      </c>
      <c r="B96">
        <v>314.58999999999997</v>
      </c>
      <c r="C96">
        <v>318.54000000000002</v>
      </c>
      <c r="D96" s="74">
        <v>314.61663333749738</v>
      </c>
      <c r="E96" t="str">
        <f t="shared" si="7"/>
        <v>Compra</v>
      </c>
      <c r="F96" t="str">
        <f t="shared" si="8"/>
        <v>Positivo</v>
      </c>
      <c r="G96" s="4">
        <f t="shared" si="9"/>
        <v>1.2556025302775185E-2</v>
      </c>
      <c r="H96" s="4">
        <f t="shared" si="10"/>
        <v>8.466047076321894E-5</v>
      </c>
      <c r="I96" s="47" t="str">
        <f t="shared" si="11"/>
        <v>Compra</v>
      </c>
      <c r="J96" s="47" t="str">
        <f t="shared" si="12"/>
        <v>CompraCompra</v>
      </c>
      <c r="K96" s="47"/>
      <c r="L96" s="47"/>
      <c r="N96" s="79" t="s">
        <v>282</v>
      </c>
      <c r="O96" s="33">
        <v>0</v>
      </c>
      <c r="P96" s="33">
        <v>0</v>
      </c>
      <c r="Q96" s="40">
        <v>3.8151179212443674E-2</v>
      </c>
      <c r="R96" s="40">
        <v>2.3595107951711398E-2</v>
      </c>
      <c r="S96" s="80">
        <v>6</v>
      </c>
      <c r="T96" s="81">
        <v>1.9300000000000001E-3</v>
      </c>
      <c r="U96" s="40">
        <v>-0.29218882078755648</v>
      </c>
      <c r="V96" s="82">
        <v>-0.26708284875792088</v>
      </c>
      <c r="W96" s="30">
        <v>0.52694610778443118</v>
      </c>
      <c r="X96" s="83">
        <v>0.61538461538461542</v>
      </c>
      <c r="Y96" s="30">
        <v>0.18823529411764706</v>
      </c>
      <c r="Z96" s="30">
        <v>0.28828828828828829</v>
      </c>
      <c r="AA96" s="30">
        <v>0.51063829787234039</v>
      </c>
      <c r="AB96" s="30">
        <v>0.87804878048780488</v>
      </c>
      <c r="AC96" s="84">
        <v>0.64573991031390132</v>
      </c>
      <c r="AD96" s="31">
        <v>3462.9308669724169</v>
      </c>
      <c r="AE96" s="31">
        <v>49.300415352322688</v>
      </c>
      <c r="AF96" s="31">
        <v>0.15540703162526029</v>
      </c>
      <c r="AG96" s="31">
        <v>-1.572875466896738</v>
      </c>
      <c r="AH96" s="31">
        <v>-1.79148580068535</v>
      </c>
      <c r="AI96" s="22">
        <v>39.452656951216483</v>
      </c>
    </row>
    <row r="97" spans="1:35" x14ac:dyDescent="0.3">
      <c r="A97" s="1">
        <v>96</v>
      </c>
      <c r="B97">
        <v>316.95</v>
      </c>
      <c r="C97">
        <v>318.32499999999999</v>
      </c>
      <c r="D97" s="74">
        <v>316.87139674562371</v>
      </c>
      <c r="E97" t="str">
        <f t="shared" si="7"/>
        <v>Venta</v>
      </c>
      <c r="F97" t="str">
        <f t="shared" si="8"/>
        <v>Negativo</v>
      </c>
      <c r="G97" s="4">
        <f t="shared" si="9"/>
        <v>-4.3382236945890516E-3</v>
      </c>
      <c r="H97" s="4">
        <f t="shared" si="10"/>
        <v>2.47998909532342E-4</v>
      </c>
      <c r="I97" s="47" t="str">
        <f t="shared" si="11"/>
        <v>Compra</v>
      </c>
      <c r="J97" s="47" t="str">
        <f t="shared" si="12"/>
        <v>VentaCompra</v>
      </c>
      <c r="K97" s="47"/>
      <c r="L97" s="47"/>
      <c r="N97" s="85" t="s">
        <v>283</v>
      </c>
      <c r="O97" s="33">
        <v>0</v>
      </c>
      <c r="P97" s="33">
        <v>0</v>
      </c>
      <c r="Q97" s="40">
        <v>8.8133653366328363E-2</v>
      </c>
      <c r="R97" s="40">
        <v>7.5033703180707817E-2</v>
      </c>
      <c r="S97" s="80">
        <v>6</v>
      </c>
      <c r="T97" s="81">
        <v>1.9300000000000001E-3</v>
      </c>
      <c r="U97" s="40">
        <v>-0.24220634663367194</v>
      </c>
      <c r="V97" s="82">
        <v>-0.23113112929057272</v>
      </c>
      <c r="W97" s="30">
        <v>0.58083832335329344</v>
      </c>
      <c r="X97" s="83">
        <v>0.58620689655172409</v>
      </c>
      <c r="Y97" s="30">
        <v>0.6</v>
      </c>
      <c r="Z97" s="30">
        <v>0.59302325581395354</v>
      </c>
      <c r="AA97" s="30">
        <v>0.57499999999999996</v>
      </c>
      <c r="AB97" s="30">
        <v>0.56097560975609762</v>
      </c>
      <c r="AC97" s="84">
        <v>0.5679012345679012</v>
      </c>
      <c r="AD97" s="31">
        <v>52.145460928143613</v>
      </c>
      <c r="AE97" s="31">
        <v>5.7320059880239471</v>
      </c>
      <c r="AF97" s="31">
        <v>1.930261218914147E-2</v>
      </c>
      <c r="AG97" s="31">
        <v>0.96125715982042104</v>
      </c>
      <c r="AH97" s="31">
        <v>0.95796528451104501</v>
      </c>
      <c r="AI97" s="22">
        <v>52.145460928143613</v>
      </c>
    </row>
    <row r="98" spans="1:35" x14ac:dyDescent="0.3">
      <c r="A98" s="1">
        <v>97</v>
      </c>
      <c r="B98">
        <v>318.25</v>
      </c>
      <c r="C98">
        <v>321.22500000000002</v>
      </c>
      <c r="D98" s="74">
        <v>318.18223157264691</v>
      </c>
      <c r="E98" t="str">
        <f t="shared" si="7"/>
        <v>Venta</v>
      </c>
      <c r="F98" t="str">
        <f t="shared" si="8"/>
        <v>Negativo</v>
      </c>
      <c r="G98" s="4">
        <f t="shared" si="9"/>
        <v>-9.3479968578162528E-3</v>
      </c>
      <c r="H98" s="4">
        <f t="shared" si="10"/>
        <v>2.1294085578346328E-4</v>
      </c>
      <c r="I98" s="47" t="str">
        <f t="shared" si="11"/>
        <v>Compra</v>
      </c>
      <c r="J98" s="47" t="str">
        <f t="shared" si="12"/>
        <v>VentaCompra</v>
      </c>
      <c r="K98" s="47"/>
      <c r="L98" s="47"/>
      <c r="N98" s="79" t="s">
        <v>284</v>
      </c>
      <c r="O98" s="33">
        <v>0</v>
      </c>
      <c r="P98" s="33">
        <v>0</v>
      </c>
      <c r="Q98" s="40">
        <v>-3.7020241344612584E-2</v>
      </c>
      <c r="R98" s="40">
        <v>-5.1405904733516215E-2</v>
      </c>
      <c r="S98" s="80">
        <v>6</v>
      </c>
      <c r="T98" s="81">
        <v>1.9300000000000001E-3</v>
      </c>
      <c r="U98" s="40">
        <v>-0.36736024134461331</v>
      </c>
      <c r="V98" s="82">
        <v>-0.32165373340703346</v>
      </c>
      <c r="W98" s="30">
        <v>0.53892215568862278</v>
      </c>
      <c r="X98" s="83">
        <v>0.54255319148936165</v>
      </c>
      <c r="Y98" s="30">
        <v>0.6</v>
      </c>
      <c r="Z98" s="30">
        <v>0.56983240223463683</v>
      </c>
      <c r="AA98" s="30">
        <v>0.53424657534246578</v>
      </c>
      <c r="AB98" s="30">
        <v>0.47560975609756095</v>
      </c>
      <c r="AC98" s="84">
        <v>0.50322580645161297</v>
      </c>
      <c r="AD98" s="31">
        <v>23.302369371043991</v>
      </c>
      <c r="AE98" s="31">
        <v>3.5539623652694772</v>
      </c>
      <c r="AF98" s="31">
        <v>1.19529565896523E-2</v>
      </c>
      <c r="AG98" s="31">
        <v>0.98268689246813001</v>
      </c>
      <c r="AH98" s="31">
        <v>0.98121584411574891</v>
      </c>
      <c r="AI98" s="22">
        <v>23.302369371043991</v>
      </c>
    </row>
    <row r="99" spans="1:35" x14ac:dyDescent="0.3">
      <c r="A99" s="1">
        <v>98</v>
      </c>
      <c r="B99">
        <v>320.02999999999997</v>
      </c>
      <c r="C99">
        <v>315.33499999999998</v>
      </c>
      <c r="D99" s="74">
        <v>320.13788150752708</v>
      </c>
      <c r="E99" t="str">
        <f t="shared" si="7"/>
        <v>Compra</v>
      </c>
      <c r="F99" t="str">
        <f t="shared" si="8"/>
        <v>Negativo</v>
      </c>
      <c r="G99" s="4">
        <f t="shared" si="9"/>
        <v>-1.4670499640658669E-2</v>
      </c>
      <c r="H99" s="4">
        <f t="shared" si="10"/>
        <v>3.3709810807458962E-4</v>
      </c>
      <c r="I99" s="47" t="str">
        <f t="shared" si="11"/>
        <v>Venta</v>
      </c>
      <c r="J99" s="47" t="str">
        <f t="shared" si="12"/>
        <v>CompraVenta</v>
      </c>
      <c r="K99" s="47"/>
      <c r="L99" s="47"/>
      <c r="M99" s="47" t="s">
        <v>293</v>
      </c>
      <c r="N99" s="79" t="s">
        <v>280</v>
      </c>
      <c r="O99" s="33">
        <v>0</v>
      </c>
      <c r="P99" s="33">
        <v>0</v>
      </c>
      <c r="Q99" s="40">
        <v>0.24900566326774787</v>
      </c>
      <c r="R99" s="40">
        <v>0.26474844679331511</v>
      </c>
      <c r="S99" s="80">
        <v>6</v>
      </c>
      <c r="T99" s="81">
        <v>1.9300000000000001E-3</v>
      </c>
      <c r="U99" s="40">
        <v>-8.1334336732252266E-2</v>
      </c>
      <c r="V99" s="82">
        <v>-9.3102645063906822E-2</v>
      </c>
      <c r="W99" s="30">
        <v>0.53293413173652693</v>
      </c>
      <c r="X99" s="83">
        <v>0.54545454545454541</v>
      </c>
      <c r="Y99" s="30">
        <v>0.49411764705882355</v>
      </c>
      <c r="Z99" s="30">
        <v>0.5185185185185186</v>
      </c>
      <c r="AA99" s="30">
        <v>0.52222222222222225</v>
      </c>
      <c r="AB99" s="30">
        <v>0.57317073170731703</v>
      </c>
      <c r="AC99" s="84">
        <v>0.54651162790697683</v>
      </c>
      <c r="AD99" s="31">
        <v>15.48284931282114</v>
      </c>
      <c r="AE99" s="31">
        <v>41.771496636017353</v>
      </c>
      <c r="AF99" s="31">
        <v>0.14540651189232251</v>
      </c>
      <c r="AG99" s="31">
        <v>0.98849661033243674</v>
      </c>
      <c r="AH99" s="31">
        <v>0.98751919813846079</v>
      </c>
      <c r="AI99" s="22">
        <v>15.48284931282114</v>
      </c>
    </row>
    <row r="100" spans="1:35" x14ac:dyDescent="0.3">
      <c r="A100" s="1">
        <v>99</v>
      </c>
      <c r="B100">
        <v>314.45999999999998</v>
      </c>
      <c r="C100">
        <v>313.86</v>
      </c>
      <c r="D100" s="74">
        <v>314.50488365979982</v>
      </c>
      <c r="E100" t="str">
        <f t="shared" si="7"/>
        <v>Compra</v>
      </c>
      <c r="F100" t="str">
        <f t="shared" si="8"/>
        <v>Negativo</v>
      </c>
      <c r="G100" s="4">
        <f t="shared" si="9"/>
        <v>-1.908032818164364E-3</v>
      </c>
      <c r="H100" s="4">
        <f t="shared" si="10"/>
        <v>1.4273249316236263E-4</v>
      </c>
      <c r="I100" s="47" t="str">
        <f t="shared" si="11"/>
        <v>Venta</v>
      </c>
      <c r="J100" s="47" t="str">
        <f t="shared" si="12"/>
        <v>CompraVenta</v>
      </c>
      <c r="K100" s="47"/>
      <c r="L100" s="47"/>
      <c r="M100" s="47" t="s">
        <v>293</v>
      </c>
      <c r="N100" s="85" t="s">
        <v>281</v>
      </c>
      <c r="O100" s="33">
        <v>0</v>
      </c>
      <c r="P100" s="33">
        <v>0</v>
      </c>
      <c r="Q100" s="40">
        <v>7.7951259115817226E-2</v>
      </c>
      <c r="R100" s="40">
        <v>6.6631985292687892E-2</v>
      </c>
      <c r="S100" s="80">
        <v>6</v>
      </c>
      <c r="T100" s="81">
        <v>1.9300000000000001E-3</v>
      </c>
      <c r="U100" s="40">
        <v>-0.25238874088418323</v>
      </c>
      <c r="V100" s="82">
        <v>-0.23476210560194696</v>
      </c>
      <c r="W100" s="30">
        <v>0.50299401197604787</v>
      </c>
      <c r="X100" s="83">
        <v>0.51041666666666663</v>
      </c>
      <c r="Y100" s="30">
        <v>0.57647058823529407</v>
      </c>
      <c r="Z100" s="30">
        <v>0.54143646408839774</v>
      </c>
      <c r="AA100" s="30">
        <v>0.49295774647887325</v>
      </c>
      <c r="AB100" s="30">
        <v>0.42682926829268292</v>
      </c>
      <c r="AC100" s="84">
        <v>0.45751633986928109</v>
      </c>
      <c r="AD100" s="31">
        <v>260.55666860480329</v>
      </c>
      <c r="AE100" s="31">
        <v>11.750659267986309</v>
      </c>
      <c r="AF100" s="31">
        <v>3.8563021938684182E-2</v>
      </c>
      <c r="AG100" s="31">
        <v>0.80641257762799523</v>
      </c>
      <c r="AH100" s="31">
        <v>0.78996397311272681</v>
      </c>
      <c r="AI100" s="22">
        <v>260.55666860480329</v>
      </c>
    </row>
    <row r="101" spans="1:35" x14ac:dyDescent="0.3">
      <c r="A101" s="1">
        <v>100</v>
      </c>
      <c r="B101">
        <v>323.505</v>
      </c>
      <c r="C101">
        <v>325.995</v>
      </c>
      <c r="D101" s="74">
        <v>323.11094220998871</v>
      </c>
      <c r="E101" t="str">
        <f t="shared" si="7"/>
        <v>Venta</v>
      </c>
      <c r="F101" t="str">
        <f t="shared" si="8"/>
        <v>Negativo</v>
      </c>
      <c r="G101" s="4">
        <f t="shared" si="9"/>
        <v>-7.6969444058051931E-3</v>
      </c>
      <c r="H101" s="4">
        <f t="shared" si="10"/>
        <v>1.2180887158198127E-3</v>
      </c>
      <c r="I101" s="47" t="str">
        <f t="shared" si="11"/>
        <v>Compra</v>
      </c>
      <c r="J101" s="47" t="str">
        <f t="shared" si="12"/>
        <v>VentaCompra</v>
      </c>
      <c r="K101" s="47"/>
      <c r="L101" s="47"/>
      <c r="M101" s="47" t="s">
        <v>293</v>
      </c>
      <c r="N101" s="85" t="s">
        <v>282</v>
      </c>
      <c r="O101" s="33">
        <v>0</v>
      </c>
      <c r="P101" s="33">
        <v>0</v>
      </c>
      <c r="Q101" s="40">
        <v>4.9906452933312542E-2</v>
      </c>
      <c r="R101" s="40">
        <v>3.5236432220653223E-2</v>
      </c>
      <c r="S101" s="80">
        <v>6</v>
      </c>
      <c r="T101" s="81">
        <v>1.9300000000000001E-3</v>
      </c>
      <c r="U101" s="40">
        <v>-0.28043354706668761</v>
      </c>
      <c r="V101" s="82">
        <v>-0.25917673757347426</v>
      </c>
      <c r="W101" s="30">
        <v>0.54491017964071853</v>
      </c>
      <c r="X101" s="83">
        <v>0.65517241379310343</v>
      </c>
      <c r="Y101" s="30">
        <v>0.22352941176470589</v>
      </c>
      <c r="Z101" s="30">
        <v>0.33333333333333337</v>
      </c>
      <c r="AA101" s="30">
        <v>0.52173913043478259</v>
      </c>
      <c r="AB101" s="30">
        <v>0.87804878048780488</v>
      </c>
      <c r="AC101" s="84">
        <v>0.65454545454545454</v>
      </c>
      <c r="AD101" s="31">
        <v>39.452656951216483</v>
      </c>
      <c r="AE101" s="31">
        <v>4.8648940518398494</v>
      </c>
      <c r="AF101" s="31">
        <v>1.613291589802654E-2</v>
      </c>
      <c r="AG101" s="31">
        <v>0.97068761200467635</v>
      </c>
      <c r="AH101" s="31">
        <v>0.96819701694625016</v>
      </c>
      <c r="AI101" s="22">
        <v>39.452656951216483</v>
      </c>
    </row>
    <row r="102" spans="1:35" x14ac:dyDescent="0.3">
      <c r="A102" s="1">
        <v>101</v>
      </c>
      <c r="B102">
        <v>323.95499999999998</v>
      </c>
      <c r="C102">
        <v>332.82499999999999</v>
      </c>
      <c r="D102" s="74">
        <v>323.45648341163218</v>
      </c>
      <c r="E102" t="str">
        <f t="shared" si="7"/>
        <v>Venta</v>
      </c>
      <c r="F102" t="str">
        <f t="shared" si="8"/>
        <v>Negativo</v>
      </c>
      <c r="G102" s="4">
        <f t="shared" si="9"/>
        <v>-2.7380346035714851E-2</v>
      </c>
      <c r="H102" s="4">
        <f t="shared" si="10"/>
        <v>1.538845174076049E-3</v>
      </c>
      <c r="I102" s="47" t="str">
        <f t="shared" si="11"/>
        <v>Compra</v>
      </c>
      <c r="J102" s="47" t="str">
        <f t="shared" si="12"/>
        <v>VentaCompra</v>
      </c>
      <c r="K102" s="47"/>
      <c r="L102" s="47"/>
      <c r="M102" s="47" t="s">
        <v>293</v>
      </c>
      <c r="N102" s="79" t="s">
        <v>283</v>
      </c>
      <c r="O102" s="33">
        <v>0</v>
      </c>
      <c r="P102" s="33">
        <v>0</v>
      </c>
      <c r="Q102" s="40">
        <v>5.980446014557747E-2</v>
      </c>
      <c r="R102" s="40">
        <v>4.5203979866543523E-2</v>
      </c>
      <c r="S102" s="80">
        <v>6</v>
      </c>
      <c r="T102" s="81">
        <v>1.9300000000000001E-3</v>
      </c>
      <c r="U102" s="40">
        <v>-0.27053553985442313</v>
      </c>
      <c r="V102" s="82">
        <v>-0.2523529224581107</v>
      </c>
      <c r="W102" s="30">
        <v>0.58083832335329344</v>
      </c>
      <c r="X102" s="83">
        <v>0.59740259740259738</v>
      </c>
      <c r="Y102" s="30">
        <v>0.54117647058823526</v>
      </c>
      <c r="Z102" s="30">
        <v>0.56790123456790131</v>
      </c>
      <c r="AA102" s="30">
        <v>0.56666666666666665</v>
      </c>
      <c r="AB102" s="30">
        <v>0.62195121951219512</v>
      </c>
      <c r="AC102" s="84">
        <v>0.59302325581395354</v>
      </c>
      <c r="AD102" s="31">
        <v>55.591066017964017</v>
      </c>
      <c r="AE102" s="31">
        <v>5.9984131736526942</v>
      </c>
      <c r="AF102" s="31">
        <v>2.0213070063868171E-2</v>
      </c>
      <c r="AG102" s="31">
        <v>0.95869715699484803</v>
      </c>
      <c r="AH102" s="31">
        <v>0.95518776510552139</v>
      </c>
      <c r="AI102" s="22">
        <v>55.591066017964017</v>
      </c>
    </row>
    <row r="103" spans="1:35" x14ac:dyDescent="0.3">
      <c r="A103" s="1">
        <v>102</v>
      </c>
      <c r="B103">
        <v>335.56</v>
      </c>
      <c r="C103">
        <v>331.26</v>
      </c>
      <c r="D103" s="74">
        <v>334.64257346755772</v>
      </c>
      <c r="E103" t="str">
        <f t="shared" si="7"/>
        <v>Venta</v>
      </c>
      <c r="F103" t="str">
        <f t="shared" si="8"/>
        <v>Positivo</v>
      </c>
      <c r="G103" s="4">
        <f t="shared" si="9"/>
        <v>1.2814399809274082E-2</v>
      </c>
      <c r="H103" s="4">
        <f t="shared" si="10"/>
        <v>2.7340163679886688E-3</v>
      </c>
      <c r="I103" s="47" t="str">
        <f t="shared" si="11"/>
        <v>Venta</v>
      </c>
      <c r="J103" s="47" t="str">
        <f t="shared" si="12"/>
        <v>VentaVenta</v>
      </c>
      <c r="K103" s="47"/>
      <c r="L103" s="47"/>
      <c r="M103" s="47" t="s">
        <v>293</v>
      </c>
      <c r="N103" s="85" t="s">
        <v>284</v>
      </c>
      <c r="O103" s="33">
        <v>0</v>
      </c>
      <c r="P103" s="33">
        <v>0</v>
      </c>
      <c r="Q103" s="40">
        <v>7.2912056043271584E-2</v>
      </c>
      <c r="R103" s="40">
        <v>5.8805966622556299E-2</v>
      </c>
      <c r="S103" s="80">
        <v>6</v>
      </c>
      <c r="T103" s="81">
        <v>1.9300000000000001E-3</v>
      </c>
      <c r="U103" s="40">
        <v>-0.25742794395672869</v>
      </c>
      <c r="V103" s="82">
        <v>-0.2427640440901091</v>
      </c>
      <c r="W103" s="30">
        <v>0.56886227544910184</v>
      </c>
      <c r="X103" s="83">
        <v>0.57647058823529407</v>
      </c>
      <c r="Y103" s="30">
        <v>0.57647058823529407</v>
      </c>
      <c r="Z103" s="30">
        <v>0.57647058823529407</v>
      </c>
      <c r="AA103" s="30">
        <v>0.56097560975609762</v>
      </c>
      <c r="AB103" s="30">
        <v>0.56097560975609762</v>
      </c>
      <c r="AC103" s="84">
        <v>0.56097560975609762</v>
      </c>
      <c r="AD103" s="31">
        <v>51.519941916167568</v>
      </c>
      <c r="AE103" s="31">
        <v>5.7266467065868198</v>
      </c>
      <c r="AF103" s="31">
        <v>1.9330645683853322E-2</v>
      </c>
      <c r="AG103" s="31">
        <v>0.96172190560421367</v>
      </c>
      <c r="AH103" s="31">
        <v>0.95846951849868933</v>
      </c>
      <c r="AI103" s="22">
        <v>51.519941916167568</v>
      </c>
    </row>
    <row r="104" spans="1:35" x14ac:dyDescent="0.3">
      <c r="A104" s="1">
        <v>103</v>
      </c>
      <c r="B104">
        <v>332.255</v>
      </c>
      <c r="C104">
        <v>328.755</v>
      </c>
      <c r="D104" s="74">
        <v>331.57275696594968</v>
      </c>
      <c r="E104" t="str">
        <f t="shared" si="7"/>
        <v>Venta</v>
      </c>
      <c r="F104" t="str">
        <f t="shared" si="8"/>
        <v>Positivo</v>
      </c>
      <c r="G104" s="4">
        <f t="shared" si="9"/>
        <v>1.0534077741493732E-2</v>
      </c>
      <c r="H104" s="4">
        <f t="shared" si="10"/>
        <v>2.0533717597938815E-3</v>
      </c>
      <c r="I104" s="47" t="str">
        <f t="shared" si="11"/>
        <v>Venta</v>
      </c>
      <c r="J104" s="47" t="str">
        <f t="shared" si="12"/>
        <v>VentaVenta</v>
      </c>
      <c r="K104" s="47"/>
      <c r="L104" s="47"/>
      <c r="N104" s="47"/>
      <c r="O104" s="47"/>
      <c r="P104" s="47"/>
    </row>
    <row r="105" spans="1:35" x14ac:dyDescent="0.3">
      <c r="A105" s="1">
        <v>104</v>
      </c>
      <c r="B105">
        <v>326.14</v>
      </c>
      <c r="C105">
        <v>332.65</v>
      </c>
      <c r="D105" s="74">
        <v>325.53109568076519</v>
      </c>
      <c r="E105" t="str">
        <f t="shared" si="7"/>
        <v>Venta</v>
      </c>
      <c r="F105" t="str">
        <f t="shared" si="8"/>
        <v>Negativo</v>
      </c>
      <c r="G105" s="4">
        <f t="shared" si="9"/>
        <v>-1.9960753050837037E-2</v>
      </c>
      <c r="H105" s="4">
        <f t="shared" si="10"/>
        <v>1.8670028798515848E-3</v>
      </c>
      <c r="I105" s="47" t="str">
        <f t="shared" si="11"/>
        <v>Compra</v>
      </c>
      <c r="J105" s="47" t="str">
        <f t="shared" si="12"/>
        <v>VentaCompra</v>
      </c>
      <c r="K105" s="47"/>
      <c r="L105" s="47"/>
      <c r="N105" s="47"/>
      <c r="O105" s="47"/>
      <c r="P105" s="47"/>
    </row>
    <row r="106" spans="1:35" x14ac:dyDescent="0.3">
      <c r="A106" s="1">
        <v>105</v>
      </c>
      <c r="B106">
        <v>334.21499999999997</v>
      </c>
      <c r="C106">
        <v>335.41</v>
      </c>
      <c r="D106" s="74">
        <v>333.06430673204108</v>
      </c>
      <c r="E106" t="str">
        <f t="shared" si="7"/>
        <v>Venta</v>
      </c>
      <c r="F106" t="str">
        <f t="shared" si="8"/>
        <v>Negativo</v>
      </c>
      <c r="G106" s="4">
        <f t="shared" si="9"/>
        <v>-3.5755426895861947E-3</v>
      </c>
      <c r="H106" s="4">
        <f t="shared" si="10"/>
        <v>3.4429731399216075E-3</v>
      </c>
      <c r="I106" s="47" t="str">
        <f t="shared" si="11"/>
        <v>Compra</v>
      </c>
      <c r="J106" s="47" t="str">
        <f t="shared" si="12"/>
        <v>VentaCompra</v>
      </c>
      <c r="K106" s="47"/>
      <c r="L106" s="47"/>
      <c r="N106" s="47"/>
      <c r="O106" s="47"/>
      <c r="P106" s="47"/>
    </row>
    <row r="107" spans="1:35" x14ac:dyDescent="0.3">
      <c r="A107" s="1">
        <v>106</v>
      </c>
      <c r="B107">
        <v>335.20499999999998</v>
      </c>
      <c r="C107">
        <v>335.98</v>
      </c>
      <c r="D107" s="74">
        <v>334.216023892838</v>
      </c>
      <c r="E107" t="str">
        <f t="shared" si="7"/>
        <v>Venta</v>
      </c>
      <c r="F107" t="str">
        <f t="shared" si="8"/>
        <v>Negativo</v>
      </c>
      <c r="G107" s="4">
        <f t="shared" si="9"/>
        <v>-2.3120180188244033E-3</v>
      </c>
      <c r="H107" s="4">
        <f t="shared" si="10"/>
        <v>2.950362038639008E-3</v>
      </c>
      <c r="I107" s="47" t="str">
        <f t="shared" si="11"/>
        <v>Compra</v>
      </c>
      <c r="J107" s="47" t="str">
        <f t="shared" si="12"/>
        <v>VentaCompra</v>
      </c>
      <c r="K107" s="47"/>
      <c r="L107" s="47"/>
      <c r="N107" s="47"/>
      <c r="O107" s="47"/>
      <c r="P107" s="47"/>
    </row>
    <row r="108" spans="1:35" x14ac:dyDescent="0.3">
      <c r="A108" s="1">
        <v>107</v>
      </c>
      <c r="B108">
        <v>335.35500000000002</v>
      </c>
      <c r="C108">
        <v>333.64499999999998</v>
      </c>
      <c r="D108" s="74">
        <v>334.52586787246292</v>
      </c>
      <c r="E108" t="str">
        <f t="shared" si="7"/>
        <v>Venta</v>
      </c>
      <c r="F108" t="str">
        <f t="shared" si="8"/>
        <v>Positivo</v>
      </c>
      <c r="G108" s="4">
        <f t="shared" si="9"/>
        <v>5.0990741154896642E-3</v>
      </c>
      <c r="H108" s="4">
        <f t="shared" si="10"/>
        <v>2.4724012689153084E-3</v>
      </c>
      <c r="I108" s="47" t="str">
        <f t="shared" si="11"/>
        <v>Venta</v>
      </c>
      <c r="J108" s="47" t="str">
        <f t="shared" si="12"/>
        <v>VentaVenta</v>
      </c>
      <c r="K108" s="47"/>
      <c r="L108" s="47"/>
      <c r="N108" s="47"/>
      <c r="O108" s="47"/>
      <c r="P108" s="47"/>
    </row>
    <row r="109" spans="1:35" x14ac:dyDescent="0.3">
      <c r="A109" s="1">
        <v>108</v>
      </c>
      <c r="B109">
        <v>331.60500000000002</v>
      </c>
      <c r="C109">
        <v>323.44</v>
      </c>
      <c r="D109" s="74">
        <v>331.00136298092838</v>
      </c>
      <c r="E109" t="str">
        <f t="shared" si="7"/>
        <v>Venta</v>
      </c>
      <c r="F109" t="str">
        <f t="shared" si="8"/>
        <v>Positivo</v>
      </c>
      <c r="G109" s="4">
        <f t="shared" si="9"/>
        <v>2.4622668536361091E-2</v>
      </c>
      <c r="H109" s="4">
        <f t="shared" si="10"/>
        <v>1.8203495697339941E-3</v>
      </c>
      <c r="I109" s="47" t="str">
        <f t="shared" si="11"/>
        <v>Venta</v>
      </c>
      <c r="J109" s="47" t="str">
        <f t="shared" si="12"/>
        <v>VentaVenta</v>
      </c>
      <c r="K109" s="47"/>
      <c r="L109" s="47"/>
      <c r="N109" s="47"/>
      <c r="O109" s="47"/>
      <c r="P109" s="47"/>
    </row>
    <row r="110" spans="1:35" x14ac:dyDescent="0.3">
      <c r="A110" s="1">
        <v>109</v>
      </c>
      <c r="B110">
        <v>323.98500000000001</v>
      </c>
      <c r="C110">
        <v>325.22000000000003</v>
      </c>
      <c r="D110" s="74">
        <v>323.63125750174652</v>
      </c>
      <c r="E110" t="str">
        <f t="shared" si="7"/>
        <v>Venta</v>
      </c>
      <c r="F110" t="str">
        <f t="shared" si="8"/>
        <v>Negativo</v>
      </c>
      <c r="G110" s="4">
        <f t="shared" si="9"/>
        <v>-3.8119048721391843E-3</v>
      </c>
      <c r="H110" s="4">
        <f t="shared" si="10"/>
        <v>1.0918483826519616E-3</v>
      </c>
      <c r="I110" s="47" t="str">
        <f t="shared" si="11"/>
        <v>Compra</v>
      </c>
      <c r="J110" s="47" t="str">
        <f t="shared" si="12"/>
        <v>VentaCompra</v>
      </c>
      <c r="K110" s="47"/>
      <c r="L110" s="47"/>
      <c r="N110" s="47"/>
      <c r="O110" s="47"/>
      <c r="P110" s="47"/>
      <c r="X110" s="85" t="s">
        <v>280</v>
      </c>
      <c r="Y110" s="85" t="s">
        <v>281</v>
      </c>
      <c r="Z110" s="85" t="s">
        <v>283</v>
      </c>
      <c r="AA110" s="85" t="s">
        <v>282</v>
      </c>
      <c r="AB110" s="85" t="s">
        <v>284</v>
      </c>
    </row>
    <row r="111" spans="1:35" x14ac:dyDescent="0.3">
      <c r="A111" s="1">
        <v>110</v>
      </c>
      <c r="B111">
        <v>324.75</v>
      </c>
      <c r="C111">
        <v>326.86</v>
      </c>
      <c r="D111" s="74">
        <v>324.11264896101909</v>
      </c>
      <c r="E111" t="str">
        <f t="shared" si="7"/>
        <v>Venta</v>
      </c>
      <c r="F111" t="str">
        <f t="shared" si="8"/>
        <v>Negativo</v>
      </c>
      <c r="G111" s="4">
        <f t="shared" si="9"/>
        <v>-6.4973056197075094E-3</v>
      </c>
      <c r="H111" s="4">
        <f t="shared" si="10"/>
        <v>1.9625898044061891E-3</v>
      </c>
      <c r="I111" s="47" t="str">
        <f t="shared" si="11"/>
        <v>Compra</v>
      </c>
      <c r="J111" s="47" t="str">
        <f t="shared" si="12"/>
        <v>VentaCompra</v>
      </c>
      <c r="K111" s="47"/>
      <c r="L111" s="47"/>
      <c r="N111" s="47"/>
      <c r="O111" s="47"/>
      <c r="P111" s="47"/>
      <c r="W111" s="66" t="s">
        <v>231</v>
      </c>
      <c r="X111" s="83">
        <v>0.53293413173652693</v>
      </c>
      <c r="Y111" s="83">
        <v>0.51497005988023947</v>
      </c>
      <c r="Z111" s="83">
        <v>0.58083832335329344</v>
      </c>
      <c r="AA111" s="83">
        <v>0.54491017964071853</v>
      </c>
      <c r="AB111" s="83">
        <v>0.56886227544910184</v>
      </c>
    </row>
    <row r="112" spans="1:35" x14ac:dyDescent="0.3">
      <c r="A112" s="1">
        <v>111</v>
      </c>
      <c r="B112">
        <v>328.43</v>
      </c>
      <c r="C112">
        <v>331.90499999999997</v>
      </c>
      <c r="D112" s="74">
        <v>327.48188436846789</v>
      </c>
      <c r="E112" t="str">
        <f t="shared" si="7"/>
        <v>Venta</v>
      </c>
      <c r="F112" t="str">
        <f t="shared" si="8"/>
        <v>Negativo</v>
      </c>
      <c r="G112" s="4">
        <f t="shared" si="9"/>
        <v>-1.058064123253042E-2</v>
      </c>
      <c r="H112" s="4">
        <f t="shared" si="10"/>
        <v>2.8868118976102019E-3</v>
      </c>
      <c r="I112" s="47" t="str">
        <f t="shared" si="11"/>
        <v>Compra</v>
      </c>
      <c r="J112" s="47" t="str">
        <f t="shared" si="12"/>
        <v>VentaCompra</v>
      </c>
      <c r="K112" s="47"/>
      <c r="L112" s="47"/>
      <c r="N112" s="47"/>
      <c r="O112" s="47"/>
      <c r="P112" s="47"/>
      <c r="V112" t="s">
        <v>227</v>
      </c>
      <c r="W112" s="66" t="s">
        <v>232</v>
      </c>
      <c r="X112" s="83">
        <v>0.54545454545454541</v>
      </c>
      <c r="Y112" s="83">
        <v>0.54545454545454541</v>
      </c>
      <c r="Z112" s="83">
        <v>0.58620689655172409</v>
      </c>
      <c r="AA112" s="83">
        <v>0.65517241379310343</v>
      </c>
      <c r="AB112" s="83">
        <v>0.57647058823529407</v>
      </c>
    </row>
    <row r="113" spans="1:28" x14ac:dyDescent="0.3">
      <c r="A113" s="1">
        <v>112</v>
      </c>
      <c r="B113">
        <v>334.39</v>
      </c>
      <c r="C113">
        <v>334.32</v>
      </c>
      <c r="D113" s="74">
        <v>333.11579254031858</v>
      </c>
      <c r="E113" t="str">
        <f t="shared" si="7"/>
        <v>Venta</v>
      </c>
      <c r="F113" t="str">
        <f t="shared" si="8"/>
        <v>Positivo</v>
      </c>
      <c r="G113" s="4">
        <f t="shared" si="9"/>
        <v>2.0933640360056575E-4</v>
      </c>
      <c r="H113" s="4">
        <f t="shared" si="10"/>
        <v>3.8105429578677782E-3</v>
      </c>
      <c r="I113" s="47" t="str">
        <f t="shared" si="11"/>
        <v>Venta</v>
      </c>
      <c r="J113" s="47" t="str">
        <f t="shared" si="12"/>
        <v>VentaVenta</v>
      </c>
      <c r="K113" s="47"/>
      <c r="L113" s="47"/>
      <c r="N113" s="47"/>
      <c r="O113" s="47"/>
      <c r="P113" s="47"/>
      <c r="V113" t="s">
        <v>227</v>
      </c>
      <c r="W113" s="66" t="s">
        <v>233</v>
      </c>
      <c r="X113" s="83">
        <v>0.49411764705882355</v>
      </c>
      <c r="Y113" s="83">
        <v>0.28235294117647058</v>
      </c>
      <c r="Z113" s="83">
        <v>0.6</v>
      </c>
      <c r="AA113" s="83">
        <v>0.22352941176470589</v>
      </c>
      <c r="AB113" s="83">
        <v>0.57647058823529407</v>
      </c>
    </row>
    <row r="114" spans="1:28" x14ac:dyDescent="0.3">
      <c r="A114" s="1">
        <v>113</v>
      </c>
      <c r="B114">
        <v>334.32</v>
      </c>
      <c r="C114">
        <v>337.3</v>
      </c>
      <c r="D114" s="74">
        <v>333.61006189554621</v>
      </c>
      <c r="E114" t="str">
        <f t="shared" si="7"/>
        <v>Venta</v>
      </c>
      <c r="F114" t="str">
        <f t="shared" si="8"/>
        <v>Negativo</v>
      </c>
      <c r="G114" s="4">
        <f t="shared" si="9"/>
        <v>-8.9136156975353504E-3</v>
      </c>
      <c r="H114" s="4">
        <f t="shared" si="10"/>
        <v>2.1235286685025831E-3</v>
      </c>
      <c r="I114" s="47" t="str">
        <f t="shared" si="11"/>
        <v>Compra</v>
      </c>
      <c r="J114" s="47" t="str">
        <f t="shared" si="12"/>
        <v>VentaCompra</v>
      </c>
      <c r="K114" s="47"/>
      <c r="L114" s="47"/>
      <c r="N114" s="47"/>
      <c r="O114" s="47"/>
      <c r="P114" s="47"/>
      <c r="V114" t="s">
        <v>227</v>
      </c>
      <c r="W114" s="66" t="s">
        <v>234</v>
      </c>
      <c r="X114" s="83">
        <v>0.5185185185185186</v>
      </c>
      <c r="Y114" s="83">
        <v>0.37209302325581395</v>
      </c>
      <c r="Z114" s="83">
        <v>0.59302325581395354</v>
      </c>
      <c r="AA114" s="83">
        <v>0.33333333333333337</v>
      </c>
      <c r="AB114" s="83">
        <v>0.57647058823529407</v>
      </c>
    </row>
    <row r="115" spans="1:28" x14ac:dyDescent="0.3">
      <c r="A115" s="1">
        <v>114</v>
      </c>
      <c r="B115">
        <v>337.4</v>
      </c>
      <c r="C115">
        <v>348.14499999999998</v>
      </c>
      <c r="D115" s="74">
        <v>336.50429237877142</v>
      </c>
      <c r="E115" t="str">
        <f t="shared" si="7"/>
        <v>Venta</v>
      </c>
      <c r="F115" t="str">
        <f t="shared" si="8"/>
        <v>Negativo</v>
      </c>
      <c r="G115" s="4">
        <f t="shared" si="9"/>
        <v>-3.1846473029045662E-2</v>
      </c>
      <c r="H115" s="4">
        <f t="shared" si="10"/>
        <v>2.6547350955203109E-3</v>
      </c>
      <c r="I115" s="47" t="str">
        <f t="shared" si="11"/>
        <v>Compra</v>
      </c>
      <c r="J115" s="47" t="str">
        <f t="shared" si="12"/>
        <v>VentaCompra</v>
      </c>
      <c r="K115" s="47"/>
      <c r="L115" s="47"/>
      <c r="N115" s="47"/>
      <c r="O115" s="47"/>
      <c r="P115" s="47"/>
      <c r="V115" t="s">
        <v>228</v>
      </c>
      <c r="W115" s="66" t="s">
        <v>232</v>
      </c>
      <c r="X115" s="83">
        <v>0.52222222222222225</v>
      </c>
      <c r="Y115" s="83">
        <v>0.50406504065040647</v>
      </c>
      <c r="Z115" s="83">
        <v>0.57499999999999996</v>
      </c>
      <c r="AA115" s="83">
        <v>0.52173913043478259</v>
      </c>
      <c r="AB115" s="83">
        <v>0.56097560975609762</v>
      </c>
    </row>
    <row r="116" spans="1:28" x14ac:dyDescent="0.3">
      <c r="A116" s="1">
        <v>115</v>
      </c>
      <c r="B116">
        <v>351.375</v>
      </c>
      <c r="C116">
        <v>342.505</v>
      </c>
      <c r="D116" s="74">
        <v>349.89979122181808</v>
      </c>
      <c r="E116" t="str">
        <f t="shared" si="7"/>
        <v>Venta</v>
      </c>
      <c r="F116" t="str">
        <f t="shared" si="8"/>
        <v>Positivo</v>
      </c>
      <c r="G116" s="4">
        <f t="shared" si="9"/>
        <v>2.5243685521166858E-2</v>
      </c>
      <c r="H116" s="4">
        <f t="shared" si="10"/>
        <v>4.198388554057411E-3</v>
      </c>
      <c r="I116" s="47" t="str">
        <f t="shared" si="11"/>
        <v>Venta</v>
      </c>
      <c r="J116" s="47" t="str">
        <f t="shared" si="12"/>
        <v>VentaVenta</v>
      </c>
      <c r="K116" s="47"/>
      <c r="L116" s="47"/>
      <c r="N116" s="47"/>
      <c r="O116" s="47"/>
      <c r="P116" s="47"/>
      <c r="V116" t="s">
        <v>228</v>
      </c>
      <c r="W116" s="66" t="s">
        <v>233</v>
      </c>
      <c r="X116" s="83">
        <v>0.57317073170731703</v>
      </c>
      <c r="Y116" s="83">
        <v>0.75609756097560976</v>
      </c>
      <c r="Z116" s="83">
        <v>0.56097560975609762</v>
      </c>
      <c r="AA116" s="83">
        <v>0.87804878048780488</v>
      </c>
      <c r="AB116" s="83">
        <v>0.56097560975609762</v>
      </c>
    </row>
    <row r="117" spans="1:28" x14ac:dyDescent="0.3">
      <c r="A117" s="1">
        <v>116</v>
      </c>
      <c r="B117">
        <v>339.30500000000001</v>
      </c>
      <c r="C117">
        <v>338.125</v>
      </c>
      <c r="D117" s="74">
        <v>338.58516257155782</v>
      </c>
      <c r="E117" t="str">
        <f t="shared" si="7"/>
        <v>Venta</v>
      </c>
      <c r="F117" t="str">
        <f t="shared" si="8"/>
        <v>Positivo</v>
      </c>
      <c r="G117" s="4">
        <f t="shared" si="9"/>
        <v>3.4776970572199255E-3</v>
      </c>
      <c r="H117" s="4">
        <f t="shared" si="10"/>
        <v>2.1215055140424992E-3</v>
      </c>
      <c r="I117" s="47" t="str">
        <f t="shared" si="11"/>
        <v>Venta</v>
      </c>
      <c r="J117" s="47" t="str">
        <f t="shared" si="12"/>
        <v>VentaVenta</v>
      </c>
      <c r="K117" s="47"/>
      <c r="L117" s="47"/>
      <c r="N117" s="47"/>
      <c r="O117" s="47"/>
      <c r="P117" s="47"/>
      <c r="V117" t="s">
        <v>228</v>
      </c>
      <c r="W117" s="67" t="s">
        <v>234</v>
      </c>
      <c r="X117" s="83">
        <v>0.54651162790697683</v>
      </c>
      <c r="Y117" s="83">
        <v>0.60487804878048768</v>
      </c>
      <c r="Z117" s="83">
        <v>0.5679012345679012</v>
      </c>
      <c r="AA117" s="83">
        <v>0.65454545454545454</v>
      </c>
      <c r="AB117" s="83">
        <v>0.56097560975609762</v>
      </c>
    </row>
    <row r="118" spans="1:28" x14ac:dyDescent="0.3">
      <c r="A118" s="1">
        <v>117</v>
      </c>
      <c r="B118">
        <v>336.14</v>
      </c>
      <c r="C118">
        <v>333.51499999999999</v>
      </c>
      <c r="D118" s="74">
        <v>335.68107697397397</v>
      </c>
      <c r="E118" t="str">
        <f t="shared" ref="E118:E168" si="13">+IF(D118&lt;B118,"Venta","Compra")</f>
        <v>Venta</v>
      </c>
      <c r="F118" t="str">
        <f t="shared" ref="F118:F168" si="14">IF(B118="","",IF(E118="Venta",IF(C118&lt;B118,"Positivo","Negativo"),IF(C118&gt;B118,"Positivo","Negativo")))</f>
        <v>Positivo</v>
      </c>
      <c r="G118" s="4">
        <f t="shared" ref="G118:G168" si="15">+IF(E118="Compra",(C118-B118)/B118,(B118-C118)/B118)</f>
        <v>7.8092461474385672E-3</v>
      </c>
      <c r="H118" s="4">
        <f t="shared" ref="H118:H168" si="16">+IF(E118="Compra",(D118-B118)/B118,(B118-D118)/B118)</f>
        <v>1.3652734754150467E-3</v>
      </c>
      <c r="I118" s="47" t="str">
        <f t="shared" ref="I118:I168" si="17">+IF(C118&lt;B118,"Venta","Compra")</f>
        <v>Venta</v>
      </c>
      <c r="J118" s="47" t="str">
        <f t="shared" ref="J118:J168" si="18">+E118&amp;I118</f>
        <v>VentaVenta</v>
      </c>
      <c r="K118" s="47"/>
      <c r="L118" s="47"/>
      <c r="N118" s="47"/>
      <c r="O118" s="47"/>
      <c r="P118" s="47"/>
    </row>
    <row r="119" spans="1:28" x14ac:dyDescent="0.3">
      <c r="A119" s="1">
        <v>118</v>
      </c>
      <c r="B119">
        <v>333.90499999999997</v>
      </c>
      <c r="C119">
        <v>339.6</v>
      </c>
      <c r="D119" s="74">
        <v>333.65462647790628</v>
      </c>
      <c r="E119" t="str">
        <f t="shared" si="13"/>
        <v>Venta</v>
      </c>
      <c r="F119" t="str">
        <f t="shared" si="14"/>
        <v>Negativo</v>
      </c>
      <c r="G119" s="4">
        <f t="shared" si="15"/>
        <v>-1.7055749389796652E-2</v>
      </c>
      <c r="H119" s="4">
        <f t="shared" si="16"/>
        <v>7.4983459994218719E-4</v>
      </c>
      <c r="I119" s="47" t="str">
        <f t="shared" si="17"/>
        <v>Compra</v>
      </c>
      <c r="J119" s="47" t="str">
        <f t="shared" si="18"/>
        <v>VentaCompra</v>
      </c>
      <c r="K119" s="47"/>
      <c r="L119" s="47"/>
      <c r="N119" s="47"/>
      <c r="O119" s="47"/>
      <c r="P119" s="47"/>
    </row>
    <row r="120" spans="1:28" x14ac:dyDescent="0.3">
      <c r="A120" s="1">
        <v>119</v>
      </c>
      <c r="B120">
        <v>334.48500000000001</v>
      </c>
      <c r="C120">
        <v>335.04500000000002</v>
      </c>
      <c r="D120" s="74">
        <v>333.73460030306768</v>
      </c>
      <c r="E120" t="str">
        <f t="shared" si="13"/>
        <v>Venta</v>
      </c>
      <c r="F120" t="str">
        <f t="shared" si="14"/>
        <v>Negativo</v>
      </c>
      <c r="G120" s="4">
        <f t="shared" si="15"/>
        <v>-1.6742155851533021E-3</v>
      </c>
      <c r="H120" s="4">
        <f t="shared" si="16"/>
        <v>2.2434479780328977E-3</v>
      </c>
      <c r="I120" s="47" t="str">
        <f t="shared" si="17"/>
        <v>Compra</v>
      </c>
      <c r="J120" s="47" t="str">
        <f t="shared" si="18"/>
        <v>VentaCompra</v>
      </c>
      <c r="K120" s="47"/>
      <c r="L120" s="47"/>
      <c r="N120" s="47"/>
      <c r="O120" s="47"/>
      <c r="P120" s="47"/>
    </row>
    <row r="121" spans="1:28" x14ac:dyDescent="0.3">
      <c r="A121" s="1">
        <v>120</v>
      </c>
      <c r="B121">
        <v>333.815</v>
      </c>
      <c r="C121">
        <v>328.8</v>
      </c>
      <c r="D121" s="74">
        <v>332.88502665758841</v>
      </c>
      <c r="E121" t="str">
        <f t="shared" si="13"/>
        <v>Venta</v>
      </c>
      <c r="F121" t="str">
        <f t="shared" si="14"/>
        <v>Positivo</v>
      </c>
      <c r="G121" s="4">
        <f t="shared" si="15"/>
        <v>1.5023291344007868E-2</v>
      </c>
      <c r="H121" s="4">
        <f t="shared" si="16"/>
        <v>2.7858944098125781E-3</v>
      </c>
      <c r="I121" s="47" t="str">
        <f t="shared" si="17"/>
        <v>Venta</v>
      </c>
      <c r="J121" s="47" t="str">
        <f t="shared" si="18"/>
        <v>VentaVenta</v>
      </c>
      <c r="K121" s="47"/>
      <c r="L121" s="47"/>
      <c r="N121" s="47"/>
      <c r="O121" s="47"/>
      <c r="P121" s="47"/>
    </row>
    <row r="122" spans="1:28" x14ac:dyDescent="0.3">
      <c r="A122" s="1">
        <v>121</v>
      </c>
      <c r="B122">
        <v>332.13</v>
      </c>
      <c r="C122">
        <v>334.61</v>
      </c>
      <c r="D122" s="74">
        <v>331.10195497881739</v>
      </c>
      <c r="E122" t="str">
        <f t="shared" si="13"/>
        <v>Venta</v>
      </c>
      <c r="F122" t="str">
        <f t="shared" si="14"/>
        <v>Negativo</v>
      </c>
      <c r="G122" s="4">
        <f t="shared" si="15"/>
        <v>-7.4669557101135643E-3</v>
      </c>
      <c r="H122" s="4">
        <f t="shared" si="16"/>
        <v>3.0953091295053336E-3</v>
      </c>
      <c r="I122" s="47" t="str">
        <f t="shared" si="17"/>
        <v>Compra</v>
      </c>
      <c r="J122" s="47" t="str">
        <f t="shared" si="18"/>
        <v>VentaCompra</v>
      </c>
      <c r="K122" s="47"/>
      <c r="L122" s="47"/>
      <c r="N122" s="47"/>
      <c r="O122" s="47"/>
      <c r="P122" s="47"/>
    </row>
    <row r="123" spans="1:28" x14ac:dyDescent="0.3">
      <c r="A123" s="1">
        <v>122</v>
      </c>
      <c r="B123">
        <v>334.48</v>
      </c>
      <c r="C123">
        <v>335.9</v>
      </c>
      <c r="D123" s="74">
        <v>333.31663888178548</v>
      </c>
      <c r="E123" t="str">
        <f t="shared" si="13"/>
        <v>Venta</v>
      </c>
      <c r="F123" t="str">
        <f t="shared" si="14"/>
        <v>Negativo</v>
      </c>
      <c r="G123" s="4">
        <f t="shared" si="15"/>
        <v>-4.2453958383160701E-3</v>
      </c>
      <c r="H123" s="4">
        <f t="shared" si="16"/>
        <v>3.478118626568221E-3</v>
      </c>
      <c r="I123" s="47" t="str">
        <f t="shared" si="17"/>
        <v>Compra</v>
      </c>
      <c r="J123" s="47" t="str">
        <f t="shared" si="18"/>
        <v>VentaCompra</v>
      </c>
      <c r="K123" s="47"/>
      <c r="L123" s="47"/>
      <c r="N123" s="47"/>
      <c r="O123" s="47"/>
      <c r="P123" s="47"/>
    </row>
    <row r="124" spans="1:28" x14ac:dyDescent="0.3">
      <c r="A124" s="1">
        <v>123</v>
      </c>
      <c r="B124">
        <v>334.79</v>
      </c>
      <c r="C124">
        <v>335.05</v>
      </c>
      <c r="D124" s="74">
        <v>333.96499275963407</v>
      </c>
      <c r="E124" t="str">
        <f t="shared" si="13"/>
        <v>Venta</v>
      </c>
      <c r="F124" t="str">
        <f t="shared" si="14"/>
        <v>Negativo</v>
      </c>
      <c r="G124" s="4">
        <f t="shared" si="15"/>
        <v>-7.7660623077150119E-4</v>
      </c>
      <c r="H124" s="4">
        <f t="shared" si="16"/>
        <v>2.4642529357685374E-3</v>
      </c>
      <c r="I124" s="47" t="str">
        <f t="shared" si="17"/>
        <v>Compra</v>
      </c>
      <c r="J124" s="47" t="str">
        <f t="shared" si="18"/>
        <v>VentaCompra</v>
      </c>
      <c r="K124" s="47"/>
      <c r="L124" s="47"/>
      <c r="N124" s="47"/>
      <c r="O124" s="47"/>
      <c r="P124" s="47"/>
    </row>
    <row r="125" spans="1:28" x14ac:dyDescent="0.3">
      <c r="A125" s="1">
        <v>124</v>
      </c>
      <c r="B125">
        <v>337.77499999999998</v>
      </c>
      <c r="C125">
        <v>340.24</v>
      </c>
      <c r="D125" s="74">
        <v>336.84457762801111</v>
      </c>
      <c r="E125" t="str">
        <f t="shared" si="13"/>
        <v>Venta</v>
      </c>
      <c r="F125" t="str">
        <f t="shared" si="14"/>
        <v>Negativo</v>
      </c>
      <c r="G125" s="4">
        <f t="shared" si="15"/>
        <v>-7.2977573828733088E-3</v>
      </c>
      <c r="H125" s="4">
        <f t="shared" si="16"/>
        <v>2.7545625697250192E-3</v>
      </c>
      <c r="I125" s="47" t="str">
        <f t="shared" si="17"/>
        <v>Compra</v>
      </c>
      <c r="J125" s="47" t="str">
        <f t="shared" si="18"/>
        <v>VentaCompra</v>
      </c>
      <c r="K125" s="47"/>
      <c r="L125" s="47"/>
      <c r="N125" s="47"/>
      <c r="O125" s="47"/>
      <c r="P125" s="47"/>
    </row>
    <row r="126" spans="1:28" x14ac:dyDescent="0.3">
      <c r="A126" s="1">
        <v>125</v>
      </c>
      <c r="B126">
        <v>339.08499999999998</v>
      </c>
      <c r="C126">
        <v>338.31</v>
      </c>
      <c r="D126" s="74">
        <v>338.10325393952081</v>
      </c>
      <c r="E126" t="str">
        <f t="shared" si="13"/>
        <v>Venta</v>
      </c>
      <c r="F126" t="str">
        <f t="shared" si="14"/>
        <v>Positivo</v>
      </c>
      <c r="G126" s="4">
        <f t="shared" si="15"/>
        <v>2.2855626170428574E-3</v>
      </c>
      <c r="H126" s="4">
        <f t="shared" si="16"/>
        <v>2.8952801229165776E-3</v>
      </c>
      <c r="I126" s="47" t="str">
        <f t="shared" si="17"/>
        <v>Venta</v>
      </c>
      <c r="J126" s="47" t="str">
        <f t="shared" si="18"/>
        <v>VentaVenta</v>
      </c>
      <c r="K126" s="47"/>
      <c r="L126" s="47"/>
      <c r="N126" s="47"/>
      <c r="O126" s="47"/>
      <c r="P126" s="47"/>
    </row>
    <row r="127" spans="1:28" x14ac:dyDescent="0.3">
      <c r="A127" s="1">
        <v>126</v>
      </c>
      <c r="B127">
        <v>335.14</v>
      </c>
      <c r="C127">
        <v>338.2</v>
      </c>
      <c r="D127" s="74">
        <v>334.27558208385159</v>
      </c>
      <c r="E127" t="str">
        <f t="shared" si="13"/>
        <v>Venta</v>
      </c>
      <c r="F127" t="str">
        <f t="shared" si="14"/>
        <v>Negativo</v>
      </c>
      <c r="G127" s="4">
        <f t="shared" si="15"/>
        <v>-9.1305126215909839E-3</v>
      </c>
      <c r="H127" s="4">
        <f t="shared" si="16"/>
        <v>2.5792740829157891E-3</v>
      </c>
      <c r="I127" s="47" t="str">
        <f t="shared" si="17"/>
        <v>Compra</v>
      </c>
      <c r="J127" s="47" t="str">
        <f t="shared" si="18"/>
        <v>VentaCompra</v>
      </c>
      <c r="K127" s="47"/>
      <c r="L127" s="47"/>
      <c r="N127" s="47"/>
      <c r="O127" s="47"/>
      <c r="P127" s="47"/>
    </row>
    <row r="128" spans="1:28" x14ac:dyDescent="0.3">
      <c r="A128" s="1">
        <v>127</v>
      </c>
      <c r="B128">
        <v>337.44</v>
      </c>
      <c r="C128">
        <v>341.26499999999999</v>
      </c>
      <c r="D128" s="74">
        <v>336.56229538387169</v>
      </c>
      <c r="E128" t="str">
        <f t="shared" si="13"/>
        <v>Venta</v>
      </c>
      <c r="F128" t="str">
        <f t="shared" si="14"/>
        <v>Negativo</v>
      </c>
      <c r="G128" s="4">
        <f t="shared" si="15"/>
        <v>-1.1335348506401104E-2</v>
      </c>
      <c r="H128" s="4">
        <f t="shared" si="16"/>
        <v>2.6010686822199869E-3</v>
      </c>
      <c r="I128" s="47" t="str">
        <f t="shared" si="17"/>
        <v>Compra</v>
      </c>
      <c r="J128" s="47" t="str">
        <f t="shared" si="18"/>
        <v>VentaCompra</v>
      </c>
      <c r="K128" s="47"/>
      <c r="L128" s="47"/>
      <c r="N128" s="47"/>
      <c r="O128" s="47"/>
      <c r="P128" s="47"/>
    </row>
    <row r="129" spans="1:16" x14ac:dyDescent="0.3">
      <c r="A129" s="1">
        <v>128</v>
      </c>
      <c r="B129">
        <v>340.06</v>
      </c>
      <c r="C129">
        <v>337.18</v>
      </c>
      <c r="D129" s="74">
        <v>339.14826576121771</v>
      </c>
      <c r="E129" t="str">
        <f t="shared" si="13"/>
        <v>Venta</v>
      </c>
      <c r="F129" t="str">
        <f t="shared" si="14"/>
        <v>Positivo</v>
      </c>
      <c r="G129" s="4">
        <f t="shared" si="15"/>
        <v>8.4690936893489256E-3</v>
      </c>
      <c r="H129" s="4">
        <f t="shared" si="16"/>
        <v>2.6810981555675096E-3</v>
      </c>
      <c r="I129" s="47" t="str">
        <f t="shared" si="17"/>
        <v>Venta</v>
      </c>
      <c r="J129" s="47" t="str">
        <f t="shared" si="18"/>
        <v>VentaVenta</v>
      </c>
      <c r="K129" s="47"/>
      <c r="L129" s="47"/>
      <c r="N129" s="47"/>
      <c r="O129" s="47"/>
      <c r="P129" s="47"/>
    </row>
    <row r="130" spans="1:16" x14ac:dyDescent="0.3">
      <c r="A130" s="1">
        <v>129</v>
      </c>
      <c r="B130">
        <v>334.67500000000001</v>
      </c>
      <c r="C130">
        <v>331.85500000000002</v>
      </c>
      <c r="D130" s="74">
        <v>333.32841912686962</v>
      </c>
      <c r="E130" t="str">
        <f t="shared" si="13"/>
        <v>Venta</v>
      </c>
      <c r="F130" t="str">
        <f t="shared" si="14"/>
        <v>Positivo</v>
      </c>
      <c r="G130" s="4">
        <f t="shared" si="15"/>
        <v>8.4260850078434098E-3</v>
      </c>
      <c r="H130" s="4">
        <f t="shared" si="16"/>
        <v>4.023547839337842E-3</v>
      </c>
      <c r="I130" s="47" t="str">
        <f t="shared" si="17"/>
        <v>Venta</v>
      </c>
      <c r="J130" s="47" t="str">
        <f t="shared" si="18"/>
        <v>VentaVenta</v>
      </c>
      <c r="K130" s="47"/>
      <c r="L130" s="47"/>
      <c r="N130" s="47"/>
      <c r="O130" s="47"/>
      <c r="P130" s="47"/>
    </row>
    <row r="131" spans="1:16" x14ac:dyDescent="0.3">
      <c r="A131" s="1">
        <v>130</v>
      </c>
      <c r="B131">
        <v>331.08499999999998</v>
      </c>
      <c r="C131">
        <v>332.435</v>
      </c>
      <c r="D131" s="74">
        <v>330.24350508822067</v>
      </c>
      <c r="E131" t="str">
        <f t="shared" si="13"/>
        <v>Venta</v>
      </c>
      <c r="F131" t="str">
        <f t="shared" si="14"/>
        <v>Negativo</v>
      </c>
      <c r="G131" s="4">
        <f t="shared" si="15"/>
        <v>-4.0775027560898949E-3</v>
      </c>
      <c r="H131" s="4">
        <f t="shared" si="16"/>
        <v>2.5416280163079183E-3</v>
      </c>
      <c r="I131" s="47" t="str">
        <f t="shared" si="17"/>
        <v>Compra</v>
      </c>
      <c r="J131" s="47" t="str">
        <f t="shared" si="18"/>
        <v>VentaCompra</v>
      </c>
      <c r="K131" s="47"/>
      <c r="L131" s="47"/>
      <c r="N131" s="47"/>
      <c r="O131" s="47"/>
      <c r="P131" s="47"/>
    </row>
    <row r="132" spans="1:16" x14ac:dyDescent="0.3">
      <c r="A132" s="1">
        <v>131</v>
      </c>
      <c r="B132">
        <v>336.625</v>
      </c>
      <c r="C132">
        <v>337.42500000000001</v>
      </c>
      <c r="D132" s="74">
        <v>335.75662929469109</v>
      </c>
      <c r="E132" t="str">
        <f t="shared" si="13"/>
        <v>Venta</v>
      </c>
      <c r="F132" t="str">
        <f t="shared" si="14"/>
        <v>Negativo</v>
      </c>
      <c r="G132" s="4">
        <f t="shared" si="15"/>
        <v>-2.3765317489788679E-3</v>
      </c>
      <c r="H132" s="4">
        <f t="shared" si="16"/>
        <v>2.579638188812195E-3</v>
      </c>
      <c r="I132" s="47" t="str">
        <f t="shared" si="17"/>
        <v>Compra</v>
      </c>
      <c r="J132" s="47" t="str">
        <f t="shared" si="18"/>
        <v>VentaCompra</v>
      </c>
      <c r="K132" s="47"/>
      <c r="L132" s="47"/>
      <c r="N132" s="47"/>
      <c r="O132" s="47"/>
      <c r="P132" s="47"/>
    </row>
    <row r="133" spans="1:16" x14ac:dyDescent="0.3">
      <c r="A133" s="1">
        <v>132</v>
      </c>
      <c r="B133">
        <v>339.565</v>
      </c>
      <c r="C133">
        <v>342.685</v>
      </c>
      <c r="D133" s="74">
        <v>338.8235310325594</v>
      </c>
      <c r="E133" t="str">
        <f t="shared" si="13"/>
        <v>Venta</v>
      </c>
      <c r="F133" t="str">
        <f t="shared" si="14"/>
        <v>Negativo</v>
      </c>
      <c r="G133" s="4">
        <f t="shared" si="15"/>
        <v>-9.1882261128208281E-3</v>
      </c>
      <c r="H133" s="4">
        <f t="shared" si="16"/>
        <v>2.1835847847705044E-3</v>
      </c>
      <c r="I133" s="47" t="str">
        <f t="shared" si="17"/>
        <v>Compra</v>
      </c>
      <c r="J133" s="47" t="str">
        <f t="shared" si="18"/>
        <v>VentaCompra</v>
      </c>
      <c r="K133" s="47"/>
      <c r="L133" s="47"/>
      <c r="N133" s="47"/>
      <c r="O133" s="47"/>
      <c r="P133" s="47"/>
    </row>
    <row r="134" spans="1:16" x14ac:dyDescent="0.3">
      <c r="A134" s="1">
        <v>133</v>
      </c>
      <c r="B134">
        <v>347.625</v>
      </c>
      <c r="C134">
        <v>345.35500000000002</v>
      </c>
      <c r="D134" s="74">
        <v>346.63613515301671</v>
      </c>
      <c r="E134" t="str">
        <f t="shared" si="13"/>
        <v>Venta</v>
      </c>
      <c r="F134" t="str">
        <f t="shared" si="14"/>
        <v>Positivo</v>
      </c>
      <c r="G134" s="4">
        <f t="shared" si="15"/>
        <v>6.5300251708018172E-3</v>
      </c>
      <c r="H134" s="4">
        <f t="shared" si="16"/>
        <v>2.8446309873665305E-3</v>
      </c>
      <c r="I134" s="47" t="str">
        <f t="shared" si="17"/>
        <v>Venta</v>
      </c>
      <c r="J134" s="47" t="str">
        <f t="shared" si="18"/>
        <v>VentaVenta</v>
      </c>
      <c r="K134" s="47"/>
      <c r="L134" s="47"/>
      <c r="N134" s="47"/>
      <c r="O134" s="47"/>
      <c r="P134" s="47"/>
    </row>
    <row r="135" spans="1:16" x14ac:dyDescent="0.3">
      <c r="A135" s="1">
        <v>134</v>
      </c>
      <c r="B135">
        <v>345.73500000000001</v>
      </c>
      <c r="C135">
        <v>345.68</v>
      </c>
      <c r="D135" s="74">
        <v>345.07605688916988</v>
      </c>
      <c r="E135" t="str">
        <f t="shared" si="13"/>
        <v>Venta</v>
      </c>
      <c r="F135" t="str">
        <f t="shared" si="14"/>
        <v>Positivo</v>
      </c>
      <c r="G135" s="4">
        <f t="shared" si="15"/>
        <v>1.5908137735550876E-4</v>
      </c>
      <c r="H135" s="4">
        <f t="shared" si="16"/>
        <v>1.9059195939957971E-3</v>
      </c>
      <c r="I135" s="47" t="str">
        <f t="shared" si="17"/>
        <v>Venta</v>
      </c>
      <c r="J135" s="47" t="str">
        <f t="shared" si="18"/>
        <v>VentaVenta</v>
      </c>
      <c r="K135" s="47"/>
      <c r="L135" s="47"/>
      <c r="N135" s="47"/>
      <c r="O135" s="47"/>
      <c r="P135" s="47"/>
    </row>
    <row r="136" spans="1:16" x14ac:dyDescent="0.3">
      <c r="A136" s="1">
        <v>135</v>
      </c>
      <c r="B136">
        <v>345.875</v>
      </c>
      <c r="C136">
        <v>359.685</v>
      </c>
      <c r="D136" s="74">
        <v>345.37776399275037</v>
      </c>
      <c r="E136" t="str">
        <f t="shared" si="13"/>
        <v>Venta</v>
      </c>
      <c r="F136" t="str">
        <f t="shared" si="14"/>
        <v>Negativo</v>
      </c>
      <c r="G136" s="4">
        <f t="shared" si="15"/>
        <v>-3.9927719551861231E-2</v>
      </c>
      <c r="H136" s="4">
        <f t="shared" si="16"/>
        <v>1.4376176573895939E-3</v>
      </c>
      <c r="I136" s="47" t="str">
        <f t="shared" si="17"/>
        <v>Compra</v>
      </c>
      <c r="J136" s="47" t="str">
        <f t="shared" si="18"/>
        <v>VentaCompra</v>
      </c>
      <c r="K136" s="47"/>
      <c r="L136" s="47"/>
      <c r="N136" s="47"/>
      <c r="O136" s="47"/>
      <c r="P136" s="47"/>
    </row>
    <row r="137" spans="1:16" x14ac:dyDescent="0.3">
      <c r="A137" s="1">
        <v>136</v>
      </c>
      <c r="B137">
        <v>361.62</v>
      </c>
      <c r="C137">
        <v>355.06</v>
      </c>
      <c r="D137" s="74">
        <v>360.16479840239907</v>
      </c>
      <c r="E137" t="str">
        <f t="shared" si="13"/>
        <v>Venta</v>
      </c>
      <c r="F137" t="str">
        <f t="shared" si="14"/>
        <v>Positivo</v>
      </c>
      <c r="G137" s="4">
        <f t="shared" si="15"/>
        <v>1.8140589569161005E-2</v>
      </c>
      <c r="H137" s="4">
        <f t="shared" si="16"/>
        <v>4.0241181284246808E-3</v>
      </c>
      <c r="I137" s="47" t="str">
        <f t="shared" si="17"/>
        <v>Venta</v>
      </c>
      <c r="J137" s="47" t="str">
        <f t="shared" si="18"/>
        <v>VentaVenta</v>
      </c>
      <c r="K137" s="47"/>
      <c r="L137" s="47"/>
      <c r="N137" s="47"/>
      <c r="O137" s="47"/>
      <c r="P137" s="47"/>
    </row>
    <row r="138" spans="1:16" x14ac:dyDescent="0.3">
      <c r="A138" s="1">
        <v>137</v>
      </c>
      <c r="B138">
        <v>353.64499999999998</v>
      </c>
      <c r="C138">
        <v>346.875</v>
      </c>
      <c r="D138" s="74">
        <v>352.87356991270337</v>
      </c>
      <c r="E138" t="str">
        <f t="shared" si="13"/>
        <v>Venta</v>
      </c>
      <c r="F138" t="str">
        <f t="shared" si="14"/>
        <v>Positivo</v>
      </c>
      <c r="G138" s="4">
        <f t="shared" si="15"/>
        <v>1.9143491354324201E-2</v>
      </c>
      <c r="H138" s="4">
        <f t="shared" si="16"/>
        <v>2.1813685681873287E-3</v>
      </c>
      <c r="I138" s="47" t="str">
        <f t="shared" si="17"/>
        <v>Venta</v>
      </c>
      <c r="J138" s="47" t="str">
        <f t="shared" si="18"/>
        <v>VentaVenta</v>
      </c>
      <c r="K138" s="47"/>
      <c r="L138" s="47"/>
      <c r="N138" s="47"/>
      <c r="O138" s="47"/>
      <c r="P138" s="47"/>
    </row>
    <row r="139" spans="1:16" x14ac:dyDescent="0.3">
      <c r="A139" s="1">
        <v>138</v>
      </c>
      <c r="B139">
        <v>349.20499999999998</v>
      </c>
      <c r="C139">
        <v>343.67</v>
      </c>
      <c r="D139" s="74">
        <v>348.62146764594979</v>
      </c>
      <c r="E139" t="str">
        <f t="shared" si="13"/>
        <v>Venta</v>
      </c>
      <c r="F139" t="str">
        <f t="shared" si="14"/>
        <v>Positivo</v>
      </c>
      <c r="G139" s="4">
        <f t="shared" si="15"/>
        <v>1.5850288512478255E-2</v>
      </c>
      <c r="H139" s="4">
        <f t="shared" si="16"/>
        <v>1.6710309246723036E-3</v>
      </c>
      <c r="I139" s="47" t="str">
        <f t="shared" si="17"/>
        <v>Venta</v>
      </c>
      <c r="J139" s="47" t="str">
        <f t="shared" si="18"/>
        <v>VentaVenta</v>
      </c>
      <c r="K139" s="47"/>
      <c r="L139" s="47"/>
      <c r="N139" s="47"/>
      <c r="O139" s="47"/>
      <c r="P139" s="47"/>
    </row>
    <row r="140" spans="1:16" x14ac:dyDescent="0.3">
      <c r="A140" s="1">
        <v>139</v>
      </c>
      <c r="B140">
        <v>345.87</v>
      </c>
      <c r="C140">
        <v>345.185</v>
      </c>
      <c r="D140" s="74">
        <v>345.28805912209901</v>
      </c>
      <c r="E140" t="str">
        <f t="shared" si="13"/>
        <v>Venta</v>
      </c>
      <c r="F140" t="str">
        <f t="shared" si="14"/>
        <v>Positivo</v>
      </c>
      <c r="G140" s="4">
        <f t="shared" si="15"/>
        <v>1.9805129094746647E-3</v>
      </c>
      <c r="H140" s="4">
        <f t="shared" si="16"/>
        <v>1.6825422207794561E-3</v>
      </c>
      <c r="I140" s="47" t="str">
        <f t="shared" si="17"/>
        <v>Venta</v>
      </c>
      <c r="J140" s="47" t="str">
        <f t="shared" si="18"/>
        <v>VentaVenta</v>
      </c>
      <c r="K140" s="47"/>
      <c r="L140" s="47"/>
      <c r="N140" s="47"/>
      <c r="O140" s="47"/>
      <c r="P140" s="47"/>
    </row>
    <row r="141" spans="1:16" x14ac:dyDescent="0.3">
      <c r="A141" s="1">
        <v>140</v>
      </c>
      <c r="B141">
        <v>347.245</v>
      </c>
      <c r="C141">
        <v>350.86</v>
      </c>
      <c r="D141" s="74">
        <v>346.57321915492508</v>
      </c>
      <c r="E141" t="str">
        <f t="shared" si="13"/>
        <v>Venta</v>
      </c>
      <c r="F141" t="str">
        <f t="shared" si="14"/>
        <v>Negativo</v>
      </c>
      <c r="G141" s="4">
        <f t="shared" si="15"/>
        <v>-1.0410517070080229E-2</v>
      </c>
      <c r="H141" s="4">
        <f t="shared" si="16"/>
        <v>1.9346019239295607E-3</v>
      </c>
      <c r="I141" s="47" t="str">
        <f t="shared" si="17"/>
        <v>Compra</v>
      </c>
      <c r="J141" s="47" t="str">
        <f t="shared" si="18"/>
        <v>VentaCompra</v>
      </c>
      <c r="K141" s="47"/>
      <c r="L141" s="47"/>
      <c r="N141" s="47"/>
      <c r="O141" s="47"/>
      <c r="P141" s="47"/>
    </row>
    <row r="142" spans="1:16" x14ac:dyDescent="0.3">
      <c r="A142" s="1">
        <v>141</v>
      </c>
      <c r="B142">
        <v>341.47</v>
      </c>
      <c r="C142">
        <v>337.92500000000001</v>
      </c>
      <c r="D142" s="74">
        <v>341.01947829813111</v>
      </c>
      <c r="E142" t="str">
        <f t="shared" si="13"/>
        <v>Venta</v>
      </c>
      <c r="F142" t="str">
        <f t="shared" si="14"/>
        <v>Positivo</v>
      </c>
      <c r="G142" s="4">
        <f t="shared" si="15"/>
        <v>1.0381585497994013E-2</v>
      </c>
      <c r="H142" s="4">
        <f t="shared" si="16"/>
        <v>1.3193595392535866E-3</v>
      </c>
      <c r="I142" s="47" t="str">
        <f t="shared" si="17"/>
        <v>Venta</v>
      </c>
      <c r="J142" s="47" t="str">
        <f t="shared" si="18"/>
        <v>VentaVenta</v>
      </c>
      <c r="K142" s="47"/>
      <c r="L142" s="47"/>
      <c r="N142" s="47"/>
      <c r="O142" s="47"/>
      <c r="P142" s="47"/>
    </row>
    <row r="143" spans="1:16" x14ac:dyDescent="0.3">
      <c r="A143" s="1">
        <v>142</v>
      </c>
      <c r="B143">
        <v>340.36</v>
      </c>
      <c r="C143">
        <v>330.67500000000001</v>
      </c>
      <c r="D143" s="74">
        <v>339.63758570960522</v>
      </c>
      <c r="E143" t="str">
        <f t="shared" si="13"/>
        <v>Venta</v>
      </c>
      <c r="F143" t="str">
        <f t="shared" si="14"/>
        <v>Positivo</v>
      </c>
      <c r="G143" s="4">
        <f t="shared" si="15"/>
        <v>2.8455165119285468E-2</v>
      </c>
      <c r="H143" s="4">
        <f t="shared" si="16"/>
        <v>2.1225005593923933E-3</v>
      </c>
      <c r="I143" s="47" t="str">
        <f t="shared" si="17"/>
        <v>Venta</v>
      </c>
      <c r="J143" s="47" t="str">
        <f t="shared" si="18"/>
        <v>VentaVenta</v>
      </c>
      <c r="K143" s="47"/>
      <c r="L143" s="47"/>
      <c r="N143" s="47"/>
      <c r="O143" s="47"/>
      <c r="P143" s="47"/>
    </row>
    <row r="144" spans="1:16" x14ac:dyDescent="0.3">
      <c r="A144" s="1">
        <v>143</v>
      </c>
      <c r="B144">
        <v>333.66500000000002</v>
      </c>
      <c r="C144">
        <v>338.34</v>
      </c>
      <c r="D144" s="74">
        <v>333.27754021822221</v>
      </c>
      <c r="E144" t="str">
        <f t="shared" si="13"/>
        <v>Venta</v>
      </c>
      <c r="F144" t="str">
        <f t="shared" si="14"/>
        <v>Negativo</v>
      </c>
      <c r="G144" s="4">
        <f t="shared" si="15"/>
        <v>-1.4011058996298545E-2</v>
      </c>
      <c r="H144" s="4">
        <f t="shared" si="16"/>
        <v>1.1612239275255321E-3</v>
      </c>
      <c r="I144" s="47" t="str">
        <f t="shared" si="17"/>
        <v>Compra</v>
      </c>
      <c r="J144" s="47" t="str">
        <f t="shared" si="18"/>
        <v>VentaCompra</v>
      </c>
      <c r="K144" s="47"/>
      <c r="L144" s="47"/>
      <c r="N144" s="47"/>
      <c r="O144" s="47"/>
      <c r="P144" s="47"/>
    </row>
    <row r="145" spans="1:16" x14ac:dyDescent="0.3">
      <c r="A145" s="1">
        <v>144</v>
      </c>
      <c r="B145">
        <v>337.01</v>
      </c>
      <c r="C145">
        <v>335.95499999999998</v>
      </c>
      <c r="D145" s="74">
        <v>336.33366896175153</v>
      </c>
      <c r="E145" t="str">
        <f t="shared" si="13"/>
        <v>Venta</v>
      </c>
      <c r="F145" t="str">
        <f t="shared" si="14"/>
        <v>Positivo</v>
      </c>
      <c r="G145" s="4">
        <f t="shared" si="15"/>
        <v>3.1304709059078568E-3</v>
      </c>
      <c r="H145" s="4">
        <f t="shared" si="16"/>
        <v>2.0068574767765448E-3</v>
      </c>
      <c r="I145" s="47" t="str">
        <f t="shared" si="17"/>
        <v>Venta</v>
      </c>
      <c r="J145" s="47" t="str">
        <f t="shared" si="18"/>
        <v>VentaVenta</v>
      </c>
      <c r="K145" s="47"/>
      <c r="L145" s="47"/>
      <c r="N145" s="47"/>
      <c r="O145" s="47"/>
      <c r="P145" s="47"/>
    </row>
    <row r="146" spans="1:16" x14ac:dyDescent="0.3">
      <c r="A146" s="1">
        <v>145</v>
      </c>
      <c r="B146">
        <v>335.11</v>
      </c>
      <c r="C146">
        <v>336.39499999999998</v>
      </c>
      <c r="D146" s="74">
        <v>334.36710439976503</v>
      </c>
      <c r="E146" t="str">
        <f t="shared" si="13"/>
        <v>Venta</v>
      </c>
      <c r="F146" t="str">
        <f t="shared" si="14"/>
        <v>Negativo</v>
      </c>
      <c r="G146" s="4">
        <f t="shared" si="15"/>
        <v>-3.8345617856822183E-3</v>
      </c>
      <c r="H146" s="4">
        <f t="shared" si="16"/>
        <v>2.2168708789203182E-3</v>
      </c>
      <c r="I146" s="47" t="str">
        <f t="shared" si="17"/>
        <v>Compra</v>
      </c>
      <c r="J146" s="47" t="str">
        <f t="shared" si="18"/>
        <v>VentaCompra</v>
      </c>
      <c r="K146" s="47"/>
      <c r="L146" s="47"/>
      <c r="N146" s="47"/>
      <c r="O146" s="47"/>
      <c r="P146" s="47"/>
    </row>
    <row r="147" spans="1:16" x14ac:dyDescent="0.3">
      <c r="A147" s="1">
        <v>146</v>
      </c>
      <c r="B147">
        <v>333.32000000000011</v>
      </c>
      <c r="C147">
        <v>327.52999999999997</v>
      </c>
      <c r="D147" s="74">
        <v>332.61316667289071</v>
      </c>
      <c r="E147" t="str">
        <f t="shared" si="13"/>
        <v>Venta</v>
      </c>
      <c r="F147" t="str">
        <f t="shared" si="14"/>
        <v>Positivo</v>
      </c>
      <c r="G147" s="4">
        <f t="shared" si="15"/>
        <v>1.737069482779351E-2</v>
      </c>
      <c r="H147" s="4">
        <f t="shared" si="16"/>
        <v>2.1205848047203685E-3</v>
      </c>
      <c r="I147" s="47" t="str">
        <f t="shared" si="17"/>
        <v>Venta</v>
      </c>
      <c r="J147" s="47" t="str">
        <f t="shared" si="18"/>
        <v>VentaVenta</v>
      </c>
      <c r="K147" s="47"/>
      <c r="L147" s="47"/>
      <c r="N147" s="47"/>
      <c r="O147" s="47"/>
      <c r="P147" s="47"/>
    </row>
    <row r="148" spans="1:16" x14ac:dyDescent="0.3">
      <c r="A148" s="1">
        <v>147</v>
      </c>
      <c r="B148">
        <v>326.04000000000002</v>
      </c>
      <c r="C148">
        <v>326.69499999999999</v>
      </c>
      <c r="D148" s="74">
        <v>325.42917960641711</v>
      </c>
      <c r="E148" t="str">
        <f t="shared" si="13"/>
        <v>Venta</v>
      </c>
      <c r="F148" t="str">
        <f t="shared" si="14"/>
        <v>Negativo</v>
      </c>
      <c r="G148" s="4">
        <f t="shared" si="15"/>
        <v>-2.0089559563242934E-3</v>
      </c>
      <c r="H148" s="4">
        <f t="shared" si="16"/>
        <v>1.8734523174546447E-3</v>
      </c>
      <c r="I148" s="47" t="str">
        <f t="shared" si="17"/>
        <v>Compra</v>
      </c>
      <c r="J148" s="47" t="str">
        <f t="shared" si="18"/>
        <v>VentaCompra</v>
      </c>
      <c r="K148" s="47"/>
      <c r="L148" s="47"/>
      <c r="N148" s="47"/>
      <c r="O148" s="47"/>
      <c r="P148" s="47"/>
    </row>
    <row r="149" spans="1:16" x14ac:dyDescent="0.3">
      <c r="A149" s="1">
        <v>148</v>
      </c>
      <c r="B149">
        <v>331.96</v>
      </c>
      <c r="C149">
        <v>327.815</v>
      </c>
      <c r="D149" s="74">
        <v>331.06695823260918</v>
      </c>
      <c r="E149" t="str">
        <f t="shared" si="13"/>
        <v>Venta</v>
      </c>
      <c r="F149" t="str">
        <f t="shared" si="14"/>
        <v>Positivo</v>
      </c>
      <c r="G149" s="4">
        <f t="shared" si="15"/>
        <v>1.2486444149897524E-2</v>
      </c>
      <c r="H149" s="4">
        <f t="shared" si="16"/>
        <v>2.6902089631003685E-3</v>
      </c>
      <c r="I149" s="47" t="str">
        <f t="shared" si="17"/>
        <v>Venta</v>
      </c>
      <c r="J149" s="47" t="str">
        <f t="shared" si="18"/>
        <v>VentaVenta</v>
      </c>
      <c r="K149" s="47"/>
      <c r="L149" s="47"/>
      <c r="N149" s="47"/>
      <c r="O149" s="47"/>
      <c r="P149" s="47"/>
    </row>
    <row r="150" spans="1:16" x14ac:dyDescent="0.3">
      <c r="A150" s="1">
        <v>149</v>
      </c>
      <c r="B150">
        <v>328.91</v>
      </c>
      <c r="C150">
        <v>330.13</v>
      </c>
      <c r="D150" s="74">
        <v>328.34367070100461</v>
      </c>
      <c r="E150" t="str">
        <f t="shared" si="13"/>
        <v>Venta</v>
      </c>
      <c r="F150" t="str">
        <f t="shared" si="14"/>
        <v>Negativo</v>
      </c>
      <c r="G150" s="4">
        <f t="shared" si="15"/>
        <v>-3.7092213675472634E-3</v>
      </c>
      <c r="H150" s="4">
        <f t="shared" si="16"/>
        <v>1.7218366695917209E-3</v>
      </c>
      <c r="I150" s="47" t="str">
        <f t="shared" si="17"/>
        <v>Compra</v>
      </c>
      <c r="J150" s="47" t="str">
        <f t="shared" si="18"/>
        <v>VentaCompra</v>
      </c>
      <c r="K150" s="47"/>
      <c r="L150" s="47"/>
      <c r="N150" s="47"/>
      <c r="O150" s="47"/>
      <c r="P150" s="47"/>
    </row>
    <row r="151" spans="1:16" x14ac:dyDescent="0.3">
      <c r="A151" s="1">
        <v>150</v>
      </c>
      <c r="B151">
        <v>327.125</v>
      </c>
      <c r="C151">
        <v>326.125</v>
      </c>
      <c r="D151" s="74">
        <v>325.88149914246958</v>
      </c>
      <c r="E151" t="str">
        <f t="shared" si="13"/>
        <v>Venta</v>
      </c>
      <c r="F151" t="str">
        <f t="shared" si="14"/>
        <v>Positivo</v>
      </c>
      <c r="G151" s="4">
        <f t="shared" si="15"/>
        <v>3.0569354222392052E-3</v>
      </c>
      <c r="H151" s="4">
        <f t="shared" si="16"/>
        <v>3.801301818969571E-3</v>
      </c>
      <c r="I151" s="47" t="str">
        <f t="shared" si="17"/>
        <v>Venta</v>
      </c>
      <c r="J151" s="47" t="str">
        <f t="shared" si="18"/>
        <v>VentaVenta</v>
      </c>
      <c r="K151" s="47"/>
      <c r="L151" s="47"/>
      <c r="N151" s="47"/>
      <c r="O151" s="47"/>
      <c r="P151" s="47"/>
    </row>
    <row r="152" spans="1:16" x14ac:dyDescent="0.3">
      <c r="A152" s="1">
        <v>151</v>
      </c>
      <c r="B152">
        <v>326.52999999999997</v>
      </c>
      <c r="C152">
        <v>322.28500000000003</v>
      </c>
      <c r="D152" s="74">
        <v>325.40501117710591</v>
      </c>
      <c r="E152" t="str">
        <f t="shared" si="13"/>
        <v>Venta</v>
      </c>
      <c r="F152" t="str">
        <f t="shared" si="14"/>
        <v>Positivo</v>
      </c>
      <c r="G152" s="4">
        <f t="shared" si="15"/>
        <v>1.3000336875631483E-2</v>
      </c>
      <c r="H152" s="4">
        <f t="shared" si="16"/>
        <v>3.4452847300219512E-3</v>
      </c>
      <c r="I152" s="47" t="str">
        <f t="shared" si="17"/>
        <v>Venta</v>
      </c>
      <c r="J152" s="47" t="str">
        <f t="shared" si="18"/>
        <v>VentaVenta</v>
      </c>
      <c r="K152" s="47"/>
      <c r="L152" s="47"/>
      <c r="N152" s="47"/>
      <c r="O152" s="47"/>
      <c r="P152" s="47"/>
    </row>
    <row r="153" spans="1:16" x14ac:dyDescent="0.3">
      <c r="A153" s="1">
        <v>152</v>
      </c>
      <c r="B153">
        <v>326.08999999999997</v>
      </c>
      <c r="C153">
        <v>322.97000000000003</v>
      </c>
      <c r="D153" s="74">
        <v>324.99791835363561</v>
      </c>
      <c r="E153" t="str">
        <f t="shared" si="13"/>
        <v>Venta</v>
      </c>
      <c r="F153" t="str">
        <f t="shared" si="14"/>
        <v>Positivo</v>
      </c>
      <c r="G153" s="4">
        <f t="shared" si="15"/>
        <v>9.5679106994999777E-3</v>
      </c>
      <c r="H153" s="4">
        <f t="shared" si="16"/>
        <v>3.3490191246722174E-3</v>
      </c>
      <c r="I153" s="47" t="str">
        <f t="shared" si="17"/>
        <v>Venta</v>
      </c>
      <c r="J153" s="47" t="str">
        <f t="shared" si="18"/>
        <v>VentaVenta</v>
      </c>
      <c r="K153" s="47"/>
      <c r="L153" s="47"/>
      <c r="N153" s="47"/>
      <c r="O153" s="47"/>
      <c r="P153" s="47"/>
    </row>
    <row r="154" spans="1:16" x14ac:dyDescent="0.3">
      <c r="A154" s="1">
        <v>153</v>
      </c>
      <c r="B154">
        <v>320.2</v>
      </c>
      <c r="C154">
        <v>321.09500000000003</v>
      </c>
      <c r="D154" s="74">
        <v>319.46807829029461</v>
      </c>
      <c r="E154" t="str">
        <f t="shared" si="13"/>
        <v>Venta</v>
      </c>
      <c r="F154" t="str">
        <f t="shared" si="14"/>
        <v>Negativo</v>
      </c>
      <c r="G154" s="4">
        <f t="shared" si="15"/>
        <v>-2.7951280449720135E-3</v>
      </c>
      <c r="H154" s="4">
        <f t="shared" si="16"/>
        <v>2.2858267011410843E-3</v>
      </c>
      <c r="I154" s="47" t="str">
        <f t="shared" si="17"/>
        <v>Compra</v>
      </c>
      <c r="J154" s="47" t="str">
        <f t="shared" si="18"/>
        <v>VentaCompra</v>
      </c>
      <c r="K154" s="47"/>
      <c r="L154" s="47"/>
      <c r="N154" s="47"/>
      <c r="O154" s="47"/>
      <c r="P154" s="47"/>
    </row>
    <row r="155" spans="1:16" x14ac:dyDescent="0.3">
      <c r="A155" s="1">
        <v>154</v>
      </c>
      <c r="B155">
        <v>321.41000000000003</v>
      </c>
      <c r="C155">
        <v>324.01</v>
      </c>
      <c r="D155" s="74">
        <v>320.32432617015132</v>
      </c>
      <c r="E155" t="str">
        <f t="shared" si="13"/>
        <v>Venta</v>
      </c>
      <c r="F155" t="str">
        <f t="shared" si="14"/>
        <v>Negativo</v>
      </c>
      <c r="G155" s="4">
        <f t="shared" si="15"/>
        <v>-8.0893562739179411E-3</v>
      </c>
      <c r="H155" s="4">
        <f t="shared" si="16"/>
        <v>3.3778470795827807E-3</v>
      </c>
      <c r="I155" s="47" t="str">
        <f t="shared" si="17"/>
        <v>Compra</v>
      </c>
      <c r="J155" s="47" t="str">
        <f t="shared" si="18"/>
        <v>VentaCompra</v>
      </c>
      <c r="K155" s="47"/>
      <c r="L155" s="47"/>
      <c r="N155" s="47"/>
      <c r="O155" s="47"/>
      <c r="P155" s="47"/>
    </row>
    <row r="156" spans="1:16" x14ac:dyDescent="0.3">
      <c r="A156" s="1">
        <v>155</v>
      </c>
      <c r="B156">
        <v>322.97000000000003</v>
      </c>
      <c r="C156">
        <v>321.92</v>
      </c>
      <c r="D156" s="74">
        <v>321.83550260194983</v>
      </c>
      <c r="E156" t="str">
        <f t="shared" si="13"/>
        <v>Venta</v>
      </c>
      <c r="F156" t="str">
        <f t="shared" si="14"/>
        <v>Positivo</v>
      </c>
      <c r="G156" s="4">
        <f t="shared" si="15"/>
        <v>3.2510759513267834E-3</v>
      </c>
      <c r="H156" s="4">
        <f t="shared" si="16"/>
        <v>3.5127021025178821E-3</v>
      </c>
      <c r="I156" s="47" t="str">
        <f t="shared" si="17"/>
        <v>Venta</v>
      </c>
      <c r="J156" s="47" t="str">
        <f t="shared" si="18"/>
        <v>VentaVenta</v>
      </c>
      <c r="K156" s="47"/>
      <c r="L156" s="47"/>
      <c r="N156" s="47"/>
      <c r="O156" s="47"/>
      <c r="P156" s="47"/>
    </row>
    <row r="157" spans="1:16" x14ac:dyDescent="0.3">
      <c r="A157" s="1">
        <v>156</v>
      </c>
      <c r="B157">
        <v>320.89999999999998</v>
      </c>
      <c r="C157">
        <v>320.39</v>
      </c>
      <c r="D157" s="74">
        <v>319.78258168044113</v>
      </c>
      <c r="E157" t="str">
        <f t="shared" si="13"/>
        <v>Venta</v>
      </c>
      <c r="F157" t="str">
        <f t="shared" si="14"/>
        <v>Positivo</v>
      </c>
      <c r="G157" s="4">
        <f t="shared" si="15"/>
        <v>1.5892801495792799E-3</v>
      </c>
      <c r="H157" s="4">
        <f t="shared" si="16"/>
        <v>3.4821387334336281E-3</v>
      </c>
      <c r="I157" s="47" t="str">
        <f t="shared" si="17"/>
        <v>Venta</v>
      </c>
      <c r="J157" s="47" t="str">
        <f t="shared" si="18"/>
        <v>VentaVenta</v>
      </c>
      <c r="K157" s="47"/>
      <c r="L157" s="47"/>
      <c r="N157" s="47"/>
      <c r="O157" s="47"/>
      <c r="P157" s="47"/>
    </row>
    <row r="158" spans="1:16" x14ac:dyDescent="0.3">
      <c r="A158" s="1">
        <v>157</v>
      </c>
      <c r="B158">
        <v>320.76</v>
      </c>
      <c r="C158">
        <v>316.83</v>
      </c>
      <c r="D158" s="74">
        <v>319.78897051615269</v>
      </c>
      <c r="E158" t="str">
        <f t="shared" si="13"/>
        <v>Venta</v>
      </c>
      <c r="F158" t="str">
        <f t="shared" si="14"/>
        <v>Positivo</v>
      </c>
      <c r="G158" s="4">
        <f t="shared" si="15"/>
        <v>1.2252151141040052E-2</v>
      </c>
      <c r="H158" s="4">
        <f t="shared" si="16"/>
        <v>3.0272773533087144E-3</v>
      </c>
      <c r="I158" s="47" t="str">
        <f t="shared" si="17"/>
        <v>Venta</v>
      </c>
      <c r="J158" s="47" t="str">
        <f t="shared" si="18"/>
        <v>VentaVenta</v>
      </c>
      <c r="K158" s="47"/>
      <c r="L158" s="47"/>
      <c r="N158" s="47"/>
      <c r="O158" s="47"/>
      <c r="P158" s="47"/>
    </row>
    <row r="159" spans="1:16" x14ac:dyDescent="0.3">
      <c r="A159" s="1">
        <v>158</v>
      </c>
      <c r="B159">
        <v>314.44</v>
      </c>
      <c r="C159">
        <v>316.62</v>
      </c>
      <c r="D159" s="74">
        <v>313.47680225955509</v>
      </c>
      <c r="E159" t="str">
        <f t="shared" si="13"/>
        <v>Venta</v>
      </c>
      <c r="F159" t="str">
        <f t="shared" si="14"/>
        <v>Negativo</v>
      </c>
      <c r="G159" s="4">
        <f t="shared" si="15"/>
        <v>-6.9329601831828232E-3</v>
      </c>
      <c r="H159" s="4">
        <f t="shared" si="16"/>
        <v>3.0632163224936768E-3</v>
      </c>
      <c r="I159" s="47" t="str">
        <f t="shared" si="17"/>
        <v>Compra</v>
      </c>
      <c r="J159" s="47" t="str">
        <f t="shared" si="18"/>
        <v>VentaCompra</v>
      </c>
      <c r="K159" s="47"/>
      <c r="L159" s="47"/>
      <c r="N159" s="47"/>
      <c r="O159" s="47"/>
      <c r="P159" s="47"/>
    </row>
    <row r="160" spans="1:16" x14ac:dyDescent="0.3">
      <c r="A160" s="1">
        <v>159</v>
      </c>
      <c r="B160">
        <v>317.86500000000001</v>
      </c>
      <c r="C160">
        <v>321.89499999999998</v>
      </c>
      <c r="D160" s="74">
        <v>316.80246432430152</v>
      </c>
      <c r="E160" t="str">
        <f t="shared" si="13"/>
        <v>Venta</v>
      </c>
      <c r="F160" t="str">
        <f t="shared" si="14"/>
        <v>Negativo</v>
      </c>
      <c r="G160" s="4">
        <f t="shared" si="15"/>
        <v>-1.2678338288266946E-2</v>
      </c>
      <c r="H160" s="4">
        <f t="shared" si="16"/>
        <v>3.3427262381781077E-3</v>
      </c>
      <c r="I160" s="47" t="str">
        <f t="shared" si="17"/>
        <v>Compra</v>
      </c>
      <c r="J160" s="47" t="str">
        <f t="shared" si="18"/>
        <v>VentaCompra</v>
      </c>
      <c r="K160" s="47"/>
      <c r="L160" s="47"/>
      <c r="N160" s="47"/>
      <c r="O160" s="47"/>
      <c r="P160" s="47"/>
    </row>
    <row r="161" spans="1:16" x14ac:dyDescent="0.3">
      <c r="A161" s="1">
        <v>160</v>
      </c>
      <c r="B161">
        <v>325.47000000000003</v>
      </c>
      <c r="C161">
        <v>322.42500000000001</v>
      </c>
      <c r="D161" s="74">
        <v>324.30648161854759</v>
      </c>
      <c r="E161" t="str">
        <f t="shared" si="13"/>
        <v>Venta</v>
      </c>
      <c r="F161" t="str">
        <f t="shared" si="14"/>
        <v>Positivo</v>
      </c>
      <c r="G161" s="4">
        <f t="shared" si="15"/>
        <v>9.3557009862660634E-3</v>
      </c>
      <c r="H161" s="4">
        <f t="shared" si="16"/>
        <v>3.5748867221324049E-3</v>
      </c>
      <c r="I161" s="47" t="str">
        <f t="shared" si="17"/>
        <v>Venta</v>
      </c>
      <c r="J161" s="47" t="str">
        <f t="shared" si="18"/>
        <v>VentaVenta</v>
      </c>
      <c r="K161" s="47"/>
      <c r="L161" s="47"/>
      <c r="N161" s="47"/>
      <c r="O161" s="47"/>
      <c r="P161" s="47"/>
    </row>
    <row r="162" spans="1:16" x14ac:dyDescent="0.3">
      <c r="A162" s="1">
        <v>161</v>
      </c>
      <c r="B162">
        <v>323.83499999999998</v>
      </c>
      <c r="C162">
        <v>327.02999999999997</v>
      </c>
      <c r="D162" s="74">
        <v>323.30487217683668</v>
      </c>
      <c r="E162" t="str">
        <f t="shared" si="13"/>
        <v>Venta</v>
      </c>
      <c r="F162" t="str">
        <f t="shared" si="14"/>
        <v>Negativo</v>
      </c>
      <c r="G162" s="4">
        <f t="shared" si="15"/>
        <v>-9.8661355319838596E-3</v>
      </c>
      <c r="H162" s="4">
        <f t="shared" si="16"/>
        <v>1.6370306580922316E-3</v>
      </c>
      <c r="I162" s="47" t="str">
        <f t="shared" si="17"/>
        <v>Compra</v>
      </c>
      <c r="J162" s="47" t="str">
        <f t="shared" si="18"/>
        <v>VentaCompra</v>
      </c>
      <c r="K162" s="47"/>
      <c r="L162" s="47"/>
      <c r="N162" s="47"/>
      <c r="O162" s="47"/>
      <c r="P162" s="47"/>
    </row>
    <row r="163" spans="1:16" x14ac:dyDescent="0.3">
      <c r="A163" s="1">
        <v>162</v>
      </c>
      <c r="B163">
        <v>332.77499999999998</v>
      </c>
      <c r="C163">
        <v>319.95</v>
      </c>
      <c r="D163" s="74">
        <v>331.89942042788351</v>
      </c>
      <c r="E163" t="str">
        <f t="shared" si="13"/>
        <v>Venta</v>
      </c>
      <c r="F163" t="str">
        <f t="shared" si="14"/>
        <v>Positivo</v>
      </c>
      <c r="G163" s="4">
        <f t="shared" si="15"/>
        <v>3.8539553752535469E-2</v>
      </c>
      <c r="H163" s="4">
        <f t="shared" si="16"/>
        <v>2.6311458857079546E-3</v>
      </c>
      <c r="I163" s="47" t="str">
        <f t="shared" si="17"/>
        <v>Venta</v>
      </c>
      <c r="J163" s="47" t="str">
        <f t="shared" si="18"/>
        <v>VentaVenta</v>
      </c>
      <c r="K163" s="47"/>
      <c r="L163" s="47"/>
      <c r="N163" s="47"/>
      <c r="O163" s="47"/>
      <c r="P163" s="47"/>
    </row>
    <row r="164" spans="1:16" x14ac:dyDescent="0.3">
      <c r="A164" s="1">
        <v>163</v>
      </c>
      <c r="B164">
        <v>321.47000000000003</v>
      </c>
      <c r="C164">
        <v>322.95999999999998</v>
      </c>
      <c r="D164" s="74">
        <v>321.55076088759103</v>
      </c>
      <c r="E164" t="str">
        <f t="shared" si="13"/>
        <v>Compra</v>
      </c>
      <c r="F164" t="str">
        <f t="shared" si="14"/>
        <v>Positivo</v>
      </c>
      <c r="G164" s="4">
        <f t="shared" si="15"/>
        <v>4.6349581609479952E-3</v>
      </c>
      <c r="H164" s="4">
        <f t="shared" si="16"/>
        <v>2.5122371478208776E-4</v>
      </c>
      <c r="I164" s="47" t="str">
        <f t="shared" si="17"/>
        <v>Compra</v>
      </c>
      <c r="J164" s="47" t="str">
        <f t="shared" si="18"/>
        <v>CompraCompra</v>
      </c>
      <c r="K164" s="47"/>
      <c r="L164" s="47"/>
      <c r="N164" s="47"/>
      <c r="O164" s="47"/>
      <c r="P164" s="47"/>
    </row>
    <row r="165" spans="1:16" x14ac:dyDescent="0.3">
      <c r="A165" s="1">
        <v>164</v>
      </c>
      <c r="B165">
        <v>325.51</v>
      </c>
      <c r="C165">
        <v>323.83</v>
      </c>
      <c r="D165" s="74">
        <v>325.40889326151148</v>
      </c>
      <c r="E165" t="str">
        <f t="shared" si="13"/>
        <v>Venta</v>
      </c>
      <c r="F165" t="str">
        <f t="shared" si="14"/>
        <v>Positivo</v>
      </c>
      <c r="G165" s="4">
        <f t="shared" si="15"/>
        <v>5.1611317624650757E-3</v>
      </c>
      <c r="H165" s="4">
        <f t="shared" si="16"/>
        <v>3.1061023774541776E-4</v>
      </c>
      <c r="I165" s="47" t="str">
        <f t="shared" si="17"/>
        <v>Venta</v>
      </c>
      <c r="J165" s="47" t="str">
        <f t="shared" si="18"/>
        <v>VentaVenta</v>
      </c>
      <c r="K165" s="47"/>
      <c r="L165" s="47"/>
      <c r="N165" s="47"/>
      <c r="O165" s="47"/>
      <c r="P165" s="47"/>
    </row>
    <row r="166" spans="1:16" x14ac:dyDescent="0.3">
      <c r="A166" s="1">
        <v>165</v>
      </c>
      <c r="B166">
        <v>322.04500000000002</v>
      </c>
      <c r="C166">
        <v>328.36</v>
      </c>
      <c r="D166" s="74">
        <v>322.14948597477962</v>
      </c>
      <c r="E166" t="str">
        <f t="shared" si="13"/>
        <v>Compra</v>
      </c>
      <c r="F166" t="str">
        <f t="shared" si="14"/>
        <v>Positivo</v>
      </c>
      <c r="G166" s="4">
        <f t="shared" si="15"/>
        <v>1.9609060845534002E-2</v>
      </c>
      <c r="H166" s="4">
        <f t="shared" si="16"/>
        <v>3.2444526317628516E-4</v>
      </c>
      <c r="I166" s="47" t="str">
        <f t="shared" si="17"/>
        <v>Compra</v>
      </c>
      <c r="J166" s="47" t="str">
        <f t="shared" si="18"/>
        <v>CompraCompra</v>
      </c>
      <c r="K166" s="47"/>
      <c r="L166" s="47"/>
      <c r="N166" s="47"/>
      <c r="O166" s="47"/>
      <c r="P166" s="47"/>
    </row>
    <row r="167" spans="1:16" x14ac:dyDescent="0.3">
      <c r="A167" s="1">
        <v>166</v>
      </c>
      <c r="B167">
        <v>328.61</v>
      </c>
      <c r="C167">
        <v>328.8</v>
      </c>
      <c r="D167" s="74">
        <v>328.3010980578336</v>
      </c>
      <c r="E167" t="str">
        <f t="shared" si="13"/>
        <v>Venta</v>
      </c>
      <c r="F167" t="str">
        <f t="shared" si="14"/>
        <v>Negativo</v>
      </c>
      <c r="G167" s="4">
        <f t="shared" si="15"/>
        <v>-5.7819299473539372E-4</v>
      </c>
      <c r="H167" s="4">
        <f t="shared" si="16"/>
        <v>9.4002599484621511E-4</v>
      </c>
      <c r="I167" s="47" t="str">
        <f t="shared" si="17"/>
        <v>Compra</v>
      </c>
      <c r="J167" s="47" t="str">
        <f t="shared" si="18"/>
        <v>VentaCompra</v>
      </c>
      <c r="K167" s="47"/>
      <c r="L167" s="47"/>
      <c r="N167" s="47"/>
      <c r="O167" s="47"/>
      <c r="P167" s="47"/>
    </row>
    <row r="168" spans="1:16" x14ac:dyDescent="0.3">
      <c r="A168" s="1">
        <v>167</v>
      </c>
      <c r="B168">
        <v>329.16500000000002</v>
      </c>
      <c r="C168">
        <v>327.88499999999999</v>
      </c>
      <c r="D168" s="74">
        <v>329.09898666186803</v>
      </c>
      <c r="E168" t="str">
        <f t="shared" si="13"/>
        <v>Venta</v>
      </c>
      <c r="F168" t="str">
        <f t="shared" si="14"/>
        <v>Positivo</v>
      </c>
      <c r="G168" s="4">
        <f t="shared" si="15"/>
        <v>3.8886272841888703E-3</v>
      </c>
      <c r="H168" s="4">
        <f t="shared" si="16"/>
        <v>2.0054786545348129E-4</v>
      </c>
      <c r="I168" s="47" t="str">
        <f t="shared" si="17"/>
        <v>Venta</v>
      </c>
      <c r="J168" s="47" t="str">
        <f t="shared" si="18"/>
        <v>VentaVenta</v>
      </c>
      <c r="K168" s="47"/>
      <c r="L168" s="47"/>
      <c r="N168" s="47"/>
      <c r="O168" s="47"/>
      <c r="P168" s="47"/>
    </row>
    <row r="169" spans="1:16" x14ac:dyDescent="0.3">
      <c r="A169" s="1">
        <v>168</v>
      </c>
      <c r="G169" s="4"/>
      <c r="H169" s="4"/>
      <c r="I169" s="47"/>
      <c r="J169" s="47"/>
      <c r="K169" s="47"/>
      <c r="L169" s="47"/>
      <c r="N169" s="47"/>
      <c r="O169" s="47"/>
      <c r="P169" s="47"/>
    </row>
    <row r="170" spans="1:16" x14ac:dyDescent="0.3">
      <c r="A170" s="1">
        <v>169</v>
      </c>
      <c r="G170" s="4"/>
      <c r="H170" s="4"/>
      <c r="I170" s="47"/>
      <c r="J170" s="47"/>
      <c r="K170" s="47"/>
      <c r="L170" s="47"/>
      <c r="N170" s="47"/>
      <c r="O170" s="47"/>
      <c r="P170" s="47"/>
    </row>
    <row r="171" spans="1:16" x14ac:dyDescent="0.3">
      <c r="A171" s="1">
        <v>170</v>
      </c>
      <c r="G171" s="4"/>
      <c r="H171" s="4"/>
      <c r="I171" s="47"/>
      <c r="J171" s="47"/>
      <c r="K171" s="47"/>
      <c r="L171" s="47"/>
      <c r="N171" s="47"/>
      <c r="O171" s="47"/>
      <c r="P171" s="47"/>
    </row>
    <row r="172" spans="1:16" x14ac:dyDescent="0.3">
      <c r="A172" s="1">
        <v>171</v>
      </c>
      <c r="G172" s="4"/>
      <c r="H172" s="4"/>
      <c r="I172" s="47"/>
      <c r="J172" s="47"/>
      <c r="K172" s="47"/>
      <c r="L172" s="47"/>
      <c r="N172" s="47"/>
      <c r="O172" s="47"/>
      <c r="P172" s="47"/>
    </row>
    <row r="173" spans="1:16" x14ac:dyDescent="0.3">
      <c r="A173" s="1">
        <v>172</v>
      </c>
      <c r="G173" s="4"/>
      <c r="H173" s="4"/>
      <c r="I173" s="47"/>
      <c r="J173" s="47"/>
      <c r="K173" s="47"/>
      <c r="L173" s="47"/>
      <c r="N173" s="47"/>
      <c r="O173" s="47"/>
      <c r="P173" s="47"/>
    </row>
    <row r="174" spans="1:16" x14ac:dyDescent="0.3">
      <c r="A174" s="1">
        <v>173</v>
      </c>
      <c r="G174" s="4"/>
      <c r="H174" s="4"/>
      <c r="I174" s="47"/>
      <c r="J174" s="47"/>
      <c r="K174" s="47"/>
      <c r="L174" s="47"/>
      <c r="N174" s="47"/>
      <c r="O174" s="47"/>
      <c r="P174" s="47"/>
    </row>
    <row r="175" spans="1:16" x14ac:dyDescent="0.3">
      <c r="A175" s="1">
        <v>174</v>
      </c>
      <c r="G175" s="4"/>
      <c r="H175" s="4"/>
      <c r="I175" s="47"/>
      <c r="J175" s="47"/>
      <c r="K175" s="47"/>
      <c r="L175" s="47"/>
      <c r="N175" s="47"/>
      <c r="O175" s="47"/>
      <c r="P175" s="47"/>
    </row>
    <row r="176" spans="1:16" x14ac:dyDescent="0.3">
      <c r="A176" s="1">
        <v>175</v>
      </c>
      <c r="G176" s="4"/>
      <c r="H176" s="4"/>
      <c r="I176" s="47"/>
      <c r="J176" s="47"/>
      <c r="K176" s="47"/>
      <c r="L176" s="47"/>
      <c r="N176" s="47"/>
      <c r="O176" s="47"/>
      <c r="P176" s="47"/>
    </row>
    <row r="177" spans="1:16" x14ac:dyDescent="0.3">
      <c r="A177" s="1">
        <v>176</v>
      </c>
      <c r="G177" s="4"/>
      <c r="H177" s="4"/>
      <c r="I177" s="47"/>
      <c r="J177" s="47"/>
      <c r="K177" s="47"/>
      <c r="L177" s="47"/>
      <c r="N177" s="47"/>
      <c r="O177" s="47"/>
      <c r="P177" s="47"/>
    </row>
    <row r="178" spans="1:16" x14ac:dyDescent="0.3">
      <c r="A178" s="1">
        <v>177</v>
      </c>
      <c r="G178" s="4"/>
      <c r="H178" s="4"/>
      <c r="I178" s="47"/>
      <c r="J178" s="47"/>
      <c r="K178" s="47"/>
      <c r="L178" s="47"/>
      <c r="N178" s="47"/>
      <c r="O178" s="47"/>
      <c r="P178" s="47"/>
    </row>
    <row r="179" spans="1:16" x14ac:dyDescent="0.3">
      <c r="A179" s="1">
        <v>178</v>
      </c>
      <c r="G179" s="4"/>
      <c r="H179" s="4"/>
      <c r="I179" s="47"/>
      <c r="J179" s="47"/>
      <c r="K179" s="47"/>
      <c r="L179" s="47"/>
      <c r="N179" s="47"/>
      <c r="O179" s="47"/>
      <c r="P179" s="47"/>
    </row>
    <row r="180" spans="1:16" x14ac:dyDescent="0.3">
      <c r="A180" s="1">
        <v>179</v>
      </c>
      <c r="G180" s="4"/>
      <c r="H180" s="4"/>
      <c r="I180" s="47"/>
      <c r="J180" s="47"/>
      <c r="K180" s="47"/>
      <c r="L180" s="47"/>
      <c r="N180" s="47"/>
      <c r="O180" s="47"/>
      <c r="P180" s="47"/>
    </row>
    <row r="181" spans="1:16" x14ac:dyDescent="0.3">
      <c r="A181" s="1">
        <v>180</v>
      </c>
      <c r="G181" s="4"/>
      <c r="H181" s="4"/>
      <c r="I181" s="47"/>
      <c r="J181" s="47"/>
      <c r="K181" s="47"/>
      <c r="L181" s="47"/>
      <c r="N181" s="47"/>
      <c r="O181" s="47"/>
      <c r="P181" s="47"/>
    </row>
    <row r="182" spans="1:16" x14ac:dyDescent="0.3">
      <c r="A182" s="1">
        <v>181</v>
      </c>
      <c r="G182" s="4"/>
      <c r="H182" s="4"/>
      <c r="I182" s="47"/>
      <c r="J182" s="47"/>
      <c r="K182" s="47"/>
      <c r="L182" s="47"/>
      <c r="N182" s="47"/>
      <c r="O182" s="47"/>
      <c r="P182" s="47"/>
    </row>
    <row r="183" spans="1:16" x14ac:dyDescent="0.3">
      <c r="A183" s="1">
        <v>182</v>
      </c>
      <c r="G183" s="4"/>
      <c r="H183" s="4"/>
      <c r="I183" s="47"/>
      <c r="J183" s="47"/>
      <c r="K183" s="47"/>
      <c r="L183" s="47"/>
      <c r="N183" s="47"/>
      <c r="O183" s="47"/>
      <c r="P183" s="47"/>
    </row>
    <row r="184" spans="1:16" x14ac:dyDescent="0.3">
      <c r="A184" s="1">
        <v>183</v>
      </c>
      <c r="G184" s="4"/>
      <c r="H184" s="4"/>
      <c r="I184" s="47"/>
      <c r="J184" s="47"/>
      <c r="K184" s="47"/>
      <c r="L184" s="47"/>
      <c r="N184" s="47"/>
      <c r="O184" s="47"/>
      <c r="P184" s="47"/>
    </row>
    <row r="185" spans="1:16" x14ac:dyDescent="0.3">
      <c r="A185" s="1">
        <v>184</v>
      </c>
      <c r="G185" s="4"/>
      <c r="H185" s="4"/>
      <c r="I185" s="47"/>
      <c r="J185" s="47"/>
      <c r="K185" s="47"/>
      <c r="L185" s="47"/>
      <c r="N185" s="47"/>
      <c r="O185" s="47"/>
      <c r="P185" s="47"/>
    </row>
    <row r="186" spans="1:16" x14ac:dyDescent="0.3">
      <c r="A186" s="1">
        <v>185</v>
      </c>
      <c r="G186" s="4"/>
      <c r="H186" s="4"/>
      <c r="I186" s="47"/>
      <c r="J186" s="47"/>
      <c r="K186" s="47"/>
      <c r="L186" s="47"/>
      <c r="N186" s="47"/>
      <c r="O186" s="47"/>
      <c r="P186" s="47"/>
    </row>
    <row r="187" spans="1:16" x14ac:dyDescent="0.3">
      <c r="A187" s="1">
        <v>186</v>
      </c>
      <c r="G187" s="4"/>
      <c r="H187" s="4"/>
      <c r="I187" s="47"/>
      <c r="J187" s="47"/>
      <c r="K187" s="47"/>
      <c r="L187" s="47"/>
      <c r="N187" s="47"/>
      <c r="O187" s="47"/>
      <c r="P187" s="47"/>
    </row>
    <row r="188" spans="1:16" x14ac:dyDescent="0.3">
      <c r="A188" s="1">
        <v>187</v>
      </c>
      <c r="G188" s="4"/>
      <c r="H188" s="4"/>
      <c r="I188" s="47"/>
      <c r="J188" s="47"/>
      <c r="K188" s="47"/>
      <c r="L188" s="47"/>
      <c r="N188" s="47"/>
      <c r="O188" s="47"/>
      <c r="P188" s="47"/>
    </row>
    <row r="189" spans="1:16" x14ac:dyDescent="0.3">
      <c r="A189" s="1">
        <v>188</v>
      </c>
      <c r="G189" s="4"/>
      <c r="H189" s="4"/>
      <c r="I189" s="47"/>
      <c r="J189" s="47"/>
      <c r="K189" s="47"/>
      <c r="L189" s="47"/>
      <c r="N189" s="47"/>
      <c r="O189" s="47"/>
      <c r="P189" s="47"/>
    </row>
    <row r="190" spans="1:16" x14ac:dyDescent="0.3">
      <c r="A190" s="1">
        <v>189</v>
      </c>
      <c r="G190" s="4"/>
      <c r="H190" s="4"/>
      <c r="I190" s="47"/>
      <c r="J190" s="47"/>
      <c r="K190" s="47"/>
      <c r="L190" s="47"/>
      <c r="N190" s="47"/>
      <c r="O190" s="47"/>
      <c r="P190" s="47"/>
    </row>
    <row r="191" spans="1:16" x14ac:dyDescent="0.3">
      <c r="A191" s="1">
        <v>190</v>
      </c>
      <c r="G191" s="4"/>
      <c r="H191" s="4"/>
      <c r="I191" s="47"/>
      <c r="J191" s="47"/>
      <c r="K191" s="47"/>
      <c r="L191" s="47"/>
      <c r="N191" s="47"/>
      <c r="O191" s="47"/>
      <c r="P191" s="47"/>
    </row>
    <row r="192" spans="1:16" x14ac:dyDescent="0.3">
      <c r="A192" s="1">
        <v>191</v>
      </c>
      <c r="G192" s="4"/>
      <c r="H192" s="4"/>
      <c r="I192" s="47"/>
      <c r="J192" s="47"/>
      <c r="K192" s="47"/>
      <c r="L192" s="47"/>
      <c r="N192" s="47"/>
      <c r="O192" s="47"/>
      <c r="P192" s="47"/>
    </row>
    <row r="193" spans="1:16" x14ac:dyDescent="0.3">
      <c r="A193" s="1">
        <v>192</v>
      </c>
      <c r="G193" s="4"/>
      <c r="H193" s="4"/>
      <c r="I193" s="47"/>
      <c r="J193" s="47"/>
      <c r="K193" s="47"/>
      <c r="L193" s="47"/>
      <c r="N193" s="47"/>
      <c r="O193" s="47"/>
      <c r="P193" s="47"/>
    </row>
    <row r="194" spans="1:16" x14ac:dyDescent="0.3">
      <c r="A194" s="1">
        <v>193</v>
      </c>
      <c r="G194" s="4"/>
      <c r="H194" s="4"/>
      <c r="I194" s="47"/>
      <c r="J194" s="47"/>
      <c r="K194" s="47"/>
      <c r="L194" s="47"/>
      <c r="N194" s="47"/>
      <c r="O194" s="47"/>
      <c r="P194" s="47"/>
    </row>
    <row r="195" spans="1:16" x14ac:dyDescent="0.3">
      <c r="A195" s="1">
        <v>194</v>
      </c>
      <c r="G195" s="4"/>
      <c r="H195" s="4"/>
      <c r="I195" s="47"/>
      <c r="J195" s="47"/>
      <c r="K195" s="47"/>
      <c r="L195" s="47"/>
      <c r="N195" s="47"/>
      <c r="O195" s="47"/>
      <c r="P195" s="47"/>
    </row>
    <row r="196" spans="1:16" x14ac:dyDescent="0.3">
      <c r="A196" s="1">
        <v>195</v>
      </c>
      <c r="G196" s="4"/>
      <c r="H196" s="4"/>
      <c r="I196" s="47"/>
      <c r="J196" s="47"/>
      <c r="K196" s="47"/>
      <c r="L196" s="47"/>
      <c r="N196" s="47"/>
      <c r="O196" s="47"/>
      <c r="P196" s="47"/>
    </row>
    <row r="197" spans="1:16" x14ac:dyDescent="0.3">
      <c r="A197" s="1">
        <v>196</v>
      </c>
      <c r="G197" s="4"/>
      <c r="H197" s="4"/>
      <c r="I197" s="47"/>
      <c r="J197" s="47"/>
      <c r="K197" s="47"/>
      <c r="L197" s="47"/>
      <c r="N197" s="47"/>
      <c r="O197" s="47"/>
      <c r="P197" s="47"/>
    </row>
    <row r="198" spans="1:16" x14ac:dyDescent="0.3">
      <c r="A198" s="1">
        <v>197</v>
      </c>
      <c r="G198" s="4"/>
      <c r="H198" s="4"/>
      <c r="I198" s="47"/>
      <c r="J198" s="47"/>
      <c r="K198" s="47"/>
      <c r="L198" s="47"/>
      <c r="N198" s="47"/>
      <c r="O198" s="47"/>
      <c r="P198" s="47"/>
    </row>
    <row r="199" spans="1:16" x14ac:dyDescent="0.3">
      <c r="A199" s="1">
        <v>198</v>
      </c>
      <c r="G199" s="4"/>
      <c r="H199" s="4"/>
      <c r="I199" s="47"/>
      <c r="J199" s="47"/>
      <c r="K199" s="47"/>
      <c r="L199" s="47"/>
      <c r="N199" s="47"/>
      <c r="O199" s="47"/>
      <c r="P199" s="47"/>
    </row>
    <row r="200" spans="1:16" x14ac:dyDescent="0.3">
      <c r="A200" s="1">
        <v>199</v>
      </c>
      <c r="G200" s="4"/>
      <c r="H200" s="4"/>
      <c r="I200" s="47"/>
      <c r="J200" s="47"/>
      <c r="K200" s="47"/>
      <c r="L200" s="47"/>
      <c r="N200" s="47"/>
      <c r="O200" s="47"/>
      <c r="P200" s="47"/>
    </row>
    <row r="201" spans="1:16" x14ac:dyDescent="0.3">
      <c r="A201" s="1">
        <v>200</v>
      </c>
      <c r="G201" s="4"/>
      <c r="H201" s="4"/>
      <c r="I201" s="47"/>
      <c r="J201" s="47"/>
      <c r="K201" s="47"/>
      <c r="L201" s="47"/>
      <c r="N201" s="47"/>
      <c r="O201" s="47"/>
      <c r="P201" s="47"/>
    </row>
    <row r="202" spans="1:16" x14ac:dyDescent="0.3">
      <c r="A202" s="1">
        <v>201</v>
      </c>
      <c r="G202" s="4"/>
      <c r="H202" s="4"/>
      <c r="I202" s="47"/>
      <c r="J202" s="47"/>
      <c r="K202" s="47"/>
      <c r="L202" s="47"/>
      <c r="N202" s="47"/>
      <c r="O202" s="47"/>
      <c r="P202" s="47"/>
    </row>
    <row r="203" spans="1:16" x14ac:dyDescent="0.3">
      <c r="A203" s="1">
        <v>202</v>
      </c>
      <c r="G203" s="4"/>
      <c r="H203" s="4"/>
      <c r="I203" s="47"/>
      <c r="J203" s="47"/>
      <c r="K203" s="47"/>
      <c r="L203" s="47"/>
      <c r="N203" s="47"/>
      <c r="O203" s="47"/>
      <c r="P203" s="47"/>
    </row>
    <row r="204" spans="1:16" x14ac:dyDescent="0.3">
      <c r="A204" s="1">
        <v>203</v>
      </c>
      <c r="G204" s="4"/>
      <c r="H204" s="4"/>
      <c r="I204" s="47"/>
      <c r="J204" s="47"/>
      <c r="K204" s="47"/>
      <c r="L204" s="47"/>
      <c r="N204" s="47"/>
      <c r="O204" s="47"/>
      <c r="P204" s="47"/>
    </row>
    <row r="205" spans="1:16" x14ac:dyDescent="0.3">
      <c r="A205" s="1">
        <v>204</v>
      </c>
      <c r="G205" s="4"/>
      <c r="H205" s="4"/>
      <c r="I205" s="47"/>
      <c r="J205" s="47"/>
      <c r="K205" s="47"/>
      <c r="L205" s="47"/>
      <c r="N205" s="47"/>
      <c r="O205" s="47"/>
      <c r="P205" s="47"/>
    </row>
    <row r="206" spans="1:16" x14ac:dyDescent="0.3">
      <c r="A206" s="1">
        <v>205</v>
      </c>
      <c r="G206" s="4"/>
      <c r="H206" s="4"/>
      <c r="I206" s="47"/>
      <c r="J206" s="47"/>
      <c r="K206" s="47"/>
      <c r="L206" s="47"/>
      <c r="N206" s="47"/>
      <c r="O206" s="47"/>
      <c r="P206" s="47"/>
    </row>
    <row r="207" spans="1:16" x14ac:dyDescent="0.3">
      <c r="A207" s="1">
        <v>206</v>
      </c>
      <c r="G207" s="4"/>
      <c r="H207" s="4"/>
      <c r="I207" s="47"/>
      <c r="J207" s="47"/>
      <c r="K207" s="47"/>
      <c r="L207" s="47"/>
      <c r="N207" s="47"/>
      <c r="O207" s="47"/>
      <c r="P207" s="47"/>
    </row>
    <row r="208" spans="1:16" x14ac:dyDescent="0.3">
      <c r="A208" s="1">
        <v>207</v>
      </c>
      <c r="G208" s="4"/>
      <c r="H208" s="4"/>
      <c r="I208" s="47"/>
      <c r="J208" s="47"/>
      <c r="K208" s="47"/>
      <c r="L208" s="47"/>
      <c r="N208" s="47"/>
      <c r="O208" s="47"/>
      <c r="P208" s="47"/>
    </row>
    <row r="209" spans="1:16" x14ac:dyDescent="0.3">
      <c r="A209" s="1">
        <v>208</v>
      </c>
      <c r="G209" s="4"/>
      <c r="H209" s="4"/>
      <c r="I209" s="47"/>
      <c r="J209" s="47"/>
      <c r="K209" s="47"/>
      <c r="L209" s="47"/>
      <c r="N209" s="47"/>
      <c r="O209" s="47"/>
      <c r="P209" s="47"/>
    </row>
    <row r="210" spans="1:16" x14ac:dyDescent="0.3">
      <c r="A210" s="1">
        <v>209</v>
      </c>
      <c r="G210" s="4"/>
      <c r="H210" s="4"/>
      <c r="I210" s="47"/>
      <c r="J210" s="47"/>
      <c r="K210" s="47"/>
      <c r="L210" s="47"/>
      <c r="N210" s="47"/>
      <c r="O210" s="47"/>
      <c r="P210" s="47"/>
    </row>
    <row r="211" spans="1:16" x14ac:dyDescent="0.3">
      <c r="A211" s="1">
        <v>210</v>
      </c>
      <c r="G211" s="4"/>
      <c r="H211" s="4"/>
      <c r="I211" s="47"/>
      <c r="J211" s="47"/>
      <c r="K211" s="47"/>
      <c r="L211" s="47"/>
      <c r="N211" s="47"/>
      <c r="O211" s="47"/>
      <c r="P211" s="47"/>
    </row>
    <row r="212" spans="1:16" x14ac:dyDescent="0.3">
      <c r="A212" s="1">
        <v>211</v>
      </c>
      <c r="G212" s="4"/>
      <c r="H212" s="4"/>
      <c r="I212" s="47"/>
      <c r="J212" s="47"/>
      <c r="K212" s="47"/>
      <c r="L212" s="47"/>
      <c r="N212" s="47"/>
      <c r="O212" s="47"/>
      <c r="P212" s="47"/>
    </row>
    <row r="213" spans="1:16" x14ac:dyDescent="0.3">
      <c r="A213" s="1">
        <v>212</v>
      </c>
      <c r="G213" s="4"/>
      <c r="H213" s="4"/>
      <c r="I213" s="47"/>
      <c r="J213" s="47"/>
      <c r="K213" s="47"/>
      <c r="L213" s="47"/>
      <c r="N213" s="47"/>
      <c r="O213" s="47"/>
      <c r="P213" s="47"/>
    </row>
    <row r="214" spans="1:16" x14ac:dyDescent="0.3">
      <c r="A214" s="1">
        <v>213</v>
      </c>
      <c r="G214" s="4"/>
      <c r="H214" s="4"/>
      <c r="I214" s="47"/>
      <c r="J214" s="47"/>
      <c r="K214" s="47"/>
      <c r="L214" s="47"/>
      <c r="N214" s="47"/>
      <c r="O214" s="47"/>
      <c r="P214" s="47"/>
    </row>
    <row r="215" spans="1:16" x14ac:dyDescent="0.3">
      <c r="A215" s="1">
        <v>214</v>
      </c>
      <c r="G215" s="4"/>
      <c r="H215" s="4"/>
      <c r="I215" s="47"/>
      <c r="J215" s="47"/>
      <c r="K215" s="47"/>
      <c r="L215" s="47"/>
      <c r="N215" s="47"/>
      <c r="O215" s="47"/>
      <c r="P215" s="47"/>
    </row>
    <row r="216" spans="1:16" x14ac:dyDescent="0.3">
      <c r="A216" s="1">
        <v>215</v>
      </c>
      <c r="G216" s="4"/>
      <c r="H216" s="4"/>
      <c r="I216" s="47"/>
      <c r="J216" s="47"/>
      <c r="K216" s="47"/>
      <c r="L216" s="47"/>
      <c r="N216" s="47"/>
      <c r="O216" s="47"/>
      <c r="P216" s="47"/>
    </row>
    <row r="217" spans="1:16" x14ac:dyDescent="0.3">
      <c r="A217" s="1">
        <v>216</v>
      </c>
      <c r="G217" s="4"/>
      <c r="H217" s="4"/>
      <c r="I217" s="47"/>
      <c r="J217" s="47"/>
      <c r="K217" s="47"/>
      <c r="L217" s="47"/>
      <c r="N217" s="47"/>
      <c r="O217" s="47"/>
      <c r="P217" s="47"/>
    </row>
    <row r="218" spans="1:16" x14ac:dyDescent="0.3">
      <c r="A218" s="1">
        <v>217</v>
      </c>
      <c r="G218" s="4"/>
      <c r="H218" s="4"/>
      <c r="I218" s="47"/>
      <c r="J218" s="47"/>
      <c r="K218" s="47"/>
      <c r="L218" s="47"/>
      <c r="N218" s="47"/>
      <c r="O218" s="47"/>
      <c r="P218" s="47"/>
    </row>
    <row r="219" spans="1:16" x14ac:dyDescent="0.3">
      <c r="A219" s="1">
        <v>218</v>
      </c>
      <c r="G219" s="4"/>
      <c r="H219" s="4"/>
      <c r="I219" s="47"/>
      <c r="J219" s="47"/>
      <c r="K219" s="47"/>
      <c r="L219" s="47"/>
      <c r="N219" s="47"/>
      <c r="O219" s="47"/>
      <c r="P219" s="47"/>
    </row>
    <row r="220" spans="1:16" x14ac:dyDescent="0.3">
      <c r="A220" s="1">
        <v>219</v>
      </c>
      <c r="G220" s="4"/>
      <c r="H220" s="4"/>
      <c r="I220" s="47"/>
      <c r="J220" s="47"/>
      <c r="K220" s="47"/>
      <c r="L220" s="47"/>
      <c r="N220" s="47"/>
      <c r="O220" s="47"/>
      <c r="P220" s="47"/>
    </row>
    <row r="221" spans="1:16" x14ac:dyDescent="0.3">
      <c r="A221" s="1">
        <v>220</v>
      </c>
      <c r="G221" s="4"/>
      <c r="H221" s="4"/>
      <c r="I221" s="47"/>
      <c r="J221" s="47"/>
      <c r="K221" s="47"/>
      <c r="L221" s="47"/>
      <c r="N221" s="47"/>
      <c r="O221" s="47"/>
      <c r="P221" s="47"/>
    </row>
    <row r="222" spans="1:16" x14ac:dyDescent="0.3">
      <c r="A222" s="1">
        <v>221</v>
      </c>
      <c r="G222" s="4"/>
      <c r="H222" s="4"/>
      <c r="I222" s="47"/>
      <c r="J222" s="47"/>
      <c r="K222" s="47"/>
      <c r="L222" s="47"/>
      <c r="N222" s="47"/>
      <c r="O222" s="47"/>
      <c r="P222" s="47"/>
    </row>
    <row r="223" spans="1:16" x14ac:dyDescent="0.3">
      <c r="A223" s="1">
        <v>222</v>
      </c>
      <c r="G223" s="4"/>
      <c r="H223" s="4"/>
      <c r="I223" s="47"/>
      <c r="J223" s="47"/>
      <c r="K223" s="47"/>
      <c r="L223" s="47"/>
      <c r="N223" s="47"/>
      <c r="O223" s="47"/>
      <c r="P223" s="47"/>
    </row>
    <row r="224" spans="1:16" x14ac:dyDescent="0.3">
      <c r="A224" s="1">
        <v>223</v>
      </c>
      <c r="G224" s="4"/>
      <c r="H224" s="4"/>
      <c r="I224" s="47"/>
      <c r="J224" s="47"/>
      <c r="K224" s="47"/>
      <c r="L224" s="47"/>
      <c r="N224" s="47"/>
      <c r="O224" s="47"/>
      <c r="P224" s="47"/>
    </row>
    <row r="225" spans="1:16" x14ac:dyDescent="0.3">
      <c r="A225" s="1">
        <v>224</v>
      </c>
      <c r="G225" s="4"/>
      <c r="H225" s="4"/>
      <c r="I225" s="47"/>
      <c r="J225" s="47"/>
      <c r="K225" s="47"/>
      <c r="L225" s="47"/>
      <c r="N225" s="47"/>
      <c r="O225" s="47"/>
      <c r="P225" s="47"/>
    </row>
    <row r="226" spans="1:16" x14ac:dyDescent="0.3">
      <c r="A226" s="1">
        <v>225</v>
      </c>
      <c r="G226" s="4"/>
      <c r="H226" s="4"/>
      <c r="I226" s="47"/>
      <c r="J226" s="47"/>
      <c r="K226" s="47"/>
      <c r="L226" s="47"/>
      <c r="N226" s="47"/>
      <c r="O226" s="47"/>
      <c r="P226" s="47"/>
    </row>
    <row r="227" spans="1:16" x14ac:dyDescent="0.3">
      <c r="A227" s="1">
        <v>226</v>
      </c>
      <c r="G227" s="4"/>
      <c r="H227" s="4"/>
      <c r="I227" s="47"/>
      <c r="J227" s="47"/>
      <c r="K227" s="47"/>
      <c r="L227" s="47"/>
      <c r="N227" s="47"/>
      <c r="O227" s="47"/>
      <c r="P227" s="47"/>
    </row>
    <row r="228" spans="1:16" x14ac:dyDescent="0.3">
      <c r="A228" s="1">
        <v>227</v>
      </c>
      <c r="G228" s="4"/>
      <c r="H228" s="4"/>
      <c r="I228" s="47"/>
      <c r="J228" s="47"/>
      <c r="K228" s="47"/>
      <c r="L228" s="47"/>
      <c r="N228" s="47"/>
      <c r="O228" s="47"/>
      <c r="P228" s="47"/>
    </row>
    <row r="229" spans="1:16" x14ac:dyDescent="0.3">
      <c r="A229" s="1">
        <v>228</v>
      </c>
      <c r="G229" s="4"/>
      <c r="H229" s="4"/>
      <c r="I229" s="47"/>
      <c r="J229" s="47"/>
      <c r="K229" s="47"/>
      <c r="L229" s="47"/>
      <c r="N229" s="47"/>
      <c r="O229" s="47"/>
      <c r="P229" s="47"/>
    </row>
    <row r="230" spans="1:16" x14ac:dyDescent="0.3">
      <c r="A230" s="1">
        <v>229</v>
      </c>
      <c r="G230" s="4"/>
      <c r="H230" s="4"/>
      <c r="I230" s="47"/>
      <c r="J230" s="47"/>
      <c r="K230" s="47"/>
      <c r="L230" s="47"/>
      <c r="N230" s="47"/>
      <c r="O230" s="47"/>
      <c r="P230" s="47"/>
    </row>
    <row r="231" spans="1:16" x14ac:dyDescent="0.3">
      <c r="A231" s="1">
        <v>230</v>
      </c>
      <c r="G231" s="4"/>
      <c r="H231" s="4"/>
      <c r="I231" s="47"/>
      <c r="J231" s="47"/>
      <c r="K231" s="47"/>
      <c r="L231" s="47"/>
      <c r="N231" s="47"/>
      <c r="O231" s="47"/>
      <c r="P231" s="47"/>
    </row>
    <row r="232" spans="1:16" x14ac:dyDescent="0.3">
      <c r="A232" s="1">
        <v>231</v>
      </c>
      <c r="G232" s="4"/>
      <c r="H232" s="4"/>
      <c r="I232" s="47"/>
      <c r="J232" s="47"/>
      <c r="K232" s="47"/>
      <c r="L232" s="47"/>
      <c r="N232" s="47"/>
      <c r="O232" s="47"/>
      <c r="P232" s="47"/>
    </row>
    <row r="233" spans="1:16" x14ac:dyDescent="0.3">
      <c r="A233" s="1">
        <v>232</v>
      </c>
      <c r="G233" s="4"/>
      <c r="H233" s="4"/>
      <c r="I233" s="47"/>
      <c r="J233" s="47"/>
      <c r="K233" s="47"/>
      <c r="L233" s="47"/>
      <c r="N233" s="47"/>
      <c r="O233" s="47"/>
      <c r="P233" s="47"/>
    </row>
    <row r="234" spans="1:16" x14ac:dyDescent="0.3">
      <c r="A234" s="1">
        <v>233</v>
      </c>
      <c r="G234" s="4"/>
      <c r="H234" s="4"/>
      <c r="I234" s="47"/>
      <c r="J234" s="47"/>
      <c r="K234" s="47"/>
      <c r="L234" s="47"/>
      <c r="N234" s="47"/>
      <c r="O234" s="47"/>
      <c r="P234" s="47"/>
    </row>
    <row r="235" spans="1:16" x14ac:dyDescent="0.3">
      <c r="A235" s="1">
        <v>234</v>
      </c>
      <c r="G235" s="4"/>
      <c r="H235" s="4"/>
      <c r="I235" s="47"/>
      <c r="J235" s="47"/>
      <c r="K235" s="47"/>
      <c r="L235" s="47"/>
      <c r="N235" s="47"/>
      <c r="O235" s="47"/>
      <c r="P235" s="47"/>
    </row>
    <row r="236" spans="1:16" x14ac:dyDescent="0.3">
      <c r="A236" s="1">
        <v>235</v>
      </c>
      <c r="G236" s="4"/>
      <c r="H236" s="4"/>
      <c r="I236" s="47"/>
      <c r="J236" s="47"/>
      <c r="K236" s="47"/>
      <c r="L236" s="47"/>
      <c r="N236" s="47"/>
      <c r="O236" s="47"/>
      <c r="P236" s="47"/>
    </row>
    <row r="237" spans="1:16" x14ac:dyDescent="0.3">
      <c r="A237" s="1">
        <v>236</v>
      </c>
      <c r="G237" s="4"/>
      <c r="H237" s="4"/>
      <c r="I237" s="47"/>
      <c r="J237" s="47"/>
      <c r="K237" s="47"/>
      <c r="L237" s="47"/>
      <c r="N237" s="47"/>
      <c r="O237" s="47"/>
      <c r="P237" s="47"/>
    </row>
    <row r="238" spans="1:16" x14ac:dyDescent="0.3">
      <c r="A238" s="1">
        <v>237</v>
      </c>
      <c r="G238" s="4"/>
      <c r="H238" s="4"/>
      <c r="I238" s="47"/>
      <c r="J238" s="47"/>
      <c r="K238" s="47"/>
      <c r="L238" s="47"/>
      <c r="N238" s="47"/>
      <c r="O238" s="47"/>
      <c r="P238" s="47"/>
    </row>
    <row r="239" spans="1:16" x14ac:dyDescent="0.3">
      <c r="A239" s="1">
        <v>238</v>
      </c>
      <c r="G239" s="4"/>
      <c r="H239" s="4"/>
      <c r="I239" s="47"/>
      <c r="J239" s="47"/>
      <c r="K239" s="47"/>
      <c r="L239" s="47"/>
      <c r="N239" s="47"/>
      <c r="O239" s="47"/>
      <c r="P239" s="47"/>
    </row>
    <row r="240" spans="1:16" x14ac:dyDescent="0.3">
      <c r="A240" s="1">
        <v>239</v>
      </c>
      <c r="G240" s="4"/>
      <c r="H240" s="4"/>
      <c r="I240" s="47"/>
      <c r="J240" s="47"/>
      <c r="K240" s="47"/>
      <c r="L240" s="47"/>
      <c r="N240" s="47"/>
      <c r="O240" s="47"/>
      <c r="P240" s="47"/>
    </row>
    <row r="241" spans="1:16" x14ac:dyDescent="0.3">
      <c r="A241" s="1">
        <v>240</v>
      </c>
      <c r="G241" s="4"/>
      <c r="H241" s="4"/>
      <c r="I241" s="47"/>
      <c r="J241" s="47"/>
      <c r="K241" s="47"/>
      <c r="L241" s="47"/>
      <c r="N241" s="47"/>
      <c r="O241" s="47"/>
      <c r="P241" s="47"/>
    </row>
    <row r="242" spans="1:16" x14ac:dyDescent="0.3">
      <c r="A242" s="1">
        <v>241</v>
      </c>
      <c r="G242" s="4"/>
      <c r="H242" s="4"/>
      <c r="I242" s="47"/>
      <c r="J242" s="47"/>
      <c r="K242" s="47"/>
      <c r="L242" s="47"/>
      <c r="N242" s="47"/>
      <c r="O242" s="47"/>
      <c r="P242" s="47"/>
    </row>
    <row r="243" spans="1:16" x14ac:dyDescent="0.3">
      <c r="A243" s="1">
        <v>242</v>
      </c>
      <c r="G243" s="4"/>
      <c r="H243" s="4"/>
      <c r="I243" s="47"/>
      <c r="J243" s="47"/>
      <c r="K243" s="47"/>
      <c r="L243" s="47"/>
      <c r="N243" s="47"/>
      <c r="O243" s="47"/>
      <c r="P243" s="47"/>
    </row>
    <row r="244" spans="1:16" x14ac:dyDescent="0.3">
      <c r="A244" s="1">
        <v>243</v>
      </c>
      <c r="G244" s="4"/>
      <c r="H244" s="4"/>
      <c r="I244" s="47"/>
      <c r="J244" s="47"/>
      <c r="K244" s="47"/>
      <c r="L244" s="47"/>
      <c r="N244" s="47"/>
      <c r="O244" s="47"/>
      <c r="P244" s="47"/>
    </row>
    <row r="245" spans="1:16" x14ac:dyDescent="0.3">
      <c r="A245" s="1">
        <v>244</v>
      </c>
      <c r="G245" s="4"/>
      <c r="H245" s="4"/>
      <c r="I245" s="47"/>
      <c r="J245" s="47"/>
      <c r="K245" s="47"/>
      <c r="L245" s="47"/>
      <c r="N245" s="47"/>
      <c r="O245" s="47"/>
      <c r="P245" s="47"/>
    </row>
    <row r="246" spans="1:16" x14ac:dyDescent="0.3">
      <c r="A246" s="1">
        <v>245</v>
      </c>
      <c r="G246" s="4"/>
      <c r="H246" s="4"/>
      <c r="I246" s="47"/>
      <c r="J246" s="47"/>
      <c r="K246" s="47"/>
      <c r="L246" s="47"/>
      <c r="N246" s="47"/>
      <c r="O246" s="47"/>
      <c r="P246" s="47"/>
    </row>
    <row r="247" spans="1:16" x14ac:dyDescent="0.3">
      <c r="A247" s="1">
        <v>246</v>
      </c>
      <c r="G247" s="4"/>
      <c r="H247" s="4"/>
      <c r="I247" s="47"/>
      <c r="J247" s="47"/>
      <c r="K247" s="47"/>
      <c r="L247" s="47"/>
      <c r="N247" s="47"/>
      <c r="O247" s="47"/>
      <c r="P247" s="47"/>
    </row>
    <row r="248" spans="1:16" x14ac:dyDescent="0.3">
      <c r="A248" s="1">
        <v>247</v>
      </c>
      <c r="G248" s="4"/>
      <c r="H248" s="4"/>
      <c r="I248" s="47"/>
      <c r="J248" s="47"/>
      <c r="K248" s="47"/>
      <c r="L248" s="47"/>
      <c r="N248" s="47"/>
      <c r="O248" s="47"/>
      <c r="P248" s="47"/>
    </row>
    <row r="249" spans="1:16" x14ac:dyDescent="0.3">
      <c r="A249" s="1">
        <v>248</v>
      </c>
      <c r="G249" s="4"/>
      <c r="H249" s="4"/>
      <c r="I249" s="47"/>
      <c r="J249" s="47"/>
      <c r="K249" s="47"/>
      <c r="L249" s="47"/>
      <c r="N249" s="47"/>
      <c r="O249" s="47"/>
      <c r="P249" s="47"/>
    </row>
    <row r="250" spans="1:16" x14ac:dyDescent="0.3">
      <c r="A250" s="1">
        <v>249</v>
      </c>
      <c r="G250" s="4"/>
      <c r="H250" s="4"/>
      <c r="I250" s="47"/>
      <c r="J250" s="47"/>
      <c r="K250" s="47"/>
      <c r="L250" s="47"/>
      <c r="N250" s="47"/>
      <c r="O250" s="47"/>
      <c r="P250" s="47"/>
    </row>
    <row r="251" spans="1:16" x14ac:dyDescent="0.3">
      <c r="A251" s="1">
        <v>250</v>
      </c>
      <c r="G251" s="4"/>
      <c r="H251" s="4"/>
      <c r="I251" s="47"/>
      <c r="J251" s="47"/>
      <c r="K251" s="47"/>
      <c r="L251" s="47"/>
      <c r="N251" s="47"/>
      <c r="O251" s="47"/>
      <c r="P251" s="47"/>
    </row>
    <row r="252" spans="1:16" x14ac:dyDescent="0.3">
      <c r="A252" s="1">
        <v>251</v>
      </c>
      <c r="G252" s="4"/>
      <c r="H252" s="4"/>
      <c r="I252" s="47"/>
      <c r="J252" s="47"/>
      <c r="K252" s="47"/>
      <c r="L252" s="47"/>
      <c r="N252" s="47"/>
      <c r="O252" s="47"/>
      <c r="P252" s="47"/>
    </row>
    <row r="253" spans="1:16" x14ac:dyDescent="0.3">
      <c r="A253" s="1">
        <v>252</v>
      </c>
      <c r="G253" s="4"/>
      <c r="H253" s="4"/>
      <c r="I253" s="47"/>
      <c r="J253" s="47"/>
      <c r="K253" s="47"/>
      <c r="L253" s="47"/>
      <c r="N253" s="47"/>
      <c r="O253" s="47"/>
      <c r="P253" s="47"/>
    </row>
    <row r="254" spans="1:16" x14ac:dyDescent="0.3">
      <c r="A254" s="1">
        <v>253</v>
      </c>
      <c r="G254" s="4"/>
      <c r="H254" s="4"/>
      <c r="I254" s="47"/>
      <c r="J254" s="47"/>
      <c r="K254" s="47"/>
      <c r="L254" s="47"/>
      <c r="N254" s="47"/>
      <c r="O254" s="47"/>
      <c r="P254" s="47"/>
    </row>
    <row r="255" spans="1:16" x14ac:dyDescent="0.3">
      <c r="A255" s="1">
        <v>254</v>
      </c>
      <c r="G255" s="4"/>
      <c r="H255" s="4"/>
      <c r="I255" s="47"/>
      <c r="J255" s="47"/>
      <c r="K255" s="47"/>
      <c r="L255" s="47"/>
      <c r="N255" s="47"/>
      <c r="O255" s="47"/>
      <c r="P255" s="47"/>
    </row>
    <row r="256" spans="1:16" x14ac:dyDescent="0.3">
      <c r="A256" s="1">
        <v>255</v>
      </c>
      <c r="G256" s="4"/>
      <c r="H256" s="4"/>
      <c r="I256" s="47"/>
      <c r="J256" s="47"/>
      <c r="K256" s="47"/>
      <c r="L256" s="47"/>
      <c r="N256" s="47"/>
      <c r="O256" s="47"/>
      <c r="P256" s="47"/>
    </row>
    <row r="257" spans="1:16" x14ac:dyDescent="0.3">
      <c r="A257" s="1">
        <v>256</v>
      </c>
      <c r="G257" s="4"/>
      <c r="H257" s="4"/>
      <c r="I257" s="47"/>
      <c r="J257" s="47"/>
      <c r="K257" s="47"/>
      <c r="L257" s="47"/>
      <c r="N257" s="47"/>
      <c r="O257" s="47"/>
      <c r="P257" s="47"/>
    </row>
    <row r="258" spans="1:16" x14ac:dyDescent="0.3">
      <c r="A258" s="1">
        <v>257</v>
      </c>
      <c r="G258" s="4"/>
      <c r="H258" s="4"/>
      <c r="I258" s="47"/>
      <c r="J258" s="47"/>
      <c r="K258" s="47"/>
      <c r="L258" s="47"/>
      <c r="N258" s="47"/>
      <c r="O258" s="47"/>
      <c r="P258" s="47"/>
    </row>
    <row r="259" spans="1:16" x14ac:dyDescent="0.3">
      <c r="A259" s="1">
        <v>258</v>
      </c>
      <c r="G259" s="4"/>
      <c r="H259" s="4"/>
      <c r="I259" s="47"/>
      <c r="J259" s="47"/>
      <c r="K259" s="47"/>
      <c r="L259" s="47"/>
      <c r="N259" s="47"/>
      <c r="O259" s="47"/>
      <c r="P259" s="47"/>
    </row>
    <row r="260" spans="1:16" x14ac:dyDescent="0.3">
      <c r="A260" s="1">
        <v>259</v>
      </c>
      <c r="G260" s="4"/>
      <c r="H260" s="4"/>
      <c r="I260" s="47"/>
      <c r="J260" s="47"/>
      <c r="K260" s="47"/>
      <c r="L260" s="47"/>
      <c r="N260" s="47"/>
      <c r="O260" s="47"/>
      <c r="P260" s="47"/>
    </row>
    <row r="261" spans="1:16" x14ac:dyDescent="0.3">
      <c r="A261" s="1">
        <v>260</v>
      </c>
      <c r="G261" s="4"/>
      <c r="H261" s="4"/>
      <c r="I261" s="47"/>
      <c r="J261" s="47"/>
      <c r="K261" s="47"/>
      <c r="L261" s="47"/>
      <c r="N261" s="47"/>
      <c r="O261" s="47"/>
      <c r="P261" s="47"/>
    </row>
    <row r="262" spans="1:16" x14ac:dyDescent="0.3">
      <c r="A262" s="1">
        <v>261</v>
      </c>
      <c r="G262" s="4"/>
      <c r="H262" s="4"/>
      <c r="I262" s="47"/>
      <c r="J262" s="47"/>
      <c r="K262" s="47"/>
      <c r="L262" s="47"/>
      <c r="N262" s="47"/>
      <c r="O262" s="47"/>
      <c r="P262" s="47"/>
    </row>
    <row r="263" spans="1:16" x14ac:dyDescent="0.3">
      <c r="A263" s="1">
        <v>262</v>
      </c>
      <c r="G263" s="4"/>
      <c r="H263" s="4"/>
      <c r="I263" s="47"/>
      <c r="J263" s="47"/>
      <c r="K263" s="47"/>
      <c r="L263" s="47"/>
      <c r="N263" s="47"/>
      <c r="O263" s="47"/>
      <c r="P263" s="47"/>
    </row>
    <row r="264" spans="1:16" x14ac:dyDescent="0.3">
      <c r="A264" s="1">
        <v>263</v>
      </c>
      <c r="G264" s="4"/>
      <c r="H264" s="4"/>
      <c r="I264" s="47"/>
      <c r="J264" s="47"/>
      <c r="K264" s="47"/>
      <c r="L264" s="47"/>
      <c r="N264" s="47"/>
      <c r="O264" s="47"/>
      <c r="P264" s="47"/>
    </row>
    <row r="265" spans="1:16" x14ac:dyDescent="0.3">
      <c r="A265" s="1">
        <v>264</v>
      </c>
      <c r="G265" s="4"/>
      <c r="H265" s="4"/>
      <c r="I265" s="47"/>
      <c r="J265" s="47"/>
      <c r="K265" s="47"/>
      <c r="L265" s="47"/>
      <c r="N265" s="47"/>
      <c r="O265" s="47"/>
      <c r="P265" s="47"/>
    </row>
    <row r="266" spans="1:16" x14ac:dyDescent="0.3">
      <c r="A266" s="1">
        <v>265</v>
      </c>
      <c r="G266" s="4"/>
      <c r="H266" s="4"/>
      <c r="I266" s="47"/>
      <c r="J266" s="47"/>
      <c r="K266" s="47"/>
      <c r="L266" s="47"/>
      <c r="N266" s="47"/>
      <c r="O266" s="47"/>
      <c r="P266" s="47"/>
    </row>
    <row r="267" spans="1:16" x14ac:dyDescent="0.3">
      <c r="A267" s="1">
        <v>266</v>
      </c>
      <c r="G267" s="4"/>
      <c r="H267" s="4"/>
      <c r="I267" s="47"/>
      <c r="J267" s="47"/>
      <c r="K267" s="47"/>
      <c r="L267" s="47"/>
      <c r="N267" s="47"/>
      <c r="O267" s="47"/>
      <c r="P267" s="47"/>
    </row>
    <row r="268" spans="1:16" x14ac:dyDescent="0.3">
      <c r="A268" s="1">
        <v>267</v>
      </c>
      <c r="G268" s="4"/>
      <c r="H268" s="4"/>
      <c r="I268" s="47"/>
      <c r="J268" s="47"/>
      <c r="K268" s="47"/>
      <c r="L268" s="47"/>
      <c r="N268" s="47"/>
      <c r="O268" s="47"/>
      <c r="P268" s="47"/>
    </row>
    <row r="269" spans="1:16" x14ac:dyDescent="0.3">
      <c r="A269" s="1">
        <v>268</v>
      </c>
      <c r="G269" s="4"/>
      <c r="H269" s="4"/>
      <c r="I269" s="47"/>
      <c r="J269" s="47"/>
      <c r="K269" s="47"/>
      <c r="L269" s="47"/>
      <c r="N269" s="47"/>
      <c r="O269" s="47"/>
      <c r="P269" s="47"/>
    </row>
    <row r="270" spans="1:16" x14ac:dyDescent="0.3">
      <c r="A270" s="1">
        <v>269</v>
      </c>
      <c r="G270" s="4"/>
      <c r="H270" s="4"/>
      <c r="I270" s="47"/>
      <c r="J270" s="47"/>
      <c r="K270" s="47"/>
      <c r="L270" s="47"/>
      <c r="N270" s="47"/>
      <c r="O270" s="47"/>
      <c r="P270" s="47"/>
    </row>
    <row r="271" spans="1:16" x14ac:dyDescent="0.3">
      <c r="A271" s="1">
        <v>270</v>
      </c>
      <c r="G271" s="4"/>
      <c r="H271" s="4"/>
      <c r="I271" s="47"/>
      <c r="J271" s="47"/>
      <c r="K271" s="47"/>
      <c r="L271" s="47"/>
      <c r="N271" s="47"/>
      <c r="O271" s="47"/>
      <c r="P271" s="47"/>
    </row>
    <row r="272" spans="1:16" x14ac:dyDescent="0.3">
      <c r="A272" s="1">
        <v>271</v>
      </c>
      <c r="G272" s="4"/>
      <c r="H272" s="4"/>
      <c r="I272" s="47"/>
      <c r="J272" s="47"/>
      <c r="K272" s="47"/>
      <c r="L272" s="47"/>
      <c r="N272" s="47"/>
      <c r="O272" s="47"/>
      <c r="P272" s="47"/>
    </row>
    <row r="273" spans="1:16" x14ac:dyDescent="0.3">
      <c r="A273" s="1">
        <v>272</v>
      </c>
      <c r="G273" s="4"/>
      <c r="H273" s="4"/>
      <c r="I273" s="47"/>
      <c r="J273" s="47"/>
      <c r="K273" s="47"/>
      <c r="L273" s="47"/>
      <c r="N273" s="47"/>
      <c r="O273" s="47"/>
      <c r="P273" s="47"/>
    </row>
    <row r="274" spans="1:16" x14ac:dyDescent="0.3">
      <c r="A274" s="1">
        <v>273</v>
      </c>
      <c r="G274" s="4"/>
      <c r="H274" s="4"/>
      <c r="I274" s="47"/>
      <c r="J274" s="47"/>
      <c r="K274" s="47"/>
      <c r="L274" s="47"/>
      <c r="N274" s="47"/>
      <c r="O274" s="47"/>
      <c r="P274" s="47"/>
    </row>
    <row r="275" spans="1:16" x14ac:dyDescent="0.3">
      <c r="A275" s="1">
        <v>274</v>
      </c>
      <c r="G275" s="4"/>
      <c r="H275" s="4"/>
      <c r="I275" s="47"/>
      <c r="J275" s="47"/>
      <c r="K275" s="47"/>
      <c r="L275" s="47"/>
      <c r="N275" s="47"/>
      <c r="O275" s="47"/>
      <c r="P275" s="47"/>
    </row>
    <row r="276" spans="1:16" x14ac:dyDescent="0.3">
      <c r="A276" s="1">
        <v>275</v>
      </c>
      <c r="G276" s="4"/>
      <c r="H276" s="4"/>
      <c r="I276" s="47"/>
      <c r="J276" s="47"/>
      <c r="K276" s="47"/>
      <c r="L276" s="47"/>
      <c r="N276" s="47"/>
      <c r="O276" s="47"/>
      <c r="P276" s="47"/>
    </row>
    <row r="277" spans="1:16" x14ac:dyDescent="0.3">
      <c r="A277" s="1">
        <v>276</v>
      </c>
      <c r="G277" s="4"/>
      <c r="H277" s="4"/>
      <c r="I277" s="47"/>
      <c r="J277" s="47"/>
      <c r="K277" s="47"/>
      <c r="L277" s="47"/>
      <c r="N277" s="47"/>
      <c r="O277" s="47"/>
      <c r="P277" s="47"/>
    </row>
    <row r="278" spans="1:16" x14ac:dyDescent="0.3">
      <c r="A278" s="1">
        <v>277</v>
      </c>
      <c r="G278" s="4"/>
      <c r="H278" s="4"/>
      <c r="I278" s="47"/>
      <c r="J278" s="47"/>
      <c r="K278" s="47"/>
      <c r="L278" s="47"/>
      <c r="N278" s="47"/>
      <c r="O278" s="47"/>
      <c r="P278" s="47"/>
    </row>
    <row r="279" spans="1:16" x14ac:dyDescent="0.3">
      <c r="A279" s="1">
        <v>278</v>
      </c>
      <c r="G279" s="4"/>
      <c r="H279" s="4"/>
      <c r="I279" s="47"/>
      <c r="J279" s="47"/>
      <c r="K279" s="47"/>
      <c r="L279" s="47"/>
      <c r="N279" s="47"/>
      <c r="O279" s="47"/>
      <c r="P279" s="47"/>
    </row>
    <row r="280" spans="1:16" x14ac:dyDescent="0.3">
      <c r="A280" s="1">
        <v>279</v>
      </c>
      <c r="G280" s="4"/>
      <c r="H280" s="4"/>
      <c r="I280" s="47"/>
      <c r="J280" s="47"/>
      <c r="K280" s="47"/>
      <c r="L280" s="47"/>
      <c r="N280" s="47"/>
      <c r="O280" s="47"/>
      <c r="P280" s="47"/>
    </row>
    <row r="281" spans="1:16" x14ac:dyDescent="0.3">
      <c r="A281" s="1">
        <v>280</v>
      </c>
      <c r="G281" s="4"/>
      <c r="H281" s="4"/>
      <c r="I281" s="47"/>
      <c r="J281" s="47"/>
      <c r="K281" s="47"/>
      <c r="L281" s="47"/>
      <c r="N281" s="47"/>
      <c r="O281" s="47"/>
      <c r="P281" s="47"/>
    </row>
    <row r="282" spans="1:16" x14ac:dyDescent="0.3">
      <c r="A282" s="1">
        <v>281</v>
      </c>
      <c r="G282" s="4"/>
      <c r="H282" s="4"/>
      <c r="I282" s="47"/>
      <c r="J282" s="47"/>
      <c r="K282" s="47"/>
      <c r="L282" s="47"/>
      <c r="N282" s="47"/>
      <c r="O282" s="47"/>
      <c r="P282" s="47"/>
    </row>
    <row r="283" spans="1:16" x14ac:dyDescent="0.3">
      <c r="A283" s="1">
        <v>282</v>
      </c>
      <c r="G283" s="4"/>
      <c r="H283" s="4"/>
      <c r="I283" s="47"/>
      <c r="J283" s="47"/>
      <c r="K283" s="47"/>
      <c r="L283" s="47"/>
      <c r="N283" s="47"/>
      <c r="O283" s="47"/>
      <c r="P283" s="47"/>
    </row>
    <row r="284" spans="1:16" x14ac:dyDescent="0.3">
      <c r="A284" s="1">
        <v>283</v>
      </c>
      <c r="G284" s="4"/>
      <c r="H284" s="4"/>
      <c r="I284" s="47"/>
      <c r="J284" s="47"/>
      <c r="K284" s="47"/>
      <c r="L284" s="47"/>
      <c r="N284" s="47"/>
      <c r="O284" s="47"/>
      <c r="P284" s="47"/>
    </row>
    <row r="285" spans="1:16" x14ac:dyDescent="0.3">
      <c r="A285" s="1">
        <v>284</v>
      </c>
      <c r="G285" s="4"/>
      <c r="H285" s="4"/>
      <c r="I285" s="47"/>
      <c r="J285" s="47"/>
      <c r="K285" s="47"/>
      <c r="L285" s="47"/>
      <c r="N285" s="47"/>
      <c r="O285" s="47"/>
      <c r="P285" s="47"/>
    </row>
    <row r="286" spans="1:16" x14ac:dyDescent="0.3">
      <c r="A286" s="1">
        <v>285</v>
      </c>
      <c r="G286" s="4"/>
      <c r="H286" s="4"/>
      <c r="I286" s="47"/>
      <c r="J286" s="47"/>
      <c r="K286" s="47"/>
      <c r="L286" s="47"/>
      <c r="N286" s="47"/>
      <c r="O286" s="47"/>
      <c r="P286" s="47"/>
    </row>
    <row r="287" spans="1:16" x14ac:dyDescent="0.3">
      <c r="A287" s="1">
        <v>286</v>
      </c>
      <c r="G287" s="4"/>
      <c r="H287" s="4"/>
      <c r="I287" s="47"/>
      <c r="J287" s="47"/>
      <c r="K287" s="47"/>
      <c r="L287" s="47"/>
      <c r="N287" s="47"/>
      <c r="O287" s="47"/>
      <c r="P287" s="47"/>
    </row>
    <row r="288" spans="1:16" x14ac:dyDescent="0.3">
      <c r="A288" s="1">
        <v>287</v>
      </c>
      <c r="G288" s="4"/>
      <c r="H288" s="4"/>
      <c r="I288" s="47"/>
      <c r="J288" s="47"/>
      <c r="K288" s="47"/>
      <c r="L288" s="47"/>
      <c r="N288" s="47"/>
      <c r="O288" s="47"/>
      <c r="P288" s="47"/>
    </row>
    <row r="289" spans="1:16" x14ac:dyDescent="0.3">
      <c r="A289" s="1">
        <v>288</v>
      </c>
      <c r="G289" s="4"/>
      <c r="H289" s="4"/>
      <c r="I289" s="47"/>
      <c r="J289" s="47"/>
      <c r="K289" s="47"/>
      <c r="L289" s="47"/>
      <c r="N289" s="47"/>
      <c r="O289" s="47"/>
      <c r="P289" s="47"/>
    </row>
    <row r="290" spans="1:16" x14ac:dyDescent="0.3">
      <c r="A290" s="1">
        <v>289</v>
      </c>
      <c r="G290" s="4"/>
      <c r="H290" s="4"/>
      <c r="I290" s="47"/>
      <c r="J290" s="47"/>
      <c r="K290" s="47"/>
      <c r="L290" s="47"/>
      <c r="N290" s="47"/>
      <c r="O290" s="47"/>
      <c r="P290" s="47"/>
    </row>
    <row r="291" spans="1:16" x14ac:dyDescent="0.3">
      <c r="A291" s="1">
        <v>290</v>
      </c>
      <c r="G291" s="4"/>
      <c r="H291" s="4"/>
      <c r="I291" s="47"/>
      <c r="J291" s="47"/>
      <c r="K291" s="47"/>
      <c r="L291" s="47"/>
      <c r="N291" s="47"/>
      <c r="O291" s="47"/>
      <c r="P291" s="47"/>
    </row>
    <row r="292" spans="1:16" x14ac:dyDescent="0.3">
      <c r="A292" s="1">
        <v>291</v>
      </c>
      <c r="G292" s="4"/>
      <c r="H292" s="4"/>
      <c r="I292" s="47"/>
      <c r="J292" s="47"/>
      <c r="K292" s="47"/>
      <c r="L292" s="47"/>
      <c r="N292" s="47"/>
      <c r="O292" s="47"/>
      <c r="P292" s="47"/>
    </row>
    <row r="293" spans="1:16" x14ac:dyDescent="0.3">
      <c r="A293" s="1">
        <v>292</v>
      </c>
      <c r="G293" s="4"/>
      <c r="H293" s="4"/>
      <c r="I293" s="47"/>
      <c r="J293" s="47"/>
      <c r="K293" s="47"/>
      <c r="L293" s="47"/>
      <c r="N293" s="47"/>
      <c r="O293" s="47"/>
      <c r="P293" s="47"/>
    </row>
    <row r="294" spans="1:16" x14ac:dyDescent="0.3">
      <c r="A294" s="1">
        <v>293</v>
      </c>
      <c r="G294" s="4"/>
      <c r="H294" s="4"/>
      <c r="I294" s="47"/>
      <c r="J294" s="47"/>
      <c r="K294" s="47"/>
      <c r="L294" s="47"/>
      <c r="N294" s="47"/>
      <c r="O294" s="47"/>
      <c r="P294" s="47"/>
    </row>
    <row r="295" spans="1:16" x14ac:dyDescent="0.3">
      <c r="A295" s="1">
        <v>294</v>
      </c>
      <c r="G295" s="4"/>
      <c r="H295" s="4"/>
      <c r="I295" s="47"/>
      <c r="J295" s="47"/>
      <c r="K295" s="47"/>
      <c r="L295" s="47"/>
      <c r="N295" s="47"/>
      <c r="O295" s="47"/>
      <c r="P295" s="47"/>
    </row>
    <row r="296" spans="1:16" x14ac:dyDescent="0.3">
      <c r="A296" s="1">
        <v>295</v>
      </c>
      <c r="G296" s="4"/>
      <c r="H296" s="4"/>
      <c r="I296" s="47"/>
      <c r="J296" s="47"/>
      <c r="K296" s="47"/>
      <c r="L296" s="47"/>
      <c r="N296" s="47"/>
      <c r="O296" s="47"/>
      <c r="P296" s="47"/>
    </row>
    <row r="297" spans="1:16" x14ac:dyDescent="0.3">
      <c r="A297" s="1">
        <v>296</v>
      </c>
      <c r="G297" s="4"/>
      <c r="H297" s="4"/>
      <c r="I297" s="47"/>
      <c r="J297" s="47"/>
      <c r="K297" s="47"/>
      <c r="L297" s="47"/>
      <c r="N297" s="47"/>
      <c r="O297" s="47"/>
      <c r="P297" s="47"/>
    </row>
    <row r="298" spans="1:16" x14ac:dyDescent="0.3">
      <c r="A298" s="1">
        <v>297</v>
      </c>
      <c r="G298" s="4"/>
      <c r="H298" s="4"/>
      <c r="I298" s="47"/>
      <c r="J298" s="47"/>
      <c r="K298" s="47"/>
      <c r="L298" s="47"/>
      <c r="N298" s="47"/>
      <c r="O298" s="47"/>
      <c r="P298" s="47"/>
    </row>
    <row r="299" spans="1:16" x14ac:dyDescent="0.3">
      <c r="A299" s="1">
        <v>298</v>
      </c>
      <c r="G299" s="4"/>
      <c r="H299" s="4"/>
      <c r="I299" s="47"/>
      <c r="J299" s="47"/>
      <c r="K299" s="47"/>
      <c r="L299" s="47"/>
      <c r="N299" s="47"/>
      <c r="O299" s="47"/>
      <c r="P299" s="47"/>
    </row>
    <row r="300" spans="1:16" x14ac:dyDescent="0.3">
      <c r="A300" s="1">
        <v>299</v>
      </c>
      <c r="G300" s="4"/>
      <c r="H300" s="4"/>
      <c r="I300" s="47"/>
      <c r="J300" s="47"/>
      <c r="K300" s="47"/>
      <c r="L300" s="47"/>
      <c r="N300" s="47"/>
      <c r="O300" s="47"/>
      <c r="P300" s="47"/>
    </row>
    <row r="301" spans="1:16" x14ac:dyDescent="0.3">
      <c r="A301" s="1">
        <v>300</v>
      </c>
      <c r="G301" s="4"/>
      <c r="H301" s="4"/>
      <c r="I301" s="47"/>
      <c r="J301" s="47"/>
      <c r="K301" s="47"/>
      <c r="L301" s="47"/>
      <c r="N301" s="47"/>
      <c r="O301" s="47"/>
      <c r="P301" s="47"/>
    </row>
    <row r="302" spans="1:16" x14ac:dyDescent="0.3">
      <c r="A302" s="1">
        <v>301</v>
      </c>
      <c r="G302" s="4"/>
      <c r="H302" s="4"/>
      <c r="I302" s="47"/>
      <c r="J302" s="47"/>
      <c r="K302" s="47"/>
      <c r="L302" s="47"/>
      <c r="N302" s="47"/>
      <c r="O302" s="47"/>
      <c r="P302" s="47"/>
    </row>
    <row r="303" spans="1:16" x14ac:dyDescent="0.3">
      <c r="A303" s="1">
        <v>302</v>
      </c>
      <c r="G303" s="4"/>
      <c r="H303" s="4"/>
      <c r="I303" s="47"/>
      <c r="J303" s="47"/>
      <c r="K303" s="47"/>
      <c r="L303" s="47"/>
      <c r="N303" s="47"/>
      <c r="O303" s="47"/>
      <c r="P303" s="47"/>
    </row>
    <row r="304" spans="1:16" x14ac:dyDescent="0.3">
      <c r="A304" s="1">
        <v>303</v>
      </c>
      <c r="G304" s="4"/>
      <c r="H304" s="4"/>
      <c r="I304" s="47"/>
      <c r="J304" s="47"/>
      <c r="K304" s="47"/>
      <c r="L304" s="47"/>
      <c r="N304" s="47"/>
      <c r="O304" s="47"/>
      <c r="P304" s="47"/>
    </row>
    <row r="305" spans="1:16" x14ac:dyDescent="0.3">
      <c r="A305" s="1">
        <v>304</v>
      </c>
      <c r="G305" s="4"/>
      <c r="H305" s="4"/>
      <c r="I305" s="47"/>
      <c r="J305" s="47"/>
      <c r="K305" s="47"/>
      <c r="L305" s="47"/>
      <c r="N305" s="47"/>
      <c r="O305" s="47"/>
      <c r="P305" s="47"/>
    </row>
    <row r="306" spans="1:16" x14ac:dyDescent="0.3">
      <c r="A306" s="1">
        <v>305</v>
      </c>
      <c r="G306" s="4"/>
      <c r="H306" s="4"/>
      <c r="I306" s="47"/>
      <c r="J306" s="47"/>
      <c r="K306" s="47"/>
      <c r="L306" s="47"/>
      <c r="N306" s="47"/>
      <c r="O306" s="47"/>
      <c r="P306" s="47"/>
    </row>
    <row r="307" spans="1:16" x14ac:dyDescent="0.3">
      <c r="A307" s="1">
        <v>306</v>
      </c>
      <c r="G307" s="4"/>
      <c r="H307" s="4"/>
      <c r="I307" s="47"/>
      <c r="J307" s="47"/>
      <c r="K307" s="47"/>
      <c r="L307" s="47"/>
      <c r="N307" s="47"/>
      <c r="O307" s="47"/>
      <c r="P307" s="47"/>
    </row>
    <row r="308" spans="1:16" x14ac:dyDescent="0.3">
      <c r="A308" s="1">
        <v>307</v>
      </c>
      <c r="G308" s="4"/>
      <c r="H308" s="4"/>
      <c r="I308" s="47"/>
      <c r="J308" s="47"/>
      <c r="K308" s="47"/>
      <c r="L308" s="47"/>
      <c r="N308" s="47"/>
      <c r="O308" s="47"/>
      <c r="P308" s="47"/>
    </row>
    <row r="309" spans="1:16" x14ac:dyDescent="0.3">
      <c r="A309" s="1">
        <v>308</v>
      </c>
      <c r="G309" s="4"/>
      <c r="H309" s="4"/>
      <c r="I309" s="47"/>
      <c r="J309" s="47"/>
      <c r="K309" s="47"/>
      <c r="L309" s="47"/>
      <c r="N309" s="47"/>
      <c r="O309" s="47"/>
      <c r="P309" s="47"/>
    </row>
    <row r="310" spans="1:16" x14ac:dyDescent="0.3">
      <c r="A310" s="1">
        <v>309</v>
      </c>
      <c r="G310" s="4"/>
      <c r="H310" s="4"/>
      <c r="I310" s="47"/>
      <c r="J310" s="47"/>
      <c r="K310" s="47"/>
      <c r="L310" s="47"/>
      <c r="N310" s="47"/>
      <c r="O310" s="47"/>
      <c r="P310" s="47"/>
    </row>
    <row r="311" spans="1:16" x14ac:dyDescent="0.3">
      <c r="A311" s="1">
        <v>310</v>
      </c>
      <c r="G311" s="4"/>
      <c r="H311" s="4"/>
      <c r="I311" s="47"/>
      <c r="J311" s="47"/>
      <c r="K311" s="47"/>
      <c r="L311" s="47"/>
      <c r="N311" s="47"/>
      <c r="O311" s="47"/>
      <c r="P311" s="47"/>
    </row>
    <row r="312" spans="1:16" x14ac:dyDescent="0.3">
      <c r="A312" s="1">
        <v>311</v>
      </c>
      <c r="G312" s="4"/>
      <c r="H312" s="4"/>
      <c r="I312" s="47"/>
      <c r="J312" s="47"/>
      <c r="K312" s="47"/>
      <c r="L312" s="47"/>
      <c r="N312" s="47"/>
      <c r="O312" s="47"/>
      <c r="P312" s="47"/>
    </row>
    <row r="313" spans="1:16" x14ac:dyDescent="0.3">
      <c r="A313" s="1">
        <v>312</v>
      </c>
      <c r="G313" s="4"/>
      <c r="H313" s="4"/>
      <c r="I313" s="47"/>
      <c r="J313" s="47"/>
      <c r="K313" s="47"/>
      <c r="L313" s="47"/>
      <c r="N313" s="47"/>
      <c r="O313" s="47"/>
      <c r="P313" s="47"/>
    </row>
    <row r="314" spans="1:16" x14ac:dyDescent="0.3">
      <c r="A314" s="1">
        <v>313</v>
      </c>
      <c r="G314" s="4"/>
      <c r="H314" s="4"/>
      <c r="I314" s="47"/>
      <c r="J314" s="47"/>
      <c r="K314" s="47"/>
      <c r="L314" s="47"/>
      <c r="N314" s="47"/>
      <c r="O314" s="47"/>
      <c r="P314" s="47"/>
    </row>
    <row r="315" spans="1:16" x14ac:dyDescent="0.3">
      <c r="A315" s="1">
        <v>314</v>
      </c>
      <c r="G315" s="4"/>
      <c r="H315" s="4"/>
      <c r="I315" s="47"/>
      <c r="J315" s="47"/>
      <c r="K315" s="47"/>
      <c r="L315" s="47"/>
      <c r="N315" s="47"/>
      <c r="O315" s="47"/>
      <c r="P315" s="47"/>
    </row>
    <row r="316" spans="1:16" x14ac:dyDescent="0.3">
      <c r="A316" s="1">
        <v>315</v>
      </c>
      <c r="G316" s="4"/>
      <c r="H316" s="4"/>
      <c r="I316" s="47"/>
      <c r="J316" s="47"/>
      <c r="K316" s="47"/>
      <c r="L316" s="47"/>
      <c r="N316" s="47"/>
      <c r="O316" s="47"/>
      <c r="P316" s="47"/>
    </row>
    <row r="317" spans="1:16" x14ac:dyDescent="0.3">
      <c r="A317" s="1">
        <v>316</v>
      </c>
      <c r="G317" s="4"/>
      <c r="H317" s="4"/>
      <c r="I317" s="47"/>
      <c r="J317" s="47"/>
      <c r="K317" s="47"/>
      <c r="L317" s="47"/>
      <c r="N317" s="47"/>
      <c r="O317" s="47"/>
      <c r="P317" s="47"/>
    </row>
    <row r="318" spans="1:16" x14ac:dyDescent="0.3">
      <c r="A318" s="1">
        <v>317</v>
      </c>
      <c r="G318" s="4"/>
      <c r="H318" s="4"/>
      <c r="I318" s="47"/>
      <c r="J318" s="47"/>
      <c r="K318" s="47"/>
      <c r="L318" s="47"/>
      <c r="N318" s="47"/>
      <c r="O318" s="47"/>
      <c r="P318" s="47"/>
    </row>
    <row r="319" spans="1:16" x14ac:dyDescent="0.3">
      <c r="A319" s="1">
        <v>318</v>
      </c>
      <c r="G319" s="4"/>
      <c r="H319" s="4"/>
      <c r="I319" s="47"/>
      <c r="J319" s="47"/>
      <c r="K319" s="47"/>
      <c r="L319" s="47"/>
      <c r="N319" s="47"/>
      <c r="O319" s="47"/>
      <c r="P319" s="47"/>
    </row>
    <row r="320" spans="1:16" x14ac:dyDescent="0.3">
      <c r="A320" s="1">
        <v>319</v>
      </c>
      <c r="G320" s="4"/>
      <c r="H320" s="4"/>
      <c r="I320" s="47"/>
      <c r="J320" s="47"/>
      <c r="K320" s="47"/>
      <c r="L320" s="47"/>
      <c r="N320" s="47"/>
      <c r="O320" s="47"/>
      <c r="P320" s="47"/>
    </row>
    <row r="321" spans="1:16" x14ac:dyDescent="0.3">
      <c r="A321" s="1">
        <v>320</v>
      </c>
      <c r="G321" s="4"/>
      <c r="H321" s="4"/>
      <c r="I321" s="47"/>
      <c r="J321" s="47"/>
      <c r="K321" s="47"/>
      <c r="L321" s="47"/>
      <c r="N321" s="47"/>
      <c r="O321" s="47"/>
      <c r="P321" s="47"/>
    </row>
    <row r="322" spans="1:16" x14ac:dyDescent="0.3">
      <c r="A322" s="1">
        <v>321</v>
      </c>
      <c r="G322" s="4"/>
      <c r="H322" s="4"/>
      <c r="I322" s="47"/>
      <c r="J322" s="47"/>
      <c r="K322" s="47"/>
      <c r="L322" s="47"/>
      <c r="N322" s="47"/>
      <c r="O322" s="47"/>
      <c r="P322" s="47"/>
    </row>
    <row r="323" spans="1:16" x14ac:dyDescent="0.3">
      <c r="A323" s="1">
        <v>322</v>
      </c>
      <c r="G323" s="4"/>
      <c r="H323" s="4"/>
      <c r="I323" s="47"/>
      <c r="J323" s="47"/>
      <c r="K323" s="47"/>
      <c r="L323" s="47"/>
      <c r="N323" s="47"/>
      <c r="O323" s="47"/>
      <c r="P323" s="47"/>
    </row>
    <row r="324" spans="1:16" x14ac:dyDescent="0.3">
      <c r="A324" s="1">
        <v>323</v>
      </c>
      <c r="G324" s="4"/>
      <c r="H324" s="4"/>
      <c r="I324" s="47"/>
      <c r="J324" s="47"/>
      <c r="K324" s="47"/>
      <c r="L324" s="47"/>
      <c r="N324" s="47"/>
      <c r="O324" s="47"/>
      <c r="P324" s="47"/>
    </row>
    <row r="325" spans="1:16" x14ac:dyDescent="0.3">
      <c r="A325" s="1">
        <v>324</v>
      </c>
      <c r="G325" s="4"/>
      <c r="H325" s="4"/>
      <c r="I325" s="47"/>
      <c r="J325" s="47"/>
      <c r="K325" s="47"/>
      <c r="L325" s="47"/>
      <c r="N325" s="47"/>
      <c r="O325" s="47"/>
      <c r="P325" s="47"/>
    </row>
    <row r="326" spans="1:16" x14ac:dyDescent="0.3">
      <c r="A326" s="1">
        <v>325</v>
      </c>
      <c r="G326" s="4"/>
      <c r="H326" s="4"/>
      <c r="I326" s="47"/>
      <c r="J326" s="47"/>
      <c r="K326" s="47"/>
      <c r="L326" s="47"/>
      <c r="N326" s="47"/>
      <c r="O326" s="47"/>
      <c r="P326" s="47"/>
    </row>
    <row r="327" spans="1:16" x14ac:dyDescent="0.3">
      <c r="A327" s="1">
        <v>326</v>
      </c>
      <c r="G327" s="4"/>
      <c r="H327" s="4"/>
      <c r="I327" s="47"/>
      <c r="J327" s="47"/>
      <c r="K327" s="47"/>
      <c r="L327" s="47"/>
      <c r="N327" s="47"/>
      <c r="O327" s="47"/>
      <c r="P327" s="47"/>
    </row>
    <row r="328" spans="1:16" x14ac:dyDescent="0.3">
      <c r="A328" s="1">
        <v>327</v>
      </c>
      <c r="G328" s="4"/>
      <c r="H328" s="4"/>
      <c r="I328" s="47"/>
      <c r="J328" s="47"/>
      <c r="K328" s="47"/>
      <c r="L328" s="47"/>
      <c r="N328" s="47"/>
      <c r="O328" s="47"/>
      <c r="P328" s="47"/>
    </row>
    <row r="329" spans="1:16" x14ac:dyDescent="0.3">
      <c r="A329" s="1">
        <v>328</v>
      </c>
      <c r="G329" s="4"/>
      <c r="H329" s="4"/>
      <c r="I329" s="47"/>
      <c r="J329" s="47"/>
      <c r="K329" s="47"/>
      <c r="L329" s="47"/>
      <c r="N329" s="47"/>
      <c r="O329" s="47"/>
      <c r="P329" s="47"/>
    </row>
    <row r="330" spans="1:16" x14ac:dyDescent="0.3">
      <c r="A330" s="1">
        <v>329</v>
      </c>
      <c r="G330" s="4"/>
      <c r="H330" s="4"/>
      <c r="I330" s="47"/>
      <c r="J330" s="47"/>
      <c r="K330" s="47"/>
      <c r="L330" s="47"/>
      <c r="N330" s="47"/>
      <c r="O330" s="47"/>
      <c r="P330" s="47"/>
    </row>
    <row r="331" spans="1:16" x14ac:dyDescent="0.3">
      <c r="A331" s="1">
        <v>330</v>
      </c>
      <c r="G331" s="4"/>
      <c r="H331" s="4"/>
      <c r="I331" s="47"/>
      <c r="J331" s="47"/>
      <c r="K331" s="47"/>
      <c r="L331" s="47"/>
      <c r="N331" s="47"/>
      <c r="O331" s="47"/>
      <c r="P331" s="47"/>
    </row>
    <row r="332" spans="1:16" x14ac:dyDescent="0.3">
      <c r="A332" s="1">
        <v>331</v>
      </c>
      <c r="G332" s="4"/>
      <c r="H332" s="4"/>
      <c r="I332" s="47"/>
      <c r="J332" s="47"/>
      <c r="K332" s="47"/>
      <c r="L332" s="47"/>
      <c r="N332" s="47"/>
      <c r="O332" s="47"/>
      <c r="P332" s="47"/>
    </row>
    <row r="333" spans="1:16" x14ac:dyDescent="0.3">
      <c r="A333" s="1">
        <v>332</v>
      </c>
      <c r="G333" s="4"/>
      <c r="H333" s="4"/>
      <c r="I333" s="47"/>
      <c r="J333" s="47"/>
      <c r="K333" s="47"/>
      <c r="L333" s="47"/>
      <c r="N333" s="47"/>
      <c r="O333" s="47"/>
      <c r="P333" s="47"/>
    </row>
    <row r="334" spans="1:16" x14ac:dyDescent="0.3">
      <c r="A334" s="1">
        <v>333</v>
      </c>
      <c r="G334" s="4"/>
      <c r="H334" s="4"/>
      <c r="I334" s="47"/>
      <c r="J334" s="47"/>
      <c r="K334" s="47"/>
      <c r="L334" s="47"/>
      <c r="N334" s="47"/>
      <c r="O334" s="47"/>
      <c r="P334" s="47"/>
    </row>
    <row r="335" spans="1:16" x14ac:dyDescent="0.3">
      <c r="A335" s="1">
        <v>334</v>
      </c>
      <c r="G335" s="4"/>
      <c r="H335" s="4"/>
      <c r="I335" s="47"/>
      <c r="J335" s="47"/>
      <c r="K335" s="47"/>
      <c r="L335" s="47"/>
      <c r="N335" s="47"/>
      <c r="O335" s="47"/>
      <c r="P335" s="47"/>
    </row>
    <row r="336" spans="1:16" x14ac:dyDescent="0.3">
      <c r="A336" s="1">
        <v>335</v>
      </c>
      <c r="G336" s="4"/>
      <c r="H336" s="4"/>
      <c r="I336" s="47"/>
      <c r="J336" s="47"/>
      <c r="K336" s="47"/>
      <c r="L336" s="47"/>
      <c r="N336" s="47"/>
      <c r="O336" s="47"/>
      <c r="P336" s="47"/>
    </row>
    <row r="337" spans="1:16" x14ac:dyDescent="0.3">
      <c r="A337" s="1">
        <v>336</v>
      </c>
      <c r="G337" s="4"/>
      <c r="H337" s="4"/>
      <c r="I337" s="47"/>
      <c r="J337" s="47"/>
      <c r="K337" s="47"/>
      <c r="L337" s="47"/>
      <c r="N337" s="47"/>
      <c r="O337" s="47"/>
      <c r="P337" s="47"/>
    </row>
    <row r="338" spans="1:16" x14ac:dyDescent="0.3">
      <c r="A338" s="1">
        <v>337</v>
      </c>
      <c r="G338" s="4"/>
      <c r="H338" s="4"/>
      <c r="I338" s="47"/>
      <c r="J338" s="47"/>
      <c r="K338" s="47"/>
      <c r="L338" s="47"/>
      <c r="N338" s="47"/>
      <c r="O338" s="47"/>
      <c r="P338" s="47"/>
    </row>
    <row r="339" spans="1:16" x14ac:dyDescent="0.3">
      <c r="A339" s="1">
        <v>338</v>
      </c>
      <c r="G339" s="4"/>
      <c r="H339" s="4"/>
      <c r="I339" s="47"/>
      <c r="J339" s="47"/>
      <c r="K339" s="47"/>
      <c r="L339" s="47"/>
      <c r="N339" s="47"/>
      <c r="O339" s="47"/>
      <c r="P339" s="47"/>
    </row>
    <row r="340" spans="1:16" x14ac:dyDescent="0.3">
      <c r="A340" s="1">
        <v>339</v>
      </c>
      <c r="G340" s="4"/>
      <c r="H340" s="4"/>
      <c r="I340" s="47"/>
      <c r="J340" s="47"/>
      <c r="K340" s="47"/>
      <c r="L340" s="47"/>
      <c r="N340" s="47"/>
      <c r="O340" s="47"/>
      <c r="P340" s="47"/>
    </row>
    <row r="341" spans="1:16" x14ac:dyDescent="0.3">
      <c r="A341" s="1">
        <v>340</v>
      </c>
      <c r="G341" s="4"/>
      <c r="H341" s="4"/>
      <c r="I341" s="47"/>
      <c r="J341" s="47"/>
      <c r="K341" s="47"/>
      <c r="L341" s="47"/>
      <c r="N341" s="47"/>
      <c r="O341" s="47"/>
      <c r="P341" s="47"/>
    </row>
    <row r="342" spans="1:16" x14ac:dyDescent="0.3">
      <c r="A342" s="1">
        <v>341</v>
      </c>
      <c r="G342" s="4"/>
      <c r="H342" s="4"/>
      <c r="I342" s="47"/>
      <c r="J342" s="47"/>
      <c r="K342" s="47"/>
      <c r="L342" s="47"/>
      <c r="N342" s="47"/>
      <c r="O342" s="47"/>
      <c r="P342" s="47"/>
    </row>
    <row r="343" spans="1:16" x14ac:dyDescent="0.3">
      <c r="A343" s="1">
        <v>342</v>
      </c>
      <c r="G343" s="4"/>
      <c r="H343" s="4"/>
      <c r="I343" s="47"/>
      <c r="J343" s="47"/>
      <c r="K343" s="47"/>
      <c r="L343" s="47"/>
      <c r="N343" s="47"/>
      <c r="O343" s="47"/>
      <c r="P343" s="47"/>
    </row>
    <row r="344" spans="1:16" x14ac:dyDescent="0.3">
      <c r="A344" s="1">
        <v>343</v>
      </c>
      <c r="G344" s="4"/>
      <c r="H344" s="4"/>
      <c r="I344" s="47"/>
      <c r="J344" s="47"/>
      <c r="K344" s="47"/>
      <c r="L344" s="47"/>
      <c r="N344" s="47"/>
      <c r="O344" s="47"/>
      <c r="P344" s="47"/>
    </row>
    <row r="345" spans="1:16" x14ac:dyDescent="0.3">
      <c r="A345" s="1">
        <v>344</v>
      </c>
      <c r="G345" s="4"/>
      <c r="H345" s="4"/>
      <c r="I345" s="47"/>
      <c r="J345" s="47"/>
      <c r="K345" s="47"/>
      <c r="L345" s="47"/>
      <c r="N345" s="47"/>
      <c r="O345" s="47"/>
      <c r="P345" s="47"/>
    </row>
    <row r="346" spans="1:16" x14ac:dyDescent="0.3">
      <c r="A346" s="1">
        <v>345</v>
      </c>
      <c r="G346" s="4"/>
      <c r="H346" s="4"/>
      <c r="I346" s="47"/>
      <c r="J346" s="47"/>
      <c r="K346" s="47"/>
      <c r="L346" s="47"/>
      <c r="N346" s="47"/>
      <c r="O346" s="47"/>
      <c r="P346" s="47"/>
    </row>
    <row r="347" spans="1:16" x14ac:dyDescent="0.3">
      <c r="A347" s="1">
        <v>346</v>
      </c>
      <c r="G347" s="4"/>
      <c r="H347" s="4"/>
      <c r="I347" s="47"/>
      <c r="J347" s="47"/>
      <c r="K347" s="47"/>
      <c r="L347" s="47"/>
      <c r="N347" s="47"/>
      <c r="O347" s="47"/>
      <c r="P347" s="47"/>
    </row>
    <row r="348" spans="1:16" x14ac:dyDescent="0.3">
      <c r="A348" s="1">
        <v>347</v>
      </c>
      <c r="G348" s="4"/>
      <c r="H348" s="4"/>
      <c r="I348" s="47"/>
      <c r="J348" s="47"/>
      <c r="K348" s="47"/>
      <c r="L348" s="47"/>
      <c r="N348" s="47"/>
      <c r="O348" s="47"/>
      <c r="P348" s="47"/>
    </row>
    <row r="349" spans="1:16" x14ac:dyDescent="0.3">
      <c r="A349" s="1">
        <v>348</v>
      </c>
      <c r="G349" s="4"/>
      <c r="H349" s="4"/>
      <c r="I349" s="47"/>
      <c r="J349" s="47"/>
      <c r="K349" s="47"/>
      <c r="L349" s="47"/>
      <c r="N349" s="47"/>
      <c r="O349" s="47"/>
      <c r="P349" s="47"/>
    </row>
    <row r="350" spans="1:16" x14ac:dyDescent="0.3">
      <c r="A350" s="1">
        <v>349</v>
      </c>
      <c r="G350" s="4"/>
      <c r="H350" s="4"/>
      <c r="I350" s="47"/>
      <c r="J350" s="47"/>
      <c r="K350" s="47"/>
      <c r="L350" s="47"/>
      <c r="N350" s="47"/>
      <c r="O350" s="47"/>
      <c r="P350" s="47"/>
    </row>
    <row r="351" spans="1:16" x14ac:dyDescent="0.3">
      <c r="A351" s="1">
        <v>350</v>
      </c>
      <c r="G351" s="4"/>
      <c r="H351" s="4"/>
      <c r="I351" s="47"/>
      <c r="J351" s="47"/>
      <c r="K351" s="47"/>
      <c r="L351" s="47"/>
      <c r="N351" s="47"/>
      <c r="O351" s="47"/>
      <c r="P351" s="47"/>
    </row>
    <row r="352" spans="1:16" x14ac:dyDescent="0.3">
      <c r="A352" s="1">
        <v>351</v>
      </c>
      <c r="G352" s="4"/>
      <c r="H352" s="4"/>
      <c r="I352" s="47"/>
      <c r="J352" s="47"/>
      <c r="K352" s="47"/>
      <c r="L352" s="47"/>
      <c r="N352" s="47"/>
      <c r="O352" s="47"/>
      <c r="P352" s="47"/>
    </row>
    <row r="353" spans="1:16" x14ac:dyDescent="0.3">
      <c r="A353" s="1">
        <v>352</v>
      </c>
      <c r="G353" s="4"/>
      <c r="H353" s="4"/>
      <c r="I353" s="47"/>
      <c r="J353" s="47"/>
      <c r="K353" s="47"/>
      <c r="L353" s="47"/>
      <c r="N353" s="47"/>
      <c r="O353" s="47"/>
      <c r="P353" s="47"/>
    </row>
    <row r="354" spans="1:16" x14ac:dyDescent="0.3">
      <c r="A354" s="1">
        <v>353</v>
      </c>
      <c r="G354" s="4"/>
      <c r="H354" s="4"/>
      <c r="I354" s="47"/>
      <c r="J354" s="47"/>
      <c r="K354" s="47"/>
      <c r="L354" s="47"/>
      <c r="N354" s="47"/>
      <c r="O354" s="47"/>
      <c r="P354" s="47"/>
    </row>
    <row r="355" spans="1:16" x14ac:dyDescent="0.3">
      <c r="A355" s="1">
        <v>354</v>
      </c>
      <c r="G355" s="4"/>
      <c r="H355" s="4"/>
      <c r="I355" s="47"/>
      <c r="J355" s="47"/>
      <c r="K355" s="47"/>
      <c r="L355" s="47"/>
      <c r="N355" s="47"/>
      <c r="O355" s="47"/>
      <c r="P355" s="47"/>
    </row>
    <row r="356" spans="1:16" x14ac:dyDescent="0.3">
      <c r="A356" s="1">
        <v>355</v>
      </c>
      <c r="G356" s="4"/>
      <c r="H356" s="4"/>
      <c r="I356" s="47"/>
      <c r="J356" s="47"/>
      <c r="K356" s="47"/>
      <c r="L356" s="47"/>
      <c r="N356" s="47"/>
      <c r="O356" s="47"/>
      <c r="P356" s="47"/>
    </row>
    <row r="357" spans="1:16" x14ac:dyDescent="0.3">
      <c r="A357" s="1">
        <v>356</v>
      </c>
      <c r="G357" s="4"/>
      <c r="H357" s="4"/>
      <c r="I357" s="47"/>
      <c r="J357" s="47"/>
      <c r="K357" s="47"/>
      <c r="L357" s="47"/>
      <c r="N357" s="47"/>
      <c r="O357" s="47"/>
      <c r="P357" s="47"/>
    </row>
    <row r="358" spans="1:16" x14ac:dyDescent="0.3">
      <c r="A358" s="1">
        <v>357</v>
      </c>
      <c r="G358" s="4"/>
      <c r="H358" s="4"/>
      <c r="I358" s="47"/>
      <c r="J358" s="47"/>
      <c r="K358" s="47"/>
      <c r="L358" s="47"/>
      <c r="N358" s="47"/>
      <c r="O358" s="47"/>
      <c r="P358" s="47"/>
    </row>
    <row r="359" spans="1:16" x14ac:dyDescent="0.3">
      <c r="A359" s="1">
        <v>358</v>
      </c>
      <c r="G359" s="4"/>
      <c r="H359" s="4"/>
      <c r="I359" s="47"/>
      <c r="J359" s="47"/>
      <c r="K359" s="47"/>
      <c r="L359" s="47"/>
      <c r="N359" s="47"/>
      <c r="O359" s="47"/>
      <c r="P359" s="47"/>
    </row>
    <row r="360" spans="1:16" x14ac:dyDescent="0.3">
      <c r="A360" s="1">
        <v>359</v>
      </c>
      <c r="G360" s="4"/>
      <c r="H360" s="4"/>
      <c r="I360" s="47"/>
      <c r="J360" s="47"/>
      <c r="K360" s="47"/>
      <c r="L360" s="47"/>
      <c r="N360" s="47"/>
      <c r="O360" s="47"/>
      <c r="P360" s="47"/>
    </row>
    <row r="361" spans="1:16" x14ac:dyDescent="0.3">
      <c r="A361" s="1">
        <v>360</v>
      </c>
      <c r="G361" s="4"/>
      <c r="H361" s="4"/>
      <c r="I361" s="47"/>
      <c r="J361" s="47"/>
      <c r="K361" s="47"/>
      <c r="L361" s="47"/>
      <c r="N361" s="47"/>
      <c r="O361" s="47"/>
      <c r="P361" s="47"/>
    </row>
    <row r="362" spans="1:16" x14ac:dyDescent="0.3">
      <c r="A362" s="1">
        <v>361</v>
      </c>
      <c r="G362" s="4"/>
      <c r="H362" s="4"/>
      <c r="I362" s="47"/>
      <c r="J362" s="47"/>
      <c r="K362" s="47"/>
      <c r="L362" s="47"/>
      <c r="N362" s="47"/>
      <c r="O362" s="47"/>
      <c r="P362" s="47"/>
    </row>
    <row r="363" spans="1:16" x14ac:dyDescent="0.3">
      <c r="A363" s="1">
        <v>362</v>
      </c>
      <c r="G363" s="4"/>
      <c r="H363" s="4"/>
      <c r="I363" s="47"/>
      <c r="J363" s="47"/>
      <c r="K363" s="47"/>
      <c r="L363" s="47"/>
      <c r="N363" s="47"/>
      <c r="O363" s="47"/>
      <c r="P363" s="47"/>
    </row>
    <row r="364" spans="1:16" x14ac:dyDescent="0.3">
      <c r="A364" s="1">
        <v>363</v>
      </c>
      <c r="G364" s="4"/>
      <c r="H364" s="4"/>
      <c r="I364" s="47"/>
      <c r="J364" s="47"/>
      <c r="K364" s="47"/>
      <c r="L364" s="47"/>
      <c r="N364" s="47"/>
      <c r="O364" s="47"/>
      <c r="P364" s="47"/>
    </row>
    <row r="365" spans="1:16" x14ac:dyDescent="0.3">
      <c r="A365" s="1">
        <v>364</v>
      </c>
      <c r="G365" s="4"/>
      <c r="H365" s="4"/>
      <c r="I365" s="47"/>
      <c r="J365" s="47"/>
      <c r="K365" s="47"/>
      <c r="L365" s="47"/>
      <c r="N365" s="47"/>
      <c r="O365" s="47"/>
      <c r="P365" s="47"/>
    </row>
    <row r="366" spans="1:16" x14ac:dyDescent="0.3">
      <c r="A366" s="1">
        <v>365</v>
      </c>
      <c r="G366" s="4"/>
      <c r="H366" s="4"/>
      <c r="I366" s="47"/>
      <c r="J366" s="47"/>
      <c r="K366" s="47"/>
      <c r="L366" s="47"/>
      <c r="N366" s="47"/>
      <c r="O366" s="47"/>
      <c r="P366" s="47"/>
    </row>
    <row r="367" spans="1:16" x14ac:dyDescent="0.3">
      <c r="A367" s="1">
        <v>366</v>
      </c>
      <c r="G367" s="4"/>
      <c r="H367" s="4"/>
      <c r="I367" s="47"/>
      <c r="J367" s="47"/>
      <c r="K367" s="47"/>
      <c r="L367" s="47"/>
      <c r="N367" s="47"/>
      <c r="O367" s="47"/>
      <c r="P367" s="47"/>
    </row>
    <row r="368" spans="1:16" x14ac:dyDescent="0.3">
      <c r="A368" s="1">
        <v>367</v>
      </c>
      <c r="G368" s="4"/>
      <c r="H368" s="4"/>
      <c r="I368" s="47"/>
      <c r="J368" s="47"/>
      <c r="K368" s="47"/>
      <c r="L368" s="47"/>
      <c r="N368" s="47"/>
      <c r="O368" s="47"/>
      <c r="P368" s="47"/>
    </row>
    <row r="369" spans="1:16" x14ac:dyDescent="0.3">
      <c r="A369" s="1">
        <v>368</v>
      </c>
      <c r="G369" s="4"/>
      <c r="H369" s="4"/>
      <c r="I369" s="47"/>
      <c r="J369" s="47"/>
      <c r="K369" s="47"/>
      <c r="L369" s="47"/>
      <c r="N369" s="47"/>
      <c r="O369" s="47"/>
      <c r="P369" s="47"/>
    </row>
    <row r="370" spans="1:16" x14ac:dyDescent="0.3">
      <c r="A370" s="1">
        <v>369</v>
      </c>
      <c r="G370" s="4"/>
      <c r="H370" s="4"/>
      <c r="I370" s="47"/>
      <c r="J370" s="47"/>
      <c r="K370" s="47"/>
      <c r="L370" s="47"/>
      <c r="N370" s="47"/>
      <c r="O370" s="47"/>
      <c r="P370" s="47"/>
    </row>
    <row r="371" spans="1:16" x14ac:dyDescent="0.3">
      <c r="A371" s="1">
        <v>370</v>
      </c>
      <c r="G371" s="4"/>
      <c r="H371" s="4"/>
      <c r="I371" s="47"/>
      <c r="J371" s="47"/>
      <c r="K371" s="47"/>
      <c r="L371" s="47"/>
      <c r="N371" s="47"/>
      <c r="O371" s="47"/>
      <c r="P371" s="47"/>
    </row>
    <row r="372" spans="1:16" x14ac:dyDescent="0.3">
      <c r="A372" s="1">
        <v>371</v>
      </c>
      <c r="G372" s="4"/>
      <c r="H372" s="4"/>
      <c r="I372" s="47"/>
      <c r="J372" s="47"/>
      <c r="K372" s="47"/>
      <c r="L372" s="47"/>
      <c r="N372" s="47"/>
      <c r="O372" s="47"/>
      <c r="P372" s="47"/>
    </row>
    <row r="373" spans="1:16" x14ac:dyDescent="0.3">
      <c r="A373" s="1">
        <v>372</v>
      </c>
      <c r="G373" s="4"/>
      <c r="H373" s="4"/>
      <c r="I373" s="47"/>
      <c r="J373" s="47"/>
      <c r="K373" s="47"/>
      <c r="L373" s="47"/>
      <c r="N373" s="47"/>
      <c r="O373" s="47"/>
      <c r="P373" s="47"/>
    </row>
    <row r="374" spans="1:16" x14ac:dyDescent="0.3">
      <c r="A374" s="1">
        <v>373</v>
      </c>
      <c r="G374" s="4"/>
      <c r="H374" s="4"/>
      <c r="I374" s="47"/>
      <c r="J374" s="47"/>
      <c r="K374" s="47"/>
      <c r="L374" s="47"/>
      <c r="N374" s="47"/>
      <c r="O374" s="47"/>
      <c r="P374" s="47"/>
    </row>
    <row r="375" spans="1:16" x14ac:dyDescent="0.3">
      <c r="A375" s="1">
        <v>374</v>
      </c>
      <c r="G375" s="4"/>
      <c r="H375" s="4"/>
      <c r="I375" s="47"/>
      <c r="J375" s="47"/>
      <c r="K375" s="47"/>
      <c r="L375" s="47"/>
      <c r="N375" s="47"/>
      <c r="O375" s="47"/>
      <c r="P375" s="47"/>
    </row>
    <row r="376" spans="1:16" x14ac:dyDescent="0.3">
      <c r="A376" s="1">
        <v>375</v>
      </c>
      <c r="G376" s="4"/>
      <c r="H376" s="4"/>
      <c r="I376" s="47"/>
      <c r="J376" s="47"/>
      <c r="K376" s="47"/>
      <c r="L376" s="47"/>
      <c r="N376" s="47"/>
      <c r="O376" s="47"/>
      <c r="P376" s="47"/>
    </row>
    <row r="377" spans="1:16" x14ac:dyDescent="0.3">
      <c r="A377" s="1">
        <v>376</v>
      </c>
      <c r="G377" s="4"/>
      <c r="H377" s="4"/>
      <c r="I377" s="47"/>
      <c r="J377" s="47"/>
      <c r="K377" s="47"/>
      <c r="L377" s="47"/>
      <c r="N377" s="47"/>
      <c r="O377" s="47"/>
      <c r="P377" s="47"/>
    </row>
    <row r="378" spans="1:16" x14ac:dyDescent="0.3">
      <c r="A378" s="1">
        <v>377</v>
      </c>
      <c r="G378" s="4"/>
      <c r="H378" s="4"/>
      <c r="I378" s="47"/>
      <c r="J378" s="47"/>
      <c r="K378" s="47"/>
      <c r="L378" s="47"/>
      <c r="N378" s="47"/>
      <c r="O378" s="47"/>
      <c r="P378" s="47"/>
    </row>
    <row r="379" spans="1:16" x14ac:dyDescent="0.3">
      <c r="A379" s="1">
        <v>378</v>
      </c>
      <c r="G379" s="4"/>
      <c r="H379" s="4"/>
      <c r="I379" s="47"/>
      <c r="J379" s="47"/>
      <c r="K379" s="47"/>
      <c r="L379" s="47"/>
      <c r="N379" s="47"/>
      <c r="O379" s="47"/>
      <c r="P379" s="47"/>
    </row>
    <row r="380" spans="1:16" x14ac:dyDescent="0.3">
      <c r="A380" s="1">
        <v>379</v>
      </c>
      <c r="G380" s="4"/>
      <c r="H380" s="4"/>
      <c r="I380" s="47"/>
      <c r="J380" s="47"/>
      <c r="K380" s="47"/>
      <c r="L380" s="47"/>
      <c r="N380" s="47"/>
      <c r="O380" s="47"/>
      <c r="P380" s="47"/>
    </row>
    <row r="381" spans="1:16" x14ac:dyDescent="0.3">
      <c r="A381" s="1">
        <v>380</v>
      </c>
      <c r="G381" s="4"/>
      <c r="H381" s="4"/>
      <c r="I381" s="47"/>
      <c r="J381" s="47"/>
      <c r="K381" s="47"/>
      <c r="L381" s="47"/>
      <c r="N381" s="47"/>
      <c r="O381" s="47"/>
      <c r="P381" s="47"/>
    </row>
    <row r="382" spans="1:16" x14ac:dyDescent="0.3">
      <c r="A382" s="1">
        <v>381</v>
      </c>
      <c r="G382" s="4"/>
      <c r="H382" s="4"/>
      <c r="I382" s="47"/>
      <c r="J382" s="47"/>
      <c r="K382" s="47"/>
      <c r="L382" s="47"/>
      <c r="N382" s="47"/>
      <c r="O382" s="47"/>
      <c r="P382" s="47"/>
    </row>
    <row r="383" spans="1:16" x14ac:dyDescent="0.3">
      <c r="A383" s="1">
        <v>382</v>
      </c>
      <c r="G383" s="4"/>
      <c r="H383" s="4"/>
      <c r="I383" s="47"/>
      <c r="J383" s="47"/>
      <c r="K383" s="47"/>
      <c r="L383" s="47"/>
      <c r="N383" s="47"/>
      <c r="O383" s="47"/>
      <c r="P383" s="47"/>
    </row>
    <row r="384" spans="1:16" x14ac:dyDescent="0.3">
      <c r="A384" s="1">
        <v>383</v>
      </c>
      <c r="G384" s="4"/>
      <c r="H384" s="4"/>
      <c r="I384" s="47"/>
      <c r="J384" s="47"/>
      <c r="K384" s="47"/>
      <c r="L384" s="47"/>
      <c r="N384" s="47"/>
      <c r="O384" s="47"/>
      <c r="P384" s="47"/>
    </row>
    <row r="385" spans="1:16" x14ac:dyDescent="0.3">
      <c r="A385" s="1">
        <v>384</v>
      </c>
      <c r="G385" s="4"/>
      <c r="H385" s="4"/>
      <c r="I385" s="47"/>
      <c r="J385" s="47"/>
      <c r="K385" s="47"/>
      <c r="L385" s="47"/>
      <c r="N385" s="47"/>
      <c r="O385" s="47"/>
      <c r="P385" s="47"/>
    </row>
    <row r="386" spans="1:16" x14ac:dyDescent="0.3">
      <c r="A386" s="1">
        <v>385</v>
      </c>
      <c r="G386" s="4"/>
      <c r="H386" s="4"/>
      <c r="I386" s="47"/>
      <c r="J386" s="47"/>
      <c r="K386" s="47"/>
      <c r="L386" s="47"/>
      <c r="N386" s="47"/>
      <c r="O386" s="47"/>
      <c r="P386" s="47"/>
    </row>
    <row r="387" spans="1:16" x14ac:dyDescent="0.3">
      <c r="A387" s="1">
        <v>386</v>
      </c>
      <c r="G387" s="4"/>
      <c r="H387" s="4"/>
      <c r="I387" s="47"/>
      <c r="J387" s="47"/>
      <c r="K387" s="47"/>
      <c r="L387" s="47"/>
      <c r="N387" s="47"/>
      <c r="O387" s="47"/>
      <c r="P387" s="47"/>
    </row>
    <row r="388" spans="1:16" x14ac:dyDescent="0.3">
      <c r="A388" s="1">
        <v>387</v>
      </c>
      <c r="G388" s="4"/>
      <c r="H388" s="4"/>
      <c r="I388" s="47"/>
      <c r="J388" s="47"/>
      <c r="K388" s="47"/>
      <c r="L388" s="47"/>
      <c r="N388" s="47"/>
      <c r="O388" s="47"/>
      <c r="P388" s="47"/>
    </row>
    <row r="389" spans="1:16" x14ac:dyDescent="0.3">
      <c r="A389" s="1">
        <v>388</v>
      </c>
      <c r="G389" s="4"/>
      <c r="H389" s="4"/>
      <c r="I389" s="47"/>
      <c r="J389" s="47"/>
      <c r="K389" s="47"/>
      <c r="L389" s="47"/>
      <c r="N389" s="47"/>
      <c r="O389" s="47"/>
      <c r="P389" s="47"/>
    </row>
    <row r="390" spans="1:16" x14ac:dyDescent="0.3">
      <c r="A390" s="1">
        <v>389</v>
      </c>
      <c r="G390" s="4"/>
      <c r="H390" s="4"/>
      <c r="I390" s="47"/>
      <c r="J390" s="47"/>
      <c r="K390" s="47"/>
      <c r="L390" s="47"/>
      <c r="N390" s="47"/>
      <c r="O390" s="47"/>
      <c r="P390" s="47"/>
    </row>
    <row r="391" spans="1:16" x14ac:dyDescent="0.3">
      <c r="A391" s="1">
        <v>390</v>
      </c>
      <c r="G391" s="4"/>
      <c r="H391" s="4"/>
      <c r="I391" s="47"/>
      <c r="J391" s="47"/>
      <c r="K391" s="47"/>
      <c r="L391" s="47"/>
      <c r="N391" s="47"/>
      <c r="O391" s="47"/>
      <c r="P391" s="47"/>
    </row>
    <row r="392" spans="1:16" x14ac:dyDescent="0.3">
      <c r="A392" s="1">
        <v>391</v>
      </c>
      <c r="G392" s="4"/>
      <c r="H392" s="4"/>
      <c r="I392" s="47"/>
      <c r="J392" s="47"/>
      <c r="K392" s="47"/>
      <c r="L392" s="47"/>
      <c r="N392" s="47"/>
      <c r="O392" s="47"/>
      <c r="P392" s="47"/>
    </row>
    <row r="393" spans="1:16" x14ac:dyDescent="0.3">
      <c r="A393" s="1">
        <v>392</v>
      </c>
      <c r="G393" s="4"/>
      <c r="H393" s="4"/>
      <c r="I393" s="47"/>
      <c r="J393" s="47"/>
      <c r="K393" s="47"/>
      <c r="L393" s="47"/>
      <c r="N393" s="47"/>
      <c r="O393" s="47"/>
      <c r="P393" s="47"/>
    </row>
    <row r="394" spans="1:16" x14ac:dyDescent="0.3">
      <c r="A394" s="1">
        <v>393</v>
      </c>
      <c r="G394" s="4"/>
      <c r="H394" s="4"/>
      <c r="I394" s="47"/>
      <c r="J394" s="47"/>
      <c r="K394" s="47"/>
      <c r="L394" s="47"/>
      <c r="N394" s="47"/>
      <c r="O394" s="47"/>
      <c r="P394" s="47"/>
    </row>
    <row r="395" spans="1:16" x14ac:dyDescent="0.3">
      <c r="A395" s="1">
        <v>394</v>
      </c>
      <c r="G395" s="4"/>
      <c r="H395" s="4"/>
      <c r="I395" s="47"/>
      <c r="J395" s="47"/>
      <c r="K395" s="47"/>
      <c r="L395" s="47"/>
      <c r="N395" s="47"/>
      <c r="O395" s="47"/>
      <c r="P395" s="47"/>
    </row>
    <row r="396" spans="1:16" x14ac:dyDescent="0.3">
      <c r="A396" s="1">
        <v>395</v>
      </c>
      <c r="G396" s="4"/>
      <c r="H396" s="4"/>
      <c r="I396" s="47"/>
      <c r="J396" s="47"/>
      <c r="K396" s="47"/>
      <c r="L396" s="47"/>
      <c r="N396" s="47"/>
      <c r="O396" s="47"/>
      <c r="P396" s="47"/>
    </row>
    <row r="397" spans="1:16" x14ac:dyDescent="0.3">
      <c r="A397" s="1">
        <v>396</v>
      </c>
      <c r="G397" s="4"/>
      <c r="H397" s="4"/>
      <c r="I397" s="47"/>
      <c r="J397" s="47"/>
      <c r="K397" s="47"/>
      <c r="L397" s="47"/>
      <c r="N397" s="47"/>
      <c r="O397" s="47"/>
      <c r="P397" s="47"/>
    </row>
    <row r="398" spans="1:16" x14ac:dyDescent="0.3">
      <c r="A398" s="1">
        <v>397</v>
      </c>
      <c r="G398" s="4"/>
      <c r="H398" s="4"/>
      <c r="I398" s="47"/>
      <c r="J398" s="47"/>
      <c r="K398" s="47"/>
      <c r="L398" s="47"/>
      <c r="N398" s="47"/>
      <c r="O398" s="47"/>
      <c r="P398" s="47"/>
    </row>
    <row r="399" spans="1:16" x14ac:dyDescent="0.3">
      <c r="A399" s="1">
        <v>398</v>
      </c>
      <c r="G399" s="4"/>
      <c r="H399" s="4"/>
      <c r="I399" s="47"/>
      <c r="J399" s="47"/>
      <c r="K399" s="47"/>
      <c r="L399" s="47"/>
      <c r="N399" s="47"/>
      <c r="O399" s="47"/>
      <c r="P399" s="47"/>
    </row>
    <row r="400" spans="1:16" x14ac:dyDescent="0.3">
      <c r="A400" s="1">
        <v>399</v>
      </c>
      <c r="G400" s="4"/>
      <c r="H400" s="4"/>
      <c r="I400" s="47"/>
      <c r="J400" s="47"/>
      <c r="K400" s="47"/>
      <c r="L400" s="47"/>
      <c r="N400" s="47"/>
      <c r="O400" s="47"/>
      <c r="P400" s="47"/>
    </row>
    <row r="401" spans="1:16" x14ac:dyDescent="0.3">
      <c r="A401" s="1">
        <v>400</v>
      </c>
      <c r="G401" s="4"/>
      <c r="H401" s="4"/>
      <c r="I401" s="47"/>
      <c r="J401" s="47"/>
      <c r="K401" s="47"/>
      <c r="L401" s="47"/>
      <c r="N401" s="47"/>
      <c r="O401" s="47"/>
      <c r="P401" s="47"/>
    </row>
    <row r="402" spans="1:16" x14ac:dyDescent="0.3">
      <c r="A402" s="1">
        <v>401</v>
      </c>
      <c r="G402" s="4"/>
      <c r="H402" s="4"/>
      <c r="I402" s="47"/>
      <c r="J402" s="47"/>
      <c r="K402" s="47"/>
      <c r="L402" s="47"/>
      <c r="N402" s="47"/>
      <c r="O402" s="47"/>
      <c r="P402" s="47"/>
    </row>
    <row r="403" spans="1:16" x14ac:dyDescent="0.3">
      <c r="A403" s="1">
        <v>402</v>
      </c>
      <c r="G403" s="4"/>
      <c r="H403" s="4"/>
      <c r="I403" s="47"/>
      <c r="J403" s="47"/>
      <c r="K403" s="47"/>
      <c r="L403" s="47"/>
      <c r="N403" s="47"/>
      <c r="O403" s="47"/>
      <c r="P403" s="47"/>
    </row>
    <row r="404" spans="1:16" x14ac:dyDescent="0.3">
      <c r="A404" s="1">
        <v>403</v>
      </c>
      <c r="G404" s="4"/>
      <c r="H404" s="4"/>
      <c r="I404" s="47"/>
      <c r="J404" s="47"/>
      <c r="K404" s="47"/>
      <c r="L404" s="47"/>
      <c r="N404" s="47"/>
      <c r="O404" s="47"/>
      <c r="P404" s="47"/>
    </row>
    <row r="405" spans="1:16" x14ac:dyDescent="0.3">
      <c r="A405" s="1">
        <v>404</v>
      </c>
      <c r="G405" s="4"/>
      <c r="H405" s="4"/>
      <c r="I405" s="47"/>
      <c r="J405" s="47"/>
      <c r="K405" s="47"/>
      <c r="L405" s="47"/>
      <c r="N405" s="47"/>
      <c r="O405" s="47"/>
      <c r="P405" s="47"/>
    </row>
    <row r="406" spans="1:16" x14ac:dyDescent="0.3">
      <c r="A406" s="1">
        <v>405</v>
      </c>
      <c r="G406" s="4"/>
      <c r="H406" s="4"/>
      <c r="I406" s="47"/>
      <c r="J406" s="47"/>
      <c r="K406" s="47"/>
      <c r="L406" s="47"/>
      <c r="N406" s="47"/>
      <c r="O406" s="47"/>
      <c r="P406" s="47"/>
    </row>
    <row r="407" spans="1:16" x14ac:dyDescent="0.3">
      <c r="A407" s="1">
        <v>406</v>
      </c>
      <c r="G407" s="4"/>
      <c r="H407" s="4"/>
      <c r="I407" s="47"/>
      <c r="J407" s="47"/>
      <c r="K407" s="47"/>
      <c r="L407" s="47"/>
      <c r="N407" s="47"/>
      <c r="O407" s="47"/>
      <c r="P407" s="47"/>
    </row>
    <row r="408" spans="1:16" x14ac:dyDescent="0.3">
      <c r="A408" s="1">
        <v>407</v>
      </c>
      <c r="G408" s="4"/>
      <c r="H408" s="4"/>
      <c r="I408" s="47"/>
      <c r="J408" s="47"/>
      <c r="K408" s="47"/>
      <c r="L408" s="47"/>
      <c r="N408" s="47"/>
      <c r="O408" s="47"/>
      <c r="P408" s="47"/>
    </row>
    <row r="409" spans="1:16" x14ac:dyDescent="0.3">
      <c r="A409" s="1">
        <v>408</v>
      </c>
      <c r="G409" s="4"/>
      <c r="H409" s="4"/>
      <c r="I409" s="47"/>
      <c r="J409" s="47"/>
      <c r="K409" s="47"/>
      <c r="L409" s="47"/>
      <c r="N409" s="47"/>
      <c r="O409" s="47"/>
      <c r="P409" s="47"/>
    </row>
    <row r="410" spans="1:16" x14ac:dyDescent="0.3">
      <c r="A410" s="1">
        <v>409</v>
      </c>
      <c r="G410" s="4"/>
      <c r="H410" s="4"/>
      <c r="I410" s="47"/>
      <c r="J410" s="47"/>
      <c r="K410" s="47"/>
      <c r="L410" s="47"/>
      <c r="N410" s="47"/>
      <c r="O410" s="47"/>
      <c r="P410" s="47"/>
    </row>
    <row r="411" spans="1:16" x14ac:dyDescent="0.3">
      <c r="A411" s="1">
        <v>410</v>
      </c>
      <c r="G411" s="4"/>
      <c r="H411" s="4"/>
      <c r="I411" s="47"/>
      <c r="J411" s="47"/>
      <c r="K411" s="47"/>
      <c r="L411" s="47"/>
      <c r="N411" s="47"/>
      <c r="O411" s="47"/>
      <c r="P411" s="47"/>
    </row>
    <row r="412" spans="1:16" x14ac:dyDescent="0.3">
      <c r="A412" s="1">
        <v>411</v>
      </c>
      <c r="G412" s="4"/>
      <c r="H412" s="4"/>
      <c r="I412" s="47"/>
      <c r="J412" s="47"/>
      <c r="K412" s="47"/>
      <c r="L412" s="47"/>
      <c r="N412" s="47"/>
      <c r="O412" s="47"/>
      <c r="P412" s="47"/>
    </row>
    <row r="413" spans="1:16" x14ac:dyDescent="0.3">
      <c r="A413" s="1">
        <v>412</v>
      </c>
      <c r="G413" s="4"/>
      <c r="H413" s="4"/>
      <c r="I413" s="47"/>
      <c r="J413" s="47"/>
      <c r="K413" s="47"/>
      <c r="L413" s="47"/>
      <c r="N413" s="47"/>
      <c r="O413" s="47"/>
      <c r="P413" s="47"/>
    </row>
    <row r="414" spans="1:16" x14ac:dyDescent="0.3">
      <c r="A414" s="1">
        <v>413</v>
      </c>
      <c r="G414" s="4"/>
      <c r="H414" s="4"/>
      <c r="I414" s="47"/>
      <c r="J414" s="47"/>
      <c r="K414" s="47"/>
      <c r="L414" s="47"/>
      <c r="N414" s="47"/>
      <c r="O414" s="47"/>
      <c r="P414" s="47"/>
    </row>
    <row r="415" spans="1:16" x14ac:dyDescent="0.3">
      <c r="A415" s="1">
        <v>414</v>
      </c>
      <c r="G415" s="4"/>
      <c r="H415" s="4"/>
      <c r="I415" s="47"/>
      <c r="J415" s="47"/>
      <c r="K415" s="47"/>
      <c r="L415" s="47"/>
      <c r="N415" s="47"/>
      <c r="O415" s="47"/>
      <c r="P415" s="47"/>
    </row>
    <row r="416" spans="1:16" x14ac:dyDescent="0.3">
      <c r="A416" s="1">
        <v>415</v>
      </c>
      <c r="G416" s="4"/>
      <c r="H416" s="4"/>
      <c r="I416" s="47"/>
      <c r="J416" s="47"/>
      <c r="K416" s="47"/>
      <c r="L416" s="47"/>
      <c r="N416" s="47"/>
      <c r="O416" s="47"/>
      <c r="P416" s="47"/>
    </row>
    <row r="417" spans="1:16" x14ac:dyDescent="0.3">
      <c r="A417" s="1">
        <v>416</v>
      </c>
      <c r="G417" s="4"/>
      <c r="H417" s="4"/>
      <c r="I417" s="47"/>
      <c r="J417" s="47"/>
      <c r="K417" s="47"/>
      <c r="L417" s="47"/>
      <c r="N417" s="47"/>
      <c r="O417" s="47"/>
      <c r="P417" s="47"/>
    </row>
    <row r="418" spans="1:16" x14ac:dyDescent="0.3">
      <c r="A418" s="1">
        <v>417</v>
      </c>
      <c r="G418" s="4"/>
      <c r="H418" s="4"/>
      <c r="I418" s="47"/>
      <c r="J418" s="47"/>
      <c r="K418" s="47"/>
      <c r="L418" s="47"/>
      <c r="N418" s="47"/>
      <c r="O418" s="47"/>
      <c r="P418" s="47"/>
    </row>
    <row r="419" spans="1:16" x14ac:dyDescent="0.3">
      <c r="A419" s="1">
        <v>418</v>
      </c>
      <c r="G419" s="4"/>
      <c r="H419" s="4"/>
      <c r="I419" s="47"/>
      <c r="J419" s="47" t="str">
        <f t="shared" ref="J419:J450" si="19">+E419&amp;I419</f>
        <v/>
      </c>
      <c r="K419" s="47"/>
      <c r="L419" s="47"/>
      <c r="N419" s="47"/>
      <c r="O419" s="47"/>
      <c r="P419" s="47"/>
    </row>
    <row r="420" spans="1:16" x14ac:dyDescent="0.3">
      <c r="A420" s="1">
        <v>419</v>
      </c>
      <c r="G420" s="4"/>
      <c r="H420" s="4"/>
      <c r="I420" s="47"/>
      <c r="J420" s="47" t="str">
        <f t="shared" si="19"/>
        <v/>
      </c>
      <c r="K420" s="47"/>
      <c r="L420" s="47"/>
      <c r="N420" s="47"/>
      <c r="O420" s="47"/>
      <c r="P420" s="47"/>
    </row>
    <row r="421" spans="1:16" x14ac:dyDescent="0.3">
      <c r="A421" s="1">
        <v>420</v>
      </c>
      <c r="G421" s="4"/>
      <c r="H421" s="4"/>
      <c r="I421" s="47"/>
      <c r="J421" s="47" t="str">
        <f t="shared" si="19"/>
        <v/>
      </c>
      <c r="K421" s="47"/>
      <c r="L421" s="47"/>
      <c r="N421" s="47"/>
      <c r="O421" s="47"/>
      <c r="P421" s="47"/>
    </row>
    <row r="422" spans="1:16" x14ac:dyDescent="0.3">
      <c r="A422" s="1">
        <v>421</v>
      </c>
      <c r="G422" s="4"/>
      <c r="H422" s="4"/>
      <c r="I422" s="47"/>
      <c r="J422" s="47" t="str">
        <f t="shared" si="19"/>
        <v/>
      </c>
      <c r="K422" s="47"/>
      <c r="L422" s="47"/>
      <c r="N422" s="47"/>
      <c r="O422" s="47"/>
      <c r="P422" s="47"/>
    </row>
    <row r="423" spans="1:16" x14ac:dyDescent="0.3">
      <c r="A423" s="1">
        <v>422</v>
      </c>
      <c r="G423" s="4"/>
      <c r="H423" s="4"/>
      <c r="I423" s="47"/>
      <c r="J423" s="47" t="str">
        <f t="shared" si="19"/>
        <v/>
      </c>
      <c r="K423" s="47"/>
      <c r="L423" s="47"/>
      <c r="N423" s="47"/>
      <c r="O423" s="47"/>
      <c r="P423" s="47"/>
    </row>
    <row r="424" spans="1:16" x14ac:dyDescent="0.3">
      <c r="A424" s="1">
        <v>423</v>
      </c>
      <c r="G424" s="4"/>
      <c r="H424" s="4"/>
      <c r="I424" s="47"/>
      <c r="J424" s="47" t="str">
        <f t="shared" si="19"/>
        <v/>
      </c>
      <c r="K424" s="47"/>
      <c r="L424" s="47"/>
      <c r="N424" s="47"/>
      <c r="O424" s="47"/>
      <c r="P424" s="47"/>
    </row>
    <row r="425" spans="1:16" x14ac:dyDescent="0.3">
      <c r="A425" s="1">
        <v>424</v>
      </c>
      <c r="G425" s="4"/>
      <c r="H425" s="4"/>
      <c r="I425" s="47"/>
      <c r="J425" s="47" t="str">
        <f t="shared" si="19"/>
        <v/>
      </c>
      <c r="K425" s="47"/>
      <c r="L425" s="47"/>
      <c r="N425" s="47"/>
      <c r="O425" s="47"/>
      <c r="P425" s="47"/>
    </row>
    <row r="426" spans="1:16" x14ac:dyDescent="0.3">
      <c r="A426" s="1">
        <v>425</v>
      </c>
      <c r="G426" s="4"/>
      <c r="H426" s="4"/>
      <c r="I426" s="47"/>
      <c r="J426" s="47" t="str">
        <f t="shared" si="19"/>
        <v/>
      </c>
      <c r="K426" s="47"/>
      <c r="L426" s="47"/>
      <c r="N426" s="47"/>
      <c r="O426" s="47"/>
      <c r="P426" s="47"/>
    </row>
    <row r="427" spans="1:16" x14ac:dyDescent="0.3">
      <c r="A427" s="1">
        <v>426</v>
      </c>
      <c r="G427" s="4"/>
      <c r="H427" s="4"/>
      <c r="I427" s="47"/>
      <c r="J427" s="47" t="str">
        <f t="shared" si="19"/>
        <v/>
      </c>
      <c r="K427" s="47"/>
      <c r="L427" s="47"/>
      <c r="N427" s="47"/>
      <c r="O427" s="47"/>
      <c r="P427" s="47"/>
    </row>
    <row r="428" spans="1:16" x14ac:dyDescent="0.3">
      <c r="A428" s="1">
        <v>427</v>
      </c>
      <c r="G428" s="4"/>
      <c r="H428" s="4"/>
      <c r="I428" s="47"/>
      <c r="J428" s="47" t="str">
        <f t="shared" si="19"/>
        <v/>
      </c>
      <c r="K428" s="47"/>
      <c r="L428" s="47"/>
      <c r="N428" s="47"/>
      <c r="O428" s="47"/>
      <c r="P428" s="47"/>
    </row>
    <row r="429" spans="1:16" x14ac:dyDescent="0.3">
      <c r="A429" s="1">
        <v>428</v>
      </c>
      <c r="G429" s="4"/>
      <c r="H429" s="4"/>
      <c r="I429" s="47"/>
      <c r="J429" s="47" t="str">
        <f t="shared" si="19"/>
        <v/>
      </c>
      <c r="K429" s="47"/>
      <c r="L429" s="47"/>
      <c r="N429" s="47"/>
      <c r="O429" s="47"/>
      <c r="P429" s="47"/>
    </row>
    <row r="430" spans="1:16" x14ac:dyDescent="0.3">
      <c r="A430" s="1">
        <v>429</v>
      </c>
      <c r="G430" s="4"/>
      <c r="H430" s="4"/>
      <c r="I430" s="47"/>
      <c r="J430" s="47" t="str">
        <f t="shared" si="19"/>
        <v/>
      </c>
      <c r="K430" s="47"/>
      <c r="L430" s="47"/>
      <c r="N430" s="47"/>
      <c r="O430" s="47"/>
      <c r="P430" s="47"/>
    </row>
    <row r="431" spans="1:16" x14ac:dyDescent="0.3">
      <c r="A431" s="1">
        <v>430</v>
      </c>
      <c r="G431" s="4"/>
      <c r="H431" s="4"/>
      <c r="I431" s="47"/>
      <c r="J431" s="47" t="str">
        <f t="shared" si="19"/>
        <v/>
      </c>
      <c r="K431" s="47"/>
      <c r="L431" s="47"/>
      <c r="N431" s="47"/>
      <c r="O431" s="47"/>
      <c r="P431" s="47"/>
    </row>
    <row r="432" spans="1:16" x14ac:dyDescent="0.3">
      <c r="A432" s="1">
        <v>431</v>
      </c>
      <c r="G432" s="4"/>
      <c r="H432" s="4"/>
      <c r="I432" s="47"/>
      <c r="J432" s="47" t="str">
        <f t="shared" si="19"/>
        <v/>
      </c>
      <c r="K432" s="47"/>
      <c r="L432" s="47"/>
      <c r="N432" s="47"/>
      <c r="O432" s="47"/>
      <c r="P432" s="47"/>
    </row>
    <row r="433" spans="1:16" x14ac:dyDescent="0.3">
      <c r="A433" s="1">
        <v>432</v>
      </c>
      <c r="G433" s="4"/>
      <c r="H433" s="4"/>
      <c r="I433" s="47"/>
      <c r="J433" s="47" t="str">
        <f t="shared" si="19"/>
        <v/>
      </c>
      <c r="K433" s="47"/>
      <c r="L433" s="47"/>
      <c r="N433" s="47"/>
      <c r="O433" s="47"/>
      <c r="P433" s="47"/>
    </row>
    <row r="434" spans="1:16" x14ac:dyDescent="0.3">
      <c r="A434" s="1">
        <v>433</v>
      </c>
      <c r="G434" s="4"/>
      <c r="H434" s="4"/>
      <c r="I434" s="47"/>
      <c r="J434" s="47" t="str">
        <f t="shared" si="19"/>
        <v/>
      </c>
      <c r="K434" s="47"/>
      <c r="L434" s="47"/>
      <c r="N434" s="47"/>
      <c r="O434" s="47"/>
      <c r="P434" s="47"/>
    </row>
    <row r="435" spans="1:16" x14ac:dyDescent="0.3">
      <c r="A435" s="1">
        <v>434</v>
      </c>
      <c r="G435" s="4"/>
      <c r="H435" s="4"/>
      <c r="I435" s="47"/>
      <c r="J435" s="47" t="str">
        <f t="shared" si="19"/>
        <v/>
      </c>
      <c r="K435" s="47"/>
      <c r="L435" s="47"/>
      <c r="N435" s="47"/>
      <c r="O435" s="47"/>
      <c r="P435" s="47"/>
    </row>
    <row r="436" spans="1:16" x14ac:dyDescent="0.3">
      <c r="A436" s="1">
        <v>435</v>
      </c>
      <c r="G436" s="4"/>
      <c r="H436" s="4"/>
      <c r="I436" s="47"/>
      <c r="J436" s="47" t="str">
        <f t="shared" si="19"/>
        <v/>
      </c>
      <c r="K436" s="47"/>
      <c r="L436" s="47"/>
      <c r="N436" s="47"/>
      <c r="O436" s="47"/>
      <c r="P436" s="47"/>
    </row>
    <row r="437" spans="1:16" x14ac:dyDescent="0.3">
      <c r="A437" s="1">
        <v>436</v>
      </c>
      <c r="G437" s="4"/>
      <c r="H437" s="4"/>
      <c r="I437" s="47"/>
      <c r="J437" s="47" t="str">
        <f t="shared" si="19"/>
        <v/>
      </c>
      <c r="K437" s="47"/>
      <c r="L437" s="47"/>
      <c r="N437" s="47"/>
      <c r="O437" s="47"/>
      <c r="P437" s="47"/>
    </row>
    <row r="438" spans="1:16" x14ac:dyDescent="0.3">
      <c r="A438" s="1">
        <v>437</v>
      </c>
      <c r="G438" s="4"/>
      <c r="H438" s="4"/>
      <c r="I438" s="47"/>
      <c r="J438" s="47" t="str">
        <f t="shared" si="19"/>
        <v/>
      </c>
      <c r="K438" s="47"/>
      <c r="L438" s="47"/>
      <c r="N438" s="47"/>
      <c r="O438" s="47"/>
      <c r="P438" s="47"/>
    </row>
    <row r="439" spans="1:16" x14ac:dyDescent="0.3">
      <c r="A439" s="1">
        <v>438</v>
      </c>
      <c r="G439" s="4"/>
      <c r="H439" s="4"/>
      <c r="I439" s="47"/>
      <c r="J439" s="47" t="str">
        <f t="shared" si="19"/>
        <v/>
      </c>
      <c r="K439" s="47"/>
      <c r="L439" s="47"/>
      <c r="N439" s="47"/>
      <c r="O439" s="47"/>
      <c r="P439" s="47"/>
    </row>
    <row r="440" spans="1:16" x14ac:dyDescent="0.3">
      <c r="A440" s="1">
        <v>439</v>
      </c>
      <c r="G440" s="4"/>
      <c r="H440" s="4"/>
      <c r="I440" s="47"/>
      <c r="J440" s="47" t="str">
        <f t="shared" si="19"/>
        <v/>
      </c>
      <c r="K440" s="47"/>
      <c r="L440" s="47"/>
      <c r="N440" s="47"/>
      <c r="O440" s="47"/>
      <c r="P440" s="47"/>
    </row>
    <row r="441" spans="1:16" x14ac:dyDescent="0.3">
      <c r="A441" s="1">
        <v>440</v>
      </c>
      <c r="G441" s="4"/>
      <c r="H441" s="4"/>
      <c r="I441" s="47"/>
      <c r="J441" s="47" t="str">
        <f t="shared" si="19"/>
        <v/>
      </c>
      <c r="K441" s="47"/>
      <c r="L441" s="47"/>
      <c r="N441" s="47"/>
      <c r="O441" s="47"/>
      <c r="P441" s="47"/>
    </row>
    <row r="442" spans="1:16" x14ac:dyDescent="0.3">
      <c r="A442" s="1">
        <v>441</v>
      </c>
      <c r="G442" s="4"/>
      <c r="H442" s="4"/>
      <c r="I442" s="47"/>
      <c r="J442" s="47" t="str">
        <f t="shared" si="19"/>
        <v/>
      </c>
      <c r="K442" s="47"/>
      <c r="L442" s="47"/>
      <c r="N442" s="47"/>
      <c r="O442" s="47"/>
      <c r="P442" s="47"/>
    </row>
    <row r="443" spans="1:16" x14ac:dyDescent="0.3">
      <c r="A443" s="1">
        <v>442</v>
      </c>
      <c r="G443" s="4"/>
      <c r="H443" s="4"/>
      <c r="I443" s="47"/>
      <c r="J443" s="47" t="str">
        <f t="shared" si="19"/>
        <v/>
      </c>
      <c r="K443" s="47"/>
      <c r="L443" s="47"/>
      <c r="N443" s="47"/>
      <c r="O443" s="47"/>
      <c r="P443" s="47"/>
    </row>
    <row r="444" spans="1:16" x14ac:dyDescent="0.3">
      <c r="A444" s="1">
        <v>443</v>
      </c>
      <c r="G444" s="4"/>
      <c r="H444" s="4"/>
      <c r="I444" s="47"/>
      <c r="J444" s="47" t="str">
        <f t="shared" si="19"/>
        <v/>
      </c>
      <c r="K444" s="47"/>
      <c r="L444" s="47"/>
      <c r="N444" s="47"/>
      <c r="O444" s="47"/>
      <c r="P444" s="47"/>
    </row>
    <row r="445" spans="1:16" x14ac:dyDescent="0.3">
      <c r="A445" s="1">
        <v>444</v>
      </c>
      <c r="G445" s="4"/>
      <c r="H445" s="4"/>
      <c r="I445" s="47"/>
      <c r="J445" s="47" t="str">
        <f t="shared" si="19"/>
        <v/>
      </c>
      <c r="K445" s="47"/>
      <c r="L445" s="47"/>
      <c r="N445" s="47"/>
      <c r="O445" s="47"/>
      <c r="P445" s="47"/>
    </row>
    <row r="446" spans="1:16" x14ac:dyDescent="0.3">
      <c r="A446" s="1">
        <v>445</v>
      </c>
      <c r="G446" s="4"/>
      <c r="H446" s="4"/>
      <c r="I446" s="47"/>
      <c r="J446" s="47" t="str">
        <f t="shared" si="19"/>
        <v/>
      </c>
      <c r="K446" s="47"/>
      <c r="L446" s="47"/>
      <c r="N446" s="47"/>
      <c r="O446" s="47"/>
      <c r="P446" s="47"/>
    </row>
    <row r="447" spans="1:16" x14ac:dyDescent="0.3">
      <c r="A447" s="1">
        <v>446</v>
      </c>
      <c r="G447" s="4"/>
      <c r="H447" s="4"/>
      <c r="I447" s="47"/>
      <c r="J447" s="47" t="str">
        <f t="shared" si="19"/>
        <v/>
      </c>
      <c r="K447" s="47"/>
      <c r="L447" s="47"/>
      <c r="N447" s="47"/>
      <c r="O447" s="47"/>
      <c r="P447" s="47"/>
    </row>
    <row r="448" spans="1:16" x14ac:dyDescent="0.3">
      <c r="A448" s="1">
        <v>447</v>
      </c>
      <c r="G448" s="4"/>
      <c r="H448" s="4"/>
      <c r="I448" s="47"/>
      <c r="J448" s="47" t="str">
        <f t="shared" si="19"/>
        <v/>
      </c>
      <c r="K448" s="47"/>
      <c r="L448" s="47"/>
      <c r="N448" s="47"/>
      <c r="O448" s="47"/>
      <c r="P448" s="47"/>
    </row>
    <row r="449" spans="1:16" x14ac:dyDescent="0.3">
      <c r="A449" s="1">
        <v>448</v>
      </c>
      <c r="G449" s="4"/>
      <c r="H449" s="4"/>
      <c r="I449" s="47"/>
      <c r="J449" s="47" t="str">
        <f t="shared" si="19"/>
        <v/>
      </c>
      <c r="K449" s="47"/>
      <c r="L449" s="47"/>
      <c r="N449" s="47"/>
      <c r="O449" s="47"/>
      <c r="P449" s="47"/>
    </row>
    <row r="450" spans="1:16" x14ac:dyDescent="0.3">
      <c r="A450" s="1">
        <v>449</v>
      </c>
      <c r="G450" s="4"/>
      <c r="H450" s="4"/>
      <c r="I450" s="47"/>
      <c r="J450" s="47" t="str">
        <f t="shared" si="19"/>
        <v/>
      </c>
      <c r="K450" s="47"/>
      <c r="L450" s="47"/>
      <c r="N450" s="47"/>
      <c r="O450" s="47"/>
      <c r="P450" s="47"/>
    </row>
    <row r="451" spans="1:16" x14ac:dyDescent="0.3">
      <c r="A451" s="1">
        <v>450</v>
      </c>
      <c r="G451" s="4"/>
      <c r="H451" s="4"/>
      <c r="I451" s="47"/>
      <c r="J451" s="47" t="str">
        <f t="shared" ref="J451:J514" si="20">+E451&amp;I451</f>
        <v/>
      </c>
      <c r="K451" s="47"/>
      <c r="L451" s="47"/>
      <c r="N451" s="47"/>
      <c r="O451" s="47"/>
      <c r="P451" s="47"/>
    </row>
    <row r="452" spans="1:16" x14ac:dyDescent="0.3">
      <c r="A452" s="1">
        <v>451</v>
      </c>
      <c r="G452" s="4"/>
      <c r="H452" s="4"/>
      <c r="I452" s="47"/>
      <c r="J452" s="47" t="str">
        <f t="shared" si="20"/>
        <v/>
      </c>
      <c r="K452" s="47"/>
      <c r="L452" s="47"/>
      <c r="N452" s="47"/>
      <c r="O452" s="47"/>
      <c r="P452" s="47"/>
    </row>
    <row r="453" spans="1:16" x14ac:dyDescent="0.3">
      <c r="A453" s="1">
        <v>452</v>
      </c>
      <c r="G453" s="4"/>
      <c r="H453" s="4"/>
      <c r="I453" s="47"/>
      <c r="J453" s="47" t="str">
        <f t="shared" si="20"/>
        <v/>
      </c>
      <c r="K453" s="47"/>
      <c r="L453" s="47"/>
      <c r="N453" s="47"/>
      <c r="O453" s="47"/>
      <c r="P453" s="47"/>
    </row>
    <row r="454" spans="1:16" x14ac:dyDescent="0.3">
      <c r="A454" s="1">
        <v>453</v>
      </c>
      <c r="G454" s="4"/>
      <c r="H454" s="4"/>
      <c r="I454" s="47"/>
      <c r="J454" s="47" t="str">
        <f t="shared" si="20"/>
        <v/>
      </c>
      <c r="K454" s="47"/>
      <c r="L454" s="47"/>
      <c r="N454" s="47"/>
      <c r="O454" s="47"/>
      <c r="P454" s="47"/>
    </row>
    <row r="455" spans="1:16" x14ac:dyDescent="0.3">
      <c r="A455" s="1">
        <v>454</v>
      </c>
      <c r="G455" s="4"/>
      <c r="H455" s="4"/>
      <c r="I455" s="47"/>
      <c r="J455" s="47" t="str">
        <f t="shared" si="20"/>
        <v/>
      </c>
      <c r="K455" s="47"/>
      <c r="L455" s="47"/>
      <c r="N455" s="47"/>
      <c r="O455" s="47"/>
      <c r="P455" s="47"/>
    </row>
    <row r="456" spans="1:16" x14ac:dyDescent="0.3">
      <c r="A456" s="1">
        <v>455</v>
      </c>
      <c r="G456" s="4"/>
      <c r="H456" s="4"/>
      <c r="I456" s="47"/>
      <c r="J456" s="47" t="str">
        <f t="shared" si="20"/>
        <v/>
      </c>
      <c r="K456" s="47"/>
      <c r="L456" s="47"/>
      <c r="N456" s="47"/>
      <c r="O456" s="47"/>
      <c r="P456" s="47"/>
    </row>
    <row r="457" spans="1:16" x14ac:dyDescent="0.3">
      <c r="A457" s="1">
        <v>456</v>
      </c>
      <c r="G457" s="4"/>
      <c r="H457" s="4"/>
      <c r="I457" s="47"/>
      <c r="J457" s="47" t="str">
        <f t="shared" si="20"/>
        <v/>
      </c>
      <c r="K457" s="47"/>
      <c r="L457" s="47"/>
      <c r="N457" s="47"/>
      <c r="O457" s="47"/>
      <c r="P457" s="47"/>
    </row>
    <row r="458" spans="1:16" x14ac:dyDescent="0.3">
      <c r="A458" s="1">
        <v>457</v>
      </c>
      <c r="G458" s="4"/>
      <c r="H458" s="4"/>
      <c r="I458" s="47"/>
      <c r="J458" s="47" t="str">
        <f t="shared" si="20"/>
        <v/>
      </c>
      <c r="K458" s="47"/>
      <c r="L458" s="47"/>
      <c r="N458" s="47"/>
      <c r="O458" s="47"/>
      <c r="P458" s="47"/>
    </row>
    <row r="459" spans="1:16" x14ac:dyDescent="0.3">
      <c r="A459" s="1">
        <v>458</v>
      </c>
      <c r="G459" s="4"/>
      <c r="H459" s="4"/>
      <c r="I459" s="47"/>
      <c r="J459" s="47" t="str">
        <f t="shared" si="20"/>
        <v/>
      </c>
      <c r="K459" s="47"/>
      <c r="L459" s="47"/>
      <c r="N459" s="47"/>
      <c r="O459" s="47"/>
      <c r="P459" s="47"/>
    </row>
    <row r="460" spans="1:16" x14ac:dyDescent="0.3">
      <c r="A460" s="1">
        <v>459</v>
      </c>
      <c r="G460" s="4"/>
      <c r="H460" s="4"/>
      <c r="I460" s="47"/>
      <c r="J460" s="47" t="str">
        <f t="shared" si="20"/>
        <v/>
      </c>
      <c r="K460" s="47"/>
      <c r="L460" s="47"/>
      <c r="N460" s="47"/>
      <c r="O460" s="47"/>
      <c r="P460" s="47"/>
    </row>
    <row r="461" spans="1:16" x14ac:dyDescent="0.3">
      <c r="A461" s="1">
        <v>460</v>
      </c>
      <c r="G461" s="4"/>
      <c r="H461" s="4"/>
      <c r="I461" s="47"/>
      <c r="J461" s="47" t="str">
        <f t="shared" si="20"/>
        <v/>
      </c>
      <c r="K461" s="47"/>
      <c r="L461" s="47"/>
      <c r="N461" s="47"/>
      <c r="O461" s="47"/>
      <c r="P461" s="47"/>
    </row>
    <row r="462" spans="1:16" x14ac:dyDescent="0.3">
      <c r="A462" s="1">
        <v>461</v>
      </c>
      <c r="G462" s="4"/>
      <c r="H462" s="4"/>
      <c r="I462" s="47"/>
      <c r="J462" s="47" t="str">
        <f t="shared" si="20"/>
        <v/>
      </c>
      <c r="K462" s="47"/>
      <c r="L462" s="47"/>
      <c r="N462" s="47"/>
      <c r="O462" s="47"/>
      <c r="P462" s="47"/>
    </row>
    <row r="463" spans="1:16" x14ac:dyDescent="0.3">
      <c r="A463" s="1">
        <v>462</v>
      </c>
      <c r="G463" s="4"/>
      <c r="H463" s="4"/>
      <c r="I463" s="47"/>
      <c r="J463" s="47" t="str">
        <f t="shared" si="20"/>
        <v/>
      </c>
      <c r="K463" s="47"/>
      <c r="L463" s="47"/>
      <c r="N463" s="47"/>
      <c r="O463" s="47"/>
      <c r="P463" s="47"/>
    </row>
    <row r="464" spans="1:16" x14ac:dyDescent="0.3">
      <c r="A464" s="1">
        <v>463</v>
      </c>
      <c r="G464" s="4"/>
      <c r="H464" s="4"/>
      <c r="I464" s="47"/>
      <c r="J464" s="47" t="str">
        <f t="shared" si="20"/>
        <v/>
      </c>
      <c r="K464" s="47"/>
      <c r="L464" s="47"/>
      <c r="N464" s="47"/>
      <c r="O464" s="47"/>
      <c r="P464" s="47"/>
    </row>
    <row r="465" spans="1:16" x14ac:dyDescent="0.3">
      <c r="A465" s="1">
        <v>464</v>
      </c>
      <c r="G465" s="4"/>
      <c r="H465" s="4"/>
      <c r="I465" s="47"/>
      <c r="J465" s="47" t="str">
        <f t="shared" si="20"/>
        <v/>
      </c>
      <c r="K465" s="47"/>
      <c r="L465" s="47"/>
      <c r="N465" s="47"/>
      <c r="O465" s="47"/>
      <c r="P465" s="47"/>
    </row>
    <row r="466" spans="1:16" x14ac:dyDescent="0.3">
      <c r="A466" s="1">
        <v>465</v>
      </c>
      <c r="G466" s="4"/>
      <c r="H466" s="4"/>
      <c r="I466" s="47"/>
      <c r="J466" s="47" t="str">
        <f t="shared" si="20"/>
        <v/>
      </c>
      <c r="K466" s="47"/>
      <c r="L466" s="47"/>
      <c r="N466" s="47"/>
      <c r="O466" s="47"/>
      <c r="P466" s="47"/>
    </row>
    <row r="467" spans="1:16" x14ac:dyDescent="0.3">
      <c r="A467" s="1">
        <v>466</v>
      </c>
      <c r="G467" s="4"/>
      <c r="H467" s="4"/>
      <c r="I467" s="47"/>
      <c r="J467" s="47" t="str">
        <f t="shared" si="20"/>
        <v/>
      </c>
      <c r="K467" s="47"/>
      <c r="L467" s="47"/>
      <c r="N467" s="47"/>
      <c r="O467" s="47"/>
      <c r="P467" s="47"/>
    </row>
    <row r="468" spans="1:16" x14ac:dyDescent="0.3">
      <c r="A468" s="1">
        <v>467</v>
      </c>
      <c r="G468" s="4"/>
      <c r="H468" s="4"/>
      <c r="I468" s="47"/>
      <c r="J468" s="47" t="str">
        <f t="shared" si="20"/>
        <v/>
      </c>
      <c r="K468" s="47"/>
      <c r="L468" s="47"/>
      <c r="N468" s="47"/>
      <c r="O468" s="47"/>
      <c r="P468" s="47"/>
    </row>
    <row r="469" spans="1:16" x14ac:dyDescent="0.3">
      <c r="A469" s="1">
        <v>468</v>
      </c>
      <c r="G469" s="4"/>
      <c r="H469" s="4"/>
      <c r="I469" s="47"/>
      <c r="J469" s="47" t="str">
        <f t="shared" si="20"/>
        <v/>
      </c>
      <c r="K469" s="47"/>
      <c r="L469" s="47"/>
      <c r="N469" s="47"/>
      <c r="O469" s="47"/>
      <c r="P469" s="47"/>
    </row>
    <row r="470" spans="1:16" x14ac:dyDescent="0.3">
      <c r="A470" s="1">
        <v>469</v>
      </c>
      <c r="G470" s="4"/>
      <c r="H470" s="4"/>
      <c r="I470" s="47"/>
      <c r="J470" s="47" t="str">
        <f t="shared" si="20"/>
        <v/>
      </c>
      <c r="K470" s="47"/>
      <c r="L470" s="47"/>
      <c r="N470" s="47"/>
      <c r="O470" s="47"/>
      <c r="P470" s="47"/>
    </row>
    <row r="471" spans="1:16" x14ac:dyDescent="0.3">
      <c r="A471" s="1">
        <v>470</v>
      </c>
      <c r="G471" s="4"/>
      <c r="H471" s="4"/>
      <c r="I471" s="47"/>
      <c r="J471" s="47" t="str">
        <f t="shared" si="20"/>
        <v/>
      </c>
      <c r="K471" s="47"/>
      <c r="L471" s="47"/>
      <c r="N471" s="47"/>
      <c r="O471" s="47"/>
      <c r="P471" s="47"/>
    </row>
    <row r="472" spans="1:16" x14ac:dyDescent="0.3">
      <c r="A472" s="1">
        <v>471</v>
      </c>
      <c r="G472" s="4"/>
      <c r="H472" s="4"/>
      <c r="I472" s="47"/>
      <c r="J472" s="47" t="str">
        <f t="shared" si="20"/>
        <v/>
      </c>
      <c r="K472" s="47"/>
      <c r="L472" s="47"/>
      <c r="N472" s="47"/>
      <c r="O472" s="47"/>
      <c r="P472" s="47"/>
    </row>
    <row r="473" spans="1:16" x14ac:dyDescent="0.3">
      <c r="A473" s="1">
        <v>472</v>
      </c>
      <c r="G473" s="4"/>
      <c r="H473" s="4"/>
      <c r="I473" s="47"/>
      <c r="J473" s="47" t="str">
        <f t="shared" si="20"/>
        <v/>
      </c>
      <c r="K473" s="47"/>
      <c r="L473" s="47"/>
      <c r="N473" s="47"/>
      <c r="O473" s="47"/>
      <c r="P473" s="47"/>
    </row>
    <row r="474" spans="1:16" x14ac:dyDescent="0.3">
      <c r="A474" s="1">
        <v>473</v>
      </c>
      <c r="G474" s="4"/>
      <c r="H474" s="4"/>
      <c r="I474" s="47"/>
      <c r="J474" s="47" t="str">
        <f t="shared" si="20"/>
        <v/>
      </c>
      <c r="K474" s="47"/>
      <c r="L474" s="47"/>
      <c r="N474" s="47"/>
      <c r="O474" s="47"/>
      <c r="P474" s="47"/>
    </row>
    <row r="475" spans="1:16" x14ac:dyDescent="0.3">
      <c r="A475" s="1">
        <v>474</v>
      </c>
      <c r="G475" s="4"/>
      <c r="H475" s="4"/>
      <c r="I475" s="47"/>
      <c r="J475" s="47" t="str">
        <f t="shared" si="20"/>
        <v/>
      </c>
      <c r="K475" s="47"/>
      <c r="L475" s="47"/>
      <c r="N475" s="47"/>
      <c r="O475" s="47"/>
      <c r="P475" s="47"/>
    </row>
    <row r="476" spans="1:16" x14ac:dyDescent="0.3">
      <c r="A476" s="1">
        <v>475</v>
      </c>
      <c r="G476" s="4"/>
      <c r="H476" s="4"/>
      <c r="I476" s="47"/>
      <c r="J476" s="47" t="str">
        <f t="shared" si="20"/>
        <v/>
      </c>
      <c r="K476" s="47"/>
      <c r="L476" s="47"/>
      <c r="N476" s="47"/>
      <c r="O476" s="47"/>
      <c r="P476" s="47"/>
    </row>
    <row r="477" spans="1:16" x14ac:dyDescent="0.3">
      <c r="A477" s="1">
        <v>476</v>
      </c>
      <c r="G477" s="4"/>
      <c r="H477" s="4"/>
      <c r="I477" s="47"/>
      <c r="J477" s="47" t="str">
        <f t="shared" si="20"/>
        <v/>
      </c>
      <c r="K477" s="47"/>
      <c r="L477" s="47"/>
      <c r="N477" s="47"/>
      <c r="O477" s="47"/>
      <c r="P477" s="47"/>
    </row>
    <row r="478" spans="1:16" x14ac:dyDescent="0.3">
      <c r="A478" s="1">
        <v>477</v>
      </c>
      <c r="G478" s="4"/>
      <c r="H478" s="4"/>
      <c r="I478" s="47"/>
      <c r="J478" s="47" t="str">
        <f t="shared" si="20"/>
        <v/>
      </c>
      <c r="K478" s="47"/>
      <c r="L478" s="47"/>
      <c r="N478" s="47"/>
      <c r="O478" s="47"/>
      <c r="P478" s="47"/>
    </row>
    <row r="479" spans="1:16" x14ac:dyDescent="0.3">
      <c r="A479" s="1">
        <v>478</v>
      </c>
      <c r="G479" s="4"/>
      <c r="H479" s="4"/>
      <c r="I479" s="47"/>
      <c r="J479" s="47" t="str">
        <f t="shared" si="20"/>
        <v/>
      </c>
      <c r="K479" s="47"/>
      <c r="L479" s="47"/>
      <c r="N479" s="47"/>
      <c r="O479" s="47"/>
      <c r="P479" s="47"/>
    </row>
    <row r="480" spans="1:16" x14ac:dyDescent="0.3">
      <c r="A480" s="1">
        <v>479</v>
      </c>
      <c r="G480" s="4"/>
      <c r="H480" s="4"/>
      <c r="I480" s="47"/>
      <c r="J480" s="47" t="str">
        <f t="shared" si="20"/>
        <v/>
      </c>
      <c r="K480" s="47"/>
      <c r="L480" s="47"/>
      <c r="N480" s="47"/>
      <c r="O480" s="47"/>
      <c r="P480" s="47"/>
    </row>
    <row r="481" spans="1:16" x14ac:dyDescent="0.3">
      <c r="A481" s="1">
        <v>480</v>
      </c>
      <c r="G481" s="4"/>
      <c r="H481" s="4"/>
      <c r="I481" s="47"/>
      <c r="J481" s="47" t="str">
        <f t="shared" si="20"/>
        <v/>
      </c>
      <c r="K481" s="47"/>
      <c r="L481" s="47"/>
      <c r="N481" s="47"/>
      <c r="O481" s="47"/>
      <c r="P481" s="47"/>
    </row>
    <row r="482" spans="1:16" x14ac:dyDescent="0.3">
      <c r="A482" s="1">
        <v>481</v>
      </c>
      <c r="G482" s="4"/>
      <c r="H482" s="4"/>
      <c r="I482" s="47"/>
      <c r="J482" s="47" t="str">
        <f t="shared" si="20"/>
        <v/>
      </c>
      <c r="K482" s="47"/>
      <c r="L482" s="47"/>
      <c r="N482" s="47"/>
      <c r="O482" s="47"/>
      <c r="P482" s="47"/>
    </row>
    <row r="483" spans="1:16" x14ac:dyDescent="0.3">
      <c r="A483" s="1">
        <v>482</v>
      </c>
      <c r="G483" s="4"/>
      <c r="H483" s="4"/>
      <c r="I483" s="47"/>
      <c r="J483" s="47" t="str">
        <f t="shared" si="20"/>
        <v/>
      </c>
      <c r="K483" s="47"/>
      <c r="L483" s="47"/>
      <c r="N483" s="47"/>
      <c r="O483" s="47"/>
      <c r="P483" s="47"/>
    </row>
    <row r="484" spans="1:16" x14ac:dyDescent="0.3">
      <c r="A484" s="1">
        <v>483</v>
      </c>
      <c r="G484" s="4"/>
      <c r="H484" s="4"/>
      <c r="I484" s="47"/>
      <c r="J484" s="47" t="str">
        <f t="shared" si="20"/>
        <v/>
      </c>
      <c r="K484" s="47"/>
      <c r="L484" s="47"/>
      <c r="N484" s="47"/>
      <c r="O484" s="47"/>
      <c r="P484" s="47"/>
    </row>
    <row r="485" spans="1:16" x14ac:dyDescent="0.3">
      <c r="A485" s="1">
        <v>484</v>
      </c>
      <c r="G485" s="4"/>
      <c r="H485" s="4"/>
      <c r="I485" s="47"/>
      <c r="J485" s="47" t="str">
        <f t="shared" si="20"/>
        <v/>
      </c>
      <c r="K485" s="47"/>
      <c r="L485" s="47"/>
      <c r="N485" s="47"/>
      <c r="O485" s="47"/>
      <c r="P485" s="47"/>
    </row>
    <row r="486" spans="1:16" x14ac:dyDescent="0.3">
      <c r="A486" s="1">
        <v>485</v>
      </c>
      <c r="G486" s="4"/>
      <c r="H486" s="4"/>
      <c r="I486" s="47"/>
      <c r="J486" s="47" t="str">
        <f t="shared" si="20"/>
        <v/>
      </c>
      <c r="K486" s="47"/>
      <c r="L486" s="47"/>
      <c r="N486" s="47"/>
      <c r="O486" s="47"/>
      <c r="P486" s="47"/>
    </row>
    <row r="487" spans="1:16" x14ac:dyDescent="0.3">
      <c r="A487" s="1">
        <v>486</v>
      </c>
      <c r="G487" s="4"/>
      <c r="H487" s="4"/>
      <c r="I487" s="47"/>
      <c r="J487" s="47" t="str">
        <f t="shared" si="20"/>
        <v/>
      </c>
      <c r="K487" s="47"/>
      <c r="L487" s="47"/>
      <c r="N487" s="47"/>
      <c r="O487" s="47"/>
      <c r="P487" s="47"/>
    </row>
    <row r="488" spans="1:16" x14ac:dyDescent="0.3">
      <c r="A488" s="1">
        <v>487</v>
      </c>
      <c r="G488" s="4"/>
      <c r="H488" s="4"/>
      <c r="I488" s="47"/>
      <c r="J488" s="47" t="str">
        <f t="shared" si="20"/>
        <v/>
      </c>
      <c r="K488" s="47"/>
      <c r="L488" s="47"/>
      <c r="N488" s="47"/>
      <c r="O488" s="47"/>
      <c r="P488" s="47"/>
    </row>
    <row r="489" spans="1:16" x14ac:dyDescent="0.3">
      <c r="A489" s="1">
        <v>488</v>
      </c>
      <c r="G489" s="4"/>
      <c r="H489" s="4"/>
      <c r="I489" s="47"/>
      <c r="J489" s="47" t="str">
        <f t="shared" si="20"/>
        <v/>
      </c>
      <c r="K489" s="47"/>
      <c r="L489" s="47"/>
      <c r="N489" s="47"/>
      <c r="O489" s="47"/>
      <c r="P489" s="47"/>
    </row>
    <row r="490" spans="1:16" x14ac:dyDescent="0.3">
      <c r="A490" s="1">
        <v>489</v>
      </c>
      <c r="G490" s="4"/>
      <c r="H490" s="4"/>
      <c r="I490" s="47"/>
      <c r="J490" s="47" t="str">
        <f t="shared" si="20"/>
        <v/>
      </c>
      <c r="K490" s="47"/>
      <c r="L490" s="47"/>
      <c r="N490" s="47"/>
      <c r="O490" s="47"/>
      <c r="P490" s="47"/>
    </row>
    <row r="491" spans="1:16" x14ac:dyDescent="0.3">
      <c r="A491" s="1">
        <v>490</v>
      </c>
      <c r="G491" s="4"/>
      <c r="H491" s="4"/>
      <c r="I491" s="47"/>
      <c r="J491" s="47" t="str">
        <f t="shared" si="20"/>
        <v/>
      </c>
      <c r="K491" s="47"/>
      <c r="L491" s="47"/>
      <c r="N491" s="47"/>
      <c r="O491" s="47"/>
      <c r="P491" s="47"/>
    </row>
    <row r="492" spans="1:16" x14ac:dyDescent="0.3">
      <c r="A492" s="1">
        <v>491</v>
      </c>
      <c r="G492" s="4"/>
      <c r="H492" s="4"/>
      <c r="I492" s="47"/>
      <c r="J492" s="47" t="str">
        <f t="shared" si="20"/>
        <v/>
      </c>
      <c r="K492" s="47"/>
      <c r="L492" s="47"/>
      <c r="N492" s="47"/>
      <c r="O492" s="47"/>
      <c r="P492" s="47"/>
    </row>
    <row r="493" spans="1:16" x14ac:dyDescent="0.3">
      <c r="A493" s="1">
        <v>492</v>
      </c>
      <c r="G493" s="4"/>
      <c r="H493" s="4"/>
      <c r="I493" s="47"/>
      <c r="J493" s="47" t="str">
        <f t="shared" si="20"/>
        <v/>
      </c>
      <c r="K493" s="47"/>
      <c r="L493" s="47"/>
      <c r="N493" s="47"/>
      <c r="O493" s="47"/>
      <c r="P493" s="47"/>
    </row>
    <row r="494" spans="1:16" x14ac:dyDescent="0.3">
      <c r="A494" s="1">
        <v>493</v>
      </c>
      <c r="G494" s="4"/>
      <c r="H494" s="4"/>
      <c r="I494" s="47"/>
      <c r="J494" s="47" t="str">
        <f t="shared" si="20"/>
        <v/>
      </c>
      <c r="K494" s="47"/>
      <c r="L494" s="47"/>
      <c r="N494" s="47"/>
      <c r="O494" s="47"/>
      <c r="P494" s="47"/>
    </row>
    <row r="495" spans="1:16" x14ac:dyDescent="0.3">
      <c r="A495" s="1">
        <v>494</v>
      </c>
      <c r="G495" s="4"/>
      <c r="H495" s="4"/>
      <c r="I495" s="47"/>
      <c r="J495" s="47" t="str">
        <f t="shared" si="20"/>
        <v/>
      </c>
      <c r="K495" s="47"/>
      <c r="L495" s="47"/>
      <c r="N495" s="47"/>
      <c r="O495" s="47"/>
      <c r="P495" s="47"/>
    </row>
    <row r="496" spans="1:16" x14ac:dyDescent="0.3">
      <c r="A496" s="1">
        <v>495</v>
      </c>
      <c r="G496" s="4"/>
      <c r="H496" s="4"/>
      <c r="I496" s="47"/>
      <c r="J496" s="47" t="str">
        <f t="shared" si="20"/>
        <v/>
      </c>
      <c r="K496" s="47"/>
      <c r="L496" s="47"/>
      <c r="N496" s="47"/>
      <c r="O496" s="47"/>
      <c r="P496" s="47"/>
    </row>
    <row r="497" spans="1:16" x14ac:dyDescent="0.3">
      <c r="A497" s="1">
        <v>496</v>
      </c>
      <c r="G497" s="4"/>
      <c r="H497" s="4"/>
      <c r="I497" s="47"/>
      <c r="J497" s="47" t="str">
        <f t="shared" si="20"/>
        <v/>
      </c>
      <c r="K497" s="47"/>
      <c r="L497" s="47"/>
      <c r="N497" s="47"/>
      <c r="O497" s="47"/>
      <c r="P497" s="47"/>
    </row>
    <row r="498" spans="1:16" x14ac:dyDescent="0.3">
      <c r="A498" s="1">
        <v>497</v>
      </c>
      <c r="G498" s="4"/>
      <c r="H498" s="4"/>
      <c r="I498" s="47"/>
      <c r="J498" s="47" t="str">
        <f t="shared" si="20"/>
        <v/>
      </c>
      <c r="K498" s="47"/>
      <c r="L498" s="47"/>
      <c r="N498" s="47"/>
      <c r="O498" s="47"/>
      <c r="P498" s="47"/>
    </row>
    <row r="499" spans="1:16" x14ac:dyDescent="0.3">
      <c r="A499" s="1">
        <v>498</v>
      </c>
      <c r="G499" s="4"/>
      <c r="H499" s="4"/>
      <c r="I499" s="47"/>
      <c r="J499" s="47" t="str">
        <f t="shared" si="20"/>
        <v/>
      </c>
      <c r="K499" s="47"/>
      <c r="L499" s="47"/>
      <c r="N499" s="47"/>
      <c r="O499" s="47"/>
      <c r="P499" s="47"/>
    </row>
    <row r="500" spans="1:16" x14ac:dyDescent="0.3">
      <c r="A500" s="1">
        <v>499</v>
      </c>
      <c r="G500" s="4"/>
      <c r="H500" s="4"/>
      <c r="I500" s="47"/>
      <c r="J500" s="47" t="str">
        <f t="shared" si="20"/>
        <v/>
      </c>
      <c r="K500" s="47"/>
      <c r="L500" s="47"/>
      <c r="N500" s="47"/>
      <c r="O500" s="47"/>
      <c r="P500" s="47"/>
    </row>
    <row r="501" spans="1:16" x14ac:dyDescent="0.3">
      <c r="A501" s="1">
        <v>500</v>
      </c>
      <c r="G501" s="4"/>
      <c r="H501" s="4"/>
      <c r="I501" s="47"/>
      <c r="J501" s="47" t="str">
        <f t="shared" si="20"/>
        <v/>
      </c>
      <c r="K501" s="47"/>
      <c r="L501" s="47"/>
      <c r="N501" s="47"/>
      <c r="O501" s="47"/>
      <c r="P501" s="47"/>
    </row>
    <row r="502" spans="1:16" x14ac:dyDescent="0.3">
      <c r="A502" s="1">
        <v>501</v>
      </c>
      <c r="G502" s="4"/>
      <c r="H502" s="4"/>
      <c r="I502" s="47"/>
      <c r="J502" s="47" t="str">
        <f t="shared" si="20"/>
        <v/>
      </c>
      <c r="K502" s="47"/>
      <c r="L502" s="47"/>
      <c r="N502" s="47"/>
      <c r="O502" s="47"/>
      <c r="P502" s="47"/>
    </row>
    <row r="503" spans="1:16" x14ac:dyDescent="0.3">
      <c r="A503" s="1">
        <v>502</v>
      </c>
      <c r="G503" s="4"/>
      <c r="H503" s="4"/>
      <c r="I503" s="47"/>
      <c r="J503" s="47" t="str">
        <f t="shared" si="20"/>
        <v/>
      </c>
      <c r="K503" s="47"/>
      <c r="L503" s="47"/>
      <c r="N503" s="47"/>
      <c r="O503" s="47"/>
      <c r="P503" s="47"/>
    </row>
    <row r="504" spans="1:16" x14ac:dyDescent="0.3">
      <c r="A504" s="1">
        <v>503</v>
      </c>
      <c r="G504" s="4"/>
      <c r="H504" s="4"/>
      <c r="I504" s="47"/>
      <c r="J504" s="47" t="str">
        <f t="shared" si="20"/>
        <v/>
      </c>
      <c r="K504" s="47"/>
      <c r="L504" s="47"/>
      <c r="N504" s="47"/>
      <c r="O504" s="47"/>
      <c r="P504" s="47"/>
    </row>
    <row r="505" spans="1:16" x14ac:dyDescent="0.3">
      <c r="A505" s="1">
        <v>504</v>
      </c>
      <c r="G505" s="4"/>
      <c r="H505" s="4"/>
      <c r="I505" s="47"/>
      <c r="J505" s="47" t="str">
        <f t="shared" si="20"/>
        <v/>
      </c>
      <c r="K505" s="47"/>
      <c r="L505" s="47"/>
      <c r="N505" s="47"/>
      <c r="O505" s="47"/>
      <c r="P505" s="47"/>
    </row>
    <row r="506" spans="1:16" x14ac:dyDescent="0.3">
      <c r="A506" s="1">
        <v>505</v>
      </c>
      <c r="G506" s="4"/>
      <c r="H506" s="4"/>
      <c r="I506" s="47"/>
      <c r="J506" s="47" t="str">
        <f t="shared" si="20"/>
        <v/>
      </c>
      <c r="K506" s="47"/>
      <c r="L506" s="47"/>
      <c r="N506" s="47"/>
      <c r="O506" s="47"/>
      <c r="P506" s="47"/>
    </row>
    <row r="507" spans="1:16" x14ac:dyDescent="0.3">
      <c r="A507" s="1">
        <v>506</v>
      </c>
      <c r="G507" s="4"/>
      <c r="H507" s="4"/>
      <c r="I507" s="47"/>
      <c r="J507" s="47" t="str">
        <f t="shared" si="20"/>
        <v/>
      </c>
      <c r="K507" s="47"/>
      <c r="L507" s="47"/>
      <c r="N507" s="47"/>
      <c r="O507" s="47"/>
      <c r="P507" s="47"/>
    </row>
    <row r="508" spans="1:16" x14ac:dyDescent="0.3">
      <c r="A508" s="1">
        <v>507</v>
      </c>
      <c r="G508" s="4"/>
      <c r="H508" s="4"/>
      <c r="I508" s="47"/>
      <c r="J508" s="47" t="str">
        <f t="shared" si="20"/>
        <v/>
      </c>
      <c r="K508" s="47"/>
      <c r="L508" s="47"/>
      <c r="N508" s="47"/>
      <c r="O508" s="47"/>
      <c r="P508" s="47"/>
    </row>
    <row r="509" spans="1:16" x14ac:dyDescent="0.3">
      <c r="A509" s="1">
        <v>508</v>
      </c>
      <c r="G509" s="4"/>
      <c r="H509" s="4"/>
      <c r="I509" s="47"/>
      <c r="J509" s="47" t="str">
        <f t="shared" si="20"/>
        <v/>
      </c>
      <c r="K509" s="47"/>
      <c r="L509" s="47"/>
      <c r="N509" s="47"/>
      <c r="O509" s="47"/>
      <c r="P509" s="47"/>
    </row>
    <row r="510" spans="1:16" x14ac:dyDescent="0.3">
      <c r="A510" s="1">
        <v>509</v>
      </c>
      <c r="G510" s="4"/>
      <c r="H510" s="4"/>
      <c r="I510" s="47"/>
      <c r="J510" s="47" t="str">
        <f t="shared" si="20"/>
        <v/>
      </c>
      <c r="K510" s="47"/>
      <c r="L510" s="47"/>
      <c r="N510" s="47"/>
      <c r="O510" s="47"/>
      <c r="P510" s="47"/>
    </row>
    <row r="511" spans="1:16" x14ac:dyDescent="0.3">
      <c r="A511" s="1">
        <v>510</v>
      </c>
      <c r="G511" s="4"/>
      <c r="H511" s="4"/>
      <c r="I511" s="47"/>
      <c r="J511" s="47" t="str">
        <f t="shared" si="20"/>
        <v/>
      </c>
      <c r="K511" s="47"/>
      <c r="L511" s="47"/>
      <c r="N511" s="47"/>
      <c r="O511" s="47"/>
      <c r="P511" s="47"/>
    </row>
    <row r="512" spans="1:16" x14ac:dyDescent="0.3">
      <c r="A512" s="1">
        <v>511</v>
      </c>
      <c r="G512" s="4"/>
      <c r="H512" s="4"/>
      <c r="I512" s="47"/>
      <c r="J512" s="47" t="str">
        <f t="shared" si="20"/>
        <v/>
      </c>
      <c r="K512" s="47"/>
      <c r="L512" s="47"/>
      <c r="N512" s="47"/>
      <c r="O512" s="47"/>
      <c r="P512" s="47"/>
    </row>
    <row r="513" spans="1:16" x14ac:dyDescent="0.3">
      <c r="A513" s="1">
        <v>512</v>
      </c>
      <c r="G513" s="4"/>
      <c r="H513" s="4"/>
      <c r="I513" s="47"/>
      <c r="J513" s="47" t="str">
        <f t="shared" si="20"/>
        <v/>
      </c>
      <c r="K513" s="47"/>
      <c r="L513" s="47"/>
      <c r="N513" s="47"/>
      <c r="O513" s="47"/>
      <c r="P513" s="47"/>
    </row>
    <row r="514" spans="1:16" x14ac:dyDescent="0.3">
      <c r="A514" s="1">
        <v>513</v>
      </c>
      <c r="G514" s="4"/>
      <c r="H514" s="4"/>
      <c r="I514" s="47"/>
      <c r="J514" s="47" t="str">
        <f t="shared" si="20"/>
        <v/>
      </c>
      <c r="K514" s="47"/>
      <c r="L514" s="47"/>
      <c r="N514" s="47"/>
      <c r="O514" s="47"/>
      <c r="P514" s="47"/>
    </row>
    <row r="515" spans="1:16" x14ac:dyDescent="0.3">
      <c r="A515" s="1">
        <v>514</v>
      </c>
      <c r="G515" s="4"/>
      <c r="H515" s="4"/>
      <c r="I515" s="47"/>
      <c r="J515" s="47" t="str">
        <f t="shared" ref="J515:J578" si="21">+E515&amp;I515</f>
        <v/>
      </c>
      <c r="K515" s="47"/>
      <c r="L515" s="47"/>
      <c r="N515" s="47"/>
      <c r="O515" s="47"/>
      <c r="P515" s="47"/>
    </row>
    <row r="516" spans="1:16" x14ac:dyDescent="0.3">
      <c r="A516" s="1">
        <v>515</v>
      </c>
      <c r="G516" s="4"/>
      <c r="H516" s="4"/>
      <c r="I516" s="47"/>
      <c r="J516" s="47" t="str">
        <f t="shared" si="21"/>
        <v/>
      </c>
      <c r="K516" s="47"/>
      <c r="L516" s="47"/>
      <c r="N516" s="47"/>
      <c r="O516" s="47"/>
      <c r="P516" s="47"/>
    </row>
    <row r="517" spans="1:16" x14ac:dyDescent="0.3">
      <c r="A517" s="1">
        <v>516</v>
      </c>
      <c r="G517" s="4"/>
      <c r="H517" s="4"/>
      <c r="I517" s="47"/>
      <c r="J517" s="47" t="str">
        <f t="shared" si="21"/>
        <v/>
      </c>
      <c r="K517" s="47"/>
      <c r="L517" s="47"/>
      <c r="N517" s="47"/>
      <c r="O517" s="47"/>
      <c r="P517" s="47"/>
    </row>
    <row r="518" spans="1:16" x14ac:dyDescent="0.3">
      <c r="A518" s="1">
        <v>517</v>
      </c>
      <c r="G518" s="4"/>
      <c r="H518" s="4"/>
      <c r="I518" s="47"/>
      <c r="J518" s="47" t="str">
        <f t="shared" si="21"/>
        <v/>
      </c>
      <c r="K518" s="47"/>
      <c r="L518" s="47"/>
      <c r="N518" s="47"/>
      <c r="O518" s="47"/>
      <c r="P518" s="47"/>
    </row>
    <row r="519" spans="1:16" x14ac:dyDescent="0.3">
      <c r="A519" s="1">
        <v>518</v>
      </c>
      <c r="G519" s="4"/>
      <c r="H519" s="4"/>
      <c r="I519" s="47"/>
      <c r="J519" s="47" t="str">
        <f t="shared" si="21"/>
        <v/>
      </c>
      <c r="K519" s="47"/>
      <c r="L519" s="47"/>
      <c r="N519" s="47"/>
      <c r="O519" s="47"/>
      <c r="P519" s="47"/>
    </row>
    <row r="520" spans="1:16" x14ac:dyDescent="0.3">
      <c r="A520" s="1">
        <v>519</v>
      </c>
      <c r="G520" s="4"/>
      <c r="H520" s="4"/>
      <c r="I520" s="47"/>
      <c r="J520" s="47" t="str">
        <f t="shared" si="21"/>
        <v/>
      </c>
      <c r="K520" s="47"/>
      <c r="L520" s="47"/>
      <c r="N520" s="47"/>
      <c r="O520" s="47"/>
      <c r="P520" s="47"/>
    </row>
    <row r="521" spans="1:16" x14ac:dyDescent="0.3">
      <c r="A521" s="1">
        <v>520</v>
      </c>
      <c r="G521" s="4"/>
      <c r="H521" s="4"/>
      <c r="I521" s="47"/>
      <c r="J521" s="47" t="str">
        <f t="shared" si="21"/>
        <v/>
      </c>
      <c r="K521" s="47"/>
      <c r="L521" s="47"/>
      <c r="N521" s="47"/>
      <c r="O521" s="47"/>
      <c r="P521" s="47"/>
    </row>
    <row r="522" spans="1:16" x14ac:dyDescent="0.3">
      <c r="A522" s="1">
        <v>521</v>
      </c>
      <c r="G522" s="4"/>
      <c r="H522" s="4"/>
      <c r="I522" s="47"/>
      <c r="J522" s="47" t="str">
        <f t="shared" si="21"/>
        <v/>
      </c>
      <c r="K522" s="47"/>
      <c r="L522" s="47"/>
      <c r="N522" s="47"/>
      <c r="O522" s="47"/>
      <c r="P522" s="47"/>
    </row>
    <row r="523" spans="1:16" x14ac:dyDescent="0.3">
      <c r="A523" s="1">
        <v>522</v>
      </c>
      <c r="G523" s="4"/>
      <c r="H523" s="4"/>
      <c r="I523" s="47"/>
      <c r="J523" s="47" t="str">
        <f t="shared" si="21"/>
        <v/>
      </c>
      <c r="K523" s="47"/>
      <c r="L523" s="47"/>
      <c r="N523" s="47"/>
      <c r="O523" s="47"/>
      <c r="P523" s="47"/>
    </row>
    <row r="524" spans="1:16" x14ac:dyDescent="0.3">
      <c r="A524" s="1">
        <v>523</v>
      </c>
      <c r="G524" s="4"/>
      <c r="H524" s="4"/>
      <c r="I524" s="47"/>
      <c r="J524" s="47" t="str">
        <f t="shared" si="21"/>
        <v/>
      </c>
      <c r="K524" s="47"/>
      <c r="L524" s="47"/>
      <c r="N524" s="47"/>
      <c r="O524" s="47"/>
      <c r="P524" s="47"/>
    </row>
    <row r="525" spans="1:16" x14ac:dyDescent="0.3">
      <c r="A525" s="1">
        <v>524</v>
      </c>
      <c r="G525" s="4"/>
      <c r="H525" s="4"/>
      <c r="I525" s="47"/>
      <c r="J525" s="47" t="str">
        <f t="shared" si="21"/>
        <v/>
      </c>
      <c r="K525" s="47"/>
      <c r="L525" s="47"/>
      <c r="N525" s="47"/>
      <c r="O525" s="47"/>
      <c r="P525" s="47"/>
    </row>
    <row r="526" spans="1:16" x14ac:dyDescent="0.3">
      <c r="A526" s="1">
        <v>525</v>
      </c>
      <c r="G526" s="4"/>
      <c r="H526" s="4"/>
      <c r="I526" s="47"/>
      <c r="J526" s="47" t="str">
        <f t="shared" si="21"/>
        <v/>
      </c>
      <c r="K526" s="47"/>
      <c r="L526" s="47"/>
      <c r="N526" s="47"/>
      <c r="O526" s="47"/>
      <c r="P526" s="47"/>
    </row>
    <row r="527" spans="1:16" x14ac:dyDescent="0.3">
      <c r="A527" s="1">
        <v>526</v>
      </c>
      <c r="G527" s="4"/>
      <c r="H527" s="4"/>
      <c r="I527" s="47"/>
      <c r="J527" s="47" t="str">
        <f t="shared" si="21"/>
        <v/>
      </c>
      <c r="K527" s="47"/>
      <c r="L527" s="47"/>
      <c r="N527" s="47"/>
      <c r="O527" s="47"/>
      <c r="P527" s="47"/>
    </row>
    <row r="528" spans="1:16" x14ac:dyDescent="0.3">
      <c r="A528" s="1">
        <v>527</v>
      </c>
      <c r="G528" s="4"/>
      <c r="H528" s="4"/>
      <c r="I528" s="47"/>
      <c r="J528" s="47" t="str">
        <f t="shared" si="21"/>
        <v/>
      </c>
      <c r="K528" s="47"/>
      <c r="L528" s="47"/>
      <c r="N528" s="47"/>
      <c r="O528" s="47"/>
      <c r="P528" s="47"/>
    </row>
    <row r="529" spans="1:16" x14ac:dyDescent="0.3">
      <c r="A529" s="1">
        <v>528</v>
      </c>
      <c r="G529" s="4"/>
      <c r="H529" s="4"/>
      <c r="I529" s="47"/>
      <c r="J529" s="47" t="str">
        <f t="shared" si="21"/>
        <v/>
      </c>
      <c r="K529" s="47"/>
      <c r="L529" s="47"/>
      <c r="N529" s="47"/>
      <c r="O529" s="47"/>
      <c r="P529" s="47"/>
    </row>
    <row r="530" spans="1:16" x14ac:dyDescent="0.3">
      <c r="A530" s="1">
        <v>529</v>
      </c>
      <c r="G530" s="4"/>
      <c r="H530" s="4"/>
      <c r="I530" s="47"/>
      <c r="J530" s="47" t="str">
        <f t="shared" si="21"/>
        <v/>
      </c>
      <c r="K530" s="47"/>
      <c r="L530" s="47"/>
      <c r="N530" s="47"/>
      <c r="O530" s="47"/>
      <c r="P530" s="47"/>
    </row>
    <row r="531" spans="1:16" x14ac:dyDescent="0.3">
      <c r="A531" s="1">
        <v>530</v>
      </c>
      <c r="G531" s="4"/>
      <c r="H531" s="4"/>
      <c r="I531" s="47"/>
      <c r="J531" s="47" t="str">
        <f t="shared" si="21"/>
        <v/>
      </c>
      <c r="K531" s="47"/>
      <c r="L531" s="47"/>
      <c r="N531" s="47"/>
      <c r="O531" s="47"/>
      <c r="P531" s="47"/>
    </row>
    <row r="532" spans="1:16" x14ac:dyDescent="0.3">
      <c r="A532" s="1">
        <v>531</v>
      </c>
      <c r="G532" s="4"/>
      <c r="H532" s="4"/>
      <c r="I532" s="47"/>
      <c r="J532" s="47" t="str">
        <f t="shared" si="21"/>
        <v/>
      </c>
      <c r="K532" s="47"/>
      <c r="L532" s="47"/>
      <c r="N532" s="47"/>
      <c r="O532" s="47"/>
      <c r="P532" s="47"/>
    </row>
    <row r="533" spans="1:16" x14ac:dyDescent="0.3">
      <c r="A533" s="1">
        <v>532</v>
      </c>
      <c r="G533" s="4"/>
      <c r="H533" s="4"/>
      <c r="I533" s="47"/>
      <c r="J533" s="47" t="str">
        <f t="shared" si="21"/>
        <v/>
      </c>
      <c r="K533" s="47"/>
      <c r="L533" s="47"/>
      <c r="N533" s="47"/>
      <c r="O533" s="47"/>
      <c r="P533" s="47"/>
    </row>
    <row r="534" spans="1:16" x14ac:dyDescent="0.3">
      <c r="A534" s="1">
        <v>533</v>
      </c>
      <c r="G534" s="4"/>
      <c r="H534" s="4"/>
      <c r="I534" s="47"/>
      <c r="J534" s="47" t="str">
        <f t="shared" si="21"/>
        <v/>
      </c>
      <c r="K534" s="47"/>
      <c r="L534" s="47"/>
      <c r="N534" s="47"/>
      <c r="O534" s="47"/>
      <c r="P534" s="47"/>
    </row>
    <row r="535" spans="1:16" x14ac:dyDescent="0.3">
      <c r="A535" s="1">
        <v>534</v>
      </c>
      <c r="G535" s="4"/>
      <c r="H535" s="4"/>
      <c r="I535" s="47"/>
      <c r="J535" s="47" t="str">
        <f t="shared" si="21"/>
        <v/>
      </c>
      <c r="K535" s="47"/>
      <c r="L535" s="47"/>
      <c r="N535" s="47"/>
      <c r="O535" s="47"/>
      <c r="P535" s="47"/>
    </row>
    <row r="536" spans="1:16" x14ac:dyDescent="0.3">
      <c r="A536" s="1">
        <v>535</v>
      </c>
      <c r="G536" s="4"/>
      <c r="H536" s="4"/>
      <c r="I536" s="47"/>
      <c r="J536" s="47" t="str">
        <f t="shared" si="21"/>
        <v/>
      </c>
      <c r="K536" s="47"/>
      <c r="L536" s="47"/>
      <c r="N536" s="47"/>
      <c r="O536" s="47"/>
      <c r="P536" s="47"/>
    </row>
    <row r="537" spans="1:16" x14ac:dyDescent="0.3">
      <c r="A537" s="1">
        <v>536</v>
      </c>
      <c r="G537" s="4"/>
      <c r="H537" s="4"/>
      <c r="I537" s="47"/>
      <c r="J537" s="47" t="str">
        <f t="shared" si="21"/>
        <v/>
      </c>
      <c r="K537" s="47"/>
      <c r="L537" s="47"/>
      <c r="N537" s="47"/>
      <c r="O537" s="47"/>
      <c r="P537" s="47"/>
    </row>
    <row r="538" spans="1:16" x14ac:dyDescent="0.3">
      <c r="A538" s="1">
        <v>537</v>
      </c>
      <c r="G538" s="4"/>
      <c r="H538" s="4"/>
      <c r="I538" s="47"/>
      <c r="J538" s="47" t="str">
        <f t="shared" si="21"/>
        <v/>
      </c>
      <c r="K538" s="47"/>
      <c r="L538" s="47"/>
      <c r="N538" s="47"/>
      <c r="O538" s="47"/>
      <c r="P538" s="47"/>
    </row>
    <row r="539" spans="1:16" x14ac:dyDescent="0.3">
      <c r="A539" s="1">
        <v>538</v>
      </c>
      <c r="G539" s="4"/>
      <c r="H539" s="4"/>
      <c r="I539" s="47"/>
      <c r="J539" s="47" t="str">
        <f t="shared" si="21"/>
        <v/>
      </c>
      <c r="K539" s="47"/>
      <c r="L539" s="47"/>
      <c r="N539" s="47"/>
      <c r="O539" s="47"/>
      <c r="P539" s="47"/>
    </row>
    <row r="540" spans="1:16" x14ac:dyDescent="0.3">
      <c r="A540" s="1">
        <v>539</v>
      </c>
      <c r="G540" s="4"/>
      <c r="H540" s="4"/>
      <c r="I540" s="47"/>
      <c r="J540" s="47" t="str">
        <f t="shared" si="21"/>
        <v/>
      </c>
      <c r="K540" s="47"/>
      <c r="L540" s="47"/>
      <c r="N540" s="47"/>
      <c r="O540" s="47"/>
      <c r="P540" s="47"/>
    </row>
    <row r="541" spans="1:16" x14ac:dyDescent="0.3">
      <c r="A541" s="1">
        <v>540</v>
      </c>
      <c r="G541" s="4"/>
      <c r="H541" s="4"/>
      <c r="I541" s="47"/>
      <c r="J541" s="47" t="str">
        <f t="shared" si="21"/>
        <v/>
      </c>
      <c r="K541" s="47"/>
      <c r="L541" s="47"/>
      <c r="N541" s="47"/>
      <c r="O541" s="47"/>
      <c r="P541" s="47"/>
    </row>
    <row r="542" spans="1:16" x14ac:dyDescent="0.3">
      <c r="A542" s="1">
        <v>541</v>
      </c>
      <c r="G542" s="4"/>
      <c r="H542" s="4"/>
      <c r="I542" s="47"/>
      <c r="J542" s="47" t="str">
        <f t="shared" si="21"/>
        <v/>
      </c>
      <c r="K542" s="47"/>
      <c r="L542" s="47"/>
      <c r="N542" s="47"/>
      <c r="O542" s="47"/>
      <c r="P542" s="47"/>
    </row>
    <row r="543" spans="1:16" x14ac:dyDescent="0.3">
      <c r="A543" s="1">
        <v>542</v>
      </c>
      <c r="G543" s="4"/>
      <c r="H543" s="4"/>
      <c r="I543" s="47"/>
      <c r="J543" s="47" t="str">
        <f t="shared" si="21"/>
        <v/>
      </c>
      <c r="K543" s="47"/>
      <c r="L543" s="47"/>
      <c r="N543" s="47"/>
      <c r="O543" s="47"/>
      <c r="P543" s="47"/>
    </row>
    <row r="544" spans="1:16" x14ac:dyDescent="0.3">
      <c r="A544" s="1">
        <v>543</v>
      </c>
      <c r="G544" s="4"/>
      <c r="H544" s="4"/>
      <c r="I544" s="47"/>
      <c r="J544" s="47" t="str">
        <f t="shared" si="21"/>
        <v/>
      </c>
      <c r="K544" s="47"/>
      <c r="L544" s="47"/>
      <c r="N544" s="47"/>
      <c r="O544" s="47"/>
      <c r="P544" s="47"/>
    </row>
    <row r="545" spans="1:16" x14ac:dyDescent="0.3">
      <c r="A545" s="1">
        <v>544</v>
      </c>
      <c r="G545" s="4"/>
      <c r="H545" s="4"/>
      <c r="I545" s="47"/>
      <c r="J545" s="47" t="str">
        <f t="shared" si="21"/>
        <v/>
      </c>
      <c r="K545" s="47"/>
      <c r="L545" s="47"/>
      <c r="N545" s="47"/>
      <c r="O545" s="47"/>
      <c r="P545" s="47"/>
    </row>
    <row r="546" spans="1:16" x14ac:dyDescent="0.3">
      <c r="A546" s="1">
        <v>545</v>
      </c>
      <c r="G546" s="4"/>
      <c r="H546" s="4"/>
      <c r="I546" s="47"/>
      <c r="J546" s="47" t="str">
        <f t="shared" si="21"/>
        <v/>
      </c>
      <c r="K546" s="47"/>
      <c r="L546" s="47"/>
      <c r="N546" s="47"/>
      <c r="O546" s="47"/>
      <c r="P546" s="47"/>
    </row>
    <row r="547" spans="1:16" x14ac:dyDescent="0.3">
      <c r="A547" s="1">
        <v>546</v>
      </c>
      <c r="G547" s="4"/>
      <c r="H547" s="4"/>
      <c r="I547" s="47"/>
      <c r="J547" s="47" t="str">
        <f t="shared" si="21"/>
        <v/>
      </c>
      <c r="K547" s="47"/>
      <c r="L547" s="47"/>
      <c r="N547" s="47"/>
      <c r="O547" s="47"/>
      <c r="P547" s="47"/>
    </row>
    <row r="548" spans="1:16" x14ac:dyDescent="0.3">
      <c r="A548" s="1">
        <v>547</v>
      </c>
      <c r="G548" s="4"/>
      <c r="H548" s="4"/>
      <c r="I548" s="47"/>
      <c r="J548" s="47" t="str">
        <f t="shared" si="21"/>
        <v/>
      </c>
      <c r="K548" s="47"/>
      <c r="L548" s="47"/>
      <c r="N548" s="47"/>
      <c r="O548" s="47"/>
      <c r="P548" s="47"/>
    </row>
    <row r="549" spans="1:16" x14ac:dyDescent="0.3">
      <c r="A549" s="1">
        <v>548</v>
      </c>
      <c r="G549" s="4"/>
      <c r="H549" s="4"/>
      <c r="I549" s="47"/>
      <c r="J549" s="47" t="str">
        <f t="shared" si="21"/>
        <v/>
      </c>
      <c r="K549" s="47"/>
      <c r="L549" s="47"/>
      <c r="N549" s="47"/>
      <c r="O549" s="47"/>
      <c r="P549" s="47"/>
    </row>
    <row r="550" spans="1:16" x14ac:dyDescent="0.3">
      <c r="A550" s="1">
        <v>549</v>
      </c>
      <c r="G550" s="4"/>
      <c r="H550" s="4"/>
      <c r="I550" s="47"/>
      <c r="J550" s="47" t="str">
        <f t="shared" si="21"/>
        <v/>
      </c>
      <c r="K550" s="47"/>
      <c r="L550" s="47"/>
      <c r="N550" s="47"/>
      <c r="O550" s="47"/>
      <c r="P550" s="47"/>
    </row>
    <row r="551" spans="1:16" x14ac:dyDescent="0.3">
      <c r="A551" s="1">
        <v>550</v>
      </c>
      <c r="G551" s="4"/>
      <c r="H551" s="4"/>
      <c r="I551" s="47"/>
      <c r="J551" s="47" t="str">
        <f t="shared" si="21"/>
        <v/>
      </c>
      <c r="K551" s="47"/>
      <c r="L551" s="47"/>
      <c r="N551" s="47"/>
      <c r="O551" s="47"/>
      <c r="P551" s="47"/>
    </row>
    <row r="552" spans="1:16" x14ac:dyDescent="0.3">
      <c r="A552" s="1">
        <v>551</v>
      </c>
      <c r="G552" s="4"/>
      <c r="H552" s="4"/>
      <c r="I552" s="47"/>
      <c r="J552" s="47" t="str">
        <f t="shared" si="21"/>
        <v/>
      </c>
      <c r="K552" s="47"/>
      <c r="L552" s="47"/>
      <c r="N552" s="47"/>
      <c r="O552" s="47"/>
      <c r="P552" s="47"/>
    </row>
    <row r="553" spans="1:16" x14ac:dyDescent="0.3">
      <c r="A553" s="1">
        <v>552</v>
      </c>
      <c r="G553" s="4"/>
      <c r="H553" s="4"/>
      <c r="I553" s="47"/>
      <c r="J553" s="47" t="str">
        <f t="shared" si="21"/>
        <v/>
      </c>
      <c r="K553" s="47"/>
      <c r="L553" s="47"/>
      <c r="N553" s="47"/>
      <c r="O553" s="47"/>
      <c r="P553" s="47"/>
    </row>
    <row r="554" spans="1:16" x14ac:dyDescent="0.3">
      <c r="A554" s="1">
        <v>553</v>
      </c>
      <c r="G554" s="4"/>
      <c r="H554" s="4"/>
      <c r="I554" s="47"/>
      <c r="J554" s="47" t="str">
        <f t="shared" si="21"/>
        <v/>
      </c>
      <c r="K554" s="47"/>
      <c r="L554" s="47"/>
      <c r="N554" s="47"/>
      <c r="O554" s="47"/>
      <c r="P554" s="47"/>
    </row>
    <row r="555" spans="1:16" x14ac:dyDescent="0.3">
      <c r="A555" s="1">
        <v>554</v>
      </c>
      <c r="G555" s="4"/>
      <c r="H555" s="4"/>
      <c r="I555" s="47"/>
      <c r="J555" s="47" t="str">
        <f t="shared" si="21"/>
        <v/>
      </c>
      <c r="K555" s="47"/>
      <c r="L555" s="47"/>
      <c r="N555" s="47"/>
      <c r="O555" s="47"/>
      <c r="P555" s="47"/>
    </row>
    <row r="556" spans="1:16" x14ac:dyDescent="0.3">
      <c r="A556" s="1">
        <v>555</v>
      </c>
      <c r="G556" s="4"/>
      <c r="H556" s="4"/>
      <c r="I556" s="47"/>
      <c r="J556" s="47" t="str">
        <f t="shared" si="21"/>
        <v/>
      </c>
      <c r="K556" s="47"/>
      <c r="L556" s="47"/>
      <c r="N556" s="47"/>
      <c r="O556" s="47"/>
      <c r="P556" s="47"/>
    </row>
    <row r="557" spans="1:16" x14ac:dyDescent="0.3">
      <c r="A557" s="1">
        <v>556</v>
      </c>
      <c r="G557" s="4"/>
      <c r="H557" s="4"/>
      <c r="I557" s="47"/>
      <c r="J557" s="47" t="str">
        <f t="shared" si="21"/>
        <v/>
      </c>
      <c r="K557" s="47"/>
      <c r="L557" s="47"/>
      <c r="N557" s="47"/>
      <c r="O557" s="47"/>
      <c r="P557" s="47"/>
    </row>
    <row r="558" spans="1:16" x14ac:dyDescent="0.3">
      <c r="A558" s="1">
        <v>557</v>
      </c>
      <c r="G558" s="4"/>
      <c r="H558" s="4"/>
      <c r="I558" s="47"/>
      <c r="J558" s="47" t="str">
        <f t="shared" si="21"/>
        <v/>
      </c>
      <c r="K558" s="47"/>
      <c r="L558" s="47"/>
      <c r="N558" s="47"/>
      <c r="O558" s="47"/>
      <c r="P558" s="47"/>
    </row>
    <row r="559" spans="1:16" x14ac:dyDescent="0.3">
      <c r="A559" s="1">
        <v>558</v>
      </c>
      <c r="G559" s="4"/>
      <c r="H559" s="4"/>
      <c r="I559" s="47"/>
      <c r="J559" s="47" t="str">
        <f t="shared" si="21"/>
        <v/>
      </c>
      <c r="K559" s="47"/>
      <c r="L559" s="47"/>
      <c r="N559" s="47"/>
      <c r="O559" s="47"/>
      <c r="P559" s="47"/>
    </row>
    <row r="560" spans="1:16" x14ac:dyDescent="0.3">
      <c r="A560" s="1">
        <v>559</v>
      </c>
      <c r="G560" s="4"/>
      <c r="H560" s="4"/>
      <c r="I560" s="47"/>
      <c r="J560" s="47" t="str">
        <f t="shared" si="21"/>
        <v/>
      </c>
      <c r="K560" s="47"/>
      <c r="L560" s="47"/>
      <c r="N560" s="47"/>
      <c r="O560" s="47"/>
      <c r="P560" s="47"/>
    </row>
    <row r="561" spans="1:16" x14ac:dyDescent="0.3">
      <c r="A561" s="1">
        <v>560</v>
      </c>
      <c r="G561" s="4"/>
      <c r="H561" s="4"/>
      <c r="I561" s="47"/>
      <c r="J561" s="47" t="str">
        <f t="shared" si="21"/>
        <v/>
      </c>
      <c r="K561" s="47"/>
      <c r="L561" s="47"/>
      <c r="N561" s="47"/>
      <c r="O561" s="47"/>
      <c r="P561" s="47"/>
    </row>
    <row r="562" spans="1:16" x14ac:dyDescent="0.3">
      <c r="A562" s="1">
        <v>561</v>
      </c>
      <c r="G562" s="4"/>
      <c r="H562" s="4"/>
      <c r="I562" s="47"/>
      <c r="J562" s="47" t="str">
        <f t="shared" si="21"/>
        <v/>
      </c>
      <c r="K562" s="47"/>
      <c r="L562" s="47"/>
      <c r="N562" s="47"/>
      <c r="O562" s="47"/>
      <c r="P562" s="47"/>
    </row>
    <row r="563" spans="1:16" x14ac:dyDescent="0.3">
      <c r="A563" s="1">
        <v>562</v>
      </c>
      <c r="G563" s="4"/>
      <c r="H563" s="4"/>
      <c r="I563" s="47"/>
      <c r="J563" s="47" t="str">
        <f t="shared" si="21"/>
        <v/>
      </c>
      <c r="K563" s="47"/>
      <c r="L563" s="47"/>
      <c r="N563" s="47"/>
      <c r="O563" s="47"/>
      <c r="P563" s="47"/>
    </row>
    <row r="564" spans="1:16" x14ac:dyDescent="0.3">
      <c r="A564" s="1">
        <v>563</v>
      </c>
      <c r="G564" s="4"/>
      <c r="H564" s="4"/>
      <c r="I564" s="47"/>
      <c r="J564" s="47" t="str">
        <f t="shared" si="21"/>
        <v/>
      </c>
      <c r="K564" s="47"/>
      <c r="L564" s="47"/>
      <c r="N564" s="47"/>
      <c r="O564" s="47"/>
      <c r="P564" s="47"/>
    </row>
    <row r="565" spans="1:16" x14ac:dyDescent="0.3">
      <c r="A565" s="1">
        <v>564</v>
      </c>
      <c r="G565" s="4"/>
      <c r="H565" s="4"/>
      <c r="I565" s="47"/>
      <c r="J565" s="47" t="str">
        <f t="shared" si="21"/>
        <v/>
      </c>
      <c r="K565" s="47"/>
      <c r="L565" s="47"/>
      <c r="N565" s="47"/>
      <c r="O565" s="47"/>
      <c r="P565" s="47"/>
    </row>
    <row r="566" spans="1:16" x14ac:dyDescent="0.3">
      <c r="A566" s="1">
        <v>565</v>
      </c>
      <c r="G566" s="4"/>
      <c r="H566" s="4"/>
      <c r="I566" s="47"/>
      <c r="J566" s="47" t="str">
        <f t="shared" si="21"/>
        <v/>
      </c>
      <c r="K566" s="47"/>
      <c r="L566" s="47"/>
      <c r="N566" s="47"/>
      <c r="O566" s="47"/>
      <c r="P566" s="47"/>
    </row>
    <row r="567" spans="1:16" x14ac:dyDescent="0.3">
      <c r="A567" s="1">
        <v>566</v>
      </c>
      <c r="G567" s="4"/>
      <c r="H567" s="4"/>
      <c r="I567" s="47"/>
      <c r="J567" s="47" t="str">
        <f t="shared" si="21"/>
        <v/>
      </c>
      <c r="K567" s="47"/>
      <c r="L567" s="47"/>
      <c r="N567" s="47"/>
      <c r="O567" s="47"/>
      <c r="P567" s="47"/>
    </row>
    <row r="568" spans="1:16" x14ac:dyDescent="0.3">
      <c r="A568" s="1">
        <v>567</v>
      </c>
      <c r="G568" s="4"/>
      <c r="H568" s="4"/>
      <c r="I568" s="47"/>
      <c r="J568" s="47" t="str">
        <f t="shared" si="21"/>
        <v/>
      </c>
      <c r="K568" s="47"/>
      <c r="L568" s="47"/>
      <c r="N568" s="47"/>
      <c r="O568" s="47"/>
      <c r="P568" s="47"/>
    </row>
    <row r="569" spans="1:16" x14ac:dyDescent="0.3">
      <c r="A569" s="1">
        <v>568</v>
      </c>
      <c r="G569" s="4"/>
      <c r="H569" s="4"/>
      <c r="I569" s="47"/>
      <c r="J569" s="47" t="str">
        <f t="shared" si="21"/>
        <v/>
      </c>
      <c r="K569" s="47"/>
      <c r="L569" s="47"/>
      <c r="N569" s="47"/>
      <c r="O569" s="47"/>
      <c r="P569" s="47"/>
    </row>
    <row r="570" spans="1:16" x14ac:dyDescent="0.3">
      <c r="A570" s="1">
        <v>569</v>
      </c>
      <c r="G570" s="4"/>
      <c r="H570" s="4"/>
      <c r="I570" s="47"/>
      <c r="J570" s="47" t="str">
        <f t="shared" si="21"/>
        <v/>
      </c>
      <c r="K570" s="47"/>
      <c r="L570" s="47"/>
      <c r="N570" s="47"/>
      <c r="O570" s="47"/>
      <c r="P570" s="47"/>
    </row>
    <row r="571" spans="1:16" x14ac:dyDescent="0.3">
      <c r="A571" s="1">
        <v>570</v>
      </c>
      <c r="G571" s="4"/>
      <c r="H571" s="4"/>
      <c r="I571" s="47"/>
      <c r="J571" s="47" t="str">
        <f t="shared" si="21"/>
        <v/>
      </c>
      <c r="K571" s="47"/>
      <c r="L571" s="47"/>
      <c r="N571" s="47"/>
      <c r="O571" s="47"/>
      <c r="P571" s="47"/>
    </row>
    <row r="572" spans="1:16" x14ac:dyDescent="0.3">
      <c r="A572" s="1">
        <v>571</v>
      </c>
      <c r="G572" s="4"/>
      <c r="H572" s="4"/>
      <c r="I572" s="47"/>
      <c r="J572" s="47" t="str">
        <f t="shared" si="21"/>
        <v/>
      </c>
      <c r="K572" s="47"/>
      <c r="L572" s="47"/>
      <c r="N572" s="47"/>
      <c r="O572" s="47"/>
      <c r="P572" s="47"/>
    </row>
    <row r="573" spans="1:16" x14ac:dyDescent="0.3">
      <c r="A573" s="1">
        <v>572</v>
      </c>
      <c r="G573" s="4"/>
      <c r="H573" s="4"/>
      <c r="I573" s="47"/>
      <c r="J573" s="47" t="str">
        <f t="shared" si="21"/>
        <v/>
      </c>
      <c r="K573" s="47"/>
      <c r="L573" s="47"/>
      <c r="N573" s="47"/>
      <c r="O573" s="47"/>
      <c r="P573" s="47"/>
    </row>
    <row r="574" spans="1:16" x14ac:dyDescent="0.3">
      <c r="A574" s="1">
        <v>573</v>
      </c>
      <c r="G574" s="4"/>
      <c r="H574" s="4"/>
      <c r="I574" s="47"/>
      <c r="J574" s="47" t="str">
        <f t="shared" si="21"/>
        <v/>
      </c>
      <c r="K574" s="47"/>
      <c r="L574" s="47"/>
      <c r="N574" s="47"/>
      <c r="O574" s="47"/>
      <c r="P574" s="47"/>
    </row>
    <row r="575" spans="1:16" x14ac:dyDescent="0.3">
      <c r="A575" s="1">
        <v>574</v>
      </c>
      <c r="G575" s="4"/>
      <c r="H575" s="4"/>
      <c r="I575" s="47"/>
      <c r="J575" s="47" t="str">
        <f t="shared" si="21"/>
        <v/>
      </c>
      <c r="K575" s="47"/>
      <c r="L575" s="47"/>
      <c r="N575" s="47"/>
      <c r="O575" s="47"/>
      <c r="P575" s="47"/>
    </row>
    <row r="576" spans="1:16" x14ac:dyDescent="0.3">
      <c r="A576" s="1">
        <v>575</v>
      </c>
      <c r="G576" s="4"/>
      <c r="H576" s="4"/>
      <c r="I576" s="47"/>
      <c r="J576" s="47" t="str">
        <f t="shared" si="21"/>
        <v/>
      </c>
      <c r="K576" s="47"/>
      <c r="L576" s="47"/>
      <c r="N576" s="47"/>
      <c r="O576" s="47"/>
      <c r="P576" s="47"/>
    </row>
    <row r="577" spans="1:16" x14ac:dyDescent="0.3">
      <c r="A577" s="1">
        <v>576</v>
      </c>
      <c r="G577" s="4"/>
      <c r="H577" s="4"/>
      <c r="I577" s="47"/>
      <c r="J577" s="47" t="str">
        <f t="shared" si="21"/>
        <v/>
      </c>
      <c r="K577" s="47"/>
      <c r="L577" s="47"/>
      <c r="N577" s="47"/>
      <c r="O577" s="47"/>
      <c r="P577" s="47"/>
    </row>
    <row r="578" spans="1:16" x14ac:dyDescent="0.3">
      <c r="A578" s="1">
        <v>577</v>
      </c>
      <c r="G578" s="4"/>
      <c r="H578" s="4"/>
      <c r="I578" s="47"/>
      <c r="J578" s="47" t="str">
        <f t="shared" si="21"/>
        <v/>
      </c>
      <c r="K578" s="47"/>
      <c r="L578" s="47"/>
      <c r="N578" s="47"/>
      <c r="O578" s="47"/>
      <c r="P578" s="47"/>
    </row>
    <row r="579" spans="1:16" x14ac:dyDescent="0.3">
      <c r="A579" s="1">
        <v>578</v>
      </c>
      <c r="G579" s="4"/>
      <c r="H579" s="4"/>
      <c r="I579" s="47"/>
      <c r="J579" s="47" t="str">
        <f t="shared" ref="J579:J642" si="22">+E579&amp;I579</f>
        <v/>
      </c>
      <c r="K579" s="47"/>
      <c r="L579" s="47"/>
      <c r="N579" s="47"/>
      <c r="O579" s="47"/>
      <c r="P579" s="47"/>
    </row>
    <row r="580" spans="1:16" x14ac:dyDescent="0.3">
      <c r="A580" s="1">
        <v>579</v>
      </c>
      <c r="G580" s="4"/>
      <c r="H580" s="4"/>
      <c r="I580" s="47"/>
      <c r="J580" s="47" t="str">
        <f t="shared" si="22"/>
        <v/>
      </c>
      <c r="K580" s="47"/>
      <c r="L580" s="47"/>
      <c r="N580" s="47"/>
      <c r="O580" s="47"/>
      <c r="P580" s="47"/>
    </row>
    <row r="581" spans="1:16" x14ac:dyDescent="0.3">
      <c r="A581" s="1">
        <v>580</v>
      </c>
      <c r="G581" s="4"/>
      <c r="H581" s="4"/>
      <c r="I581" s="47"/>
      <c r="J581" s="47" t="str">
        <f t="shared" si="22"/>
        <v/>
      </c>
      <c r="K581" s="47"/>
      <c r="L581" s="47"/>
      <c r="N581" s="47"/>
      <c r="O581" s="47"/>
      <c r="P581" s="47"/>
    </row>
    <row r="582" spans="1:16" x14ac:dyDescent="0.3">
      <c r="A582" s="1">
        <v>581</v>
      </c>
      <c r="G582" s="4"/>
      <c r="H582" s="4"/>
      <c r="I582" s="47"/>
      <c r="J582" s="47" t="str">
        <f t="shared" si="22"/>
        <v/>
      </c>
      <c r="K582" s="47"/>
      <c r="L582" s="47"/>
      <c r="N582" s="47"/>
      <c r="O582" s="47"/>
      <c r="P582" s="47"/>
    </row>
    <row r="583" spans="1:16" x14ac:dyDescent="0.3">
      <c r="A583" s="1">
        <v>582</v>
      </c>
      <c r="G583" s="4"/>
      <c r="H583" s="4"/>
      <c r="I583" s="47"/>
      <c r="J583" s="47" t="str">
        <f t="shared" si="22"/>
        <v/>
      </c>
      <c r="K583" s="47"/>
      <c r="L583" s="47"/>
      <c r="N583" s="47"/>
      <c r="O583" s="47"/>
      <c r="P583" s="47"/>
    </row>
    <row r="584" spans="1:16" x14ac:dyDescent="0.3">
      <c r="A584" s="1">
        <v>583</v>
      </c>
      <c r="G584" s="4"/>
      <c r="H584" s="4"/>
      <c r="I584" s="47"/>
      <c r="J584" s="47" t="str">
        <f t="shared" si="22"/>
        <v/>
      </c>
      <c r="K584" s="47"/>
      <c r="L584" s="47"/>
      <c r="N584" s="47"/>
      <c r="O584" s="47"/>
      <c r="P584" s="47"/>
    </row>
    <row r="585" spans="1:16" x14ac:dyDescent="0.3">
      <c r="A585" s="1">
        <v>584</v>
      </c>
      <c r="G585" s="4"/>
      <c r="H585" s="4"/>
      <c r="I585" s="47"/>
      <c r="J585" s="47" t="str">
        <f t="shared" si="22"/>
        <v/>
      </c>
      <c r="K585" s="47"/>
      <c r="L585" s="47"/>
      <c r="N585" s="47"/>
      <c r="O585" s="47"/>
      <c r="P585" s="47"/>
    </row>
    <row r="586" spans="1:16" x14ac:dyDescent="0.3">
      <c r="A586" s="1">
        <v>585</v>
      </c>
      <c r="G586" s="4"/>
      <c r="H586" s="4"/>
      <c r="I586" s="47"/>
      <c r="J586" s="47" t="str">
        <f t="shared" si="22"/>
        <v/>
      </c>
      <c r="K586" s="47"/>
      <c r="L586" s="47"/>
      <c r="N586" s="47"/>
      <c r="O586" s="47"/>
      <c r="P586" s="47"/>
    </row>
    <row r="587" spans="1:16" x14ac:dyDescent="0.3">
      <c r="A587" s="1">
        <v>586</v>
      </c>
      <c r="G587" s="4"/>
      <c r="H587" s="4"/>
      <c r="I587" s="47"/>
      <c r="J587" s="47" t="str">
        <f t="shared" si="22"/>
        <v/>
      </c>
      <c r="K587" s="47"/>
      <c r="L587" s="47"/>
      <c r="N587" s="47"/>
      <c r="O587" s="47"/>
      <c r="P587" s="47"/>
    </row>
    <row r="588" spans="1:16" x14ac:dyDescent="0.3">
      <c r="A588" s="1">
        <v>587</v>
      </c>
      <c r="G588" s="4"/>
      <c r="H588" s="4"/>
      <c r="I588" s="47"/>
      <c r="J588" s="47" t="str">
        <f t="shared" si="22"/>
        <v/>
      </c>
      <c r="K588" s="47"/>
      <c r="L588" s="47"/>
      <c r="N588" s="47"/>
      <c r="O588" s="47"/>
      <c r="P588" s="47"/>
    </row>
    <row r="589" spans="1:16" x14ac:dyDescent="0.3">
      <c r="A589" s="1">
        <v>588</v>
      </c>
      <c r="G589" s="4"/>
      <c r="H589" s="4"/>
      <c r="I589" s="47"/>
      <c r="J589" s="47" t="str">
        <f t="shared" si="22"/>
        <v/>
      </c>
      <c r="K589" s="47"/>
      <c r="L589" s="47"/>
      <c r="N589" s="47"/>
      <c r="O589" s="47"/>
      <c r="P589" s="47"/>
    </row>
    <row r="590" spans="1:16" x14ac:dyDescent="0.3">
      <c r="A590" s="1">
        <v>589</v>
      </c>
      <c r="G590" s="4"/>
      <c r="H590" s="4"/>
      <c r="I590" s="47"/>
      <c r="J590" s="47" t="str">
        <f t="shared" si="22"/>
        <v/>
      </c>
      <c r="K590" s="47"/>
      <c r="L590" s="47"/>
      <c r="N590" s="47"/>
      <c r="O590" s="47"/>
      <c r="P590" s="47"/>
    </row>
    <row r="591" spans="1:16" x14ac:dyDescent="0.3">
      <c r="A591" s="1">
        <v>590</v>
      </c>
      <c r="G591" s="4"/>
      <c r="H591" s="4"/>
      <c r="I591" s="47"/>
      <c r="J591" s="47" t="str">
        <f t="shared" si="22"/>
        <v/>
      </c>
      <c r="K591" s="47"/>
      <c r="L591" s="47"/>
      <c r="N591" s="47"/>
      <c r="O591" s="47"/>
      <c r="P591" s="47"/>
    </row>
    <row r="592" spans="1:16" x14ac:dyDescent="0.3">
      <c r="A592" s="1">
        <v>591</v>
      </c>
      <c r="G592" s="4"/>
      <c r="H592" s="4"/>
      <c r="I592" s="47"/>
      <c r="J592" s="47" t="str">
        <f t="shared" si="22"/>
        <v/>
      </c>
      <c r="K592" s="47"/>
      <c r="L592" s="47"/>
      <c r="N592" s="47"/>
      <c r="O592" s="47"/>
      <c r="P592" s="47"/>
    </row>
    <row r="593" spans="1:16" x14ac:dyDescent="0.3">
      <c r="A593" s="1">
        <v>592</v>
      </c>
      <c r="G593" s="4"/>
      <c r="H593" s="4"/>
      <c r="I593" s="47"/>
      <c r="J593" s="47" t="str">
        <f t="shared" si="22"/>
        <v/>
      </c>
      <c r="K593" s="47"/>
      <c r="L593" s="47"/>
      <c r="N593" s="47"/>
      <c r="O593" s="47"/>
      <c r="P593" s="47"/>
    </row>
    <row r="594" spans="1:16" x14ac:dyDescent="0.3">
      <c r="A594" s="1">
        <v>593</v>
      </c>
      <c r="G594" s="4"/>
      <c r="H594" s="4"/>
      <c r="I594" s="47"/>
      <c r="J594" s="47" t="str">
        <f t="shared" si="22"/>
        <v/>
      </c>
      <c r="K594" s="47"/>
      <c r="L594" s="47"/>
      <c r="N594" s="47"/>
      <c r="O594" s="47"/>
      <c r="P594" s="47"/>
    </row>
    <row r="595" spans="1:16" x14ac:dyDescent="0.3">
      <c r="A595" s="1">
        <v>594</v>
      </c>
      <c r="G595" s="4"/>
      <c r="H595" s="4"/>
      <c r="I595" s="47"/>
      <c r="J595" s="47" t="str">
        <f t="shared" si="22"/>
        <v/>
      </c>
      <c r="K595" s="47"/>
      <c r="L595" s="47"/>
      <c r="N595" s="47"/>
      <c r="O595" s="47"/>
      <c r="P595" s="47"/>
    </row>
    <row r="596" spans="1:16" x14ac:dyDescent="0.3">
      <c r="A596" s="1">
        <v>595</v>
      </c>
      <c r="G596" s="4"/>
      <c r="H596" s="4"/>
      <c r="I596" s="47"/>
      <c r="J596" s="47" t="str">
        <f t="shared" si="22"/>
        <v/>
      </c>
      <c r="K596" s="47"/>
      <c r="L596" s="47"/>
      <c r="N596" s="47"/>
      <c r="O596" s="47"/>
      <c r="P596" s="47"/>
    </row>
    <row r="597" spans="1:16" x14ac:dyDescent="0.3">
      <c r="A597" s="1">
        <v>596</v>
      </c>
      <c r="G597" s="4"/>
      <c r="H597" s="4"/>
      <c r="I597" s="47"/>
      <c r="J597" s="47" t="str">
        <f t="shared" si="22"/>
        <v/>
      </c>
      <c r="K597" s="47"/>
      <c r="L597" s="47"/>
      <c r="N597" s="47"/>
      <c r="O597" s="47"/>
      <c r="P597" s="47"/>
    </row>
    <row r="598" spans="1:16" x14ac:dyDescent="0.3">
      <c r="A598" s="1">
        <v>597</v>
      </c>
      <c r="G598" s="4"/>
      <c r="H598" s="4"/>
      <c r="I598" s="47"/>
      <c r="J598" s="47" t="str">
        <f t="shared" si="22"/>
        <v/>
      </c>
      <c r="K598" s="47"/>
      <c r="L598" s="47"/>
      <c r="N598" s="47"/>
      <c r="O598" s="47"/>
      <c r="P598" s="47"/>
    </row>
    <row r="599" spans="1:16" x14ac:dyDescent="0.3">
      <c r="A599" s="1">
        <v>598</v>
      </c>
      <c r="G599" s="4"/>
      <c r="H599" s="4"/>
      <c r="I599" s="47"/>
      <c r="J599" s="47" t="str">
        <f t="shared" si="22"/>
        <v/>
      </c>
      <c r="K599" s="47"/>
      <c r="L599" s="47"/>
      <c r="N599" s="47"/>
      <c r="O599" s="47"/>
      <c r="P599" s="47"/>
    </row>
    <row r="600" spans="1:16" x14ac:dyDescent="0.3">
      <c r="A600" s="1">
        <v>599</v>
      </c>
      <c r="G600" s="4"/>
      <c r="H600" s="4"/>
      <c r="I600" s="47"/>
      <c r="J600" s="47" t="str">
        <f t="shared" si="22"/>
        <v/>
      </c>
      <c r="K600" s="47"/>
      <c r="L600" s="47"/>
      <c r="N600" s="47"/>
      <c r="O600" s="47"/>
      <c r="P600" s="47"/>
    </row>
    <row r="601" spans="1:16" x14ac:dyDescent="0.3">
      <c r="A601" s="1">
        <v>600</v>
      </c>
      <c r="G601" s="4"/>
      <c r="H601" s="4"/>
      <c r="I601" s="47"/>
      <c r="J601" s="47" t="str">
        <f t="shared" si="22"/>
        <v/>
      </c>
      <c r="K601" s="47"/>
      <c r="L601" s="47"/>
      <c r="N601" s="47"/>
      <c r="O601" s="47"/>
      <c r="P601" s="47"/>
    </row>
    <row r="602" spans="1:16" x14ac:dyDescent="0.3">
      <c r="A602" s="1">
        <v>601</v>
      </c>
      <c r="G602" s="4"/>
      <c r="H602" s="4"/>
      <c r="I602" s="47"/>
      <c r="J602" s="47" t="str">
        <f t="shared" si="22"/>
        <v/>
      </c>
      <c r="K602" s="47"/>
      <c r="L602" s="47"/>
      <c r="N602" s="47"/>
      <c r="O602" s="47"/>
      <c r="P602" s="47"/>
    </row>
    <row r="603" spans="1:16" x14ac:dyDescent="0.3">
      <c r="A603" s="1">
        <v>602</v>
      </c>
      <c r="G603" s="4"/>
      <c r="H603" s="4"/>
      <c r="I603" s="47"/>
      <c r="J603" s="47" t="str">
        <f t="shared" si="22"/>
        <v/>
      </c>
      <c r="K603" s="47"/>
      <c r="L603" s="47"/>
      <c r="N603" s="47"/>
      <c r="O603" s="47"/>
      <c r="P603" s="47"/>
    </row>
    <row r="604" spans="1:16" x14ac:dyDescent="0.3">
      <c r="A604" s="1">
        <v>603</v>
      </c>
      <c r="G604" s="4"/>
      <c r="H604" s="4"/>
      <c r="I604" s="47"/>
      <c r="J604" s="47" t="str">
        <f t="shared" si="22"/>
        <v/>
      </c>
      <c r="K604" s="47"/>
      <c r="L604" s="47"/>
      <c r="N604" s="47"/>
      <c r="O604" s="47"/>
      <c r="P604" s="47"/>
    </row>
    <row r="605" spans="1:16" x14ac:dyDescent="0.3">
      <c r="A605" s="1">
        <v>604</v>
      </c>
      <c r="G605" s="4"/>
      <c r="H605" s="4"/>
      <c r="I605" s="47"/>
      <c r="J605" s="47" t="str">
        <f t="shared" si="22"/>
        <v/>
      </c>
      <c r="K605" s="47"/>
      <c r="L605" s="47"/>
      <c r="N605" s="47"/>
      <c r="O605" s="47"/>
      <c r="P605" s="47"/>
    </row>
    <row r="606" spans="1:16" x14ac:dyDescent="0.3">
      <c r="A606" s="1">
        <v>605</v>
      </c>
      <c r="G606" s="4"/>
      <c r="H606" s="4"/>
      <c r="I606" s="47"/>
      <c r="J606" s="47" t="str">
        <f t="shared" si="22"/>
        <v/>
      </c>
      <c r="K606" s="47"/>
      <c r="L606" s="47"/>
      <c r="N606" s="47"/>
      <c r="O606" s="47"/>
      <c r="P606" s="47"/>
    </row>
    <row r="607" spans="1:16" x14ac:dyDescent="0.3">
      <c r="A607" s="1">
        <v>606</v>
      </c>
      <c r="G607" s="4"/>
      <c r="H607" s="4"/>
      <c r="I607" s="47"/>
      <c r="J607" s="47" t="str">
        <f t="shared" si="22"/>
        <v/>
      </c>
      <c r="K607" s="47"/>
      <c r="L607" s="47"/>
      <c r="N607" s="47"/>
      <c r="O607" s="47"/>
      <c r="P607" s="47"/>
    </row>
    <row r="608" spans="1:16" x14ac:dyDescent="0.3">
      <c r="A608" s="1">
        <v>607</v>
      </c>
      <c r="G608" s="4"/>
      <c r="H608" s="4"/>
      <c r="I608" s="47"/>
      <c r="J608" s="47" t="str">
        <f t="shared" si="22"/>
        <v/>
      </c>
      <c r="K608" s="47"/>
      <c r="L608" s="47"/>
      <c r="N608" s="47"/>
      <c r="O608" s="47"/>
      <c r="P608" s="47"/>
    </row>
    <row r="609" spans="1:16" x14ac:dyDescent="0.3">
      <c r="A609" s="1">
        <v>608</v>
      </c>
      <c r="G609" s="4"/>
      <c r="H609" s="4"/>
      <c r="I609" s="47"/>
      <c r="J609" s="47" t="str">
        <f t="shared" si="22"/>
        <v/>
      </c>
      <c r="K609" s="47"/>
      <c r="L609" s="47"/>
      <c r="N609" s="47"/>
      <c r="O609" s="47"/>
      <c r="P609" s="47"/>
    </row>
    <row r="610" spans="1:16" x14ac:dyDescent="0.3">
      <c r="A610" s="1">
        <v>609</v>
      </c>
      <c r="G610" s="4"/>
      <c r="H610" s="4"/>
      <c r="I610" s="47"/>
      <c r="J610" s="47" t="str">
        <f t="shared" si="22"/>
        <v/>
      </c>
      <c r="K610" s="47"/>
      <c r="L610" s="47"/>
      <c r="N610" s="47"/>
      <c r="O610" s="47"/>
      <c r="P610" s="47"/>
    </row>
    <row r="611" spans="1:16" x14ac:dyDescent="0.3">
      <c r="A611" s="1">
        <v>610</v>
      </c>
      <c r="G611" s="4"/>
      <c r="H611" s="4"/>
      <c r="I611" s="47"/>
      <c r="J611" s="47" t="str">
        <f t="shared" si="22"/>
        <v/>
      </c>
      <c r="K611" s="47"/>
      <c r="L611" s="47"/>
      <c r="N611" s="47"/>
      <c r="O611" s="47"/>
      <c r="P611" s="47"/>
    </row>
    <row r="612" spans="1:16" x14ac:dyDescent="0.3">
      <c r="A612" s="1">
        <v>611</v>
      </c>
      <c r="G612" s="4"/>
      <c r="H612" s="4"/>
      <c r="I612" s="47"/>
      <c r="J612" s="47" t="str">
        <f t="shared" si="22"/>
        <v/>
      </c>
      <c r="K612" s="47"/>
      <c r="L612" s="47"/>
      <c r="N612" s="47"/>
      <c r="O612" s="47"/>
      <c r="P612" s="47"/>
    </row>
    <row r="613" spans="1:16" x14ac:dyDescent="0.3">
      <c r="A613" s="1">
        <v>612</v>
      </c>
      <c r="G613" s="4"/>
      <c r="H613" s="4"/>
      <c r="I613" s="47"/>
      <c r="J613" s="47" t="str">
        <f t="shared" si="22"/>
        <v/>
      </c>
      <c r="K613" s="47"/>
      <c r="L613" s="47"/>
      <c r="N613" s="47"/>
      <c r="O613" s="47"/>
      <c r="P613" s="47"/>
    </row>
    <row r="614" spans="1:16" x14ac:dyDescent="0.3">
      <c r="A614" s="1">
        <v>613</v>
      </c>
      <c r="G614" s="4"/>
      <c r="H614" s="4"/>
      <c r="I614" s="47"/>
      <c r="J614" s="47" t="str">
        <f t="shared" si="22"/>
        <v/>
      </c>
      <c r="K614" s="47"/>
      <c r="L614" s="47"/>
      <c r="N614" s="47"/>
      <c r="O614" s="47"/>
      <c r="P614" s="47"/>
    </row>
    <row r="615" spans="1:16" x14ac:dyDescent="0.3">
      <c r="A615" s="1">
        <v>614</v>
      </c>
      <c r="G615" s="4"/>
      <c r="H615" s="4"/>
      <c r="I615" s="47"/>
      <c r="J615" s="47" t="str">
        <f t="shared" si="22"/>
        <v/>
      </c>
      <c r="K615" s="47"/>
      <c r="L615" s="47"/>
      <c r="N615" s="47"/>
      <c r="O615" s="47"/>
      <c r="P615" s="47"/>
    </row>
    <row r="616" spans="1:16" x14ac:dyDescent="0.3">
      <c r="A616" s="1">
        <v>615</v>
      </c>
      <c r="G616" s="4"/>
      <c r="H616" s="4"/>
      <c r="I616" s="47"/>
      <c r="J616" s="47" t="str">
        <f t="shared" si="22"/>
        <v/>
      </c>
      <c r="K616" s="47"/>
      <c r="L616" s="47"/>
      <c r="N616" s="47"/>
      <c r="O616" s="47"/>
      <c r="P616" s="47"/>
    </row>
    <row r="617" spans="1:16" x14ac:dyDescent="0.3">
      <c r="A617" s="1">
        <v>616</v>
      </c>
      <c r="G617" s="4"/>
      <c r="H617" s="4"/>
      <c r="I617" s="47"/>
      <c r="J617" s="47" t="str">
        <f t="shared" si="22"/>
        <v/>
      </c>
      <c r="K617" s="47"/>
      <c r="L617" s="47"/>
      <c r="N617" s="47"/>
      <c r="O617" s="47"/>
      <c r="P617" s="47"/>
    </row>
    <row r="618" spans="1:16" x14ac:dyDescent="0.3">
      <c r="A618" s="1">
        <v>617</v>
      </c>
      <c r="G618" s="4"/>
      <c r="H618" s="4"/>
      <c r="I618" s="47"/>
      <c r="J618" s="47" t="str">
        <f t="shared" si="22"/>
        <v/>
      </c>
      <c r="K618" s="47"/>
      <c r="L618" s="47"/>
      <c r="N618" s="47"/>
      <c r="O618" s="47"/>
      <c r="P618" s="47"/>
    </row>
    <row r="619" spans="1:16" x14ac:dyDescent="0.3">
      <c r="A619" s="1">
        <v>618</v>
      </c>
      <c r="G619" s="4"/>
      <c r="H619" s="4"/>
      <c r="I619" s="47"/>
      <c r="J619" s="47" t="str">
        <f t="shared" si="22"/>
        <v/>
      </c>
      <c r="K619" s="47"/>
      <c r="L619" s="47"/>
      <c r="N619" s="47"/>
      <c r="O619" s="47"/>
      <c r="P619" s="47"/>
    </row>
    <row r="620" spans="1:16" x14ac:dyDescent="0.3">
      <c r="A620" s="1">
        <v>619</v>
      </c>
      <c r="G620" s="4"/>
      <c r="H620" s="4"/>
      <c r="I620" s="47"/>
      <c r="J620" s="47" t="str">
        <f t="shared" si="22"/>
        <v/>
      </c>
      <c r="K620" s="47"/>
      <c r="L620" s="47"/>
      <c r="N620" s="47"/>
      <c r="O620" s="47"/>
      <c r="P620" s="47"/>
    </row>
    <row r="621" spans="1:16" x14ac:dyDescent="0.3">
      <c r="A621" s="1">
        <v>620</v>
      </c>
      <c r="G621" s="4"/>
      <c r="H621" s="4"/>
      <c r="I621" s="47"/>
      <c r="J621" s="47" t="str">
        <f t="shared" si="22"/>
        <v/>
      </c>
      <c r="K621" s="47"/>
      <c r="L621" s="47"/>
      <c r="N621" s="47"/>
      <c r="O621" s="47"/>
      <c r="P621" s="47"/>
    </row>
    <row r="622" spans="1:16" x14ac:dyDescent="0.3">
      <c r="A622" s="1">
        <v>621</v>
      </c>
      <c r="G622" s="4"/>
      <c r="H622" s="4"/>
      <c r="I622" s="47"/>
      <c r="J622" s="47" t="str">
        <f t="shared" si="22"/>
        <v/>
      </c>
      <c r="K622" s="47"/>
      <c r="L622" s="47"/>
      <c r="N622" s="47"/>
      <c r="O622" s="47"/>
      <c r="P622" s="47"/>
    </row>
    <row r="623" spans="1:16" x14ac:dyDescent="0.3">
      <c r="A623" s="1">
        <v>622</v>
      </c>
      <c r="G623" s="4"/>
      <c r="H623" s="4"/>
      <c r="I623" s="47"/>
      <c r="J623" s="47" t="str">
        <f t="shared" si="22"/>
        <v/>
      </c>
      <c r="K623" s="47"/>
      <c r="L623" s="47"/>
      <c r="N623" s="47"/>
      <c r="O623" s="47"/>
      <c r="P623" s="47"/>
    </row>
    <row r="624" spans="1:16" x14ac:dyDescent="0.3">
      <c r="A624" s="1">
        <v>623</v>
      </c>
      <c r="G624" s="4"/>
      <c r="H624" s="4"/>
      <c r="I624" s="47"/>
      <c r="J624" s="47" t="str">
        <f t="shared" si="22"/>
        <v/>
      </c>
      <c r="K624" s="47"/>
      <c r="L624" s="47"/>
      <c r="N624" s="47"/>
      <c r="O624" s="47"/>
      <c r="P624" s="47"/>
    </row>
    <row r="625" spans="1:16" x14ac:dyDescent="0.3">
      <c r="A625" s="1">
        <v>624</v>
      </c>
      <c r="G625" s="4"/>
      <c r="H625" s="4"/>
      <c r="I625" s="47"/>
      <c r="J625" s="47" t="str">
        <f t="shared" si="22"/>
        <v/>
      </c>
      <c r="K625" s="47"/>
      <c r="L625" s="47"/>
      <c r="N625" s="47"/>
      <c r="O625" s="47"/>
      <c r="P625" s="47"/>
    </row>
    <row r="626" spans="1:16" x14ac:dyDescent="0.3">
      <c r="A626" s="1">
        <v>625</v>
      </c>
      <c r="G626" s="4"/>
      <c r="H626" s="4"/>
      <c r="I626" s="47"/>
      <c r="J626" s="47" t="str">
        <f t="shared" si="22"/>
        <v/>
      </c>
      <c r="K626" s="47"/>
      <c r="L626" s="47"/>
      <c r="N626" s="47"/>
      <c r="O626" s="47"/>
      <c r="P626" s="47"/>
    </row>
    <row r="627" spans="1:16" x14ac:dyDescent="0.3">
      <c r="A627" s="1">
        <v>626</v>
      </c>
      <c r="G627" s="4"/>
      <c r="H627" s="4"/>
      <c r="I627" s="47"/>
      <c r="J627" s="47" t="str">
        <f t="shared" si="22"/>
        <v/>
      </c>
      <c r="K627" s="47"/>
      <c r="L627" s="47"/>
      <c r="N627" s="47"/>
      <c r="O627" s="47"/>
      <c r="P627" s="47"/>
    </row>
    <row r="628" spans="1:16" x14ac:dyDescent="0.3">
      <c r="A628" s="1">
        <v>627</v>
      </c>
      <c r="G628" s="4"/>
      <c r="H628" s="4"/>
      <c r="I628" s="47"/>
      <c r="J628" s="47" t="str">
        <f t="shared" si="22"/>
        <v/>
      </c>
      <c r="K628" s="47"/>
      <c r="L628" s="47"/>
      <c r="N628" s="47"/>
      <c r="O628" s="47"/>
      <c r="P628" s="47"/>
    </row>
    <row r="629" spans="1:16" x14ac:dyDescent="0.3">
      <c r="A629" s="1">
        <v>628</v>
      </c>
      <c r="G629" s="4"/>
      <c r="H629" s="4"/>
      <c r="I629" s="47"/>
      <c r="J629" s="47" t="str">
        <f t="shared" si="22"/>
        <v/>
      </c>
      <c r="K629" s="47"/>
      <c r="L629" s="47"/>
      <c r="N629" s="47"/>
      <c r="O629" s="47"/>
      <c r="P629" s="47"/>
    </row>
    <row r="630" spans="1:16" x14ac:dyDescent="0.3">
      <c r="A630" s="1">
        <v>629</v>
      </c>
      <c r="G630" s="4"/>
      <c r="H630" s="4"/>
      <c r="I630" s="47"/>
      <c r="J630" s="47" t="str">
        <f t="shared" si="22"/>
        <v/>
      </c>
      <c r="K630" s="47"/>
      <c r="L630" s="47"/>
      <c r="N630" s="47"/>
      <c r="O630" s="47"/>
      <c r="P630" s="47"/>
    </row>
    <row r="631" spans="1:16" x14ac:dyDescent="0.3">
      <c r="A631" s="1">
        <v>630</v>
      </c>
      <c r="G631" s="4"/>
      <c r="H631" s="4"/>
      <c r="I631" s="47"/>
      <c r="J631" s="47" t="str">
        <f t="shared" si="22"/>
        <v/>
      </c>
      <c r="K631" s="47"/>
      <c r="L631" s="47"/>
      <c r="N631" s="47"/>
      <c r="O631" s="47"/>
      <c r="P631" s="47"/>
    </row>
    <row r="632" spans="1:16" x14ac:dyDescent="0.3">
      <c r="A632" s="1">
        <v>631</v>
      </c>
      <c r="G632" s="4"/>
      <c r="H632" s="4"/>
      <c r="I632" s="47"/>
      <c r="J632" s="47" t="str">
        <f t="shared" si="22"/>
        <v/>
      </c>
      <c r="K632" s="47"/>
      <c r="L632" s="47"/>
      <c r="N632" s="47"/>
      <c r="O632" s="47"/>
      <c r="P632" s="47"/>
    </row>
    <row r="633" spans="1:16" x14ac:dyDescent="0.3">
      <c r="A633" s="1">
        <v>632</v>
      </c>
      <c r="G633" s="4"/>
      <c r="H633" s="4"/>
      <c r="I633" s="47"/>
      <c r="J633" s="47" t="str">
        <f t="shared" si="22"/>
        <v/>
      </c>
      <c r="K633" s="47"/>
      <c r="L633" s="47"/>
      <c r="N633" s="47"/>
      <c r="O633" s="47"/>
      <c r="P633" s="47"/>
    </row>
    <row r="634" spans="1:16" x14ac:dyDescent="0.3">
      <c r="A634" s="1">
        <v>633</v>
      </c>
      <c r="G634" s="4"/>
      <c r="H634" s="4"/>
      <c r="I634" s="47"/>
      <c r="J634" s="47" t="str">
        <f t="shared" si="22"/>
        <v/>
      </c>
      <c r="K634" s="47"/>
      <c r="L634" s="47"/>
      <c r="N634" s="47"/>
      <c r="O634" s="47"/>
      <c r="P634" s="47"/>
    </row>
    <row r="635" spans="1:16" x14ac:dyDescent="0.3">
      <c r="A635" s="1">
        <v>634</v>
      </c>
      <c r="G635" s="4"/>
      <c r="H635" s="4"/>
      <c r="I635" s="47"/>
      <c r="J635" s="47" t="str">
        <f t="shared" si="22"/>
        <v/>
      </c>
      <c r="K635" s="47"/>
      <c r="L635" s="47"/>
      <c r="N635" s="47"/>
      <c r="O635" s="47"/>
      <c r="P635" s="47"/>
    </row>
    <row r="636" spans="1:16" x14ac:dyDescent="0.3">
      <c r="A636" s="1">
        <v>635</v>
      </c>
      <c r="G636" s="4"/>
      <c r="H636" s="4"/>
      <c r="I636" s="47"/>
      <c r="J636" s="47" t="str">
        <f t="shared" si="22"/>
        <v/>
      </c>
      <c r="K636" s="47"/>
      <c r="L636" s="47"/>
      <c r="N636" s="47"/>
      <c r="O636" s="47"/>
      <c r="P636" s="47"/>
    </row>
    <row r="637" spans="1:16" x14ac:dyDescent="0.3">
      <c r="A637" s="1">
        <v>636</v>
      </c>
      <c r="G637" s="4"/>
      <c r="H637" s="4"/>
      <c r="I637" s="47"/>
      <c r="J637" s="47" t="str">
        <f t="shared" si="22"/>
        <v/>
      </c>
      <c r="K637" s="47"/>
      <c r="L637" s="47"/>
      <c r="N637" s="47"/>
      <c r="O637" s="47"/>
      <c r="P637" s="47"/>
    </row>
    <row r="638" spans="1:16" x14ac:dyDescent="0.3">
      <c r="A638" s="1">
        <v>637</v>
      </c>
      <c r="G638" s="4"/>
      <c r="H638" s="4"/>
      <c r="I638" s="47"/>
      <c r="J638" s="47" t="str">
        <f t="shared" si="22"/>
        <v/>
      </c>
      <c r="K638" s="47"/>
      <c r="L638" s="47"/>
      <c r="N638" s="47"/>
      <c r="O638" s="47"/>
      <c r="P638" s="47"/>
    </row>
    <row r="639" spans="1:16" x14ac:dyDescent="0.3">
      <c r="A639" s="1">
        <v>638</v>
      </c>
      <c r="G639" s="4"/>
      <c r="H639" s="4"/>
      <c r="I639" s="47"/>
      <c r="J639" s="47" t="str">
        <f t="shared" si="22"/>
        <v/>
      </c>
      <c r="K639" s="47"/>
      <c r="L639" s="47"/>
      <c r="N639" s="47"/>
      <c r="O639" s="47"/>
      <c r="P639" s="47"/>
    </row>
    <row r="640" spans="1:16" x14ac:dyDescent="0.3">
      <c r="A640" s="1">
        <v>639</v>
      </c>
      <c r="G640" s="4"/>
      <c r="H640" s="4"/>
      <c r="I640" s="47"/>
      <c r="J640" s="47" t="str">
        <f t="shared" si="22"/>
        <v/>
      </c>
      <c r="K640" s="47"/>
      <c r="L640" s="47"/>
      <c r="N640" s="47"/>
      <c r="O640" s="47"/>
      <c r="P640" s="47"/>
    </row>
    <row r="641" spans="1:16" x14ac:dyDescent="0.3">
      <c r="A641" s="1">
        <v>640</v>
      </c>
      <c r="G641" s="4"/>
      <c r="H641" s="4"/>
      <c r="I641" s="47"/>
      <c r="J641" s="47" t="str">
        <f t="shared" si="22"/>
        <v/>
      </c>
      <c r="K641" s="47"/>
      <c r="L641" s="47"/>
      <c r="N641" s="47"/>
      <c r="O641" s="47"/>
      <c r="P641" s="47"/>
    </row>
    <row r="642" spans="1:16" x14ac:dyDescent="0.3">
      <c r="A642" s="1">
        <v>641</v>
      </c>
      <c r="G642" s="4"/>
      <c r="H642" s="4"/>
      <c r="I642" s="47"/>
      <c r="J642" s="47" t="str">
        <f t="shared" si="22"/>
        <v/>
      </c>
      <c r="K642" s="47"/>
      <c r="L642" s="47"/>
      <c r="N642" s="47"/>
      <c r="O642" s="47"/>
      <c r="P642" s="47"/>
    </row>
    <row r="643" spans="1:16" x14ac:dyDescent="0.3">
      <c r="A643" s="1">
        <v>642</v>
      </c>
      <c r="G643" s="4"/>
      <c r="H643" s="4"/>
      <c r="I643" s="47"/>
      <c r="J643" s="47" t="str">
        <f t="shared" ref="J643:J706" si="23">+E643&amp;I643</f>
        <v/>
      </c>
      <c r="K643" s="47"/>
      <c r="L643" s="47"/>
      <c r="N643" s="47"/>
      <c r="O643" s="47"/>
      <c r="P643" s="47"/>
    </row>
    <row r="644" spans="1:16" x14ac:dyDescent="0.3">
      <c r="A644" s="1">
        <v>643</v>
      </c>
      <c r="G644" s="4"/>
      <c r="H644" s="4"/>
      <c r="I644" s="47"/>
      <c r="J644" s="47" t="str">
        <f t="shared" si="23"/>
        <v/>
      </c>
      <c r="K644" s="47"/>
      <c r="L644" s="47"/>
      <c r="N644" s="47"/>
      <c r="O644" s="47"/>
      <c r="P644" s="47"/>
    </row>
    <row r="645" spans="1:16" x14ac:dyDescent="0.3">
      <c r="A645" s="1">
        <v>644</v>
      </c>
      <c r="G645" s="4"/>
      <c r="H645" s="4"/>
      <c r="I645" s="47"/>
      <c r="J645" s="47" t="str">
        <f t="shared" si="23"/>
        <v/>
      </c>
      <c r="K645" s="47"/>
      <c r="L645" s="47"/>
      <c r="N645" s="47"/>
      <c r="O645" s="47"/>
      <c r="P645" s="47"/>
    </row>
    <row r="646" spans="1:16" x14ac:dyDescent="0.3">
      <c r="A646" s="1">
        <v>645</v>
      </c>
      <c r="G646" s="4"/>
      <c r="H646" s="4"/>
      <c r="I646" s="47"/>
      <c r="J646" s="47" t="str">
        <f t="shared" si="23"/>
        <v/>
      </c>
      <c r="K646" s="47"/>
      <c r="L646" s="47"/>
      <c r="N646" s="47"/>
      <c r="O646" s="47"/>
      <c r="P646" s="47"/>
    </row>
    <row r="647" spans="1:16" x14ac:dyDescent="0.3">
      <c r="A647" s="1">
        <v>646</v>
      </c>
      <c r="G647" s="4"/>
      <c r="H647" s="4"/>
      <c r="I647" s="47"/>
      <c r="J647" s="47" t="str">
        <f t="shared" si="23"/>
        <v/>
      </c>
      <c r="K647" s="47"/>
      <c r="L647" s="47"/>
      <c r="N647" s="47"/>
      <c r="O647" s="47"/>
      <c r="P647" s="47"/>
    </row>
    <row r="648" spans="1:16" x14ac:dyDescent="0.3">
      <c r="A648" s="1">
        <v>647</v>
      </c>
      <c r="G648" s="4"/>
      <c r="H648" s="4"/>
      <c r="I648" s="47"/>
      <c r="J648" s="47" t="str">
        <f t="shared" si="23"/>
        <v/>
      </c>
      <c r="K648" s="47"/>
      <c r="L648" s="47"/>
      <c r="N648" s="47"/>
      <c r="O648" s="47"/>
      <c r="P648" s="47"/>
    </row>
    <row r="649" spans="1:16" x14ac:dyDescent="0.3">
      <c r="A649" s="1">
        <v>648</v>
      </c>
      <c r="G649" s="4"/>
      <c r="H649" s="4"/>
      <c r="I649" s="47"/>
      <c r="J649" s="47" t="str">
        <f t="shared" si="23"/>
        <v/>
      </c>
      <c r="K649" s="47"/>
      <c r="L649" s="47"/>
      <c r="N649" s="47"/>
      <c r="O649" s="47"/>
      <c r="P649" s="47"/>
    </row>
    <row r="650" spans="1:16" x14ac:dyDescent="0.3">
      <c r="A650" s="1">
        <v>649</v>
      </c>
      <c r="G650" s="4"/>
      <c r="H650" s="4"/>
      <c r="I650" s="47"/>
      <c r="J650" s="47" t="str">
        <f t="shared" si="23"/>
        <v/>
      </c>
      <c r="K650" s="47"/>
      <c r="L650" s="47"/>
      <c r="N650" s="47"/>
      <c r="O650" s="47"/>
      <c r="P650" s="47"/>
    </row>
    <row r="651" spans="1:16" x14ac:dyDescent="0.3">
      <c r="A651" s="1">
        <v>650</v>
      </c>
      <c r="G651" s="4"/>
      <c r="H651" s="4"/>
      <c r="I651" s="47"/>
      <c r="J651" s="47" t="str">
        <f t="shared" si="23"/>
        <v/>
      </c>
      <c r="K651" s="47"/>
      <c r="L651" s="47"/>
      <c r="N651" s="47"/>
      <c r="O651" s="47"/>
      <c r="P651" s="47"/>
    </row>
    <row r="652" spans="1:16" x14ac:dyDescent="0.3">
      <c r="A652" s="1">
        <v>651</v>
      </c>
      <c r="G652" s="4"/>
      <c r="H652" s="4"/>
      <c r="I652" s="47"/>
      <c r="J652" s="47" t="str">
        <f t="shared" si="23"/>
        <v/>
      </c>
      <c r="K652" s="47"/>
      <c r="L652" s="47"/>
      <c r="N652" s="47"/>
      <c r="O652" s="47"/>
      <c r="P652" s="47"/>
    </row>
    <row r="653" spans="1:16" x14ac:dyDescent="0.3">
      <c r="A653" s="1">
        <v>652</v>
      </c>
      <c r="G653" s="4"/>
      <c r="H653" s="4"/>
      <c r="I653" s="47"/>
      <c r="J653" s="47" t="str">
        <f t="shared" si="23"/>
        <v/>
      </c>
      <c r="K653" s="47"/>
      <c r="L653" s="47"/>
      <c r="N653" s="47"/>
      <c r="O653" s="47"/>
      <c r="P653" s="47"/>
    </row>
    <row r="654" spans="1:16" x14ac:dyDescent="0.3">
      <c r="A654" s="1">
        <v>653</v>
      </c>
      <c r="G654" s="4"/>
      <c r="H654" s="4"/>
      <c r="I654" s="47"/>
      <c r="J654" s="47" t="str">
        <f t="shared" si="23"/>
        <v/>
      </c>
      <c r="K654" s="47"/>
      <c r="L654" s="47"/>
      <c r="N654" s="47"/>
      <c r="O654" s="47"/>
      <c r="P654" s="47"/>
    </row>
    <row r="655" spans="1:16" x14ac:dyDescent="0.3">
      <c r="A655" s="1">
        <v>654</v>
      </c>
      <c r="G655" s="4"/>
      <c r="H655" s="4"/>
      <c r="I655" s="47"/>
      <c r="J655" s="47" t="str">
        <f t="shared" si="23"/>
        <v/>
      </c>
      <c r="K655" s="47"/>
      <c r="L655" s="47"/>
      <c r="N655" s="47"/>
      <c r="O655" s="47"/>
      <c r="P655" s="47"/>
    </row>
    <row r="656" spans="1:16" x14ac:dyDescent="0.3">
      <c r="A656" s="1">
        <v>655</v>
      </c>
      <c r="G656" s="4"/>
      <c r="H656" s="4"/>
      <c r="I656" s="47"/>
      <c r="J656" s="47" t="str">
        <f t="shared" si="23"/>
        <v/>
      </c>
      <c r="K656" s="47"/>
      <c r="L656" s="47"/>
      <c r="N656" s="47"/>
      <c r="O656" s="47"/>
      <c r="P656" s="47"/>
    </row>
    <row r="657" spans="1:16" x14ac:dyDescent="0.3">
      <c r="A657" s="1">
        <v>656</v>
      </c>
      <c r="G657" s="4"/>
      <c r="H657" s="4"/>
      <c r="I657" s="47"/>
      <c r="J657" s="47" t="str">
        <f t="shared" si="23"/>
        <v/>
      </c>
      <c r="K657" s="47"/>
      <c r="L657" s="47"/>
      <c r="N657" s="47"/>
      <c r="O657" s="47"/>
      <c r="P657" s="47"/>
    </row>
    <row r="658" spans="1:16" x14ac:dyDescent="0.3">
      <c r="A658" s="1">
        <v>657</v>
      </c>
      <c r="G658" s="4"/>
      <c r="H658" s="4"/>
      <c r="I658" s="47"/>
      <c r="J658" s="47" t="str">
        <f t="shared" si="23"/>
        <v/>
      </c>
      <c r="K658" s="47"/>
      <c r="L658" s="47"/>
      <c r="N658" s="47"/>
      <c r="O658" s="47"/>
      <c r="P658" s="47"/>
    </row>
    <row r="659" spans="1:16" x14ac:dyDescent="0.3">
      <c r="A659" s="1">
        <v>658</v>
      </c>
      <c r="G659" s="4"/>
      <c r="H659" s="4"/>
      <c r="I659" s="47"/>
      <c r="J659" s="47" t="str">
        <f t="shared" si="23"/>
        <v/>
      </c>
      <c r="K659" s="47"/>
      <c r="L659" s="47"/>
      <c r="N659" s="47"/>
      <c r="O659" s="47"/>
      <c r="P659" s="47"/>
    </row>
    <row r="660" spans="1:16" x14ac:dyDescent="0.3">
      <c r="A660" s="1">
        <v>659</v>
      </c>
      <c r="G660" s="4"/>
      <c r="H660" s="4"/>
      <c r="I660" s="47"/>
      <c r="J660" s="47" t="str">
        <f t="shared" si="23"/>
        <v/>
      </c>
      <c r="K660" s="47"/>
      <c r="L660" s="47"/>
      <c r="N660" s="47"/>
      <c r="O660" s="47"/>
      <c r="P660" s="47"/>
    </row>
    <row r="661" spans="1:16" x14ac:dyDescent="0.3">
      <c r="A661" s="1">
        <v>660</v>
      </c>
      <c r="G661" s="4"/>
      <c r="H661" s="4"/>
      <c r="I661" s="47"/>
      <c r="J661" s="47" t="str">
        <f t="shared" si="23"/>
        <v/>
      </c>
      <c r="K661" s="47"/>
      <c r="L661" s="47"/>
      <c r="N661" s="47"/>
      <c r="O661" s="47"/>
      <c r="P661" s="47"/>
    </row>
    <row r="662" spans="1:16" x14ac:dyDescent="0.3">
      <c r="A662" s="1">
        <v>661</v>
      </c>
      <c r="G662" s="4"/>
      <c r="H662" s="4"/>
      <c r="I662" s="47"/>
      <c r="J662" s="47" t="str">
        <f t="shared" si="23"/>
        <v/>
      </c>
      <c r="K662" s="47"/>
      <c r="L662" s="47"/>
      <c r="N662" s="47"/>
      <c r="O662" s="47"/>
      <c r="P662" s="47"/>
    </row>
    <row r="663" spans="1:16" x14ac:dyDescent="0.3">
      <c r="A663" s="1">
        <v>662</v>
      </c>
      <c r="G663" s="4"/>
      <c r="H663" s="4"/>
      <c r="I663" s="47"/>
      <c r="J663" s="47" t="str">
        <f t="shared" si="23"/>
        <v/>
      </c>
      <c r="K663" s="47"/>
      <c r="L663" s="47"/>
      <c r="N663" s="47"/>
      <c r="O663" s="47"/>
      <c r="P663" s="47"/>
    </row>
    <row r="664" spans="1:16" x14ac:dyDescent="0.3">
      <c r="A664" s="1">
        <v>663</v>
      </c>
      <c r="G664" s="4"/>
      <c r="H664" s="4"/>
      <c r="I664" s="47"/>
      <c r="J664" s="47" t="str">
        <f t="shared" si="23"/>
        <v/>
      </c>
      <c r="K664" s="47"/>
      <c r="L664" s="47"/>
      <c r="N664" s="47"/>
      <c r="O664" s="47"/>
      <c r="P664" s="47"/>
    </row>
    <row r="665" spans="1:16" x14ac:dyDescent="0.3">
      <c r="A665" s="1">
        <v>664</v>
      </c>
      <c r="G665" s="4"/>
      <c r="H665" s="4"/>
      <c r="I665" s="47"/>
      <c r="J665" s="47" t="str">
        <f t="shared" si="23"/>
        <v/>
      </c>
      <c r="K665" s="47"/>
      <c r="L665" s="47"/>
      <c r="N665" s="47"/>
      <c r="O665" s="47"/>
      <c r="P665" s="47"/>
    </row>
    <row r="666" spans="1:16" x14ac:dyDescent="0.3">
      <c r="A666" s="1">
        <v>665</v>
      </c>
      <c r="G666" s="4"/>
      <c r="H666" s="4"/>
      <c r="I666" s="47"/>
      <c r="J666" s="47" t="str">
        <f t="shared" si="23"/>
        <v/>
      </c>
      <c r="K666" s="47"/>
      <c r="L666" s="47"/>
      <c r="N666" s="47"/>
      <c r="O666" s="47"/>
      <c r="P666" s="47"/>
    </row>
    <row r="667" spans="1:16" x14ac:dyDescent="0.3">
      <c r="A667" s="1">
        <v>666</v>
      </c>
      <c r="G667" s="4"/>
      <c r="H667" s="4"/>
      <c r="I667" s="47"/>
      <c r="J667" s="47" t="str">
        <f t="shared" si="23"/>
        <v/>
      </c>
      <c r="K667" s="47"/>
      <c r="L667" s="47"/>
      <c r="N667" s="47"/>
      <c r="O667" s="47"/>
      <c r="P667" s="47"/>
    </row>
    <row r="668" spans="1:16" x14ac:dyDescent="0.3">
      <c r="A668" s="1">
        <v>667</v>
      </c>
      <c r="G668" s="4"/>
      <c r="H668" s="4"/>
      <c r="I668" s="47"/>
      <c r="J668" s="47" t="str">
        <f t="shared" si="23"/>
        <v/>
      </c>
      <c r="K668" s="47"/>
      <c r="L668" s="47"/>
      <c r="N668" s="47"/>
      <c r="O668" s="47"/>
      <c r="P668" s="47"/>
    </row>
    <row r="669" spans="1:16" x14ac:dyDescent="0.3">
      <c r="A669" s="1">
        <v>668</v>
      </c>
      <c r="G669" s="4"/>
      <c r="H669" s="4"/>
      <c r="I669" s="47"/>
      <c r="J669" s="47" t="str">
        <f t="shared" si="23"/>
        <v/>
      </c>
      <c r="K669" s="47"/>
      <c r="L669" s="47"/>
      <c r="N669" s="47"/>
      <c r="O669" s="47"/>
      <c r="P669" s="47"/>
    </row>
    <row r="670" spans="1:16" x14ac:dyDescent="0.3">
      <c r="A670" s="1">
        <v>669</v>
      </c>
      <c r="G670" s="4"/>
      <c r="H670" s="4"/>
      <c r="I670" s="47"/>
      <c r="J670" s="47" t="str">
        <f t="shared" si="23"/>
        <v/>
      </c>
      <c r="K670" s="47"/>
      <c r="L670" s="47"/>
      <c r="N670" s="47"/>
      <c r="O670" s="47"/>
      <c r="P670" s="47"/>
    </row>
    <row r="671" spans="1:16" x14ac:dyDescent="0.3">
      <c r="A671" s="1">
        <v>670</v>
      </c>
      <c r="G671" s="4"/>
      <c r="H671" s="4"/>
      <c r="I671" s="47"/>
      <c r="J671" s="47" t="str">
        <f t="shared" si="23"/>
        <v/>
      </c>
      <c r="K671" s="47"/>
      <c r="L671" s="47"/>
      <c r="N671" s="47"/>
      <c r="O671" s="47"/>
      <c r="P671" s="47"/>
    </row>
    <row r="672" spans="1:16" x14ac:dyDescent="0.3">
      <c r="A672" s="1">
        <v>671</v>
      </c>
      <c r="G672" s="4"/>
      <c r="H672" s="4"/>
      <c r="I672" s="47"/>
      <c r="J672" s="47" t="str">
        <f t="shared" si="23"/>
        <v/>
      </c>
      <c r="K672" s="47"/>
      <c r="L672" s="47"/>
      <c r="N672" s="47"/>
      <c r="O672" s="47"/>
      <c r="P672" s="47"/>
    </row>
    <row r="673" spans="1:16" x14ac:dyDescent="0.3">
      <c r="A673" s="1">
        <v>672</v>
      </c>
      <c r="G673" s="4"/>
      <c r="H673" s="4"/>
      <c r="I673" s="47"/>
      <c r="J673" s="47" t="str">
        <f t="shared" si="23"/>
        <v/>
      </c>
      <c r="K673" s="47"/>
      <c r="L673" s="47"/>
      <c r="N673" s="47"/>
      <c r="O673" s="47"/>
      <c r="P673" s="47"/>
    </row>
    <row r="674" spans="1:16" x14ac:dyDescent="0.3">
      <c r="A674" s="1">
        <v>673</v>
      </c>
      <c r="G674" s="4"/>
      <c r="H674" s="4"/>
      <c r="I674" s="47"/>
      <c r="J674" s="47" t="str">
        <f t="shared" si="23"/>
        <v/>
      </c>
      <c r="K674" s="47"/>
      <c r="L674" s="47"/>
      <c r="N674" s="47"/>
      <c r="O674" s="47"/>
      <c r="P674" s="47"/>
    </row>
    <row r="675" spans="1:16" x14ac:dyDescent="0.3">
      <c r="A675" s="1">
        <v>674</v>
      </c>
      <c r="G675" s="4"/>
      <c r="H675" s="4"/>
      <c r="I675" s="47"/>
      <c r="J675" s="47" t="str">
        <f t="shared" si="23"/>
        <v/>
      </c>
      <c r="K675" s="47"/>
      <c r="L675" s="47"/>
      <c r="N675" s="47"/>
      <c r="O675" s="47"/>
      <c r="P675" s="47"/>
    </row>
    <row r="676" spans="1:16" x14ac:dyDescent="0.3">
      <c r="A676" s="1">
        <v>675</v>
      </c>
      <c r="G676" s="4"/>
      <c r="H676" s="4"/>
      <c r="I676" s="47"/>
      <c r="J676" s="47" t="str">
        <f t="shared" si="23"/>
        <v/>
      </c>
      <c r="K676" s="47"/>
      <c r="L676" s="47"/>
      <c r="N676" s="47"/>
      <c r="O676" s="47"/>
      <c r="P676" s="47"/>
    </row>
    <row r="677" spans="1:16" x14ac:dyDescent="0.3">
      <c r="A677" s="1">
        <v>676</v>
      </c>
      <c r="G677" s="4"/>
      <c r="H677" s="4"/>
      <c r="I677" s="47"/>
      <c r="J677" s="47" t="str">
        <f t="shared" si="23"/>
        <v/>
      </c>
      <c r="K677" s="47"/>
      <c r="L677" s="47"/>
      <c r="N677" s="47"/>
      <c r="O677" s="47"/>
      <c r="P677" s="47"/>
    </row>
    <row r="678" spans="1:16" x14ac:dyDescent="0.3">
      <c r="A678" s="1">
        <v>677</v>
      </c>
      <c r="G678" s="4"/>
      <c r="H678" s="4"/>
      <c r="I678" s="47"/>
      <c r="J678" s="47" t="str">
        <f t="shared" si="23"/>
        <v/>
      </c>
      <c r="K678" s="47"/>
      <c r="L678" s="47"/>
      <c r="N678" s="47"/>
      <c r="O678" s="47"/>
      <c r="P678" s="47"/>
    </row>
    <row r="679" spans="1:16" x14ac:dyDescent="0.3">
      <c r="A679" s="1">
        <v>678</v>
      </c>
      <c r="G679" s="4"/>
      <c r="H679" s="4"/>
      <c r="I679" s="47"/>
      <c r="J679" s="47" t="str">
        <f t="shared" si="23"/>
        <v/>
      </c>
      <c r="K679" s="47"/>
      <c r="L679" s="47"/>
      <c r="N679" s="47"/>
      <c r="O679" s="47"/>
      <c r="P679" s="47"/>
    </row>
    <row r="680" spans="1:16" x14ac:dyDescent="0.3">
      <c r="A680" s="1">
        <v>679</v>
      </c>
      <c r="G680" s="4"/>
      <c r="H680" s="4"/>
      <c r="I680" s="47"/>
      <c r="J680" s="47" t="str">
        <f t="shared" si="23"/>
        <v/>
      </c>
      <c r="K680" s="47"/>
      <c r="L680" s="47"/>
      <c r="N680" s="47"/>
      <c r="O680" s="47"/>
      <c r="P680" s="47"/>
    </row>
    <row r="681" spans="1:16" x14ac:dyDescent="0.3">
      <c r="A681" s="1">
        <v>680</v>
      </c>
      <c r="G681" s="4"/>
      <c r="H681" s="4"/>
      <c r="I681" s="47"/>
      <c r="J681" s="47" t="str">
        <f t="shared" si="23"/>
        <v/>
      </c>
      <c r="K681" s="47"/>
      <c r="L681" s="47"/>
      <c r="N681" s="47"/>
      <c r="O681" s="47"/>
      <c r="P681" s="47"/>
    </row>
    <row r="682" spans="1:16" x14ac:dyDescent="0.3">
      <c r="A682" s="1">
        <v>681</v>
      </c>
      <c r="G682" s="4"/>
      <c r="H682" s="4"/>
      <c r="I682" s="47"/>
      <c r="J682" s="47" t="str">
        <f t="shared" si="23"/>
        <v/>
      </c>
      <c r="K682" s="47"/>
      <c r="L682" s="47"/>
      <c r="N682" s="47"/>
      <c r="O682" s="47"/>
      <c r="P682" s="47"/>
    </row>
    <row r="683" spans="1:16" x14ac:dyDescent="0.3">
      <c r="A683" s="1">
        <v>682</v>
      </c>
      <c r="G683" s="4"/>
      <c r="H683" s="4"/>
      <c r="I683" s="47"/>
      <c r="J683" s="47" t="str">
        <f t="shared" si="23"/>
        <v/>
      </c>
      <c r="K683" s="47"/>
      <c r="L683" s="47"/>
      <c r="N683" s="47"/>
      <c r="O683" s="47"/>
      <c r="P683" s="47"/>
    </row>
    <row r="684" spans="1:16" x14ac:dyDescent="0.3">
      <c r="A684" s="1">
        <v>683</v>
      </c>
      <c r="G684" s="4"/>
      <c r="H684" s="4"/>
      <c r="I684" s="47"/>
      <c r="J684" s="47" t="str">
        <f t="shared" si="23"/>
        <v/>
      </c>
      <c r="K684" s="47"/>
      <c r="L684" s="47"/>
      <c r="N684" s="47"/>
      <c r="O684" s="47"/>
      <c r="P684" s="47"/>
    </row>
    <row r="685" spans="1:16" x14ac:dyDescent="0.3">
      <c r="A685" s="1">
        <v>684</v>
      </c>
      <c r="G685" s="4"/>
      <c r="H685" s="4"/>
      <c r="I685" s="47"/>
      <c r="J685" s="47" t="str">
        <f t="shared" si="23"/>
        <v/>
      </c>
      <c r="K685" s="47"/>
      <c r="L685" s="47"/>
      <c r="N685" s="47"/>
      <c r="O685" s="47"/>
      <c r="P685" s="47"/>
    </row>
    <row r="686" spans="1:16" x14ac:dyDescent="0.3">
      <c r="A686" s="1">
        <v>685</v>
      </c>
      <c r="G686" s="4"/>
      <c r="H686" s="4"/>
      <c r="I686" s="47"/>
      <c r="J686" s="47" t="str">
        <f t="shared" si="23"/>
        <v/>
      </c>
      <c r="K686" s="47"/>
      <c r="L686" s="47"/>
      <c r="N686" s="47"/>
      <c r="O686" s="47"/>
      <c r="P686" s="47"/>
    </row>
    <row r="687" spans="1:16" x14ac:dyDescent="0.3">
      <c r="A687" s="1">
        <v>686</v>
      </c>
      <c r="G687" s="4"/>
      <c r="H687" s="4"/>
      <c r="I687" s="47"/>
      <c r="J687" s="47" t="str">
        <f t="shared" si="23"/>
        <v/>
      </c>
      <c r="K687" s="47"/>
      <c r="L687" s="47"/>
      <c r="N687" s="47"/>
      <c r="O687" s="47"/>
      <c r="P687" s="47"/>
    </row>
    <row r="688" spans="1:16" x14ac:dyDescent="0.3">
      <c r="A688" s="1">
        <v>687</v>
      </c>
      <c r="G688" s="4"/>
      <c r="H688" s="4"/>
      <c r="I688" s="47"/>
      <c r="J688" s="47" t="str">
        <f t="shared" si="23"/>
        <v/>
      </c>
      <c r="K688" s="47"/>
      <c r="L688" s="47"/>
      <c r="N688" s="47"/>
      <c r="O688" s="47"/>
      <c r="P688" s="47"/>
    </row>
    <row r="689" spans="1:16" x14ac:dyDescent="0.3">
      <c r="A689" s="1">
        <v>688</v>
      </c>
      <c r="G689" s="4"/>
      <c r="H689" s="4"/>
      <c r="I689" s="47"/>
      <c r="J689" s="47" t="str">
        <f t="shared" si="23"/>
        <v/>
      </c>
      <c r="K689" s="47"/>
      <c r="L689" s="47"/>
      <c r="N689" s="47"/>
      <c r="O689" s="47"/>
      <c r="P689" s="47"/>
    </row>
    <row r="690" spans="1:16" x14ac:dyDescent="0.3">
      <c r="A690" s="1">
        <v>689</v>
      </c>
      <c r="G690" s="4"/>
      <c r="H690" s="4"/>
      <c r="I690" s="47"/>
      <c r="J690" s="47" t="str">
        <f t="shared" si="23"/>
        <v/>
      </c>
      <c r="K690" s="47"/>
      <c r="L690" s="47"/>
      <c r="N690" s="47"/>
      <c r="O690" s="47"/>
      <c r="P690" s="47"/>
    </row>
    <row r="691" spans="1:16" x14ac:dyDescent="0.3">
      <c r="A691" s="1">
        <v>690</v>
      </c>
      <c r="G691" s="4"/>
      <c r="H691" s="4"/>
      <c r="I691" s="47"/>
      <c r="J691" s="47" t="str">
        <f t="shared" si="23"/>
        <v/>
      </c>
      <c r="K691" s="47"/>
      <c r="L691" s="47"/>
      <c r="N691" s="47"/>
      <c r="O691" s="47"/>
      <c r="P691" s="47"/>
    </row>
    <row r="692" spans="1:16" x14ac:dyDescent="0.3">
      <c r="A692" s="1">
        <v>691</v>
      </c>
      <c r="G692" s="4"/>
      <c r="H692" s="4"/>
      <c r="I692" s="47"/>
      <c r="J692" s="47" t="str">
        <f t="shared" si="23"/>
        <v/>
      </c>
      <c r="K692" s="47"/>
      <c r="L692" s="47"/>
      <c r="N692" s="47"/>
      <c r="O692" s="47"/>
      <c r="P692" s="47"/>
    </row>
    <row r="693" spans="1:16" x14ac:dyDescent="0.3">
      <c r="A693" s="1">
        <v>692</v>
      </c>
      <c r="G693" s="4"/>
      <c r="H693" s="4"/>
      <c r="I693" s="47"/>
      <c r="J693" s="47" t="str">
        <f t="shared" si="23"/>
        <v/>
      </c>
      <c r="K693" s="47"/>
      <c r="L693" s="47"/>
      <c r="N693" s="47"/>
      <c r="O693" s="47"/>
      <c r="P693" s="47"/>
    </row>
    <row r="694" spans="1:16" x14ac:dyDescent="0.3">
      <c r="A694" s="1">
        <v>693</v>
      </c>
      <c r="G694" s="4"/>
      <c r="H694" s="4"/>
      <c r="I694" s="47"/>
      <c r="J694" s="47" t="str">
        <f t="shared" si="23"/>
        <v/>
      </c>
      <c r="K694" s="47"/>
      <c r="L694" s="47"/>
      <c r="N694" s="47"/>
      <c r="O694" s="47"/>
      <c r="P694" s="47"/>
    </row>
    <row r="695" spans="1:16" x14ac:dyDescent="0.3">
      <c r="A695" s="1">
        <v>694</v>
      </c>
      <c r="G695" s="4"/>
      <c r="H695" s="4"/>
      <c r="I695" s="47"/>
      <c r="J695" s="47" t="str">
        <f t="shared" si="23"/>
        <v/>
      </c>
      <c r="K695" s="47"/>
      <c r="L695" s="47"/>
      <c r="N695" s="47"/>
      <c r="O695" s="47"/>
      <c r="P695" s="47"/>
    </row>
    <row r="696" spans="1:16" x14ac:dyDescent="0.3">
      <c r="A696" s="1">
        <v>695</v>
      </c>
      <c r="G696" s="4"/>
      <c r="H696" s="4"/>
      <c r="I696" s="47"/>
      <c r="J696" s="47" t="str">
        <f t="shared" si="23"/>
        <v/>
      </c>
      <c r="K696" s="47"/>
      <c r="L696" s="47"/>
      <c r="N696" s="47"/>
      <c r="O696" s="47"/>
      <c r="P696" s="47"/>
    </row>
    <row r="697" spans="1:16" x14ac:dyDescent="0.3">
      <c r="A697" s="1">
        <v>696</v>
      </c>
      <c r="G697" s="4"/>
      <c r="H697" s="4"/>
      <c r="I697" s="47"/>
      <c r="J697" s="47" t="str">
        <f t="shared" si="23"/>
        <v/>
      </c>
      <c r="K697" s="47"/>
      <c r="L697" s="47"/>
      <c r="N697" s="47"/>
      <c r="O697" s="47"/>
      <c r="P697" s="47"/>
    </row>
    <row r="698" spans="1:16" x14ac:dyDescent="0.3">
      <c r="A698" s="1">
        <v>697</v>
      </c>
      <c r="G698" s="4"/>
      <c r="H698" s="4"/>
      <c r="I698" s="47"/>
      <c r="J698" s="47" t="str">
        <f t="shared" si="23"/>
        <v/>
      </c>
      <c r="K698" s="47"/>
      <c r="L698" s="47"/>
      <c r="N698" s="47"/>
      <c r="O698" s="47"/>
      <c r="P698" s="47"/>
    </row>
    <row r="699" spans="1:16" x14ac:dyDescent="0.3">
      <c r="A699" s="1">
        <v>698</v>
      </c>
      <c r="G699" s="4"/>
      <c r="H699" s="4"/>
      <c r="I699" s="47"/>
      <c r="J699" s="47" t="str">
        <f t="shared" si="23"/>
        <v/>
      </c>
      <c r="K699" s="47"/>
      <c r="L699" s="47"/>
      <c r="N699" s="47"/>
      <c r="O699" s="47"/>
      <c r="P699" s="47"/>
    </row>
    <row r="700" spans="1:16" x14ac:dyDescent="0.3">
      <c r="A700" s="1">
        <v>699</v>
      </c>
      <c r="G700" s="4"/>
      <c r="H700" s="4"/>
      <c r="I700" s="47"/>
      <c r="J700" s="47" t="str">
        <f t="shared" si="23"/>
        <v/>
      </c>
      <c r="K700" s="47"/>
      <c r="L700" s="47"/>
      <c r="N700" s="47"/>
      <c r="O700" s="47"/>
      <c r="P700" s="47"/>
    </row>
    <row r="701" spans="1:16" x14ac:dyDescent="0.3">
      <c r="A701" s="1">
        <v>700</v>
      </c>
      <c r="G701" s="4"/>
      <c r="H701" s="4"/>
      <c r="I701" s="47"/>
      <c r="J701" s="47" t="str">
        <f t="shared" si="23"/>
        <v/>
      </c>
      <c r="K701" s="47"/>
      <c r="L701" s="47"/>
      <c r="N701" s="47"/>
      <c r="O701" s="47"/>
      <c r="P701" s="47"/>
    </row>
    <row r="702" spans="1:16" x14ac:dyDescent="0.3">
      <c r="A702" s="1">
        <v>701</v>
      </c>
      <c r="G702" s="4"/>
      <c r="H702" s="4"/>
      <c r="I702" s="47"/>
      <c r="J702" s="47" t="str">
        <f t="shared" si="23"/>
        <v/>
      </c>
      <c r="K702" s="47"/>
      <c r="L702" s="47"/>
      <c r="N702" s="47"/>
      <c r="O702" s="47"/>
      <c r="P702" s="47"/>
    </row>
    <row r="703" spans="1:16" x14ac:dyDescent="0.3">
      <c r="A703" s="1">
        <v>702</v>
      </c>
      <c r="G703" s="4"/>
      <c r="H703" s="4"/>
      <c r="I703" s="47"/>
      <c r="J703" s="47" t="str">
        <f t="shared" si="23"/>
        <v/>
      </c>
      <c r="K703" s="47"/>
      <c r="L703" s="47"/>
      <c r="N703" s="47"/>
      <c r="O703" s="47"/>
      <c r="P703" s="47"/>
    </row>
    <row r="704" spans="1:16" x14ac:dyDescent="0.3">
      <c r="A704" s="1">
        <v>703</v>
      </c>
      <c r="G704" s="4"/>
      <c r="H704" s="4"/>
      <c r="I704" s="47"/>
      <c r="J704" s="47" t="str">
        <f t="shared" si="23"/>
        <v/>
      </c>
      <c r="K704" s="47"/>
      <c r="L704" s="47"/>
      <c r="N704" s="47"/>
      <c r="O704" s="47"/>
      <c r="P704" s="47"/>
    </row>
    <row r="705" spans="1:16" x14ac:dyDescent="0.3">
      <c r="A705" s="1">
        <v>704</v>
      </c>
      <c r="G705" s="4"/>
      <c r="H705" s="4"/>
      <c r="I705" s="47"/>
      <c r="J705" s="47" t="str">
        <f t="shared" si="23"/>
        <v/>
      </c>
      <c r="K705" s="47"/>
      <c r="L705" s="47"/>
      <c r="N705" s="47"/>
      <c r="O705" s="47"/>
      <c r="P705" s="47"/>
    </row>
    <row r="706" spans="1:16" x14ac:dyDescent="0.3">
      <c r="A706" s="1">
        <v>705</v>
      </c>
      <c r="G706" s="4"/>
      <c r="H706" s="4"/>
      <c r="I706" s="47"/>
      <c r="J706" s="47" t="str">
        <f t="shared" si="23"/>
        <v/>
      </c>
      <c r="K706" s="47"/>
      <c r="L706" s="47"/>
      <c r="N706" s="47"/>
      <c r="O706" s="47"/>
      <c r="P706" s="47"/>
    </row>
    <row r="707" spans="1:16" x14ac:dyDescent="0.3">
      <c r="A707" s="1">
        <v>706</v>
      </c>
      <c r="G707" s="4"/>
      <c r="H707" s="4"/>
      <c r="I707" s="47"/>
      <c r="J707" s="47" t="str">
        <f t="shared" ref="J707:J770" si="24">+E707&amp;I707</f>
        <v/>
      </c>
      <c r="K707" s="47"/>
      <c r="L707" s="47"/>
      <c r="N707" s="47"/>
      <c r="O707" s="47"/>
      <c r="P707" s="47"/>
    </row>
    <row r="708" spans="1:16" x14ac:dyDescent="0.3">
      <c r="A708" s="1">
        <v>707</v>
      </c>
      <c r="G708" s="4"/>
      <c r="H708" s="4"/>
      <c r="I708" s="47"/>
      <c r="J708" s="47" t="str">
        <f t="shared" si="24"/>
        <v/>
      </c>
      <c r="K708" s="47"/>
      <c r="L708" s="47"/>
      <c r="N708" s="47"/>
      <c r="O708" s="47"/>
      <c r="P708" s="47"/>
    </row>
    <row r="709" spans="1:16" x14ac:dyDescent="0.3">
      <c r="A709" s="1">
        <v>708</v>
      </c>
      <c r="G709" s="4"/>
      <c r="H709" s="4"/>
      <c r="I709" s="47"/>
      <c r="J709" s="47" t="str">
        <f t="shared" si="24"/>
        <v/>
      </c>
      <c r="K709" s="47"/>
      <c r="L709" s="47"/>
      <c r="N709" s="47"/>
      <c r="O709" s="47"/>
      <c r="P709" s="47"/>
    </row>
    <row r="710" spans="1:16" x14ac:dyDescent="0.3">
      <c r="A710" s="1">
        <v>709</v>
      </c>
      <c r="G710" s="4"/>
      <c r="H710" s="4"/>
      <c r="I710" s="47"/>
      <c r="J710" s="47" t="str">
        <f t="shared" si="24"/>
        <v/>
      </c>
      <c r="K710" s="47"/>
      <c r="L710" s="47"/>
      <c r="N710" s="47"/>
      <c r="O710" s="47"/>
      <c r="P710" s="47"/>
    </row>
    <row r="711" spans="1:16" x14ac:dyDescent="0.3">
      <c r="A711" s="1">
        <v>710</v>
      </c>
      <c r="G711" s="4"/>
      <c r="H711" s="4"/>
      <c r="I711" s="47"/>
      <c r="J711" s="47" t="str">
        <f t="shared" si="24"/>
        <v/>
      </c>
      <c r="K711" s="47"/>
      <c r="L711" s="47"/>
      <c r="N711" s="47"/>
      <c r="O711" s="47"/>
      <c r="P711" s="47"/>
    </row>
    <row r="712" spans="1:16" x14ac:dyDescent="0.3">
      <c r="A712" s="1">
        <v>711</v>
      </c>
      <c r="G712" s="4"/>
      <c r="H712" s="4"/>
      <c r="I712" s="47"/>
      <c r="J712" s="47" t="str">
        <f t="shared" si="24"/>
        <v/>
      </c>
      <c r="K712" s="47"/>
      <c r="L712" s="47"/>
      <c r="N712" s="47"/>
      <c r="O712" s="47"/>
      <c r="P712" s="47"/>
    </row>
    <row r="713" spans="1:16" x14ac:dyDescent="0.3">
      <c r="A713" s="1">
        <v>712</v>
      </c>
      <c r="G713" s="4"/>
      <c r="H713" s="4"/>
      <c r="I713" s="47"/>
      <c r="J713" s="47" t="str">
        <f t="shared" si="24"/>
        <v/>
      </c>
      <c r="K713" s="47"/>
      <c r="L713" s="47"/>
      <c r="N713" s="47"/>
      <c r="O713" s="47"/>
      <c r="P713" s="47"/>
    </row>
    <row r="714" spans="1:16" x14ac:dyDescent="0.3">
      <c r="A714" s="1">
        <v>713</v>
      </c>
      <c r="G714" s="4"/>
      <c r="H714" s="4"/>
      <c r="I714" s="47"/>
      <c r="J714" s="47" t="str">
        <f t="shared" si="24"/>
        <v/>
      </c>
      <c r="K714" s="47"/>
      <c r="L714" s="47"/>
      <c r="N714" s="47"/>
      <c r="O714" s="47"/>
      <c r="P714" s="47"/>
    </row>
    <row r="715" spans="1:16" x14ac:dyDescent="0.3">
      <c r="A715" s="1">
        <v>714</v>
      </c>
      <c r="G715" s="4"/>
      <c r="H715" s="4"/>
      <c r="I715" s="47"/>
      <c r="J715" s="47" t="str">
        <f t="shared" si="24"/>
        <v/>
      </c>
      <c r="K715" s="47"/>
      <c r="L715" s="47"/>
      <c r="N715" s="47"/>
      <c r="O715" s="47"/>
      <c r="P715" s="47"/>
    </row>
    <row r="716" spans="1:16" x14ac:dyDescent="0.3">
      <c r="A716" s="1">
        <v>715</v>
      </c>
      <c r="G716" s="4"/>
      <c r="H716" s="4"/>
      <c r="I716" s="47"/>
      <c r="J716" s="47" t="str">
        <f t="shared" si="24"/>
        <v/>
      </c>
      <c r="K716" s="47"/>
      <c r="L716" s="47"/>
      <c r="N716" s="47"/>
      <c r="O716" s="47"/>
      <c r="P716" s="47"/>
    </row>
    <row r="717" spans="1:16" x14ac:dyDescent="0.3">
      <c r="A717" s="1">
        <v>716</v>
      </c>
      <c r="G717" s="4"/>
      <c r="H717" s="4"/>
      <c r="I717" s="47"/>
      <c r="J717" s="47" t="str">
        <f t="shared" si="24"/>
        <v/>
      </c>
      <c r="K717" s="47"/>
      <c r="L717" s="47"/>
      <c r="N717" s="47"/>
      <c r="O717" s="47"/>
      <c r="P717" s="47"/>
    </row>
    <row r="718" spans="1:16" x14ac:dyDescent="0.3">
      <c r="A718" s="1">
        <v>717</v>
      </c>
      <c r="G718" s="4"/>
      <c r="H718" s="4"/>
      <c r="I718" s="47"/>
      <c r="J718" s="47" t="str">
        <f t="shared" si="24"/>
        <v/>
      </c>
      <c r="K718" s="47"/>
      <c r="L718" s="47"/>
      <c r="N718" s="47"/>
      <c r="O718" s="47"/>
      <c r="P718" s="47"/>
    </row>
    <row r="719" spans="1:16" x14ac:dyDescent="0.3">
      <c r="A719" s="1">
        <v>718</v>
      </c>
      <c r="G719" s="4"/>
      <c r="H719" s="4"/>
      <c r="I719" s="47"/>
      <c r="J719" s="47" t="str">
        <f t="shared" si="24"/>
        <v/>
      </c>
      <c r="K719" s="47"/>
      <c r="L719" s="47"/>
      <c r="N719" s="47"/>
      <c r="O719" s="47"/>
      <c r="P719" s="47"/>
    </row>
    <row r="720" spans="1:16" x14ac:dyDescent="0.3">
      <c r="A720" s="1">
        <v>719</v>
      </c>
      <c r="G720" s="4"/>
      <c r="H720" s="4"/>
      <c r="I720" s="47"/>
      <c r="J720" s="47" t="str">
        <f t="shared" si="24"/>
        <v/>
      </c>
      <c r="K720" s="47"/>
      <c r="L720" s="47"/>
      <c r="N720" s="47"/>
      <c r="O720" s="47"/>
      <c r="P720" s="47"/>
    </row>
    <row r="721" spans="1:16" x14ac:dyDescent="0.3">
      <c r="A721" s="1">
        <v>720</v>
      </c>
      <c r="G721" s="4"/>
      <c r="H721" s="4"/>
      <c r="I721" s="47"/>
      <c r="J721" s="47" t="str">
        <f t="shared" si="24"/>
        <v/>
      </c>
      <c r="K721" s="47"/>
      <c r="L721" s="47"/>
      <c r="N721" s="47"/>
      <c r="O721" s="47"/>
      <c r="P721" s="47"/>
    </row>
    <row r="722" spans="1:16" x14ac:dyDescent="0.3">
      <c r="A722" s="1">
        <v>721</v>
      </c>
      <c r="G722" s="4"/>
      <c r="H722" s="4"/>
      <c r="I722" s="47"/>
      <c r="J722" s="47" t="str">
        <f t="shared" si="24"/>
        <v/>
      </c>
      <c r="K722" s="47"/>
      <c r="L722" s="47"/>
      <c r="N722" s="47"/>
      <c r="O722" s="47"/>
      <c r="P722" s="47"/>
    </row>
    <row r="723" spans="1:16" x14ac:dyDescent="0.3">
      <c r="A723" s="1">
        <v>722</v>
      </c>
      <c r="G723" s="4"/>
      <c r="H723" s="4"/>
      <c r="I723" s="47"/>
      <c r="J723" s="47" t="str">
        <f t="shared" si="24"/>
        <v/>
      </c>
      <c r="K723" s="47"/>
      <c r="L723" s="47"/>
      <c r="N723" s="47"/>
      <c r="O723" s="47"/>
      <c r="P723" s="47"/>
    </row>
    <row r="724" spans="1:16" x14ac:dyDescent="0.3">
      <c r="A724" s="1">
        <v>723</v>
      </c>
      <c r="G724" s="4"/>
      <c r="H724" s="4"/>
      <c r="I724" s="47"/>
      <c r="J724" s="47" t="str">
        <f t="shared" si="24"/>
        <v/>
      </c>
      <c r="K724" s="47"/>
      <c r="L724" s="47"/>
      <c r="N724" s="47"/>
      <c r="O724" s="47"/>
      <c r="P724" s="47"/>
    </row>
    <row r="725" spans="1:16" x14ac:dyDescent="0.3">
      <c r="A725" s="1">
        <v>724</v>
      </c>
      <c r="G725" s="4"/>
      <c r="H725" s="4"/>
      <c r="I725" s="47"/>
      <c r="J725" s="47" t="str">
        <f t="shared" si="24"/>
        <v/>
      </c>
      <c r="K725" s="47"/>
      <c r="L725" s="47"/>
      <c r="N725" s="47"/>
      <c r="O725" s="47"/>
      <c r="P725" s="47"/>
    </row>
    <row r="726" spans="1:16" x14ac:dyDescent="0.3">
      <c r="A726" s="1">
        <v>725</v>
      </c>
      <c r="G726" s="4"/>
      <c r="H726" s="4"/>
      <c r="I726" s="47"/>
      <c r="J726" s="47" t="str">
        <f t="shared" si="24"/>
        <v/>
      </c>
      <c r="K726" s="47"/>
      <c r="L726" s="47"/>
      <c r="N726" s="47"/>
      <c r="O726" s="47"/>
      <c r="P726" s="47"/>
    </row>
    <row r="727" spans="1:16" x14ac:dyDescent="0.3">
      <c r="A727" s="1">
        <v>726</v>
      </c>
      <c r="G727" s="4"/>
      <c r="H727" s="4"/>
      <c r="I727" s="47"/>
      <c r="J727" s="47" t="str">
        <f t="shared" si="24"/>
        <v/>
      </c>
      <c r="K727" s="47"/>
      <c r="L727" s="47"/>
      <c r="N727" s="47"/>
      <c r="O727" s="47"/>
      <c r="P727" s="47"/>
    </row>
    <row r="728" spans="1:16" x14ac:dyDescent="0.3">
      <c r="A728" s="1">
        <v>727</v>
      </c>
      <c r="G728" s="4"/>
      <c r="H728" s="4"/>
      <c r="I728" s="47"/>
      <c r="J728" s="47" t="str">
        <f t="shared" si="24"/>
        <v/>
      </c>
      <c r="K728" s="47"/>
      <c r="L728" s="47"/>
      <c r="N728" s="47"/>
      <c r="O728" s="47"/>
      <c r="P728" s="47"/>
    </row>
    <row r="729" spans="1:16" x14ac:dyDescent="0.3">
      <c r="A729" s="1">
        <v>728</v>
      </c>
      <c r="G729" s="4"/>
      <c r="H729" s="4"/>
      <c r="I729" s="47"/>
      <c r="J729" s="47" t="str">
        <f t="shared" si="24"/>
        <v/>
      </c>
      <c r="K729" s="47"/>
      <c r="L729" s="47"/>
      <c r="N729" s="47"/>
      <c r="O729" s="47"/>
      <c r="P729" s="47"/>
    </row>
    <row r="730" spans="1:16" x14ac:dyDescent="0.3">
      <c r="A730" s="1">
        <v>729</v>
      </c>
      <c r="G730" s="4"/>
      <c r="H730" s="4"/>
      <c r="I730" s="47"/>
      <c r="J730" s="47" t="str">
        <f t="shared" si="24"/>
        <v/>
      </c>
      <c r="K730" s="47"/>
      <c r="L730" s="47"/>
      <c r="N730" s="47"/>
      <c r="O730" s="47"/>
      <c r="P730" s="47"/>
    </row>
    <row r="731" spans="1:16" x14ac:dyDescent="0.3">
      <c r="A731" s="1">
        <v>730</v>
      </c>
      <c r="G731" s="4"/>
      <c r="H731" s="4"/>
      <c r="I731" s="47"/>
      <c r="J731" s="47" t="str">
        <f t="shared" si="24"/>
        <v/>
      </c>
      <c r="K731" s="47"/>
      <c r="L731" s="47"/>
      <c r="N731" s="47"/>
      <c r="O731" s="47"/>
      <c r="P731" s="47"/>
    </row>
    <row r="732" spans="1:16" x14ac:dyDescent="0.3">
      <c r="A732" s="1">
        <v>731</v>
      </c>
      <c r="G732" s="4"/>
      <c r="H732" s="4"/>
      <c r="I732" s="47"/>
      <c r="J732" s="47" t="str">
        <f t="shared" si="24"/>
        <v/>
      </c>
      <c r="K732" s="47"/>
      <c r="L732" s="47"/>
      <c r="N732" s="47"/>
      <c r="O732" s="47"/>
      <c r="P732" s="47"/>
    </row>
    <row r="733" spans="1:16" x14ac:dyDescent="0.3">
      <c r="A733" s="1">
        <v>732</v>
      </c>
      <c r="G733" s="4"/>
      <c r="H733" s="4"/>
      <c r="I733" s="47"/>
      <c r="J733" s="47" t="str">
        <f t="shared" si="24"/>
        <v/>
      </c>
      <c r="K733" s="47"/>
      <c r="L733" s="47"/>
      <c r="N733" s="47"/>
      <c r="O733" s="47"/>
      <c r="P733" s="47"/>
    </row>
    <row r="734" spans="1:16" x14ac:dyDescent="0.3">
      <c r="A734" s="1">
        <v>733</v>
      </c>
      <c r="G734" s="4"/>
      <c r="H734" s="4"/>
      <c r="I734" s="47"/>
      <c r="J734" s="47" t="str">
        <f t="shared" si="24"/>
        <v/>
      </c>
      <c r="K734" s="47"/>
      <c r="L734" s="47"/>
      <c r="N734" s="47"/>
      <c r="O734" s="47"/>
      <c r="P734" s="47"/>
    </row>
    <row r="735" spans="1:16" x14ac:dyDescent="0.3">
      <c r="A735" s="1">
        <v>734</v>
      </c>
      <c r="G735" s="4"/>
      <c r="H735" s="4"/>
      <c r="I735" s="47"/>
      <c r="J735" s="47" t="str">
        <f t="shared" si="24"/>
        <v/>
      </c>
      <c r="K735" s="47"/>
      <c r="L735" s="47"/>
      <c r="N735" s="47"/>
      <c r="O735" s="47"/>
      <c r="P735" s="47"/>
    </row>
    <row r="736" spans="1:16" x14ac:dyDescent="0.3">
      <c r="A736" s="1">
        <v>735</v>
      </c>
      <c r="G736" s="4"/>
      <c r="H736" s="4"/>
      <c r="I736" s="47"/>
      <c r="J736" s="47" t="str">
        <f t="shared" si="24"/>
        <v/>
      </c>
      <c r="K736" s="47"/>
      <c r="L736" s="47"/>
      <c r="N736" s="47"/>
      <c r="O736" s="47"/>
      <c r="P736" s="47"/>
    </row>
    <row r="737" spans="1:16" x14ac:dyDescent="0.3">
      <c r="A737" s="1">
        <v>736</v>
      </c>
      <c r="G737" s="4"/>
      <c r="H737" s="4"/>
      <c r="I737" s="47"/>
      <c r="J737" s="47" t="str">
        <f t="shared" si="24"/>
        <v/>
      </c>
      <c r="K737" s="47"/>
      <c r="L737" s="47"/>
      <c r="N737" s="47"/>
      <c r="O737" s="47"/>
      <c r="P737" s="47"/>
    </row>
    <row r="738" spans="1:16" x14ac:dyDescent="0.3">
      <c r="A738" s="1">
        <v>737</v>
      </c>
      <c r="G738" s="4"/>
      <c r="H738" s="4"/>
      <c r="I738" s="47"/>
      <c r="J738" s="47" t="str">
        <f t="shared" si="24"/>
        <v/>
      </c>
      <c r="K738" s="47"/>
      <c r="L738" s="47"/>
      <c r="N738" s="47"/>
      <c r="O738" s="47"/>
      <c r="P738" s="47"/>
    </row>
    <row r="739" spans="1:16" x14ac:dyDescent="0.3">
      <c r="A739" s="1">
        <v>738</v>
      </c>
      <c r="G739" s="4"/>
      <c r="H739" s="4"/>
      <c r="I739" s="47"/>
      <c r="J739" s="47" t="str">
        <f t="shared" si="24"/>
        <v/>
      </c>
      <c r="K739" s="47"/>
      <c r="L739" s="47"/>
      <c r="N739" s="47"/>
      <c r="O739" s="47"/>
      <c r="P739" s="47"/>
    </row>
    <row r="740" spans="1:16" x14ac:dyDescent="0.3">
      <c r="A740" s="1">
        <v>739</v>
      </c>
      <c r="G740" s="4"/>
      <c r="H740" s="4"/>
      <c r="I740" s="47"/>
      <c r="J740" s="47" t="str">
        <f t="shared" si="24"/>
        <v/>
      </c>
      <c r="K740" s="47"/>
      <c r="L740" s="47"/>
      <c r="N740" s="47"/>
      <c r="O740" s="47"/>
      <c r="P740" s="47"/>
    </row>
    <row r="741" spans="1:16" x14ac:dyDescent="0.3">
      <c r="A741" s="1">
        <v>740</v>
      </c>
      <c r="G741" s="4"/>
      <c r="H741" s="4"/>
      <c r="I741" s="47"/>
      <c r="J741" s="47" t="str">
        <f t="shared" si="24"/>
        <v/>
      </c>
      <c r="K741" s="47"/>
      <c r="L741" s="47"/>
      <c r="N741" s="47"/>
      <c r="O741" s="47"/>
      <c r="P741" s="47"/>
    </row>
    <row r="742" spans="1:16" x14ac:dyDescent="0.3">
      <c r="A742" s="1">
        <v>741</v>
      </c>
      <c r="G742" s="4"/>
      <c r="H742" s="4"/>
      <c r="I742" s="47"/>
      <c r="J742" s="47" t="str">
        <f t="shared" si="24"/>
        <v/>
      </c>
      <c r="K742" s="47"/>
      <c r="L742" s="47"/>
      <c r="N742" s="47"/>
      <c r="O742" s="47"/>
      <c r="P742" s="47"/>
    </row>
    <row r="743" spans="1:16" x14ac:dyDescent="0.3">
      <c r="A743" s="1">
        <v>742</v>
      </c>
      <c r="G743" s="4"/>
      <c r="H743" s="4"/>
      <c r="I743" s="47"/>
      <c r="J743" s="47" t="str">
        <f t="shared" si="24"/>
        <v/>
      </c>
      <c r="K743" s="47"/>
      <c r="L743" s="47"/>
      <c r="N743" s="47"/>
      <c r="O743" s="47"/>
      <c r="P743" s="47"/>
    </row>
    <row r="744" spans="1:16" x14ac:dyDescent="0.3">
      <c r="A744" s="1">
        <v>743</v>
      </c>
      <c r="G744" s="4"/>
      <c r="H744" s="4"/>
      <c r="I744" s="47"/>
      <c r="J744" s="47" t="str">
        <f t="shared" si="24"/>
        <v/>
      </c>
      <c r="K744" s="47"/>
      <c r="L744" s="47"/>
      <c r="N744" s="47"/>
      <c r="O744" s="47"/>
      <c r="P744" s="47"/>
    </row>
    <row r="745" spans="1:16" x14ac:dyDescent="0.3">
      <c r="A745" s="1">
        <v>744</v>
      </c>
      <c r="G745" s="4"/>
      <c r="H745" s="4"/>
      <c r="I745" s="47"/>
      <c r="J745" s="47" t="str">
        <f t="shared" si="24"/>
        <v/>
      </c>
      <c r="K745" s="47"/>
      <c r="L745" s="47"/>
      <c r="N745" s="47"/>
      <c r="O745" s="47"/>
      <c r="P745" s="47"/>
    </row>
    <row r="746" spans="1:16" x14ac:dyDescent="0.3">
      <c r="A746" s="1">
        <v>745</v>
      </c>
      <c r="G746" s="4"/>
      <c r="H746" s="4"/>
      <c r="I746" s="47"/>
      <c r="J746" s="47" t="str">
        <f t="shared" si="24"/>
        <v/>
      </c>
      <c r="K746" s="47"/>
      <c r="L746" s="47"/>
      <c r="N746" s="47"/>
      <c r="O746" s="47"/>
      <c r="P746" s="47"/>
    </row>
    <row r="747" spans="1:16" x14ac:dyDescent="0.3">
      <c r="A747" s="1">
        <v>746</v>
      </c>
      <c r="G747" s="4"/>
      <c r="H747" s="4"/>
      <c r="I747" s="47"/>
      <c r="J747" s="47" t="str">
        <f t="shared" si="24"/>
        <v/>
      </c>
      <c r="K747" s="47"/>
      <c r="L747" s="47"/>
      <c r="N747" s="47"/>
      <c r="O747" s="47"/>
      <c r="P747" s="47"/>
    </row>
    <row r="748" spans="1:16" x14ac:dyDescent="0.3">
      <c r="A748" s="1">
        <v>747</v>
      </c>
      <c r="G748" s="4"/>
      <c r="H748" s="4"/>
      <c r="I748" s="47"/>
      <c r="J748" s="47" t="str">
        <f t="shared" si="24"/>
        <v/>
      </c>
      <c r="K748" s="47"/>
      <c r="L748" s="47"/>
      <c r="N748" s="47"/>
      <c r="O748" s="47"/>
      <c r="P748" s="47"/>
    </row>
    <row r="749" spans="1:16" x14ac:dyDescent="0.3">
      <c r="A749" s="1">
        <v>748</v>
      </c>
      <c r="G749" s="4"/>
      <c r="H749" s="4"/>
      <c r="I749" s="47"/>
      <c r="J749" s="47" t="str">
        <f t="shared" si="24"/>
        <v/>
      </c>
      <c r="K749" s="47"/>
      <c r="L749" s="47"/>
      <c r="N749" s="47"/>
      <c r="O749" s="47"/>
      <c r="P749" s="47"/>
    </row>
    <row r="750" spans="1:16" x14ac:dyDescent="0.3">
      <c r="A750" s="1">
        <v>749</v>
      </c>
      <c r="G750" s="4"/>
      <c r="H750" s="4"/>
      <c r="I750" s="47"/>
      <c r="J750" s="47" t="str">
        <f t="shared" si="24"/>
        <v/>
      </c>
      <c r="K750" s="47"/>
      <c r="L750" s="47"/>
      <c r="N750" s="47"/>
      <c r="O750" s="47"/>
      <c r="P750" s="47"/>
    </row>
    <row r="751" spans="1:16" x14ac:dyDescent="0.3">
      <c r="A751" s="1">
        <v>750</v>
      </c>
      <c r="G751" s="4"/>
      <c r="H751" s="4"/>
      <c r="I751" s="47"/>
      <c r="J751" s="47" t="str">
        <f t="shared" si="24"/>
        <v/>
      </c>
      <c r="K751" s="47"/>
      <c r="L751" s="47"/>
      <c r="N751" s="47"/>
      <c r="O751" s="47"/>
      <c r="P751" s="47"/>
    </row>
    <row r="752" spans="1:16" x14ac:dyDescent="0.3">
      <c r="A752" s="1">
        <v>751</v>
      </c>
      <c r="G752" s="4"/>
      <c r="H752" s="4"/>
      <c r="I752" s="47"/>
      <c r="J752" s="47" t="str">
        <f t="shared" si="24"/>
        <v/>
      </c>
      <c r="K752" s="47"/>
      <c r="L752" s="47"/>
      <c r="N752" s="47"/>
      <c r="O752" s="47"/>
      <c r="P752" s="47"/>
    </row>
    <row r="753" spans="1:16" x14ac:dyDescent="0.3">
      <c r="A753" s="1">
        <v>752</v>
      </c>
      <c r="G753" s="4"/>
      <c r="H753" s="4"/>
      <c r="I753" s="47"/>
      <c r="J753" s="47" t="str">
        <f t="shared" si="24"/>
        <v/>
      </c>
      <c r="K753" s="47"/>
      <c r="L753" s="47"/>
      <c r="N753" s="47"/>
      <c r="O753" s="47"/>
      <c r="P753" s="47"/>
    </row>
    <row r="754" spans="1:16" x14ac:dyDescent="0.3">
      <c r="A754" s="1">
        <v>753</v>
      </c>
      <c r="G754" s="4"/>
      <c r="H754" s="4"/>
      <c r="I754" s="47"/>
      <c r="J754" s="47" t="str">
        <f t="shared" si="24"/>
        <v/>
      </c>
      <c r="K754" s="47"/>
      <c r="L754" s="47"/>
      <c r="N754" s="47"/>
      <c r="O754" s="47"/>
      <c r="P754" s="47"/>
    </row>
    <row r="755" spans="1:16" x14ac:dyDescent="0.3">
      <c r="A755" s="1">
        <v>754</v>
      </c>
      <c r="G755" s="4"/>
      <c r="H755" s="4"/>
      <c r="I755" s="47"/>
      <c r="J755" s="47" t="str">
        <f t="shared" si="24"/>
        <v/>
      </c>
      <c r="K755" s="47"/>
      <c r="L755" s="47"/>
      <c r="N755" s="47"/>
      <c r="O755" s="47"/>
      <c r="P755" s="47"/>
    </row>
    <row r="756" spans="1:16" x14ac:dyDescent="0.3">
      <c r="A756" s="1">
        <v>755</v>
      </c>
      <c r="G756" s="4"/>
      <c r="H756" s="4"/>
      <c r="I756" s="47"/>
      <c r="J756" s="47" t="str">
        <f t="shared" si="24"/>
        <v/>
      </c>
      <c r="K756" s="47"/>
      <c r="L756" s="47"/>
      <c r="N756" s="47"/>
      <c r="O756" s="47"/>
      <c r="P756" s="47"/>
    </row>
    <row r="757" spans="1:16" x14ac:dyDescent="0.3">
      <c r="A757" s="1">
        <v>756</v>
      </c>
      <c r="G757" s="4"/>
      <c r="H757" s="4"/>
      <c r="I757" s="47"/>
      <c r="J757" s="47" t="str">
        <f t="shared" si="24"/>
        <v/>
      </c>
      <c r="K757" s="47"/>
      <c r="L757" s="47"/>
      <c r="N757" s="47"/>
      <c r="O757" s="47"/>
      <c r="P757" s="47"/>
    </row>
    <row r="758" spans="1:16" x14ac:dyDescent="0.3">
      <c r="A758" s="1">
        <v>757</v>
      </c>
      <c r="G758" s="4"/>
      <c r="H758" s="4"/>
      <c r="I758" s="47"/>
      <c r="J758" s="47" t="str">
        <f t="shared" si="24"/>
        <v/>
      </c>
      <c r="K758" s="47"/>
      <c r="L758" s="47"/>
      <c r="N758" s="47"/>
      <c r="O758" s="47"/>
      <c r="P758" s="47"/>
    </row>
    <row r="759" spans="1:16" x14ac:dyDescent="0.3">
      <c r="A759" s="1">
        <v>758</v>
      </c>
      <c r="G759" s="4"/>
      <c r="H759" s="4"/>
      <c r="I759" s="47"/>
      <c r="J759" s="47" t="str">
        <f t="shared" si="24"/>
        <v/>
      </c>
      <c r="K759" s="47"/>
      <c r="L759" s="47"/>
      <c r="N759" s="47"/>
      <c r="O759" s="47"/>
      <c r="P759" s="47"/>
    </row>
    <row r="760" spans="1:16" x14ac:dyDescent="0.3">
      <c r="A760" s="1">
        <v>759</v>
      </c>
      <c r="G760" s="4"/>
      <c r="H760" s="4"/>
      <c r="I760" s="47"/>
      <c r="J760" s="47" t="str">
        <f t="shared" si="24"/>
        <v/>
      </c>
      <c r="K760" s="47"/>
      <c r="L760" s="47"/>
      <c r="N760" s="47"/>
      <c r="O760" s="47"/>
      <c r="P760" s="47"/>
    </row>
    <row r="761" spans="1:16" x14ac:dyDescent="0.3">
      <c r="A761" s="1">
        <v>760</v>
      </c>
      <c r="G761" s="4"/>
      <c r="H761" s="4"/>
      <c r="I761" s="47"/>
      <c r="J761" s="47" t="str">
        <f t="shared" si="24"/>
        <v/>
      </c>
      <c r="K761" s="47"/>
      <c r="L761" s="47"/>
      <c r="N761" s="47"/>
      <c r="O761" s="47"/>
      <c r="P761" s="47"/>
    </row>
    <row r="762" spans="1:16" x14ac:dyDescent="0.3">
      <c r="A762" s="1">
        <v>761</v>
      </c>
      <c r="G762" s="4"/>
      <c r="H762" s="4"/>
      <c r="I762" s="47"/>
      <c r="J762" s="47" t="str">
        <f t="shared" si="24"/>
        <v/>
      </c>
      <c r="K762" s="47"/>
      <c r="L762" s="47"/>
      <c r="N762" s="47"/>
      <c r="O762" s="47"/>
      <c r="P762" s="47"/>
    </row>
    <row r="763" spans="1:16" x14ac:dyDescent="0.3">
      <c r="A763" s="1">
        <v>762</v>
      </c>
      <c r="G763" s="4"/>
      <c r="H763" s="4"/>
      <c r="I763" s="47"/>
      <c r="J763" s="47" t="str">
        <f t="shared" si="24"/>
        <v/>
      </c>
      <c r="K763" s="47"/>
      <c r="L763" s="47"/>
      <c r="N763" s="47"/>
      <c r="O763" s="47"/>
      <c r="P763" s="47"/>
    </row>
    <row r="764" spans="1:16" x14ac:dyDescent="0.3">
      <c r="A764" s="1">
        <v>763</v>
      </c>
      <c r="G764" s="4"/>
      <c r="H764" s="4"/>
      <c r="I764" s="47"/>
      <c r="J764" s="47" t="str">
        <f t="shared" si="24"/>
        <v/>
      </c>
      <c r="K764" s="47"/>
      <c r="L764" s="47"/>
      <c r="N764" s="47"/>
      <c r="O764" s="47"/>
      <c r="P764" s="47"/>
    </row>
    <row r="765" spans="1:16" x14ac:dyDescent="0.3">
      <c r="A765" s="1">
        <v>764</v>
      </c>
      <c r="G765" s="4"/>
      <c r="H765" s="4"/>
      <c r="I765" s="47"/>
      <c r="J765" s="47" t="str">
        <f t="shared" si="24"/>
        <v/>
      </c>
      <c r="K765" s="47"/>
      <c r="L765" s="47"/>
      <c r="N765" s="47"/>
      <c r="O765" s="47"/>
      <c r="P765" s="47"/>
    </row>
    <row r="766" spans="1:16" x14ac:dyDescent="0.3">
      <c r="A766" s="1">
        <v>765</v>
      </c>
      <c r="G766" s="4"/>
      <c r="H766" s="4"/>
      <c r="I766" s="47"/>
      <c r="J766" s="47" t="str">
        <f t="shared" si="24"/>
        <v/>
      </c>
      <c r="K766" s="47"/>
      <c r="L766" s="47"/>
      <c r="N766" s="47"/>
      <c r="O766" s="47"/>
      <c r="P766" s="47"/>
    </row>
    <row r="767" spans="1:16" x14ac:dyDescent="0.3">
      <c r="A767" s="1">
        <v>766</v>
      </c>
      <c r="G767" s="4"/>
      <c r="H767" s="4"/>
      <c r="I767" s="47"/>
      <c r="J767" s="47" t="str">
        <f t="shared" si="24"/>
        <v/>
      </c>
      <c r="K767" s="47"/>
      <c r="L767" s="47"/>
      <c r="N767" s="47"/>
      <c r="O767" s="47"/>
      <c r="P767" s="47"/>
    </row>
    <row r="768" spans="1:16" x14ac:dyDescent="0.3">
      <c r="A768" s="1">
        <v>767</v>
      </c>
      <c r="G768" s="4"/>
      <c r="H768" s="4"/>
      <c r="I768" s="47"/>
      <c r="J768" s="47" t="str">
        <f t="shared" si="24"/>
        <v/>
      </c>
      <c r="K768" s="47"/>
      <c r="L768" s="47"/>
      <c r="N768" s="47"/>
      <c r="O768" s="47"/>
      <c r="P768" s="47"/>
    </row>
    <row r="769" spans="1:16" x14ac:dyDescent="0.3">
      <c r="A769" s="1">
        <v>768</v>
      </c>
      <c r="G769" s="4"/>
      <c r="H769" s="4"/>
      <c r="I769" s="47"/>
      <c r="J769" s="47" t="str">
        <f t="shared" si="24"/>
        <v/>
      </c>
      <c r="K769" s="47"/>
      <c r="L769" s="47"/>
      <c r="N769" s="47"/>
      <c r="O769" s="47"/>
      <c r="P769" s="47"/>
    </row>
    <row r="770" spans="1:16" x14ac:dyDescent="0.3">
      <c r="A770" s="1">
        <v>769</v>
      </c>
      <c r="G770" s="4"/>
      <c r="H770" s="4"/>
      <c r="I770" s="47"/>
      <c r="J770" s="47" t="str">
        <f t="shared" si="24"/>
        <v/>
      </c>
      <c r="K770" s="47"/>
      <c r="L770" s="47"/>
      <c r="N770" s="47"/>
      <c r="O770" s="47"/>
      <c r="P770" s="47"/>
    </row>
    <row r="771" spans="1:16" x14ac:dyDescent="0.3">
      <c r="A771" s="1">
        <v>770</v>
      </c>
      <c r="G771" s="4"/>
      <c r="H771" s="4"/>
      <c r="I771" s="47"/>
      <c r="J771" s="47" t="str">
        <f t="shared" ref="J771:J834" si="25">+E771&amp;I771</f>
        <v/>
      </c>
      <c r="K771" s="47"/>
      <c r="L771" s="47"/>
      <c r="N771" s="47"/>
      <c r="O771" s="47"/>
      <c r="P771" s="47"/>
    </row>
    <row r="772" spans="1:16" x14ac:dyDescent="0.3">
      <c r="A772" s="1">
        <v>771</v>
      </c>
      <c r="G772" s="4"/>
      <c r="H772" s="4"/>
      <c r="I772" s="47"/>
      <c r="J772" s="47" t="str">
        <f t="shared" si="25"/>
        <v/>
      </c>
      <c r="K772" s="47"/>
      <c r="L772" s="47"/>
      <c r="N772" s="47"/>
      <c r="O772" s="47"/>
      <c r="P772" s="47"/>
    </row>
    <row r="773" spans="1:16" x14ac:dyDescent="0.3">
      <c r="A773" s="1">
        <v>772</v>
      </c>
      <c r="G773" s="4"/>
      <c r="H773" s="4"/>
      <c r="I773" s="47"/>
      <c r="J773" s="47" t="str">
        <f t="shared" si="25"/>
        <v/>
      </c>
      <c r="K773" s="47"/>
      <c r="L773" s="47"/>
      <c r="N773" s="47"/>
      <c r="O773" s="47"/>
      <c r="P773" s="47"/>
    </row>
    <row r="774" spans="1:16" x14ac:dyDescent="0.3">
      <c r="A774" s="1">
        <v>773</v>
      </c>
      <c r="G774" s="4"/>
      <c r="H774" s="4"/>
      <c r="I774" s="47"/>
      <c r="J774" s="47" t="str">
        <f t="shared" si="25"/>
        <v/>
      </c>
      <c r="K774" s="47"/>
      <c r="L774" s="47"/>
      <c r="N774" s="47"/>
      <c r="O774" s="47"/>
      <c r="P774" s="47"/>
    </row>
    <row r="775" spans="1:16" x14ac:dyDescent="0.3">
      <c r="A775" s="1">
        <v>774</v>
      </c>
      <c r="G775" s="4"/>
      <c r="H775" s="4"/>
      <c r="I775" s="47"/>
      <c r="J775" s="47" t="str">
        <f t="shared" si="25"/>
        <v/>
      </c>
      <c r="K775" s="47"/>
      <c r="L775" s="47"/>
      <c r="N775" s="47"/>
      <c r="O775" s="47"/>
      <c r="P775" s="47"/>
    </row>
    <row r="776" spans="1:16" x14ac:dyDescent="0.3">
      <c r="A776" s="1">
        <v>775</v>
      </c>
      <c r="G776" s="4"/>
      <c r="H776" s="4"/>
      <c r="I776" s="47"/>
      <c r="J776" s="47" t="str">
        <f t="shared" si="25"/>
        <v/>
      </c>
      <c r="K776" s="47"/>
      <c r="L776" s="47"/>
      <c r="N776" s="47"/>
      <c r="O776" s="47"/>
      <c r="P776" s="47"/>
    </row>
    <row r="777" spans="1:16" x14ac:dyDescent="0.3">
      <c r="A777" s="1">
        <v>776</v>
      </c>
      <c r="G777" s="4"/>
      <c r="H777" s="4"/>
      <c r="I777" s="47"/>
      <c r="J777" s="47" t="str">
        <f t="shared" si="25"/>
        <v/>
      </c>
      <c r="K777" s="47"/>
      <c r="L777" s="47"/>
      <c r="N777" s="47"/>
      <c r="O777" s="47"/>
      <c r="P777" s="47"/>
    </row>
    <row r="778" spans="1:16" x14ac:dyDescent="0.3">
      <c r="A778" s="1">
        <v>777</v>
      </c>
      <c r="G778" s="4"/>
      <c r="H778" s="4"/>
      <c r="I778" s="47"/>
      <c r="J778" s="47" t="str">
        <f t="shared" si="25"/>
        <v/>
      </c>
      <c r="K778" s="47"/>
      <c r="L778" s="47"/>
      <c r="N778" s="47"/>
      <c r="O778" s="47"/>
      <c r="P778" s="47"/>
    </row>
    <row r="779" spans="1:16" x14ac:dyDescent="0.3">
      <c r="A779" s="1">
        <v>778</v>
      </c>
      <c r="G779" s="4"/>
      <c r="H779" s="4"/>
      <c r="I779" s="47"/>
      <c r="J779" s="47" t="str">
        <f t="shared" si="25"/>
        <v/>
      </c>
      <c r="K779" s="47"/>
      <c r="L779" s="47"/>
      <c r="N779" s="47"/>
      <c r="O779" s="47"/>
      <c r="P779" s="47"/>
    </row>
    <row r="780" spans="1:16" x14ac:dyDescent="0.3">
      <c r="A780" s="1">
        <v>779</v>
      </c>
      <c r="G780" s="4"/>
      <c r="H780" s="4"/>
      <c r="I780" s="47"/>
      <c r="J780" s="47" t="str">
        <f t="shared" si="25"/>
        <v/>
      </c>
      <c r="K780" s="47"/>
      <c r="L780" s="47"/>
      <c r="N780" s="47"/>
      <c r="O780" s="47"/>
      <c r="P780" s="47"/>
    </row>
    <row r="781" spans="1:16" x14ac:dyDescent="0.3">
      <c r="A781" s="1">
        <v>780</v>
      </c>
      <c r="G781" s="4"/>
      <c r="H781" s="4"/>
      <c r="I781" s="47"/>
      <c r="J781" s="47" t="str">
        <f t="shared" si="25"/>
        <v/>
      </c>
      <c r="K781" s="47"/>
      <c r="L781" s="47"/>
      <c r="N781" s="47"/>
      <c r="O781" s="47"/>
      <c r="P781" s="47"/>
    </row>
    <row r="782" spans="1:16" x14ac:dyDescent="0.3">
      <c r="A782" s="1">
        <v>781</v>
      </c>
      <c r="G782" s="4"/>
      <c r="H782" s="4"/>
      <c r="I782" s="47"/>
      <c r="J782" s="47" t="str">
        <f t="shared" si="25"/>
        <v/>
      </c>
      <c r="K782" s="47"/>
      <c r="L782" s="47"/>
      <c r="N782" s="47"/>
      <c r="O782" s="47"/>
      <c r="P782" s="47"/>
    </row>
    <row r="783" spans="1:16" x14ac:dyDescent="0.3">
      <c r="A783" s="1">
        <v>782</v>
      </c>
      <c r="G783" s="4"/>
      <c r="H783" s="4"/>
      <c r="I783" s="47"/>
      <c r="J783" s="47" t="str">
        <f t="shared" si="25"/>
        <v/>
      </c>
      <c r="K783" s="47"/>
      <c r="L783" s="47"/>
      <c r="N783" s="47"/>
      <c r="O783" s="47"/>
      <c r="P783" s="47"/>
    </row>
    <row r="784" spans="1:16" x14ac:dyDescent="0.3">
      <c r="A784" s="1">
        <v>783</v>
      </c>
      <c r="G784" s="4"/>
      <c r="H784" s="4"/>
      <c r="I784" s="47"/>
      <c r="J784" s="47" t="str">
        <f t="shared" si="25"/>
        <v/>
      </c>
      <c r="K784" s="47"/>
      <c r="L784" s="47"/>
      <c r="N784" s="47"/>
      <c r="O784" s="47"/>
      <c r="P784" s="47"/>
    </row>
    <row r="785" spans="1:16" x14ac:dyDescent="0.3">
      <c r="A785" s="1">
        <v>784</v>
      </c>
      <c r="G785" s="4"/>
      <c r="H785" s="4"/>
      <c r="I785" s="47"/>
      <c r="J785" s="47" t="str">
        <f t="shared" si="25"/>
        <v/>
      </c>
      <c r="K785" s="47"/>
      <c r="L785" s="47"/>
      <c r="N785" s="47"/>
      <c r="O785" s="47"/>
      <c r="P785" s="47"/>
    </row>
    <row r="786" spans="1:16" x14ac:dyDescent="0.3">
      <c r="A786" s="1">
        <v>785</v>
      </c>
      <c r="G786" s="4"/>
      <c r="H786" s="4"/>
      <c r="I786" s="47"/>
      <c r="J786" s="47" t="str">
        <f t="shared" si="25"/>
        <v/>
      </c>
      <c r="K786" s="47"/>
      <c r="L786" s="47"/>
      <c r="N786" s="47"/>
      <c r="O786" s="47"/>
      <c r="P786" s="47"/>
    </row>
    <row r="787" spans="1:16" x14ac:dyDescent="0.3">
      <c r="A787" s="1">
        <v>786</v>
      </c>
      <c r="G787" s="4"/>
      <c r="H787" s="4"/>
      <c r="I787" s="47"/>
      <c r="J787" s="47" t="str">
        <f t="shared" si="25"/>
        <v/>
      </c>
      <c r="K787" s="47"/>
      <c r="L787" s="47"/>
      <c r="N787" s="47"/>
      <c r="O787" s="47"/>
      <c r="P787" s="47"/>
    </row>
    <row r="788" spans="1:16" x14ac:dyDescent="0.3">
      <c r="A788" s="1">
        <v>787</v>
      </c>
      <c r="G788" s="4"/>
      <c r="H788" s="4"/>
      <c r="I788" s="47"/>
      <c r="J788" s="47" t="str">
        <f t="shared" si="25"/>
        <v/>
      </c>
      <c r="K788" s="47"/>
      <c r="L788" s="47"/>
      <c r="N788" s="47"/>
      <c r="O788" s="47"/>
      <c r="P788" s="47"/>
    </row>
    <row r="789" spans="1:16" x14ac:dyDescent="0.3">
      <c r="A789" s="1">
        <v>788</v>
      </c>
      <c r="G789" s="4"/>
      <c r="H789" s="4"/>
      <c r="I789" s="47"/>
      <c r="J789" s="47" t="str">
        <f t="shared" si="25"/>
        <v/>
      </c>
      <c r="K789" s="47"/>
      <c r="L789" s="47"/>
      <c r="N789" s="47"/>
      <c r="O789" s="47"/>
      <c r="P789" s="47"/>
    </row>
    <row r="790" spans="1:16" x14ac:dyDescent="0.3">
      <c r="A790" s="1">
        <v>789</v>
      </c>
      <c r="G790" s="4"/>
      <c r="H790" s="4"/>
      <c r="I790" s="47"/>
      <c r="J790" s="47" t="str">
        <f t="shared" si="25"/>
        <v/>
      </c>
      <c r="K790" s="47"/>
      <c r="L790" s="47"/>
      <c r="N790" s="47"/>
      <c r="O790" s="47"/>
      <c r="P790" s="47"/>
    </row>
    <row r="791" spans="1:16" x14ac:dyDescent="0.3">
      <c r="A791" s="1">
        <v>790</v>
      </c>
      <c r="G791" s="4"/>
      <c r="H791" s="4"/>
      <c r="I791" s="47"/>
      <c r="J791" s="47" t="str">
        <f t="shared" si="25"/>
        <v/>
      </c>
      <c r="K791" s="47"/>
      <c r="L791" s="47"/>
      <c r="N791" s="47"/>
      <c r="O791" s="47"/>
      <c r="P791" s="47"/>
    </row>
    <row r="792" spans="1:16" x14ac:dyDescent="0.3">
      <c r="A792" s="1">
        <v>791</v>
      </c>
      <c r="G792" s="4"/>
      <c r="H792" s="4"/>
      <c r="I792" s="47"/>
      <c r="J792" s="47" t="str">
        <f t="shared" si="25"/>
        <v/>
      </c>
      <c r="K792" s="47"/>
      <c r="L792" s="47"/>
      <c r="N792" s="47"/>
      <c r="O792" s="47"/>
      <c r="P792" s="47"/>
    </row>
    <row r="793" spans="1:16" x14ac:dyDescent="0.3">
      <c r="A793" s="1">
        <v>792</v>
      </c>
      <c r="G793" s="4"/>
      <c r="H793" s="4"/>
      <c r="I793" s="47"/>
      <c r="J793" s="47" t="str">
        <f t="shared" si="25"/>
        <v/>
      </c>
      <c r="K793" s="47"/>
      <c r="L793" s="47"/>
      <c r="N793" s="47"/>
      <c r="O793" s="47"/>
      <c r="P793" s="47"/>
    </row>
    <row r="794" spans="1:16" x14ac:dyDescent="0.3">
      <c r="A794" s="1">
        <v>793</v>
      </c>
      <c r="G794" s="4"/>
      <c r="H794" s="4"/>
      <c r="I794" s="47"/>
      <c r="J794" s="47" t="str">
        <f t="shared" si="25"/>
        <v/>
      </c>
      <c r="K794" s="47"/>
      <c r="L794" s="47"/>
      <c r="N794" s="47"/>
      <c r="O794" s="47"/>
      <c r="P794" s="47"/>
    </row>
    <row r="795" spans="1:16" x14ac:dyDescent="0.3">
      <c r="A795" s="1">
        <v>794</v>
      </c>
      <c r="G795" s="4"/>
      <c r="H795" s="4"/>
      <c r="I795" s="47"/>
      <c r="J795" s="47" t="str">
        <f t="shared" si="25"/>
        <v/>
      </c>
      <c r="K795" s="47"/>
      <c r="L795" s="47"/>
      <c r="N795" s="47"/>
      <c r="O795" s="47"/>
      <c r="P795" s="47"/>
    </row>
    <row r="796" spans="1:16" x14ac:dyDescent="0.3">
      <c r="A796" s="1">
        <v>795</v>
      </c>
      <c r="G796" s="4"/>
      <c r="H796" s="4"/>
      <c r="I796" s="47"/>
      <c r="J796" s="47" t="str">
        <f t="shared" si="25"/>
        <v/>
      </c>
      <c r="K796" s="47"/>
      <c r="L796" s="47"/>
      <c r="N796" s="47"/>
      <c r="O796" s="47"/>
      <c r="P796" s="47"/>
    </row>
    <row r="797" spans="1:16" x14ac:dyDescent="0.3">
      <c r="A797" s="1">
        <v>796</v>
      </c>
      <c r="G797" s="4"/>
      <c r="H797" s="4"/>
      <c r="I797" s="47"/>
      <c r="J797" s="47" t="str">
        <f t="shared" si="25"/>
        <v/>
      </c>
      <c r="K797" s="47"/>
      <c r="L797" s="47"/>
      <c r="N797" s="47"/>
      <c r="O797" s="47"/>
      <c r="P797" s="47"/>
    </row>
    <row r="798" spans="1:16" x14ac:dyDescent="0.3">
      <c r="A798" s="1">
        <v>797</v>
      </c>
      <c r="G798" s="4"/>
      <c r="H798" s="4"/>
      <c r="I798" s="47"/>
      <c r="J798" s="47" t="str">
        <f t="shared" si="25"/>
        <v/>
      </c>
      <c r="K798" s="47"/>
      <c r="L798" s="47"/>
      <c r="N798" s="47"/>
      <c r="O798" s="47"/>
      <c r="P798" s="47"/>
    </row>
    <row r="799" spans="1:16" x14ac:dyDescent="0.3">
      <c r="A799" s="1">
        <v>798</v>
      </c>
      <c r="G799" s="4"/>
      <c r="H799" s="4"/>
      <c r="I799" s="47"/>
      <c r="J799" s="47" t="str">
        <f t="shared" si="25"/>
        <v/>
      </c>
      <c r="K799" s="47"/>
      <c r="L799" s="47"/>
      <c r="N799" s="47"/>
      <c r="O799" s="47"/>
      <c r="P799" s="47"/>
    </row>
    <row r="800" spans="1:16" x14ac:dyDescent="0.3">
      <c r="A800" s="1">
        <v>799</v>
      </c>
      <c r="G800" s="4"/>
      <c r="H800" s="4"/>
      <c r="I800" s="47"/>
      <c r="J800" s="47" t="str">
        <f t="shared" si="25"/>
        <v/>
      </c>
      <c r="K800" s="47"/>
      <c r="L800" s="47"/>
      <c r="N800" s="47"/>
      <c r="O800" s="47"/>
      <c r="P800" s="47"/>
    </row>
    <row r="801" spans="1:16" x14ac:dyDescent="0.3">
      <c r="A801" s="1">
        <v>800</v>
      </c>
      <c r="G801" s="4"/>
      <c r="H801" s="4"/>
      <c r="I801" s="47"/>
      <c r="J801" s="47" t="str">
        <f t="shared" si="25"/>
        <v/>
      </c>
      <c r="K801" s="47"/>
      <c r="L801" s="47"/>
      <c r="N801" s="47"/>
      <c r="O801" s="47"/>
      <c r="P801" s="47"/>
    </row>
    <row r="802" spans="1:16" x14ac:dyDescent="0.3">
      <c r="A802" s="1">
        <v>801</v>
      </c>
      <c r="G802" s="4"/>
      <c r="H802" s="4"/>
      <c r="I802" s="47"/>
      <c r="J802" s="47" t="str">
        <f t="shared" si="25"/>
        <v/>
      </c>
      <c r="K802" s="47"/>
      <c r="L802" s="47"/>
      <c r="N802" s="47"/>
      <c r="O802" s="47"/>
      <c r="P802" s="47"/>
    </row>
    <row r="803" spans="1:16" x14ac:dyDescent="0.3">
      <c r="A803" s="1">
        <v>802</v>
      </c>
      <c r="G803" s="4"/>
      <c r="H803" s="4"/>
      <c r="I803" s="47"/>
      <c r="J803" s="47" t="str">
        <f t="shared" si="25"/>
        <v/>
      </c>
      <c r="K803" s="47"/>
      <c r="L803" s="47"/>
      <c r="N803" s="47"/>
      <c r="O803" s="47"/>
      <c r="P803" s="47"/>
    </row>
    <row r="804" spans="1:16" x14ac:dyDescent="0.3">
      <c r="A804" s="1">
        <v>803</v>
      </c>
      <c r="G804" s="4"/>
      <c r="H804" s="4"/>
      <c r="I804" s="47"/>
      <c r="J804" s="47" t="str">
        <f t="shared" si="25"/>
        <v/>
      </c>
      <c r="K804" s="47"/>
      <c r="L804" s="47"/>
      <c r="N804" s="47"/>
      <c r="O804" s="47"/>
      <c r="P804" s="47"/>
    </row>
    <row r="805" spans="1:16" x14ac:dyDescent="0.3">
      <c r="A805" s="1">
        <v>804</v>
      </c>
      <c r="G805" s="4"/>
      <c r="H805" s="4"/>
      <c r="I805" s="47"/>
      <c r="J805" s="47" t="str">
        <f t="shared" si="25"/>
        <v/>
      </c>
      <c r="K805" s="47"/>
      <c r="L805" s="47"/>
      <c r="N805" s="47"/>
      <c r="O805" s="47"/>
      <c r="P805" s="47"/>
    </row>
    <row r="806" spans="1:16" x14ac:dyDescent="0.3">
      <c r="A806" s="1">
        <v>805</v>
      </c>
      <c r="G806" s="4"/>
      <c r="H806" s="4"/>
      <c r="I806" s="47"/>
      <c r="J806" s="47" t="str">
        <f t="shared" si="25"/>
        <v/>
      </c>
      <c r="K806" s="47"/>
      <c r="L806" s="47"/>
      <c r="N806" s="47"/>
      <c r="O806" s="47"/>
      <c r="P806" s="47"/>
    </row>
    <row r="807" spans="1:16" x14ac:dyDescent="0.3">
      <c r="A807" s="1">
        <v>806</v>
      </c>
      <c r="G807" s="4"/>
      <c r="H807" s="4"/>
      <c r="I807" s="47"/>
      <c r="J807" s="47" t="str">
        <f t="shared" si="25"/>
        <v/>
      </c>
      <c r="K807" s="47"/>
      <c r="L807" s="47"/>
      <c r="N807" s="47"/>
      <c r="O807" s="47"/>
      <c r="P807" s="47"/>
    </row>
    <row r="808" spans="1:16" x14ac:dyDescent="0.3">
      <c r="A808" s="1">
        <v>807</v>
      </c>
      <c r="G808" s="4"/>
      <c r="H808" s="4"/>
      <c r="I808" s="47"/>
      <c r="J808" s="47" t="str">
        <f t="shared" si="25"/>
        <v/>
      </c>
      <c r="K808" s="47"/>
      <c r="L808" s="47"/>
      <c r="N808" s="47"/>
      <c r="O808" s="47"/>
      <c r="P808" s="47"/>
    </row>
    <row r="809" spans="1:16" x14ac:dyDescent="0.3">
      <c r="A809" s="1">
        <v>808</v>
      </c>
      <c r="G809" s="4"/>
      <c r="H809" s="4"/>
      <c r="I809" s="47"/>
      <c r="J809" s="47" t="str">
        <f t="shared" si="25"/>
        <v/>
      </c>
      <c r="K809" s="47"/>
      <c r="L809" s="47"/>
      <c r="N809" s="47"/>
      <c r="O809" s="47"/>
      <c r="P809" s="47"/>
    </row>
    <row r="810" spans="1:16" x14ac:dyDescent="0.3">
      <c r="A810" s="1">
        <v>809</v>
      </c>
      <c r="G810" s="4"/>
      <c r="H810" s="4"/>
      <c r="I810" s="47"/>
      <c r="J810" s="47" t="str">
        <f t="shared" si="25"/>
        <v/>
      </c>
      <c r="K810" s="47"/>
      <c r="L810" s="47"/>
      <c r="N810" s="47"/>
      <c r="O810" s="47"/>
      <c r="P810" s="47"/>
    </row>
    <row r="811" spans="1:16" x14ac:dyDescent="0.3">
      <c r="A811" s="1">
        <v>810</v>
      </c>
      <c r="G811" s="4"/>
      <c r="H811" s="4"/>
      <c r="I811" s="47"/>
      <c r="J811" s="47" t="str">
        <f t="shared" si="25"/>
        <v/>
      </c>
      <c r="K811" s="47"/>
      <c r="L811" s="47"/>
      <c r="N811" s="47"/>
      <c r="O811" s="47"/>
      <c r="P811" s="47"/>
    </row>
    <row r="812" spans="1:16" x14ac:dyDescent="0.3">
      <c r="A812" s="1">
        <v>811</v>
      </c>
      <c r="G812" s="4"/>
      <c r="H812" s="4"/>
      <c r="I812" s="47"/>
      <c r="J812" s="47" t="str">
        <f t="shared" si="25"/>
        <v/>
      </c>
      <c r="K812" s="47"/>
      <c r="L812" s="47"/>
      <c r="N812" s="47"/>
      <c r="O812" s="47"/>
      <c r="P812" s="47"/>
    </row>
    <row r="813" spans="1:16" x14ac:dyDescent="0.3">
      <c r="A813" s="1">
        <v>812</v>
      </c>
      <c r="G813" s="4"/>
      <c r="H813" s="4"/>
      <c r="I813" s="47"/>
      <c r="J813" s="47" t="str">
        <f t="shared" si="25"/>
        <v/>
      </c>
      <c r="K813" s="47"/>
      <c r="L813" s="47"/>
      <c r="N813" s="47"/>
      <c r="O813" s="47"/>
      <c r="P813" s="47"/>
    </row>
    <row r="814" spans="1:16" x14ac:dyDescent="0.3">
      <c r="A814" s="1">
        <v>813</v>
      </c>
      <c r="G814" s="4"/>
      <c r="H814" s="4"/>
      <c r="I814" s="47"/>
      <c r="J814" s="47" t="str">
        <f t="shared" si="25"/>
        <v/>
      </c>
      <c r="K814" s="47"/>
      <c r="L814" s="47"/>
      <c r="N814" s="47"/>
      <c r="O814" s="47"/>
      <c r="P814" s="47"/>
    </row>
    <row r="815" spans="1:16" x14ac:dyDescent="0.3">
      <c r="A815" s="1">
        <v>814</v>
      </c>
      <c r="G815" s="4"/>
      <c r="H815" s="4"/>
      <c r="I815" s="47"/>
      <c r="J815" s="47" t="str">
        <f t="shared" si="25"/>
        <v/>
      </c>
      <c r="K815" s="47"/>
      <c r="L815" s="47"/>
      <c r="N815" s="47"/>
      <c r="O815" s="47"/>
      <c r="P815" s="47"/>
    </row>
    <row r="816" spans="1:16" x14ac:dyDescent="0.3">
      <c r="A816" s="1">
        <v>815</v>
      </c>
      <c r="G816" s="4"/>
      <c r="H816" s="4"/>
      <c r="I816" s="47"/>
      <c r="J816" s="47" t="str">
        <f t="shared" si="25"/>
        <v/>
      </c>
      <c r="K816" s="47"/>
      <c r="L816" s="47"/>
      <c r="N816" s="47"/>
      <c r="O816" s="47"/>
      <c r="P816" s="47"/>
    </row>
    <row r="817" spans="1:16" x14ac:dyDescent="0.3">
      <c r="A817" s="1">
        <v>816</v>
      </c>
      <c r="G817" s="4"/>
      <c r="H817" s="4"/>
      <c r="I817" s="47"/>
      <c r="J817" s="47" t="str">
        <f t="shared" si="25"/>
        <v/>
      </c>
      <c r="K817" s="47"/>
      <c r="L817" s="47"/>
      <c r="N817" s="47"/>
      <c r="O817" s="47"/>
      <c r="P817" s="47"/>
    </row>
    <row r="818" spans="1:16" x14ac:dyDescent="0.3">
      <c r="A818" s="1">
        <v>817</v>
      </c>
      <c r="G818" s="4"/>
      <c r="H818" s="4"/>
      <c r="I818" s="47"/>
      <c r="J818" s="47" t="str">
        <f t="shared" si="25"/>
        <v/>
      </c>
      <c r="K818" s="47"/>
      <c r="L818" s="47"/>
      <c r="N818" s="47"/>
      <c r="O818" s="47"/>
      <c r="P818" s="47"/>
    </row>
    <row r="819" spans="1:16" x14ac:dyDescent="0.3">
      <c r="A819" s="1">
        <v>818</v>
      </c>
      <c r="G819" s="4"/>
      <c r="H819" s="4"/>
      <c r="I819" s="47"/>
      <c r="J819" s="47" t="str">
        <f t="shared" si="25"/>
        <v/>
      </c>
      <c r="K819" s="47"/>
      <c r="L819" s="47"/>
      <c r="N819" s="47"/>
      <c r="O819" s="47"/>
      <c r="P819" s="47"/>
    </row>
    <row r="820" spans="1:16" x14ac:dyDescent="0.3">
      <c r="A820" s="1">
        <v>819</v>
      </c>
      <c r="G820" s="4"/>
      <c r="H820" s="4"/>
      <c r="I820" s="47"/>
      <c r="J820" s="47" t="str">
        <f t="shared" si="25"/>
        <v/>
      </c>
      <c r="K820" s="47"/>
      <c r="L820" s="47"/>
      <c r="N820" s="47"/>
      <c r="O820" s="47"/>
      <c r="P820" s="47"/>
    </row>
    <row r="821" spans="1:16" x14ac:dyDescent="0.3">
      <c r="A821" s="1">
        <v>820</v>
      </c>
      <c r="G821" s="4"/>
      <c r="H821" s="4"/>
      <c r="I821" s="47"/>
      <c r="J821" s="47" t="str">
        <f t="shared" si="25"/>
        <v/>
      </c>
      <c r="K821" s="47"/>
      <c r="L821" s="47"/>
      <c r="N821" s="47"/>
      <c r="O821" s="47"/>
      <c r="P821" s="47"/>
    </row>
    <row r="822" spans="1:16" x14ac:dyDescent="0.3">
      <c r="A822" s="1">
        <v>821</v>
      </c>
      <c r="G822" s="4"/>
      <c r="H822" s="4"/>
      <c r="I822" s="47"/>
      <c r="J822" s="47" t="str">
        <f t="shared" si="25"/>
        <v/>
      </c>
      <c r="K822" s="47"/>
      <c r="L822" s="47"/>
      <c r="N822" s="47"/>
      <c r="O822" s="47"/>
      <c r="P822" s="47"/>
    </row>
    <row r="823" spans="1:16" x14ac:dyDescent="0.3">
      <c r="A823" s="1">
        <v>822</v>
      </c>
      <c r="G823" s="4"/>
      <c r="H823" s="4"/>
      <c r="I823" s="47"/>
      <c r="J823" s="47" t="str">
        <f t="shared" si="25"/>
        <v/>
      </c>
      <c r="K823" s="47"/>
      <c r="L823" s="47"/>
      <c r="N823" s="47"/>
      <c r="O823" s="47"/>
      <c r="P823" s="47"/>
    </row>
    <row r="824" spans="1:16" x14ac:dyDescent="0.3">
      <c r="A824" s="1">
        <v>823</v>
      </c>
      <c r="G824" s="4"/>
      <c r="H824" s="4"/>
      <c r="I824" s="47"/>
      <c r="J824" s="47" t="str">
        <f t="shared" si="25"/>
        <v/>
      </c>
      <c r="K824" s="47"/>
      <c r="L824" s="47"/>
      <c r="N824" s="47"/>
      <c r="O824" s="47"/>
      <c r="P824" s="47"/>
    </row>
    <row r="825" spans="1:16" x14ac:dyDescent="0.3">
      <c r="A825" s="1">
        <v>824</v>
      </c>
      <c r="G825" s="4"/>
      <c r="H825" s="4"/>
      <c r="I825" s="47"/>
      <c r="J825" s="47" t="str">
        <f t="shared" si="25"/>
        <v/>
      </c>
      <c r="K825" s="47"/>
      <c r="L825" s="47"/>
      <c r="N825" s="47"/>
      <c r="O825" s="47"/>
      <c r="P825" s="47"/>
    </row>
    <row r="826" spans="1:16" x14ac:dyDescent="0.3">
      <c r="A826" s="1">
        <v>825</v>
      </c>
      <c r="G826" s="4"/>
      <c r="H826" s="4"/>
      <c r="I826" s="47"/>
      <c r="J826" s="47" t="str">
        <f t="shared" si="25"/>
        <v/>
      </c>
      <c r="K826" s="47"/>
      <c r="L826" s="47"/>
      <c r="N826" s="47"/>
      <c r="O826" s="47"/>
      <c r="P826" s="47"/>
    </row>
    <row r="827" spans="1:16" x14ac:dyDescent="0.3">
      <c r="A827" s="1">
        <v>826</v>
      </c>
      <c r="G827" s="4"/>
      <c r="H827" s="4"/>
      <c r="I827" s="47"/>
      <c r="J827" s="47" t="str">
        <f t="shared" si="25"/>
        <v/>
      </c>
      <c r="K827" s="47"/>
      <c r="L827" s="47"/>
      <c r="N827" s="47"/>
      <c r="O827" s="47"/>
      <c r="P827" s="47"/>
    </row>
    <row r="828" spans="1:16" x14ac:dyDescent="0.3">
      <c r="A828" s="1">
        <v>827</v>
      </c>
      <c r="G828" s="4"/>
      <c r="H828" s="4"/>
      <c r="I828" s="47"/>
      <c r="J828" s="47" t="str">
        <f t="shared" si="25"/>
        <v/>
      </c>
      <c r="K828" s="47"/>
      <c r="L828" s="47"/>
      <c r="N828" s="47"/>
      <c r="O828" s="47"/>
      <c r="P828" s="47"/>
    </row>
    <row r="829" spans="1:16" x14ac:dyDescent="0.3">
      <c r="A829" s="1">
        <v>828</v>
      </c>
      <c r="G829" s="4"/>
      <c r="H829" s="4"/>
      <c r="I829" s="47"/>
      <c r="J829" s="47" t="str">
        <f t="shared" si="25"/>
        <v/>
      </c>
      <c r="K829" s="47"/>
      <c r="L829" s="47"/>
      <c r="N829" s="47"/>
      <c r="O829" s="47"/>
      <c r="P829" s="47"/>
    </row>
    <row r="830" spans="1:16" x14ac:dyDescent="0.3">
      <c r="A830" s="1">
        <v>829</v>
      </c>
      <c r="G830" s="4"/>
      <c r="H830" s="4"/>
      <c r="I830" s="47"/>
      <c r="J830" s="47" t="str">
        <f t="shared" si="25"/>
        <v/>
      </c>
      <c r="K830" s="47"/>
      <c r="L830" s="47"/>
      <c r="N830" s="47"/>
      <c r="O830" s="47"/>
      <c r="P830" s="47"/>
    </row>
    <row r="831" spans="1:16" x14ac:dyDescent="0.3">
      <c r="A831" s="1">
        <v>830</v>
      </c>
      <c r="G831" s="4"/>
      <c r="H831" s="4"/>
      <c r="I831" s="47"/>
      <c r="J831" s="47" t="str">
        <f t="shared" si="25"/>
        <v/>
      </c>
      <c r="K831" s="47"/>
      <c r="L831" s="47"/>
      <c r="N831" s="47"/>
      <c r="O831" s="47"/>
      <c r="P831" s="47"/>
    </row>
    <row r="832" spans="1:16" x14ac:dyDescent="0.3">
      <c r="A832" s="1">
        <v>831</v>
      </c>
      <c r="G832" s="4"/>
      <c r="H832" s="4"/>
      <c r="I832" s="47"/>
      <c r="J832" s="47" t="str">
        <f t="shared" si="25"/>
        <v/>
      </c>
      <c r="K832" s="47"/>
      <c r="L832" s="47"/>
      <c r="N832" s="47"/>
      <c r="O832" s="47"/>
      <c r="P832" s="47"/>
    </row>
    <row r="833" spans="1:16" x14ac:dyDescent="0.3">
      <c r="A833" s="1">
        <v>832</v>
      </c>
      <c r="G833" s="4"/>
      <c r="H833" s="4"/>
      <c r="I833" s="47"/>
      <c r="J833" s="47" t="str">
        <f t="shared" si="25"/>
        <v/>
      </c>
      <c r="K833" s="47"/>
      <c r="L833" s="47"/>
      <c r="N833" s="47"/>
      <c r="O833" s="47"/>
      <c r="P833" s="47"/>
    </row>
    <row r="834" spans="1:16" x14ac:dyDescent="0.3">
      <c r="A834" s="1">
        <v>833</v>
      </c>
      <c r="G834" s="4"/>
      <c r="H834" s="4"/>
      <c r="I834" s="47"/>
      <c r="J834" s="47" t="str">
        <f t="shared" si="25"/>
        <v/>
      </c>
      <c r="K834" s="47"/>
      <c r="L834" s="47"/>
      <c r="N834" s="47"/>
      <c r="O834" s="47"/>
      <c r="P834" s="47"/>
    </row>
    <row r="835" spans="1:16" x14ac:dyDescent="0.3">
      <c r="A835" s="1">
        <v>834</v>
      </c>
      <c r="G835" s="4"/>
      <c r="H835" s="4"/>
      <c r="I835" s="47"/>
      <c r="J835" s="47" t="str">
        <f t="shared" ref="J835:J898" si="26">+E835&amp;I835</f>
        <v/>
      </c>
      <c r="K835" s="47"/>
      <c r="L835" s="47"/>
      <c r="N835" s="47"/>
      <c r="O835" s="47"/>
      <c r="P835" s="47"/>
    </row>
    <row r="836" spans="1:16" x14ac:dyDescent="0.3">
      <c r="A836" s="1">
        <v>835</v>
      </c>
      <c r="G836" s="4"/>
      <c r="H836" s="4"/>
      <c r="I836" s="47"/>
      <c r="J836" s="47" t="str">
        <f t="shared" si="26"/>
        <v/>
      </c>
      <c r="K836" s="47"/>
      <c r="L836" s="47"/>
      <c r="N836" s="47"/>
      <c r="O836" s="47"/>
      <c r="P836" s="47"/>
    </row>
    <row r="837" spans="1:16" x14ac:dyDescent="0.3">
      <c r="A837" s="1">
        <v>836</v>
      </c>
      <c r="G837" s="4"/>
      <c r="H837" s="4"/>
      <c r="I837" s="47"/>
      <c r="J837" s="47" t="str">
        <f t="shared" si="26"/>
        <v/>
      </c>
      <c r="K837" s="47"/>
      <c r="L837" s="47"/>
      <c r="N837" s="47"/>
      <c r="O837" s="47"/>
      <c r="P837" s="47"/>
    </row>
    <row r="838" spans="1:16" x14ac:dyDescent="0.3">
      <c r="A838" s="1">
        <v>837</v>
      </c>
      <c r="G838" s="4"/>
      <c r="H838" s="4"/>
      <c r="I838" s="47"/>
      <c r="J838" s="47" t="str">
        <f t="shared" si="26"/>
        <v/>
      </c>
      <c r="K838" s="47"/>
      <c r="L838" s="47"/>
      <c r="N838" s="47"/>
      <c r="O838" s="47"/>
      <c r="P838" s="47"/>
    </row>
    <row r="839" spans="1:16" x14ac:dyDescent="0.3">
      <c r="A839" s="1">
        <v>838</v>
      </c>
      <c r="G839" s="4"/>
      <c r="H839" s="4"/>
      <c r="I839" s="47"/>
      <c r="J839" s="47" t="str">
        <f t="shared" si="26"/>
        <v/>
      </c>
      <c r="K839" s="47"/>
      <c r="L839" s="47"/>
      <c r="N839" s="47"/>
      <c r="O839" s="47"/>
      <c r="P839" s="47"/>
    </row>
    <row r="840" spans="1:16" x14ac:dyDescent="0.3">
      <c r="A840" s="1">
        <v>839</v>
      </c>
      <c r="G840" s="4"/>
      <c r="H840" s="4"/>
      <c r="I840" s="47"/>
      <c r="J840" s="47" t="str">
        <f t="shared" si="26"/>
        <v/>
      </c>
      <c r="K840" s="47"/>
      <c r="L840" s="47"/>
      <c r="N840" s="47"/>
      <c r="O840" s="47"/>
      <c r="P840" s="47"/>
    </row>
    <row r="841" spans="1:16" x14ac:dyDescent="0.3">
      <c r="A841" s="1">
        <v>840</v>
      </c>
      <c r="G841" s="4"/>
      <c r="H841" s="4"/>
      <c r="I841" s="47"/>
      <c r="J841" s="47" t="str">
        <f t="shared" si="26"/>
        <v/>
      </c>
      <c r="K841" s="47"/>
      <c r="L841" s="47"/>
      <c r="N841" s="47"/>
      <c r="O841" s="47"/>
      <c r="P841" s="47"/>
    </row>
    <row r="842" spans="1:16" x14ac:dyDescent="0.3">
      <c r="A842" s="1">
        <v>841</v>
      </c>
      <c r="G842" s="4"/>
      <c r="H842" s="4"/>
      <c r="I842" s="47"/>
      <c r="J842" s="47" t="str">
        <f t="shared" si="26"/>
        <v/>
      </c>
      <c r="K842" s="47"/>
      <c r="L842" s="47"/>
      <c r="N842" s="47"/>
      <c r="O842" s="47"/>
      <c r="P842" s="47"/>
    </row>
    <row r="843" spans="1:16" x14ac:dyDescent="0.3">
      <c r="A843" s="1">
        <v>842</v>
      </c>
      <c r="G843" s="4"/>
      <c r="H843" s="4"/>
      <c r="I843" s="47"/>
      <c r="J843" s="47" t="str">
        <f t="shared" si="26"/>
        <v/>
      </c>
      <c r="K843" s="47"/>
      <c r="L843" s="47"/>
      <c r="N843" s="47"/>
      <c r="O843" s="47"/>
      <c r="P843" s="47"/>
    </row>
    <row r="844" spans="1:16" x14ac:dyDescent="0.3">
      <c r="A844" s="1">
        <v>843</v>
      </c>
      <c r="G844" s="4"/>
      <c r="H844" s="4"/>
      <c r="I844" s="47"/>
      <c r="J844" s="47" t="str">
        <f t="shared" si="26"/>
        <v/>
      </c>
      <c r="K844" s="47"/>
      <c r="L844" s="47"/>
      <c r="N844" s="47"/>
      <c r="O844" s="47"/>
      <c r="P844" s="47"/>
    </row>
    <row r="845" spans="1:16" x14ac:dyDescent="0.3">
      <c r="A845" s="1">
        <v>844</v>
      </c>
      <c r="G845" s="4"/>
      <c r="H845" s="4"/>
      <c r="I845" s="47"/>
      <c r="J845" s="47" t="str">
        <f t="shared" si="26"/>
        <v/>
      </c>
      <c r="K845" s="47"/>
      <c r="L845" s="47"/>
      <c r="N845" s="47"/>
      <c r="O845" s="47"/>
      <c r="P845" s="47"/>
    </row>
    <row r="846" spans="1:16" x14ac:dyDescent="0.3">
      <c r="A846" s="1">
        <v>845</v>
      </c>
      <c r="G846" s="4"/>
      <c r="H846" s="4"/>
      <c r="I846" s="47"/>
      <c r="J846" s="47" t="str">
        <f t="shared" si="26"/>
        <v/>
      </c>
      <c r="K846" s="47"/>
      <c r="L846" s="47"/>
      <c r="N846" s="47"/>
      <c r="O846" s="47"/>
      <c r="P846" s="47"/>
    </row>
    <row r="847" spans="1:16" x14ac:dyDescent="0.3">
      <c r="A847" s="1">
        <v>846</v>
      </c>
      <c r="G847" s="4"/>
      <c r="H847" s="4"/>
      <c r="I847" s="47"/>
      <c r="J847" s="47" t="str">
        <f t="shared" si="26"/>
        <v/>
      </c>
      <c r="K847" s="47"/>
      <c r="L847" s="47"/>
      <c r="N847" s="47"/>
      <c r="O847" s="47"/>
      <c r="P847" s="47"/>
    </row>
    <row r="848" spans="1:16" x14ac:dyDescent="0.3">
      <c r="A848" s="1">
        <v>847</v>
      </c>
      <c r="G848" s="4"/>
      <c r="H848" s="4"/>
      <c r="I848" s="47"/>
      <c r="J848" s="47" t="str">
        <f t="shared" si="26"/>
        <v/>
      </c>
      <c r="K848" s="47"/>
      <c r="L848" s="47"/>
      <c r="N848" s="47"/>
      <c r="O848" s="47"/>
      <c r="P848" s="47"/>
    </row>
    <row r="849" spans="1:16" x14ac:dyDescent="0.3">
      <c r="A849" s="1">
        <v>848</v>
      </c>
      <c r="G849" s="4"/>
      <c r="H849" s="4"/>
      <c r="I849" s="47"/>
      <c r="J849" s="47" t="str">
        <f t="shared" si="26"/>
        <v/>
      </c>
      <c r="K849" s="47"/>
      <c r="L849" s="47"/>
      <c r="N849" s="47"/>
      <c r="O849" s="47"/>
      <c r="P849" s="47"/>
    </row>
    <row r="850" spans="1:16" x14ac:dyDescent="0.3">
      <c r="A850" s="1">
        <v>849</v>
      </c>
      <c r="G850" s="4"/>
      <c r="H850" s="4"/>
      <c r="I850" s="47"/>
      <c r="J850" s="47" t="str">
        <f t="shared" si="26"/>
        <v/>
      </c>
      <c r="K850" s="47"/>
      <c r="L850" s="47"/>
      <c r="N850" s="47"/>
      <c r="O850" s="47"/>
      <c r="P850" s="47"/>
    </row>
    <row r="851" spans="1:16" x14ac:dyDescent="0.3">
      <c r="A851" s="1">
        <v>850</v>
      </c>
      <c r="G851" s="4"/>
      <c r="H851" s="4"/>
      <c r="I851" s="47"/>
      <c r="J851" s="47" t="str">
        <f t="shared" si="26"/>
        <v/>
      </c>
      <c r="K851" s="47"/>
      <c r="L851" s="47"/>
      <c r="N851" s="47"/>
      <c r="O851" s="47"/>
      <c r="P851" s="47"/>
    </row>
    <row r="852" spans="1:16" x14ac:dyDescent="0.3">
      <c r="A852" s="1">
        <v>851</v>
      </c>
      <c r="G852" s="4"/>
      <c r="H852" s="4"/>
      <c r="I852" s="47"/>
      <c r="J852" s="47" t="str">
        <f t="shared" si="26"/>
        <v/>
      </c>
      <c r="K852" s="47"/>
      <c r="L852" s="47"/>
      <c r="N852" s="47"/>
      <c r="O852" s="47"/>
      <c r="P852" s="47"/>
    </row>
    <row r="853" spans="1:16" x14ac:dyDescent="0.3">
      <c r="A853" s="1">
        <v>852</v>
      </c>
      <c r="G853" s="4"/>
      <c r="H853" s="4"/>
      <c r="I853" s="47"/>
      <c r="J853" s="47" t="str">
        <f t="shared" si="26"/>
        <v/>
      </c>
      <c r="K853" s="47"/>
      <c r="L853" s="47"/>
      <c r="N853" s="47"/>
      <c r="O853" s="47"/>
      <c r="P853" s="47"/>
    </row>
    <row r="854" spans="1:16" x14ac:dyDescent="0.3">
      <c r="A854" s="1">
        <v>853</v>
      </c>
      <c r="G854" s="4"/>
      <c r="H854" s="4"/>
      <c r="I854" s="47"/>
      <c r="J854" s="47" t="str">
        <f t="shared" si="26"/>
        <v/>
      </c>
      <c r="K854" s="47"/>
      <c r="L854" s="47"/>
      <c r="N854" s="47"/>
      <c r="O854" s="47"/>
      <c r="P854" s="47"/>
    </row>
    <row r="855" spans="1:16" x14ac:dyDescent="0.3">
      <c r="A855" s="1">
        <v>854</v>
      </c>
      <c r="G855" s="4"/>
      <c r="H855" s="4"/>
      <c r="I855" s="47"/>
      <c r="J855" s="47" t="str">
        <f t="shared" si="26"/>
        <v/>
      </c>
      <c r="K855" s="47"/>
      <c r="L855" s="47"/>
      <c r="N855" s="47"/>
      <c r="O855" s="47"/>
      <c r="P855" s="47"/>
    </row>
    <row r="856" spans="1:16" x14ac:dyDescent="0.3">
      <c r="A856" s="1">
        <v>855</v>
      </c>
      <c r="G856" s="4"/>
      <c r="H856" s="4"/>
      <c r="I856" s="47"/>
      <c r="J856" s="47" t="str">
        <f t="shared" si="26"/>
        <v/>
      </c>
      <c r="K856" s="47"/>
      <c r="L856" s="47"/>
      <c r="N856" s="47"/>
      <c r="O856" s="47"/>
      <c r="P856" s="47"/>
    </row>
    <row r="857" spans="1:16" x14ac:dyDescent="0.3">
      <c r="A857" s="1">
        <v>856</v>
      </c>
      <c r="G857" s="4"/>
      <c r="H857" s="4"/>
      <c r="I857" s="47"/>
      <c r="J857" s="47" t="str">
        <f t="shared" si="26"/>
        <v/>
      </c>
      <c r="K857" s="47"/>
      <c r="L857" s="47"/>
      <c r="N857" s="47"/>
      <c r="O857" s="47"/>
      <c r="P857" s="47"/>
    </row>
    <row r="858" spans="1:16" x14ac:dyDescent="0.3">
      <c r="A858" s="1">
        <v>857</v>
      </c>
      <c r="G858" s="4"/>
      <c r="H858" s="4"/>
      <c r="I858" s="47"/>
      <c r="J858" s="47" t="str">
        <f t="shared" si="26"/>
        <v/>
      </c>
      <c r="K858" s="47"/>
      <c r="L858" s="47"/>
      <c r="N858" s="47"/>
      <c r="O858" s="47"/>
      <c r="P858" s="47"/>
    </row>
    <row r="859" spans="1:16" x14ac:dyDescent="0.3">
      <c r="A859" s="1">
        <v>858</v>
      </c>
      <c r="G859" s="4"/>
      <c r="H859" s="4"/>
      <c r="I859" s="47"/>
      <c r="J859" s="47" t="str">
        <f t="shared" si="26"/>
        <v/>
      </c>
      <c r="K859" s="47"/>
      <c r="L859" s="47"/>
      <c r="N859" s="47"/>
      <c r="O859" s="47"/>
      <c r="P859" s="47"/>
    </row>
    <row r="860" spans="1:16" x14ac:dyDescent="0.3">
      <c r="A860" s="1">
        <v>859</v>
      </c>
      <c r="G860" s="4"/>
      <c r="H860" s="4"/>
      <c r="I860" s="47"/>
      <c r="J860" s="47" t="str">
        <f t="shared" si="26"/>
        <v/>
      </c>
      <c r="K860" s="47"/>
      <c r="L860" s="47"/>
      <c r="N860" s="47"/>
      <c r="O860" s="47"/>
      <c r="P860" s="47"/>
    </row>
    <row r="861" spans="1:16" x14ac:dyDescent="0.3">
      <c r="A861" s="1">
        <v>860</v>
      </c>
      <c r="G861" s="4"/>
      <c r="H861" s="4"/>
      <c r="I861" s="47"/>
      <c r="J861" s="47" t="str">
        <f t="shared" si="26"/>
        <v/>
      </c>
      <c r="K861" s="47"/>
      <c r="L861" s="47"/>
      <c r="N861" s="47"/>
      <c r="O861" s="47"/>
      <c r="P861" s="47"/>
    </row>
    <row r="862" spans="1:16" x14ac:dyDescent="0.3">
      <c r="A862" s="1">
        <v>861</v>
      </c>
      <c r="G862" s="4"/>
      <c r="H862" s="4"/>
      <c r="I862" s="47"/>
      <c r="J862" s="47" t="str">
        <f t="shared" si="26"/>
        <v/>
      </c>
      <c r="K862" s="47"/>
      <c r="L862" s="47"/>
      <c r="N862" s="47"/>
      <c r="O862" s="47"/>
      <c r="P862" s="47"/>
    </row>
    <row r="863" spans="1:16" x14ac:dyDescent="0.3">
      <c r="A863" s="1">
        <v>862</v>
      </c>
      <c r="G863" s="4"/>
      <c r="H863" s="4"/>
      <c r="I863" s="47"/>
      <c r="J863" s="47" t="str">
        <f t="shared" si="26"/>
        <v/>
      </c>
      <c r="K863" s="47"/>
      <c r="L863" s="47"/>
      <c r="N863" s="47"/>
      <c r="O863" s="47"/>
      <c r="P863" s="47"/>
    </row>
    <row r="864" spans="1:16" x14ac:dyDescent="0.3">
      <c r="A864" s="1">
        <v>863</v>
      </c>
      <c r="G864" s="4"/>
      <c r="H864" s="4"/>
      <c r="I864" s="47"/>
      <c r="J864" s="47" t="str">
        <f t="shared" si="26"/>
        <v/>
      </c>
      <c r="K864" s="47"/>
      <c r="L864" s="47"/>
      <c r="N864" s="47"/>
      <c r="O864" s="47"/>
      <c r="P864" s="47"/>
    </row>
    <row r="865" spans="1:16" x14ac:dyDescent="0.3">
      <c r="A865" s="1">
        <v>864</v>
      </c>
      <c r="G865" s="4"/>
      <c r="H865" s="4"/>
      <c r="I865" s="47"/>
      <c r="J865" s="47" t="str">
        <f t="shared" si="26"/>
        <v/>
      </c>
      <c r="K865" s="47"/>
      <c r="L865" s="47"/>
      <c r="N865" s="47"/>
      <c r="O865" s="47"/>
      <c r="P865" s="47"/>
    </row>
    <row r="866" spans="1:16" x14ac:dyDescent="0.3">
      <c r="A866" s="1">
        <v>865</v>
      </c>
      <c r="G866" s="4"/>
      <c r="H866" s="4"/>
      <c r="I866" s="47"/>
      <c r="J866" s="47" t="str">
        <f t="shared" si="26"/>
        <v/>
      </c>
      <c r="K866" s="47"/>
      <c r="L866" s="47"/>
      <c r="N866" s="47"/>
      <c r="O866" s="47"/>
      <c r="P866" s="47"/>
    </row>
    <row r="867" spans="1:16" x14ac:dyDescent="0.3">
      <c r="A867" s="1">
        <v>866</v>
      </c>
      <c r="G867" s="4"/>
      <c r="H867" s="4"/>
      <c r="I867" s="47"/>
      <c r="J867" s="47" t="str">
        <f t="shared" si="26"/>
        <v/>
      </c>
      <c r="K867" s="47"/>
      <c r="L867" s="47"/>
      <c r="N867" s="47"/>
      <c r="O867" s="47"/>
      <c r="P867" s="47"/>
    </row>
    <row r="868" spans="1:16" x14ac:dyDescent="0.3">
      <c r="A868" s="1">
        <v>867</v>
      </c>
      <c r="G868" s="4"/>
      <c r="H868" s="4"/>
      <c r="I868" s="47"/>
      <c r="J868" s="47" t="str">
        <f t="shared" si="26"/>
        <v/>
      </c>
      <c r="K868" s="47"/>
      <c r="L868" s="47"/>
      <c r="N868" s="47"/>
      <c r="O868" s="47"/>
      <c r="P868" s="47"/>
    </row>
    <row r="869" spans="1:16" x14ac:dyDescent="0.3">
      <c r="A869" s="1">
        <v>868</v>
      </c>
      <c r="G869" s="4"/>
      <c r="H869" s="4"/>
      <c r="I869" s="47"/>
      <c r="J869" s="47" t="str">
        <f t="shared" si="26"/>
        <v/>
      </c>
      <c r="K869" s="47"/>
      <c r="L869" s="47"/>
      <c r="N869" s="47"/>
      <c r="O869" s="47"/>
      <c r="P869" s="47"/>
    </row>
    <row r="870" spans="1:16" x14ac:dyDescent="0.3">
      <c r="A870" s="1">
        <v>869</v>
      </c>
      <c r="G870" s="4"/>
      <c r="H870" s="4"/>
      <c r="I870" s="47"/>
      <c r="J870" s="47" t="str">
        <f t="shared" si="26"/>
        <v/>
      </c>
      <c r="K870" s="47"/>
      <c r="L870" s="47"/>
      <c r="N870" s="47"/>
      <c r="O870" s="47"/>
      <c r="P870" s="47"/>
    </row>
    <row r="871" spans="1:16" x14ac:dyDescent="0.3">
      <c r="A871" s="1">
        <v>870</v>
      </c>
      <c r="G871" s="4"/>
      <c r="H871" s="4"/>
      <c r="I871" s="47"/>
      <c r="J871" s="47" t="str">
        <f t="shared" si="26"/>
        <v/>
      </c>
      <c r="K871" s="47"/>
      <c r="L871" s="47"/>
      <c r="N871" s="47"/>
      <c r="O871" s="47"/>
      <c r="P871" s="47"/>
    </row>
    <row r="872" spans="1:16" x14ac:dyDescent="0.3">
      <c r="A872" s="1">
        <v>871</v>
      </c>
      <c r="G872" s="4"/>
      <c r="H872" s="4"/>
      <c r="I872" s="47"/>
      <c r="J872" s="47" t="str">
        <f t="shared" si="26"/>
        <v/>
      </c>
      <c r="K872" s="47"/>
      <c r="L872" s="47"/>
      <c r="N872" s="47"/>
      <c r="O872" s="47"/>
      <c r="P872" s="47"/>
    </row>
    <row r="873" spans="1:16" x14ac:dyDescent="0.3">
      <c r="A873" s="1">
        <v>872</v>
      </c>
      <c r="G873" s="4"/>
      <c r="H873" s="4"/>
      <c r="I873" s="47"/>
      <c r="J873" s="47" t="str">
        <f t="shared" si="26"/>
        <v/>
      </c>
      <c r="K873" s="47"/>
      <c r="L873" s="47"/>
      <c r="N873" s="47"/>
      <c r="O873" s="47"/>
      <c r="P873" s="47"/>
    </row>
    <row r="874" spans="1:16" x14ac:dyDescent="0.3">
      <c r="A874" s="1">
        <v>873</v>
      </c>
      <c r="G874" s="4"/>
      <c r="H874" s="4"/>
      <c r="I874" s="47"/>
      <c r="J874" s="47" t="str">
        <f t="shared" si="26"/>
        <v/>
      </c>
      <c r="K874" s="47"/>
      <c r="L874" s="47"/>
      <c r="N874" s="47"/>
      <c r="O874" s="47"/>
      <c r="P874" s="47"/>
    </row>
    <row r="875" spans="1:16" x14ac:dyDescent="0.3">
      <c r="A875" s="1">
        <v>874</v>
      </c>
      <c r="G875" s="4"/>
      <c r="H875" s="4"/>
      <c r="I875" s="47"/>
      <c r="J875" s="47" t="str">
        <f t="shared" si="26"/>
        <v/>
      </c>
      <c r="K875" s="47"/>
      <c r="L875" s="47"/>
      <c r="N875" s="47"/>
      <c r="O875" s="47"/>
      <c r="P875" s="47"/>
    </row>
    <row r="876" spans="1:16" x14ac:dyDescent="0.3">
      <c r="A876" s="1">
        <v>875</v>
      </c>
      <c r="G876" s="4"/>
      <c r="H876" s="4"/>
      <c r="I876" s="47"/>
      <c r="J876" s="47" t="str">
        <f t="shared" si="26"/>
        <v/>
      </c>
      <c r="K876" s="47"/>
      <c r="L876" s="47"/>
      <c r="N876" s="47"/>
      <c r="O876" s="47"/>
      <c r="P876" s="47"/>
    </row>
    <row r="877" spans="1:16" x14ac:dyDescent="0.3">
      <c r="A877" s="1">
        <v>876</v>
      </c>
      <c r="G877" s="4"/>
      <c r="H877" s="4"/>
      <c r="I877" s="47"/>
      <c r="J877" s="47" t="str">
        <f t="shared" si="26"/>
        <v/>
      </c>
      <c r="K877" s="47"/>
      <c r="L877" s="47"/>
      <c r="N877" s="47"/>
      <c r="O877" s="47"/>
      <c r="P877" s="47"/>
    </row>
    <row r="878" spans="1:16" x14ac:dyDescent="0.3">
      <c r="A878" s="1">
        <v>877</v>
      </c>
      <c r="G878" s="4"/>
      <c r="H878" s="4"/>
      <c r="I878" s="47"/>
      <c r="J878" s="47" t="str">
        <f t="shared" si="26"/>
        <v/>
      </c>
      <c r="K878" s="47"/>
      <c r="L878" s="47"/>
      <c r="N878" s="47"/>
      <c r="O878" s="47"/>
      <c r="P878" s="47"/>
    </row>
    <row r="879" spans="1:16" x14ac:dyDescent="0.3">
      <c r="A879" s="1">
        <v>878</v>
      </c>
      <c r="G879" s="4"/>
      <c r="H879" s="4"/>
      <c r="I879" s="47"/>
      <c r="J879" s="47" t="str">
        <f t="shared" si="26"/>
        <v/>
      </c>
      <c r="K879" s="47"/>
      <c r="L879" s="47"/>
      <c r="N879" s="47"/>
      <c r="O879" s="47"/>
      <c r="P879" s="47"/>
    </row>
    <row r="880" spans="1:16" x14ac:dyDescent="0.3">
      <c r="A880" s="1">
        <v>879</v>
      </c>
      <c r="G880" s="4"/>
      <c r="H880" s="4"/>
      <c r="I880" s="47"/>
      <c r="J880" s="47" t="str">
        <f t="shared" si="26"/>
        <v/>
      </c>
      <c r="K880" s="47"/>
      <c r="L880" s="47"/>
      <c r="N880" s="47"/>
      <c r="O880" s="47"/>
      <c r="P880" s="47"/>
    </row>
    <row r="881" spans="1:16" x14ac:dyDescent="0.3">
      <c r="A881" s="1">
        <v>880</v>
      </c>
      <c r="G881" s="4"/>
      <c r="H881" s="4"/>
      <c r="I881" s="47"/>
      <c r="J881" s="47" t="str">
        <f t="shared" si="26"/>
        <v/>
      </c>
      <c r="K881" s="47"/>
      <c r="L881" s="47"/>
      <c r="N881" s="47"/>
      <c r="O881" s="47"/>
      <c r="P881" s="47"/>
    </row>
    <row r="882" spans="1:16" x14ac:dyDescent="0.3">
      <c r="A882" s="1">
        <v>881</v>
      </c>
      <c r="G882" s="4"/>
      <c r="H882" s="4"/>
      <c r="I882" s="47"/>
      <c r="J882" s="47" t="str">
        <f t="shared" si="26"/>
        <v/>
      </c>
      <c r="K882" s="47"/>
      <c r="L882" s="47"/>
      <c r="N882" s="47"/>
      <c r="O882" s="47"/>
      <c r="P882" s="47"/>
    </row>
    <row r="883" spans="1:16" x14ac:dyDescent="0.3">
      <c r="A883" s="1">
        <v>882</v>
      </c>
      <c r="G883" s="4"/>
      <c r="H883" s="4"/>
      <c r="I883" s="47"/>
      <c r="J883" s="47" t="str">
        <f t="shared" si="26"/>
        <v/>
      </c>
      <c r="K883" s="47"/>
      <c r="L883" s="47"/>
      <c r="N883" s="47"/>
      <c r="O883" s="47"/>
      <c r="P883" s="47"/>
    </row>
    <row r="884" spans="1:16" x14ac:dyDescent="0.3">
      <c r="A884" s="1">
        <v>883</v>
      </c>
      <c r="G884" s="4"/>
      <c r="H884" s="4"/>
      <c r="I884" s="47"/>
      <c r="J884" s="47" t="str">
        <f t="shared" si="26"/>
        <v/>
      </c>
      <c r="K884" s="47"/>
      <c r="L884" s="47"/>
      <c r="N884" s="47"/>
      <c r="O884" s="47"/>
      <c r="P884" s="47"/>
    </row>
    <row r="885" spans="1:16" x14ac:dyDescent="0.3">
      <c r="A885" s="1">
        <v>884</v>
      </c>
      <c r="G885" s="4"/>
      <c r="H885" s="4"/>
      <c r="I885" s="47"/>
      <c r="J885" s="47" t="str">
        <f t="shared" si="26"/>
        <v/>
      </c>
      <c r="K885" s="47"/>
      <c r="L885" s="47"/>
      <c r="N885" s="47"/>
      <c r="O885" s="47"/>
      <c r="P885" s="47"/>
    </row>
    <row r="886" spans="1:16" x14ac:dyDescent="0.3">
      <c r="A886" s="1">
        <v>885</v>
      </c>
      <c r="G886" s="4"/>
      <c r="H886" s="4"/>
      <c r="I886" s="47"/>
      <c r="J886" s="47" t="str">
        <f t="shared" si="26"/>
        <v/>
      </c>
      <c r="K886" s="47"/>
      <c r="L886" s="47"/>
      <c r="N886" s="47"/>
      <c r="O886" s="47"/>
      <c r="P886" s="47"/>
    </row>
    <row r="887" spans="1:16" x14ac:dyDescent="0.3">
      <c r="A887" s="1">
        <v>886</v>
      </c>
      <c r="G887" s="4"/>
      <c r="H887" s="4"/>
      <c r="I887" s="47"/>
      <c r="J887" s="47" t="str">
        <f t="shared" si="26"/>
        <v/>
      </c>
      <c r="K887" s="47"/>
      <c r="L887" s="47"/>
      <c r="N887" s="47"/>
      <c r="O887" s="47"/>
      <c r="P887" s="47"/>
    </row>
    <row r="888" spans="1:16" x14ac:dyDescent="0.3">
      <c r="A888" s="1">
        <v>887</v>
      </c>
      <c r="G888" s="4"/>
      <c r="H888" s="4"/>
      <c r="I888" s="47"/>
      <c r="J888" s="47" t="str">
        <f t="shared" si="26"/>
        <v/>
      </c>
      <c r="K888" s="47"/>
      <c r="L888" s="47"/>
      <c r="N888" s="47"/>
      <c r="O888" s="47"/>
      <c r="P888" s="47"/>
    </row>
    <row r="889" spans="1:16" x14ac:dyDescent="0.3">
      <c r="A889" s="1">
        <v>888</v>
      </c>
      <c r="G889" s="4"/>
      <c r="H889" s="4"/>
      <c r="I889" s="47"/>
      <c r="J889" s="47" t="str">
        <f t="shared" si="26"/>
        <v/>
      </c>
      <c r="K889" s="47"/>
      <c r="L889" s="47"/>
      <c r="N889" s="47"/>
      <c r="O889" s="47"/>
      <c r="P889" s="47"/>
    </row>
    <row r="890" spans="1:16" x14ac:dyDescent="0.3">
      <c r="A890" s="1">
        <v>889</v>
      </c>
      <c r="G890" s="4"/>
      <c r="H890" s="4"/>
      <c r="I890" s="47"/>
      <c r="J890" s="47" t="str">
        <f t="shared" si="26"/>
        <v/>
      </c>
      <c r="K890" s="47"/>
      <c r="L890" s="47"/>
      <c r="N890" s="47"/>
      <c r="O890" s="47"/>
      <c r="P890" s="47"/>
    </row>
    <row r="891" spans="1:16" x14ac:dyDescent="0.3">
      <c r="A891" s="1">
        <v>890</v>
      </c>
      <c r="G891" s="4"/>
      <c r="H891" s="4"/>
      <c r="I891" s="47"/>
      <c r="J891" s="47" t="str">
        <f t="shared" si="26"/>
        <v/>
      </c>
      <c r="K891" s="47"/>
      <c r="L891" s="47"/>
      <c r="N891" s="47"/>
      <c r="O891" s="47"/>
      <c r="P891" s="47"/>
    </row>
    <row r="892" spans="1:16" x14ac:dyDescent="0.3">
      <c r="A892" s="1">
        <v>891</v>
      </c>
      <c r="G892" s="4"/>
      <c r="H892" s="4"/>
      <c r="I892" s="47"/>
      <c r="J892" s="47" t="str">
        <f t="shared" si="26"/>
        <v/>
      </c>
      <c r="K892" s="47"/>
      <c r="L892" s="47"/>
      <c r="N892" s="47"/>
      <c r="O892" s="47"/>
      <c r="P892" s="47"/>
    </row>
    <row r="893" spans="1:16" x14ac:dyDescent="0.3">
      <c r="A893" s="1">
        <v>892</v>
      </c>
      <c r="G893" s="4"/>
      <c r="H893" s="4"/>
      <c r="I893" s="47"/>
      <c r="J893" s="47" t="str">
        <f t="shared" si="26"/>
        <v/>
      </c>
      <c r="K893" s="47"/>
      <c r="L893" s="47"/>
      <c r="N893" s="47"/>
      <c r="O893" s="47"/>
      <c r="P893" s="47"/>
    </row>
    <row r="894" spans="1:16" x14ac:dyDescent="0.3">
      <c r="A894" s="1">
        <v>893</v>
      </c>
      <c r="G894" s="4"/>
      <c r="H894" s="4"/>
      <c r="I894" s="47"/>
      <c r="J894" s="47" t="str">
        <f t="shared" si="26"/>
        <v/>
      </c>
      <c r="K894" s="47"/>
      <c r="L894" s="47"/>
      <c r="N894" s="47"/>
      <c r="O894" s="47"/>
      <c r="P894" s="47"/>
    </row>
    <row r="895" spans="1:16" x14ac:dyDescent="0.3">
      <c r="A895" s="1">
        <v>894</v>
      </c>
      <c r="G895" s="4"/>
      <c r="H895" s="4"/>
      <c r="I895" s="47"/>
      <c r="J895" s="47" t="str">
        <f t="shared" si="26"/>
        <v/>
      </c>
      <c r="K895" s="47"/>
      <c r="L895" s="47"/>
      <c r="N895" s="47"/>
      <c r="O895" s="47"/>
      <c r="P895" s="47"/>
    </row>
    <row r="896" spans="1:16" x14ac:dyDescent="0.3">
      <c r="A896" s="1">
        <v>895</v>
      </c>
      <c r="G896" s="4"/>
      <c r="H896" s="4"/>
      <c r="I896" s="47"/>
      <c r="J896" s="47" t="str">
        <f t="shared" si="26"/>
        <v/>
      </c>
      <c r="K896" s="47"/>
      <c r="L896" s="47"/>
      <c r="N896" s="47"/>
      <c r="O896" s="47"/>
      <c r="P896" s="47"/>
    </row>
    <row r="897" spans="1:16" x14ac:dyDescent="0.3">
      <c r="A897" s="1">
        <v>896</v>
      </c>
      <c r="G897" s="4"/>
      <c r="H897" s="4"/>
      <c r="I897" s="47"/>
      <c r="J897" s="47" t="str">
        <f t="shared" si="26"/>
        <v/>
      </c>
      <c r="K897" s="47"/>
      <c r="L897" s="47"/>
      <c r="N897" s="47"/>
      <c r="O897" s="47"/>
      <c r="P897" s="47"/>
    </row>
    <row r="898" spans="1:16" x14ac:dyDescent="0.3">
      <c r="A898" s="1">
        <v>897</v>
      </c>
      <c r="G898" s="4"/>
      <c r="H898" s="4"/>
      <c r="I898" s="47"/>
      <c r="J898" s="47" t="str">
        <f t="shared" si="26"/>
        <v/>
      </c>
      <c r="K898" s="47"/>
      <c r="L898" s="47"/>
      <c r="N898" s="47"/>
      <c r="O898" s="47"/>
      <c r="P898" s="47"/>
    </row>
    <row r="899" spans="1:16" x14ac:dyDescent="0.3">
      <c r="A899" s="1">
        <v>898</v>
      </c>
      <c r="G899" s="4"/>
      <c r="H899" s="4"/>
      <c r="I899" s="47"/>
      <c r="J899" s="47" t="str">
        <f t="shared" ref="J899:J962" si="27">+E899&amp;I899</f>
        <v/>
      </c>
      <c r="K899" s="47"/>
      <c r="L899" s="47"/>
      <c r="N899" s="47"/>
      <c r="O899" s="47"/>
      <c r="P899" s="47"/>
    </row>
    <row r="900" spans="1:16" x14ac:dyDescent="0.3">
      <c r="A900" s="1">
        <v>899</v>
      </c>
      <c r="G900" s="4"/>
      <c r="H900" s="4"/>
      <c r="I900" s="47"/>
      <c r="J900" s="47" t="str">
        <f t="shared" si="27"/>
        <v/>
      </c>
      <c r="K900" s="47"/>
      <c r="L900" s="47"/>
      <c r="N900" s="47"/>
      <c r="O900" s="47"/>
      <c r="P900" s="47"/>
    </row>
    <row r="901" spans="1:16" x14ac:dyDescent="0.3">
      <c r="A901" s="1">
        <v>900</v>
      </c>
      <c r="G901" s="4"/>
      <c r="H901" s="4"/>
      <c r="I901" s="47"/>
      <c r="J901" s="47" t="str">
        <f t="shared" si="27"/>
        <v/>
      </c>
      <c r="K901" s="47"/>
      <c r="L901" s="47"/>
      <c r="N901" s="47"/>
      <c r="O901" s="47"/>
      <c r="P901" s="47"/>
    </row>
    <row r="902" spans="1:16" x14ac:dyDescent="0.3">
      <c r="A902" s="1">
        <v>901</v>
      </c>
      <c r="G902" s="4"/>
      <c r="H902" s="4"/>
      <c r="I902" s="47"/>
      <c r="J902" s="47" t="str">
        <f t="shared" si="27"/>
        <v/>
      </c>
      <c r="K902" s="47"/>
      <c r="L902" s="47"/>
      <c r="N902" s="47"/>
      <c r="O902" s="47"/>
      <c r="P902" s="47"/>
    </row>
    <row r="903" spans="1:16" x14ac:dyDescent="0.3">
      <c r="A903" s="1">
        <v>902</v>
      </c>
      <c r="G903" s="4"/>
      <c r="H903" s="4"/>
      <c r="I903" s="47"/>
      <c r="J903" s="47" t="str">
        <f t="shared" si="27"/>
        <v/>
      </c>
      <c r="K903" s="47"/>
      <c r="L903" s="47"/>
      <c r="N903" s="47"/>
      <c r="O903" s="47"/>
      <c r="P903" s="47"/>
    </row>
    <row r="904" spans="1:16" x14ac:dyDescent="0.3">
      <c r="A904" s="1">
        <v>903</v>
      </c>
      <c r="G904" s="4"/>
      <c r="H904" s="4"/>
      <c r="I904" s="47"/>
      <c r="J904" s="47" t="str">
        <f t="shared" si="27"/>
        <v/>
      </c>
      <c r="K904" s="47"/>
      <c r="L904" s="47"/>
      <c r="N904" s="47"/>
      <c r="O904" s="47"/>
      <c r="P904" s="47"/>
    </row>
    <row r="905" spans="1:16" x14ac:dyDescent="0.3">
      <c r="A905" s="1">
        <v>904</v>
      </c>
      <c r="G905" s="4"/>
      <c r="H905" s="4"/>
      <c r="I905" s="47"/>
      <c r="J905" s="47" t="str">
        <f t="shared" si="27"/>
        <v/>
      </c>
      <c r="K905" s="47"/>
      <c r="L905" s="47"/>
      <c r="N905" s="47"/>
      <c r="O905" s="47"/>
      <c r="P905" s="47"/>
    </row>
    <row r="906" spans="1:16" x14ac:dyDescent="0.3">
      <c r="A906" s="1">
        <v>905</v>
      </c>
      <c r="G906" s="4"/>
      <c r="H906" s="4"/>
      <c r="I906" s="47"/>
      <c r="J906" s="47" t="str">
        <f t="shared" si="27"/>
        <v/>
      </c>
      <c r="K906" s="47"/>
      <c r="L906" s="47"/>
      <c r="N906" s="47"/>
      <c r="O906" s="47"/>
      <c r="P906" s="47"/>
    </row>
    <row r="907" spans="1:16" x14ac:dyDescent="0.3">
      <c r="A907" s="1">
        <v>906</v>
      </c>
      <c r="G907" s="4"/>
      <c r="H907" s="4"/>
      <c r="I907" s="47"/>
      <c r="J907" s="47" t="str">
        <f t="shared" si="27"/>
        <v/>
      </c>
      <c r="K907" s="47"/>
      <c r="L907" s="47"/>
      <c r="N907" s="47"/>
      <c r="O907" s="47"/>
      <c r="P907" s="47"/>
    </row>
    <row r="908" spans="1:16" x14ac:dyDescent="0.3">
      <c r="A908" s="1">
        <v>907</v>
      </c>
      <c r="G908" s="4"/>
      <c r="H908" s="4"/>
      <c r="I908" s="47"/>
      <c r="J908" s="47" t="str">
        <f t="shared" si="27"/>
        <v/>
      </c>
      <c r="K908" s="47"/>
      <c r="L908" s="47"/>
      <c r="N908" s="47"/>
      <c r="O908" s="47"/>
      <c r="P908" s="47"/>
    </row>
    <row r="909" spans="1:16" x14ac:dyDescent="0.3">
      <c r="A909" s="1">
        <v>908</v>
      </c>
      <c r="G909" s="4"/>
      <c r="H909" s="4"/>
      <c r="I909" s="47"/>
      <c r="J909" s="47" t="str">
        <f t="shared" si="27"/>
        <v/>
      </c>
      <c r="K909" s="47"/>
      <c r="L909" s="47"/>
      <c r="N909" s="47"/>
      <c r="O909" s="47"/>
      <c r="P909" s="47"/>
    </row>
    <row r="910" spans="1:16" x14ac:dyDescent="0.3">
      <c r="A910" s="1">
        <v>909</v>
      </c>
      <c r="G910" s="4"/>
      <c r="H910" s="4"/>
      <c r="I910" s="47"/>
      <c r="J910" s="47" t="str">
        <f t="shared" si="27"/>
        <v/>
      </c>
      <c r="K910" s="47"/>
      <c r="L910" s="47"/>
      <c r="N910" s="47"/>
      <c r="O910" s="47"/>
      <c r="P910" s="47"/>
    </row>
    <row r="911" spans="1:16" x14ac:dyDescent="0.3">
      <c r="A911" s="1">
        <v>910</v>
      </c>
      <c r="G911" s="4"/>
      <c r="H911" s="4"/>
      <c r="I911" s="47"/>
      <c r="J911" s="47" t="str">
        <f t="shared" si="27"/>
        <v/>
      </c>
      <c r="K911" s="47"/>
      <c r="L911" s="47"/>
      <c r="N911" s="47"/>
      <c r="O911" s="47"/>
      <c r="P911" s="47"/>
    </row>
    <row r="912" spans="1:16" x14ac:dyDescent="0.3">
      <c r="A912" s="1">
        <v>911</v>
      </c>
      <c r="G912" s="4"/>
      <c r="H912" s="4"/>
      <c r="I912" s="47"/>
      <c r="J912" s="47" t="str">
        <f t="shared" si="27"/>
        <v/>
      </c>
      <c r="K912" s="47"/>
      <c r="L912" s="47"/>
      <c r="N912" s="47"/>
      <c r="O912" s="47"/>
      <c r="P912" s="47"/>
    </row>
    <row r="913" spans="1:16" x14ac:dyDescent="0.3">
      <c r="A913" s="1">
        <v>912</v>
      </c>
      <c r="G913" s="4"/>
      <c r="H913" s="4"/>
      <c r="I913" s="47"/>
      <c r="J913" s="47" t="str">
        <f t="shared" si="27"/>
        <v/>
      </c>
      <c r="K913" s="47"/>
      <c r="L913" s="47"/>
      <c r="N913" s="47"/>
      <c r="O913" s="47"/>
      <c r="P913" s="47"/>
    </row>
    <row r="914" spans="1:16" x14ac:dyDescent="0.3">
      <c r="A914" s="1">
        <v>913</v>
      </c>
      <c r="G914" s="4"/>
      <c r="H914" s="4"/>
      <c r="I914" s="47"/>
      <c r="J914" s="47" t="str">
        <f t="shared" si="27"/>
        <v/>
      </c>
      <c r="K914" s="47"/>
      <c r="L914" s="47"/>
      <c r="N914" s="47"/>
      <c r="O914" s="47"/>
      <c r="P914" s="47"/>
    </row>
    <row r="915" spans="1:16" x14ac:dyDescent="0.3">
      <c r="A915" s="1">
        <v>914</v>
      </c>
      <c r="G915" s="4"/>
      <c r="H915" s="4"/>
      <c r="I915" s="47"/>
      <c r="J915" s="47" t="str">
        <f t="shared" si="27"/>
        <v/>
      </c>
      <c r="K915" s="47"/>
      <c r="L915" s="47"/>
      <c r="N915" s="47"/>
      <c r="O915" s="47"/>
      <c r="P915" s="47"/>
    </row>
    <row r="916" spans="1:16" x14ac:dyDescent="0.3">
      <c r="A916" s="1">
        <v>915</v>
      </c>
      <c r="G916" s="4"/>
      <c r="H916" s="4"/>
      <c r="I916" s="47"/>
      <c r="J916" s="47" t="str">
        <f t="shared" si="27"/>
        <v/>
      </c>
      <c r="K916" s="47"/>
      <c r="L916" s="47"/>
      <c r="N916" s="47"/>
      <c r="O916" s="47"/>
      <c r="P916" s="47"/>
    </row>
    <row r="917" spans="1:16" x14ac:dyDescent="0.3">
      <c r="A917" s="1">
        <v>916</v>
      </c>
      <c r="G917" s="4"/>
      <c r="H917" s="4"/>
      <c r="I917" s="47"/>
      <c r="J917" s="47" t="str">
        <f t="shared" si="27"/>
        <v/>
      </c>
      <c r="K917" s="47"/>
      <c r="L917" s="47"/>
      <c r="N917" s="47"/>
      <c r="O917" s="47"/>
      <c r="P917" s="47"/>
    </row>
    <row r="918" spans="1:16" x14ac:dyDescent="0.3">
      <c r="A918" s="1">
        <v>917</v>
      </c>
      <c r="G918" s="4"/>
      <c r="H918" s="4"/>
      <c r="I918" s="47"/>
      <c r="J918" s="47" t="str">
        <f t="shared" si="27"/>
        <v/>
      </c>
      <c r="K918" s="47"/>
      <c r="L918" s="47"/>
      <c r="N918" s="47"/>
      <c r="O918" s="47"/>
      <c r="P918" s="47"/>
    </row>
    <row r="919" spans="1:16" x14ac:dyDescent="0.3">
      <c r="A919" s="1">
        <v>918</v>
      </c>
      <c r="G919" s="4"/>
      <c r="H919" s="4"/>
      <c r="I919" s="47"/>
      <c r="J919" s="47" t="str">
        <f t="shared" si="27"/>
        <v/>
      </c>
      <c r="K919" s="47"/>
      <c r="L919" s="47"/>
      <c r="N919" s="47"/>
      <c r="O919" s="47"/>
      <c r="P919" s="47"/>
    </row>
    <row r="920" spans="1:16" x14ac:dyDescent="0.3">
      <c r="A920" s="1">
        <v>919</v>
      </c>
      <c r="G920" s="4"/>
      <c r="H920" s="4"/>
      <c r="I920" s="47"/>
      <c r="J920" s="47" t="str">
        <f t="shared" si="27"/>
        <v/>
      </c>
      <c r="K920" s="47"/>
      <c r="L920" s="47"/>
      <c r="N920" s="47"/>
      <c r="O920" s="47"/>
      <c r="P920" s="47"/>
    </row>
    <row r="921" spans="1:16" x14ac:dyDescent="0.3">
      <c r="A921" s="1">
        <v>920</v>
      </c>
      <c r="G921" s="4"/>
      <c r="H921" s="4"/>
      <c r="I921" s="47"/>
      <c r="J921" s="47" t="str">
        <f t="shared" si="27"/>
        <v/>
      </c>
      <c r="K921" s="47"/>
      <c r="L921" s="47"/>
      <c r="N921" s="47"/>
      <c r="O921" s="47"/>
      <c r="P921" s="47"/>
    </row>
    <row r="922" spans="1:16" x14ac:dyDescent="0.3">
      <c r="A922" s="1">
        <v>921</v>
      </c>
      <c r="G922" s="4"/>
      <c r="H922" s="4"/>
      <c r="I922" s="47"/>
      <c r="J922" s="47" t="str">
        <f t="shared" si="27"/>
        <v/>
      </c>
      <c r="K922" s="47"/>
      <c r="L922" s="47"/>
      <c r="N922" s="47"/>
      <c r="O922" s="47"/>
      <c r="P922" s="47"/>
    </row>
    <row r="923" spans="1:16" x14ac:dyDescent="0.3">
      <c r="A923" s="1">
        <v>922</v>
      </c>
      <c r="G923" s="4"/>
      <c r="H923" s="4"/>
      <c r="I923" s="47"/>
      <c r="J923" s="47" t="str">
        <f t="shared" si="27"/>
        <v/>
      </c>
      <c r="K923" s="47"/>
      <c r="L923" s="47"/>
      <c r="N923" s="47"/>
      <c r="O923" s="47"/>
      <c r="P923" s="47"/>
    </row>
    <row r="924" spans="1:16" x14ac:dyDescent="0.3">
      <c r="A924" s="1">
        <v>923</v>
      </c>
      <c r="G924" s="4"/>
      <c r="H924" s="4"/>
      <c r="I924" s="47"/>
      <c r="J924" s="47" t="str">
        <f t="shared" si="27"/>
        <v/>
      </c>
      <c r="K924" s="47"/>
      <c r="L924" s="47"/>
      <c r="N924" s="47"/>
      <c r="O924" s="47"/>
      <c r="P924" s="47"/>
    </row>
    <row r="925" spans="1:16" x14ac:dyDescent="0.3">
      <c r="A925" s="1">
        <v>924</v>
      </c>
      <c r="G925" s="4"/>
      <c r="H925" s="4"/>
      <c r="I925" s="47"/>
      <c r="J925" s="47" t="str">
        <f t="shared" si="27"/>
        <v/>
      </c>
      <c r="K925" s="47"/>
      <c r="L925" s="47"/>
      <c r="N925" s="47"/>
      <c r="O925" s="47"/>
      <c r="P925" s="47"/>
    </row>
    <row r="926" spans="1:16" x14ac:dyDescent="0.3">
      <c r="A926" s="1">
        <v>925</v>
      </c>
      <c r="G926" s="4"/>
      <c r="H926" s="4"/>
      <c r="I926" s="47"/>
      <c r="J926" s="47" t="str">
        <f t="shared" si="27"/>
        <v/>
      </c>
      <c r="K926" s="47"/>
      <c r="L926" s="47"/>
      <c r="N926" s="47"/>
      <c r="O926" s="47"/>
      <c r="P926" s="47"/>
    </row>
    <row r="927" spans="1:16" x14ac:dyDescent="0.3">
      <c r="A927" s="1">
        <v>926</v>
      </c>
      <c r="G927" s="4"/>
      <c r="H927" s="4"/>
      <c r="I927" s="47"/>
      <c r="J927" s="47" t="str">
        <f t="shared" si="27"/>
        <v/>
      </c>
      <c r="K927" s="47"/>
      <c r="L927" s="47"/>
      <c r="N927" s="47"/>
      <c r="O927" s="47"/>
      <c r="P927" s="47"/>
    </row>
    <row r="928" spans="1:16" x14ac:dyDescent="0.3">
      <c r="A928" s="1">
        <v>927</v>
      </c>
      <c r="G928" s="4"/>
      <c r="H928" s="4"/>
      <c r="I928" s="47"/>
      <c r="J928" s="47" t="str">
        <f t="shared" si="27"/>
        <v/>
      </c>
      <c r="K928" s="47"/>
      <c r="L928" s="47"/>
      <c r="N928" s="47"/>
      <c r="O928" s="47"/>
      <c r="P928" s="47"/>
    </row>
    <row r="929" spans="1:16" x14ac:dyDescent="0.3">
      <c r="A929" s="1">
        <v>928</v>
      </c>
      <c r="G929" s="4"/>
      <c r="H929" s="4"/>
      <c r="I929" s="47"/>
      <c r="J929" s="47" t="str">
        <f t="shared" si="27"/>
        <v/>
      </c>
      <c r="K929" s="47"/>
      <c r="L929" s="47"/>
      <c r="N929" s="47"/>
      <c r="O929" s="47"/>
      <c r="P929" s="47"/>
    </row>
    <row r="930" spans="1:16" x14ac:dyDescent="0.3">
      <c r="A930" s="1">
        <v>929</v>
      </c>
      <c r="G930" s="4"/>
      <c r="H930" s="4"/>
      <c r="I930" s="47"/>
      <c r="J930" s="47" t="str">
        <f t="shared" si="27"/>
        <v/>
      </c>
      <c r="K930" s="47"/>
      <c r="L930" s="47"/>
      <c r="N930" s="47"/>
      <c r="O930" s="47"/>
      <c r="P930" s="47"/>
    </row>
    <row r="931" spans="1:16" x14ac:dyDescent="0.3">
      <c r="A931" s="1">
        <v>930</v>
      </c>
      <c r="G931" s="4"/>
      <c r="H931" s="4"/>
      <c r="I931" s="47"/>
      <c r="J931" s="47" t="str">
        <f t="shared" si="27"/>
        <v/>
      </c>
      <c r="K931" s="47"/>
      <c r="L931" s="47"/>
      <c r="N931" s="47"/>
      <c r="O931" s="47"/>
      <c r="P931" s="47"/>
    </row>
    <row r="932" spans="1:16" x14ac:dyDescent="0.3">
      <c r="A932" s="1">
        <v>931</v>
      </c>
      <c r="G932" s="4"/>
      <c r="H932" s="4"/>
      <c r="I932" s="47"/>
      <c r="J932" s="47" t="str">
        <f t="shared" si="27"/>
        <v/>
      </c>
      <c r="K932" s="47"/>
      <c r="L932" s="47"/>
      <c r="N932" s="47"/>
      <c r="O932" s="47"/>
      <c r="P932" s="47"/>
    </row>
    <row r="933" spans="1:16" x14ac:dyDescent="0.3">
      <c r="A933" s="1">
        <v>932</v>
      </c>
      <c r="G933" s="4"/>
      <c r="H933" s="4"/>
      <c r="I933" s="47"/>
      <c r="J933" s="47" t="str">
        <f t="shared" si="27"/>
        <v/>
      </c>
      <c r="K933" s="47"/>
      <c r="L933" s="47"/>
      <c r="N933" s="47"/>
      <c r="O933" s="47"/>
      <c r="P933" s="47"/>
    </row>
    <row r="934" spans="1:16" x14ac:dyDescent="0.3">
      <c r="A934" s="1">
        <v>933</v>
      </c>
      <c r="G934" s="4"/>
      <c r="H934" s="4"/>
      <c r="I934" s="47"/>
      <c r="J934" s="47" t="str">
        <f t="shared" si="27"/>
        <v/>
      </c>
      <c r="K934" s="47"/>
      <c r="L934" s="47"/>
      <c r="N934" s="47"/>
      <c r="O934" s="47"/>
      <c r="P934" s="47"/>
    </row>
    <row r="935" spans="1:16" x14ac:dyDescent="0.3">
      <c r="A935" s="1">
        <v>934</v>
      </c>
      <c r="G935" s="4"/>
      <c r="H935" s="4"/>
      <c r="I935" s="47"/>
      <c r="J935" s="47" t="str">
        <f t="shared" si="27"/>
        <v/>
      </c>
      <c r="K935" s="47"/>
      <c r="L935" s="47"/>
      <c r="N935" s="47"/>
      <c r="O935" s="47"/>
      <c r="P935" s="47"/>
    </row>
    <row r="936" spans="1:16" x14ac:dyDescent="0.3">
      <c r="A936" s="1">
        <v>935</v>
      </c>
      <c r="G936" s="4"/>
      <c r="H936" s="4"/>
      <c r="I936" s="47"/>
      <c r="J936" s="47" t="str">
        <f t="shared" si="27"/>
        <v/>
      </c>
      <c r="K936" s="47"/>
      <c r="L936" s="47"/>
      <c r="N936" s="47"/>
      <c r="O936" s="47"/>
      <c r="P936" s="47"/>
    </row>
    <row r="937" spans="1:16" x14ac:dyDescent="0.3">
      <c r="A937" s="1">
        <v>936</v>
      </c>
      <c r="G937" s="4"/>
      <c r="H937" s="4"/>
      <c r="I937" s="47"/>
      <c r="J937" s="47" t="str">
        <f t="shared" si="27"/>
        <v/>
      </c>
      <c r="K937" s="47"/>
      <c r="L937" s="47"/>
      <c r="N937" s="47"/>
      <c r="O937" s="47"/>
      <c r="P937" s="47"/>
    </row>
    <row r="938" spans="1:16" x14ac:dyDescent="0.3">
      <c r="A938" s="1">
        <v>937</v>
      </c>
      <c r="G938" s="4"/>
      <c r="H938" s="4"/>
      <c r="I938" s="47"/>
      <c r="J938" s="47" t="str">
        <f t="shared" si="27"/>
        <v/>
      </c>
      <c r="K938" s="47"/>
      <c r="L938" s="47"/>
      <c r="N938" s="47"/>
      <c r="O938" s="47"/>
      <c r="P938" s="47"/>
    </row>
    <row r="939" spans="1:16" x14ac:dyDescent="0.3">
      <c r="A939" s="1">
        <v>938</v>
      </c>
      <c r="G939" s="4"/>
      <c r="H939" s="4"/>
      <c r="I939" s="47"/>
      <c r="J939" s="47" t="str">
        <f t="shared" si="27"/>
        <v/>
      </c>
      <c r="K939" s="47"/>
      <c r="L939" s="47"/>
      <c r="N939" s="47"/>
      <c r="O939" s="47"/>
      <c r="P939" s="47"/>
    </row>
    <row r="940" spans="1:16" x14ac:dyDescent="0.3">
      <c r="A940" s="1">
        <v>939</v>
      </c>
      <c r="G940" s="4"/>
      <c r="H940" s="4"/>
      <c r="I940" s="47"/>
      <c r="J940" s="47" t="str">
        <f t="shared" si="27"/>
        <v/>
      </c>
      <c r="K940" s="47"/>
      <c r="L940" s="47"/>
      <c r="N940" s="47"/>
      <c r="O940" s="47"/>
      <c r="P940" s="47"/>
    </row>
    <row r="941" spans="1:16" x14ac:dyDescent="0.3">
      <c r="A941" s="1">
        <v>940</v>
      </c>
      <c r="G941" s="4"/>
      <c r="H941" s="4"/>
      <c r="I941" s="47"/>
      <c r="J941" s="47" t="str">
        <f t="shared" si="27"/>
        <v/>
      </c>
      <c r="K941" s="47"/>
      <c r="L941" s="47"/>
      <c r="N941" s="47"/>
      <c r="O941" s="47"/>
      <c r="P941" s="47"/>
    </row>
    <row r="942" spans="1:16" x14ac:dyDescent="0.3">
      <c r="A942" s="1">
        <v>941</v>
      </c>
      <c r="G942" s="4"/>
      <c r="H942" s="4"/>
      <c r="I942" s="47"/>
      <c r="J942" s="47" t="str">
        <f t="shared" si="27"/>
        <v/>
      </c>
      <c r="K942" s="47"/>
      <c r="L942" s="47"/>
      <c r="N942" s="47"/>
      <c r="O942" s="47"/>
      <c r="P942" s="47"/>
    </row>
    <row r="943" spans="1:16" x14ac:dyDescent="0.3">
      <c r="A943" s="1">
        <v>942</v>
      </c>
      <c r="G943" s="4"/>
      <c r="H943" s="4"/>
      <c r="I943" s="47"/>
      <c r="J943" s="47" t="str">
        <f t="shared" si="27"/>
        <v/>
      </c>
      <c r="K943" s="47"/>
      <c r="L943" s="47"/>
      <c r="N943" s="47"/>
      <c r="O943" s="47"/>
      <c r="P943" s="47"/>
    </row>
    <row r="944" spans="1:16" x14ac:dyDescent="0.3">
      <c r="A944" s="1">
        <v>943</v>
      </c>
      <c r="G944" s="4"/>
      <c r="H944" s="4"/>
      <c r="I944" s="47"/>
      <c r="J944" s="47" t="str">
        <f t="shared" si="27"/>
        <v/>
      </c>
      <c r="K944" s="47"/>
      <c r="L944" s="47"/>
      <c r="N944" s="47"/>
      <c r="O944" s="47"/>
      <c r="P944" s="47"/>
    </row>
    <row r="945" spans="1:16" x14ac:dyDescent="0.3">
      <c r="A945" s="1">
        <v>944</v>
      </c>
      <c r="G945" s="4"/>
      <c r="H945" s="4"/>
      <c r="I945" s="47"/>
      <c r="J945" s="47" t="str">
        <f t="shared" si="27"/>
        <v/>
      </c>
      <c r="K945" s="47"/>
      <c r="L945" s="47"/>
      <c r="N945" s="47"/>
      <c r="O945" s="47"/>
      <c r="P945" s="47"/>
    </row>
    <row r="946" spans="1:16" x14ac:dyDescent="0.3">
      <c r="A946" s="1">
        <v>945</v>
      </c>
      <c r="G946" s="4"/>
      <c r="H946" s="4"/>
      <c r="I946" s="47"/>
      <c r="J946" s="47" t="str">
        <f t="shared" si="27"/>
        <v/>
      </c>
      <c r="K946" s="47"/>
      <c r="L946" s="47"/>
      <c r="N946" s="47"/>
      <c r="O946" s="47"/>
      <c r="P946" s="47"/>
    </row>
    <row r="947" spans="1:16" x14ac:dyDescent="0.3">
      <c r="A947" s="1">
        <v>946</v>
      </c>
      <c r="G947" s="4"/>
      <c r="H947" s="4"/>
      <c r="I947" s="47"/>
      <c r="J947" s="47" t="str">
        <f t="shared" si="27"/>
        <v/>
      </c>
      <c r="K947" s="47"/>
      <c r="L947" s="47"/>
      <c r="N947" s="47"/>
      <c r="O947" s="47"/>
      <c r="P947" s="47"/>
    </row>
    <row r="948" spans="1:16" x14ac:dyDescent="0.3">
      <c r="A948" s="1">
        <v>947</v>
      </c>
      <c r="G948" s="4"/>
      <c r="H948" s="4"/>
      <c r="I948" s="47"/>
      <c r="J948" s="47" t="str">
        <f t="shared" si="27"/>
        <v/>
      </c>
      <c r="K948" s="47"/>
      <c r="L948" s="47"/>
      <c r="N948" s="47"/>
      <c r="O948" s="47"/>
      <c r="P948" s="47"/>
    </row>
    <row r="949" spans="1:16" x14ac:dyDescent="0.3">
      <c r="A949" s="1">
        <v>948</v>
      </c>
      <c r="G949" s="4"/>
      <c r="H949" s="4"/>
      <c r="I949" s="47"/>
      <c r="J949" s="47" t="str">
        <f t="shared" si="27"/>
        <v/>
      </c>
      <c r="K949" s="47"/>
      <c r="L949" s="47"/>
      <c r="N949" s="47"/>
      <c r="O949" s="47"/>
      <c r="P949" s="47"/>
    </row>
    <row r="950" spans="1:16" x14ac:dyDescent="0.3">
      <c r="A950" s="1">
        <v>949</v>
      </c>
      <c r="G950" s="4"/>
      <c r="H950" s="4"/>
      <c r="I950" s="47"/>
      <c r="J950" s="47" t="str">
        <f t="shared" si="27"/>
        <v/>
      </c>
      <c r="K950" s="47"/>
      <c r="L950" s="47"/>
      <c r="N950" s="47"/>
      <c r="O950" s="47"/>
      <c r="P950" s="47"/>
    </row>
    <row r="951" spans="1:16" x14ac:dyDescent="0.3">
      <c r="A951" s="1">
        <v>950</v>
      </c>
      <c r="G951" s="4"/>
      <c r="H951" s="4"/>
      <c r="I951" s="47"/>
      <c r="J951" s="47" t="str">
        <f t="shared" si="27"/>
        <v/>
      </c>
      <c r="K951" s="47"/>
      <c r="L951" s="47"/>
      <c r="N951" s="47"/>
      <c r="O951" s="47"/>
      <c r="P951" s="47"/>
    </row>
    <row r="952" spans="1:16" x14ac:dyDescent="0.3">
      <c r="A952" s="1">
        <v>951</v>
      </c>
      <c r="G952" s="4"/>
      <c r="H952" s="4"/>
      <c r="I952" s="47"/>
      <c r="J952" s="47" t="str">
        <f t="shared" si="27"/>
        <v/>
      </c>
      <c r="K952" s="47"/>
      <c r="L952" s="47"/>
      <c r="N952" s="47"/>
      <c r="O952" s="47"/>
      <c r="P952" s="47"/>
    </row>
    <row r="953" spans="1:16" x14ac:dyDescent="0.3">
      <c r="A953" s="1">
        <v>952</v>
      </c>
      <c r="G953" s="4"/>
      <c r="H953" s="4"/>
      <c r="I953" s="47"/>
      <c r="J953" s="47" t="str">
        <f t="shared" si="27"/>
        <v/>
      </c>
      <c r="K953" s="47"/>
      <c r="L953" s="47"/>
      <c r="N953" s="47"/>
      <c r="O953" s="47"/>
      <c r="P953" s="47"/>
    </row>
    <row r="954" spans="1:16" x14ac:dyDescent="0.3">
      <c r="A954" s="1">
        <v>953</v>
      </c>
      <c r="G954" s="4"/>
      <c r="H954" s="4"/>
      <c r="I954" s="47"/>
      <c r="J954" s="47" t="str">
        <f t="shared" si="27"/>
        <v/>
      </c>
      <c r="K954" s="47"/>
      <c r="L954" s="47"/>
      <c r="N954" s="47"/>
      <c r="O954" s="47"/>
      <c r="P954" s="47"/>
    </row>
    <row r="955" spans="1:16" x14ac:dyDescent="0.3">
      <c r="A955" s="1">
        <v>954</v>
      </c>
      <c r="G955" s="4"/>
      <c r="H955" s="4"/>
      <c r="I955" s="47"/>
      <c r="J955" s="47" t="str">
        <f t="shared" si="27"/>
        <v/>
      </c>
      <c r="K955" s="47"/>
      <c r="L955" s="47"/>
      <c r="N955" s="47"/>
      <c r="O955" s="47"/>
      <c r="P955" s="47"/>
    </row>
    <row r="956" spans="1:16" x14ac:dyDescent="0.3">
      <c r="A956" s="1">
        <v>955</v>
      </c>
      <c r="G956" s="4"/>
      <c r="H956" s="4"/>
      <c r="I956" s="47"/>
      <c r="J956" s="47" t="str">
        <f t="shared" si="27"/>
        <v/>
      </c>
      <c r="K956" s="47"/>
      <c r="L956" s="47"/>
      <c r="N956" s="47"/>
      <c r="O956" s="47"/>
      <c r="P956" s="47"/>
    </row>
    <row r="957" spans="1:16" x14ac:dyDescent="0.3">
      <c r="A957" s="1">
        <v>956</v>
      </c>
      <c r="G957" s="4"/>
      <c r="H957" s="4"/>
      <c r="I957" s="47"/>
      <c r="J957" s="47" t="str">
        <f t="shared" si="27"/>
        <v/>
      </c>
      <c r="K957" s="47"/>
      <c r="L957" s="47"/>
      <c r="N957" s="47"/>
      <c r="O957" s="47"/>
      <c r="P957" s="47"/>
    </row>
    <row r="958" spans="1:16" x14ac:dyDescent="0.3">
      <c r="A958" s="1">
        <v>957</v>
      </c>
      <c r="G958" s="4"/>
      <c r="H958" s="4"/>
      <c r="I958" s="47"/>
      <c r="J958" s="47" t="str">
        <f t="shared" si="27"/>
        <v/>
      </c>
      <c r="K958" s="47"/>
      <c r="L958" s="47"/>
      <c r="N958" s="47"/>
      <c r="O958" s="47"/>
      <c r="P958" s="47"/>
    </row>
    <row r="959" spans="1:16" x14ac:dyDescent="0.3">
      <c r="A959" s="1">
        <v>958</v>
      </c>
      <c r="G959" s="4"/>
      <c r="H959" s="4"/>
      <c r="I959" s="47"/>
      <c r="J959" s="47" t="str">
        <f t="shared" si="27"/>
        <v/>
      </c>
      <c r="K959" s="47"/>
      <c r="L959" s="47"/>
      <c r="N959" s="47"/>
      <c r="O959" s="47"/>
      <c r="P959" s="47"/>
    </row>
    <row r="960" spans="1:16" x14ac:dyDescent="0.3">
      <c r="A960" s="1">
        <v>959</v>
      </c>
      <c r="G960" s="4"/>
      <c r="H960" s="4"/>
      <c r="I960" s="47"/>
      <c r="J960" s="47" t="str">
        <f t="shared" si="27"/>
        <v/>
      </c>
      <c r="K960" s="47"/>
      <c r="L960" s="47"/>
      <c r="N960" s="47"/>
      <c r="O960" s="47"/>
      <c r="P960" s="47"/>
    </row>
    <row r="961" spans="1:16" x14ac:dyDescent="0.3">
      <c r="A961" s="1">
        <v>960</v>
      </c>
      <c r="G961" s="4"/>
      <c r="H961" s="4"/>
      <c r="I961" s="47"/>
      <c r="J961" s="47" t="str">
        <f t="shared" si="27"/>
        <v/>
      </c>
      <c r="K961" s="47"/>
      <c r="L961" s="47"/>
      <c r="N961" s="47"/>
      <c r="O961" s="47"/>
      <c r="P961" s="47"/>
    </row>
    <row r="962" spans="1:16" x14ac:dyDescent="0.3">
      <c r="A962" s="1">
        <v>961</v>
      </c>
      <c r="G962" s="4"/>
      <c r="H962" s="4"/>
      <c r="I962" s="47"/>
      <c r="J962" s="47" t="str">
        <f t="shared" si="27"/>
        <v/>
      </c>
      <c r="K962" s="47"/>
      <c r="L962" s="47"/>
      <c r="N962" s="47"/>
      <c r="O962" s="47"/>
      <c r="P962" s="47"/>
    </row>
    <row r="963" spans="1:16" x14ac:dyDescent="0.3">
      <c r="A963" s="1">
        <v>962</v>
      </c>
      <c r="G963" s="4"/>
      <c r="H963" s="4"/>
      <c r="I963" s="47"/>
      <c r="J963" s="47" t="str">
        <f t="shared" ref="J963:J1026" si="28">+E963&amp;I963</f>
        <v/>
      </c>
      <c r="K963" s="47"/>
      <c r="L963" s="47"/>
      <c r="N963" s="47"/>
      <c r="O963" s="47"/>
      <c r="P963" s="47"/>
    </row>
    <row r="964" spans="1:16" x14ac:dyDescent="0.3">
      <c r="A964" s="1">
        <v>963</v>
      </c>
      <c r="G964" s="4"/>
      <c r="H964" s="4"/>
      <c r="I964" s="47"/>
      <c r="J964" s="47" t="str">
        <f t="shared" si="28"/>
        <v/>
      </c>
      <c r="K964" s="47"/>
      <c r="L964" s="47"/>
      <c r="N964" s="47"/>
      <c r="O964" s="47"/>
      <c r="P964" s="47"/>
    </row>
    <row r="965" spans="1:16" x14ac:dyDescent="0.3">
      <c r="A965" s="1">
        <v>964</v>
      </c>
      <c r="G965" s="4"/>
      <c r="H965" s="4"/>
      <c r="I965" s="47"/>
      <c r="J965" s="47" t="str">
        <f t="shared" si="28"/>
        <v/>
      </c>
      <c r="K965" s="47"/>
      <c r="L965" s="47"/>
      <c r="N965" s="47"/>
      <c r="O965" s="47"/>
      <c r="P965" s="47"/>
    </row>
    <row r="966" spans="1:16" x14ac:dyDescent="0.3">
      <c r="A966" s="1">
        <v>965</v>
      </c>
      <c r="G966" s="4"/>
      <c r="H966" s="4"/>
      <c r="I966" s="47"/>
      <c r="J966" s="47" t="str">
        <f t="shared" si="28"/>
        <v/>
      </c>
      <c r="K966" s="47"/>
      <c r="L966" s="47"/>
      <c r="N966" s="47"/>
      <c r="O966" s="47"/>
      <c r="P966" s="47"/>
    </row>
    <row r="967" spans="1:16" x14ac:dyDescent="0.3">
      <c r="A967" s="1">
        <v>966</v>
      </c>
      <c r="G967" s="4"/>
      <c r="H967" s="4"/>
      <c r="I967" s="47"/>
      <c r="J967" s="47" t="str">
        <f t="shared" si="28"/>
        <v/>
      </c>
      <c r="K967" s="47"/>
      <c r="L967" s="47"/>
      <c r="N967" s="47"/>
      <c r="O967" s="47"/>
      <c r="P967" s="47"/>
    </row>
    <row r="968" spans="1:16" x14ac:dyDescent="0.3">
      <c r="A968" s="1">
        <v>967</v>
      </c>
      <c r="G968" s="4"/>
      <c r="H968" s="4"/>
      <c r="I968" s="47"/>
      <c r="J968" s="47" t="str">
        <f t="shared" si="28"/>
        <v/>
      </c>
      <c r="K968" s="47"/>
      <c r="L968" s="47"/>
      <c r="N968" s="47"/>
      <c r="O968" s="47"/>
      <c r="P968" s="47"/>
    </row>
    <row r="969" spans="1:16" x14ac:dyDescent="0.3">
      <c r="A969" s="1">
        <v>968</v>
      </c>
      <c r="G969" s="4"/>
      <c r="H969" s="4"/>
      <c r="I969" s="47"/>
      <c r="J969" s="47" t="str">
        <f t="shared" si="28"/>
        <v/>
      </c>
      <c r="K969" s="47"/>
      <c r="L969" s="47"/>
      <c r="N969" s="47"/>
      <c r="O969" s="47"/>
      <c r="P969" s="47"/>
    </row>
    <row r="970" spans="1:16" x14ac:dyDescent="0.3">
      <c r="A970" s="1">
        <v>969</v>
      </c>
      <c r="G970" s="4"/>
      <c r="H970" s="4"/>
      <c r="I970" s="47"/>
      <c r="J970" s="47" t="str">
        <f t="shared" si="28"/>
        <v/>
      </c>
      <c r="K970" s="47"/>
      <c r="L970" s="47"/>
      <c r="N970" s="47"/>
      <c r="O970" s="47"/>
      <c r="P970" s="47"/>
    </row>
    <row r="971" spans="1:16" x14ac:dyDescent="0.3">
      <c r="A971" s="1">
        <v>970</v>
      </c>
      <c r="G971" s="4"/>
      <c r="H971" s="4"/>
      <c r="I971" s="47"/>
      <c r="J971" s="47" t="str">
        <f t="shared" si="28"/>
        <v/>
      </c>
      <c r="K971" s="47"/>
      <c r="L971" s="47"/>
      <c r="N971" s="47"/>
      <c r="O971" s="47"/>
      <c r="P971" s="47"/>
    </row>
    <row r="972" spans="1:16" x14ac:dyDescent="0.3">
      <c r="A972" s="1">
        <v>971</v>
      </c>
      <c r="G972" s="4"/>
      <c r="H972" s="4"/>
      <c r="I972" s="47"/>
      <c r="J972" s="47" t="str">
        <f t="shared" si="28"/>
        <v/>
      </c>
      <c r="K972" s="47"/>
      <c r="L972" s="47"/>
      <c r="N972" s="47"/>
      <c r="O972" s="47"/>
      <c r="P972" s="47"/>
    </row>
    <row r="973" spans="1:16" x14ac:dyDescent="0.3">
      <c r="A973" s="1">
        <v>972</v>
      </c>
      <c r="G973" s="4"/>
      <c r="H973" s="4"/>
      <c r="I973" s="47"/>
      <c r="J973" s="47" t="str">
        <f t="shared" si="28"/>
        <v/>
      </c>
      <c r="K973" s="47"/>
      <c r="L973" s="47"/>
      <c r="N973" s="47"/>
      <c r="O973" s="47"/>
      <c r="P973" s="47"/>
    </row>
    <row r="974" spans="1:16" x14ac:dyDescent="0.3">
      <c r="A974" s="1">
        <v>973</v>
      </c>
      <c r="G974" s="4"/>
      <c r="H974" s="4"/>
      <c r="I974" s="47"/>
      <c r="J974" s="47" t="str">
        <f t="shared" si="28"/>
        <v/>
      </c>
      <c r="K974" s="47"/>
      <c r="L974" s="47"/>
      <c r="N974" s="47"/>
      <c r="O974" s="47"/>
      <c r="P974" s="47"/>
    </row>
    <row r="975" spans="1:16" x14ac:dyDescent="0.3">
      <c r="A975" s="1">
        <v>974</v>
      </c>
      <c r="G975" s="4"/>
      <c r="H975" s="4"/>
      <c r="I975" s="47"/>
      <c r="J975" s="47" t="str">
        <f t="shared" si="28"/>
        <v/>
      </c>
      <c r="K975" s="47"/>
      <c r="L975" s="47"/>
      <c r="N975" s="47"/>
      <c r="O975" s="47"/>
      <c r="P975" s="47"/>
    </row>
    <row r="976" spans="1:16" x14ac:dyDescent="0.3">
      <c r="A976" s="1">
        <v>975</v>
      </c>
      <c r="G976" s="4"/>
      <c r="H976" s="4"/>
      <c r="I976" s="47"/>
      <c r="J976" s="47" t="str">
        <f t="shared" si="28"/>
        <v/>
      </c>
      <c r="K976" s="47"/>
      <c r="L976" s="47"/>
      <c r="N976" s="47"/>
      <c r="O976" s="47"/>
      <c r="P976" s="47"/>
    </row>
    <row r="977" spans="1:16" x14ac:dyDescent="0.3">
      <c r="A977" s="1">
        <v>976</v>
      </c>
      <c r="G977" s="4"/>
      <c r="H977" s="4"/>
      <c r="I977" s="47"/>
      <c r="J977" s="47" t="str">
        <f t="shared" si="28"/>
        <v/>
      </c>
      <c r="K977" s="47"/>
      <c r="L977" s="47"/>
      <c r="N977" s="47"/>
      <c r="O977" s="47"/>
      <c r="P977" s="47"/>
    </row>
    <row r="978" spans="1:16" x14ac:dyDescent="0.3">
      <c r="A978" s="1">
        <v>977</v>
      </c>
      <c r="G978" s="4"/>
      <c r="H978" s="4"/>
      <c r="I978" s="47"/>
      <c r="J978" s="47" t="str">
        <f t="shared" si="28"/>
        <v/>
      </c>
      <c r="K978" s="47"/>
      <c r="L978" s="47"/>
      <c r="N978" s="47"/>
      <c r="O978" s="47"/>
      <c r="P978" s="47"/>
    </row>
    <row r="979" spans="1:16" x14ac:dyDescent="0.3">
      <c r="A979" s="1">
        <v>978</v>
      </c>
      <c r="G979" s="4"/>
      <c r="H979" s="4"/>
      <c r="I979" s="47"/>
      <c r="J979" s="47" t="str">
        <f t="shared" si="28"/>
        <v/>
      </c>
      <c r="K979" s="47"/>
      <c r="L979" s="47"/>
      <c r="N979" s="47"/>
      <c r="O979" s="47"/>
      <c r="P979" s="47"/>
    </row>
    <row r="980" spans="1:16" x14ac:dyDescent="0.3">
      <c r="A980" s="1">
        <v>979</v>
      </c>
      <c r="G980" s="4"/>
      <c r="H980" s="4"/>
      <c r="I980" s="47"/>
      <c r="J980" s="47" t="str">
        <f t="shared" si="28"/>
        <v/>
      </c>
      <c r="K980" s="47"/>
      <c r="L980" s="47"/>
      <c r="N980" s="47"/>
      <c r="O980" s="47"/>
      <c r="P980" s="47"/>
    </row>
    <row r="981" spans="1:16" x14ac:dyDescent="0.3">
      <c r="A981" s="1">
        <v>980</v>
      </c>
      <c r="G981" s="4"/>
      <c r="H981" s="4"/>
      <c r="I981" s="47"/>
      <c r="J981" s="47" t="str">
        <f t="shared" si="28"/>
        <v/>
      </c>
      <c r="K981" s="47"/>
      <c r="L981" s="47"/>
      <c r="N981" s="47"/>
      <c r="O981" s="47"/>
      <c r="P981" s="47"/>
    </row>
    <row r="982" spans="1:16" x14ac:dyDescent="0.3">
      <c r="A982" s="1">
        <v>981</v>
      </c>
      <c r="G982" s="4"/>
      <c r="H982" s="4"/>
      <c r="I982" s="47"/>
      <c r="J982" s="47" t="str">
        <f t="shared" si="28"/>
        <v/>
      </c>
      <c r="K982" s="47"/>
      <c r="L982" s="47"/>
      <c r="N982" s="47"/>
      <c r="O982" s="47"/>
      <c r="P982" s="47"/>
    </row>
    <row r="983" spans="1:16" x14ac:dyDescent="0.3">
      <c r="A983" s="1">
        <v>982</v>
      </c>
      <c r="G983" s="4"/>
      <c r="H983" s="4"/>
      <c r="I983" s="47"/>
      <c r="J983" s="47" t="str">
        <f t="shared" si="28"/>
        <v/>
      </c>
      <c r="K983" s="47"/>
      <c r="L983" s="47"/>
      <c r="N983" s="47"/>
      <c r="O983" s="47"/>
      <c r="P983" s="47"/>
    </row>
    <row r="984" spans="1:16" x14ac:dyDescent="0.3">
      <c r="A984" s="1">
        <v>983</v>
      </c>
      <c r="G984" s="4"/>
      <c r="H984" s="4"/>
      <c r="I984" s="47"/>
      <c r="J984" s="47" t="str">
        <f t="shared" si="28"/>
        <v/>
      </c>
      <c r="K984" s="47"/>
      <c r="L984" s="47"/>
      <c r="N984" s="47"/>
      <c r="O984" s="47"/>
      <c r="P984" s="47"/>
    </row>
    <row r="985" spans="1:16" x14ac:dyDescent="0.3">
      <c r="A985" s="1">
        <v>984</v>
      </c>
      <c r="G985" s="4"/>
      <c r="H985" s="4"/>
      <c r="I985" s="47"/>
      <c r="J985" s="47" t="str">
        <f t="shared" si="28"/>
        <v/>
      </c>
      <c r="K985" s="47"/>
      <c r="L985" s="47"/>
      <c r="N985" s="47"/>
      <c r="O985" s="47"/>
      <c r="P985" s="47"/>
    </row>
    <row r="986" spans="1:16" x14ac:dyDescent="0.3">
      <c r="A986" s="1">
        <v>985</v>
      </c>
      <c r="G986" s="4"/>
      <c r="H986" s="4"/>
      <c r="I986" s="47"/>
      <c r="J986" s="47" t="str">
        <f t="shared" si="28"/>
        <v/>
      </c>
      <c r="K986" s="47"/>
      <c r="L986" s="47"/>
      <c r="N986" s="47"/>
      <c r="O986" s="47"/>
      <c r="P986" s="47"/>
    </row>
    <row r="987" spans="1:16" x14ac:dyDescent="0.3">
      <c r="A987" s="1">
        <v>986</v>
      </c>
      <c r="G987" s="4"/>
      <c r="H987" s="4"/>
      <c r="I987" s="47"/>
      <c r="J987" s="47" t="str">
        <f t="shared" si="28"/>
        <v/>
      </c>
      <c r="K987" s="47"/>
      <c r="L987" s="47"/>
      <c r="N987" s="47"/>
      <c r="O987" s="47"/>
      <c r="P987" s="47"/>
    </row>
    <row r="988" spans="1:16" x14ac:dyDescent="0.3">
      <c r="A988" s="1">
        <v>987</v>
      </c>
      <c r="G988" s="4"/>
      <c r="H988" s="4"/>
      <c r="I988" s="47"/>
      <c r="J988" s="47" t="str">
        <f t="shared" si="28"/>
        <v/>
      </c>
      <c r="K988" s="47"/>
      <c r="L988" s="47"/>
      <c r="N988" s="47"/>
      <c r="O988" s="47"/>
      <c r="P988" s="47"/>
    </row>
    <row r="989" spans="1:16" x14ac:dyDescent="0.3">
      <c r="A989" s="1">
        <v>988</v>
      </c>
      <c r="G989" s="4"/>
      <c r="H989" s="4"/>
      <c r="I989" s="47"/>
      <c r="J989" s="47" t="str">
        <f t="shared" si="28"/>
        <v/>
      </c>
      <c r="K989" s="47"/>
      <c r="L989" s="47"/>
      <c r="N989" s="47"/>
      <c r="O989" s="47"/>
      <c r="P989" s="47"/>
    </row>
    <row r="990" spans="1:16" x14ac:dyDescent="0.3">
      <c r="A990" s="1">
        <v>989</v>
      </c>
      <c r="G990" s="4"/>
      <c r="H990" s="4"/>
      <c r="I990" s="47"/>
      <c r="J990" s="47" t="str">
        <f t="shared" si="28"/>
        <v/>
      </c>
      <c r="K990" s="47"/>
      <c r="L990" s="47"/>
      <c r="N990" s="47"/>
      <c r="O990" s="47"/>
      <c r="P990" s="47"/>
    </row>
    <row r="991" spans="1:16" x14ac:dyDescent="0.3">
      <c r="A991" s="1">
        <v>990</v>
      </c>
      <c r="G991" s="4"/>
      <c r="H991" s="4"/>
      <c r="I991" s="47"/>
      <c r="J991" s="47" t="str">
        <f t="shared" si="28"/>
        <v/>
      </c>
      <c r="K991" s="47"/>
      <c r="L991" s="47"/>
      <c r="N991" s="47"/>
      <c r="O991" s="47"/>
      <c r="P991" s="47"/>
    </row>
    <row r="992" spans="1:16" x14ac:dyDescent="0.3">
      <c r="A992" s="1">
        <v>991</v>
      </c>
      <c r="G992" s="4"/>
      <c r="H992" s="4"/>
      <c r="I992" s="47"/>
      <c r="J992" s="47" t="str">
        <f t="shared" si="28"/>
        <v/>
      </c>
      <c r="K992" s="47"/>
      <c r="L992" s="47"/>
      <c r="N992" s="47"/>
      <c r="O992" s="47"/>
      <c r="P992" s="47"/>
    </row>
    <row r="993" spans="1:16" x14ac:dyDescent="0.3">
      <c r="A993" s="1">
        <v>992</v>
      </c>
      <c r="G993" s="4"/>
      <c r="H993" s="4"/>
      <c r="I993" s="47"/>
      <c r="J993" s="47" t="str">
        <f t="shared" si="28"/>
        <v/>
      </c>
      <c r="K993" s="47"/>
      <c r="L993" s="47"/>
      <c r="N993" s="47"/>
      <c r="O993" s="47"/>
      <c r="P993" s="47"/>
    </row>
    <row r="994" spans="1:16" x14ac:dyDescent="0.3">
      <c r="A994" s="1">
        <v>993</v>
      </c>
      <c r="G994" s="4"/>
      <c r="H994" s="4"/>
      <c r="I994" s="47"/>
      <c r="J994" s="47" t="str">
        <f t="shared" si="28"/>
        <v/>
      </c>
      <c r="K994" s="47"/>
      <c r="L994" s="47"/>
      <c r="N994" s="47"/>
      <c r="O994" s="47"/>
      <c r="P994" s="47"/>
    </row>
    <row r="995" spans="1:16" x14ac:dyDescent="0.3">
      <c r="A995" s="1">
        <v>994</v>
      </c>
      <c r="G995" s="4"/>
      <c r="H995" s="4"/>
      <c r="I995" s="47"/>
      <c r="J995" s="47" t="str">
        <f t="shared" si="28"/>
        <v/>
      </c>
      <c r="K995" s="47"/>
      <c r="L995" s="47"/>
      <c r="N995" s="47"/>
      <c r="O995" s="47"/>
      <c r="P995" s="47"/>
    </row>
    <row r="996" spans="1:16" x14ac:dyDescent="0.3">
      <c r="A996" s="1">
        <v>995</v>
      </c>
      <c r="G996" s="4"/>
      <c r="H996" s="4"/>
      <c r="I996" s="47"/>
      <c r="J996" s="47" t="str">
        <f t="shared" si="28"/>
        <v/>
      </c>
      <c r="K996" s="47"/>
      <c r="L996" s="47"/>
      <c r="N996" s="47"/>
      <c r="O996" s="47"/>
      <c r="P996" s="47"/>
    </row>
    <row r="997" spans="1:16" x14ac:dyDescent="0.3">
      <c r="A997" s="1">
        <v>996</v>
      </c>
      <c r="G997" s="4"/>
      <c r="H997" s="4"/>
      <c r="I997" s="47"/>
      <c r="J997" s="47" t="str">
        <f t="shared" si="28"/>
        <v/>
      </c>
      <c r="K997" s="47"/>
      <c r="L997" s="47"/>
      <c r="N997" s="47"/>
      <c r="O997" s="47"/>
      <c r="P997" s="47"/>
    </row>
    <row r="998" spans="1:16" x14ac:dyDescent="0.3">
      <c r="A998" s="1">
        <v>997</v>
      </c>
      <c r="G998" s="4"/>
      <c r="H998" s="4"/>
      <c r="I998" s="47"/>
      <c r="J998" s="47" t="str">
        <f t="shared" si="28"/>
        <v/>
      </c>
      <c r="K998" s="47"/>
      <c r="L998" s="47"/>
      <c r="N998" s="47"/>
      <c r="O998" s="47"/>
      <c r="P998" s="47"/>
    </row>
    <row r="999" spans="1:16" x14ac:dyDescent="0.3">
      <c r="A999" s="1">
        <v>998</v>
      </c>
      <c r="G999" s="4"/>
      <c r="H999" s="4"/>
      <c r="I999" s="47"/>
      <c r="J999" s="47" t="str">
        <f t="shared" si="28"/>
        <v/>
      </c>
      <c r="K999" s="47"/>
      <c r="L999" s="47"/>
      <c r="N999" s="47"/>
      <c r="O999" s="47"/>
      <c r="P999" s="47"/>
    </row>
    <row r="1000" spans="1:16" x14ac:dyDescent="0.3">
      <c r="A1000" s="1">
        <v>999</v>
      </c>
      <c r="G1000" s="4"/>
      <c r="H1000" s="4"/>
      <c r="I1000" s="47"/>
      <c r="J1000" s="47" t="str">
        <f t="shared" si="28"/>
        <v/>
      </c>
      <c r="K1000" s="47"/>
      <c r="L1000" s="47"/>
      <c r="N1000" s="47"/>
      <c r="O1000" s="47"/>
      <c r="P1000" s="47"/>
    </row>
    <row r="1001" spans="1:16" x14ac:dyDescent="0.3">
      <c r="A1001" s="1">
        <v>1000</v>
      </c>
      <c r="G1001" s="4"/>
      <c r="H1001" s="4"/>
      <c r="I1001" s="47"/>
      <c r="J1001" s="47" t="str">
        <f t="shared" si="28"/>
        <v/>
      </c>
      <c r="K1001" s="47"/>
      <c r="L1001" s="47"/>
      <c r="N1001" s="47"/>
      <c r="O1001" s="47"/>
      <c r="P1001" s="47"/>
    </row>
    <row r="1002" spans="1:16" x14ac:dyDescent="0.3">
      <c r="A1002" s="1">
        <v>1001</v>
      </c>
      <c r="G1002" s="4"/>
      <c r="H1002" s="4"/>
      <c r="I1002" s="47"/>
      <c r="J1002" s="47" t="str">
        <f t="shared" si="28"/>
        <v/>
      </c>
      <c r="K1002" s="47"/>
      <c r="L1002" s="47"/>
      <c r="N1002" s="47"/>
      <c r="O1002" s="47"/>
      <c r="P1002" s="47"/>
    </row>
    <row r="1003" spans="1:16" x14ac:dyDescent="0.3">
      <c r="A1003" s="1">
        <v>1002</v>
      </c>
      <c r="G1003" s="4"/>
      <c r="H1003" s="4"/>
      <c r="I1003" s="47"/>
      <c r="J1003" s="47" t="str">
        <f t="shared" si="28"/>
        <v/>
      </c>
      <c r="K1003" s="47"/>
      <c r="L1003" s="47"/>
      <c r="N1003" s="47"/>
      <c r="O1003" s="47"/>
      <c r="P1003" s="47"/>
    </row>
    <row r="1004" spans="1:16" x14ac:dyDescent="0.3">
      <c r="A1004" s="1">
        <v>1003</v>
      </c>
      <c r="G1004" s="4"/>
      <c r="H1004" s="4"/>
      <c r="I1004" s="47"/>
      <c r="J1004" s="47" t="str">
        <f t="shared" si="28"/>
        <v/>
      </c>
      <c r="K1004" s="47"/>
      <c r="L1004" s="47"/>
      <c r="N1004" s="47"/>
      <c r="O1004" s="47"/>
      <c r="P1004" s="47"/>
    </row>
    <row r="1005" spans="1:16" x14ac:dyDescent="0.3">
      <c r="A1005" s="1">
        <v>1004</v>
      </c>
      <c r="G1005" s="4"/>
      <c r="H1005" s="4"/>
      <c r="I1005" s="47"/>
      <c r="J1005" s="47" t="str">
        <f t="shared" si="28"/>
        <v/>
      </c>
      <c r="K1005" s="47"/>
      <c r="L1005" s="47"/>
      <c r="N1005" s="47"/>
      <c r="O1005" s="47"/>
      <c r="P1005" s="47"/>
    </row>
    <row r="1006" spans="1:16" x14ac:dyDescent="0.3">
      <c r="A1006" s="1">
        <v>1005</v>
      </c>
      <c r="G1006" s="4"/>
      <c r="H1006" s="4"/>
      <c r="I1006" s="47"/>
      <c r="J1006" s="47" t="str">
        <f t="shared" si="28"/>
        <v/>
      </c>
      <c r="K1006" s="47"/>
      <c r="L1006" s="47"/>
      <c r="N1006" s="47"/>
      <c r="O1006" s="47"/>
      <c r="P1006" s="47"/>
    </row>
    <row r="1007" spans="1:16" x14ac:dyDescent="0.3">
      <c r="A1007" s="1">
        <v>1006</v>
      </c>
      <c r="G1007" s="4"/>
      <c r="H1007" s="4"/>
      <c r="I1007" s="47"/>
      <c r="J1007" s="47" t="str">
        <f t="shared" si="28"/>
        <v/>
      </c>
      <c r="K1007" s="47"/>
      <c r="L1007" s="47"/>
      <c r="N1007" s="47"/>
      <c r="O1007" s="47"/>
      <c r="P1007" s="47"/>
    </row>
    <row r="1008" spans="1:16" x14ac:dyDescent="0.3">
      <c r="A1008" s="1">
        <v>1007</v>
      </c>
      <c r="G1008" s="4"/>
      <c r="H1008" s="4"/>
      <c r="I1008" s="47"/>
      <c r="J1008" s="47" t="str">
        <f t="shared" si="28"/>
        <v/>
      </c>
      <c r="K1008" s="47"/>
      <c r="L1008" s="47"/>
      <c r="N1008" s="47"/>
      <c r="O1008" s="47"/>
      <c r="P1008" s="47"/>
    </row>
    <row r="1009" spans="1:16" x14ac:dyDescent="0.3">
      <c r="A1009" s="1">
        <v>1008</v>
      </c>
      <c r="G1009" s="4"/>
      <c r="H1009" s="4"/>
      <c r="I1009" s="47"/>
      <c r="J1009" s="47" t="str">
        <f t="shared" si="28"/>
        <v/>
      </c>
      <c r="K1009" s="47"/>
      <c r="L1009" s="47"/>
      <c r="N1009" s="47"/>
      <c r="O1009" s="47"/>
      <c r="P1009" s="47"/>
    </row>
    <row r="1010" spans="1:16" x14ac:dyDescent="0.3">
      <c r="A1010" s="1">
        <v>1009</v>
      </c>
      <c r="G1010" s="4"/>
      <c r="H1010" s="4"/>
      <c r="I1010" s="47"/>
      <c r="J1010" s="47" t="str">
        <f t="shared" si="28"/>
        <v/>
      </c>
      <c r="K1010" s="47"/>
      <c r="L1010" s="47"/>
      <c r="N1010" s="47"/>
      <c r="O1010" s="47"/>
      <c r="P1010" s="47"/>
    </row>
    <row r="1011" spans="1:16" x14ac:dyDescent="0.3">
      <c r="A1011" s="1">
        <v>1010</v>
      </c>
      <c r="G1011" s="4"/>
      <c r="H1011" s="4"/>
      <c r="I1011" s="47"/>
      <c r="J1011" s="47" t="str">
        <f t="shared" si="28"/>
        <v/>
      </c>
      <c r="K1011" s="47"/>
      <c r="L1011" s="47"/>
      <c r="N1011" s="47"/>
      <c r="O1011" s="47"/>
      <c r="P1011" s="47"/>
    </row>
    <row r="1012" spans="1:16" x14ac:dyDescent="0.3">
      <c r="A1012" s="1">
        <v>1011</v>
      </c>
      <c r="G1012" s="4"/>
      <c r="H1012" s="4"/>
      <c r="I1012" s="47"/>
      <c r="J1012" s="47" t="str">
        <f t="shared" si="28"/>
        <v/>
      </c>
      <c r="K1012" s="47"/>
      <c r="L1012" s="47"/>
      <c r="N1012" s="47"/>
      <c r="O1012" s="47"/>
      <c r="P1012" s="47"/>
    </row>
    <row r="1013" spans="1:16" x14ac:dyDescent="0.3">
      <c r="A1013" s="1">
        <v>1012</v>
      </c>
      <c r="G1013" s="4"/>
      <c r="H1013" s="4"/>
      <c r="I1013" s="47"/>
      <c r="J1013" s="47" t="str">
        <f t="shared" si="28"/>
        <v/>
      </c>
      <c r="K1013" s="47"/>
      <c r="L1013" s="47"/>
      <c r="N1013" s="47"/>
      <c r="O1013" s="47"/>
      <c r="P1013" s="47"/>
    </row>
    <row r="1014" spans="1:16" x14ac:dyDescent="0.3">
      <c r="A1014" s="1">
        <v>1013</v>
      </c>
      <c r="G1014" s="4"/>
      <c r="H1014" s="4"/>
      <c r="I1014" s="47"/>
      <c r="J1014" s="47" t="str">
        <f t="shared" si="28"/>
        <v/>
      </c>
      <c r="K1014" s="47"/>
      <c r="L1014" s="47"/>
      <c r="N1014" s="47"/>
      <c r="O1014" s="47"/>
      <c r="P1014" s="47"/>
    </row>
    <row r="1015" spans="1:16" x14ac:dyDescent="0.3">
      <c r="A1015" s="1">
        <v>1014</v>
      </c>
      <c r="G1015" s="4"/>
      <c r="H1015" s="4"/>
      <c r="I1015" s="47"/>
      <c r="J1015" s="47" t="str">
        <f t="shared" si="28"/>
        <v/>
      </c>
      <c r="K1015" s="47"/>
      <c r="L1015" s="47"/>
      <c r="N1015" s="47"/>
      <c r="O1015" s="47"/>
      <c r="P1015" s="47"/>
    </row>
    <row r="1016" spans="1:16" x14ac:dyDescent="0.3">
      <c r="A1016" s="1">
        <v>1015</v>
      </c>
      <c r="G1016" s="4"/>
      <c r="H1016" s="4"/>
      <c r="I1016" s="47"/>
      <c r="J1016" s="47" t="str">
        <f t="shared" si="28"/>
        <v/>
      </c>
      <c r="K1016" s="47"/>
      <c r="L1016" s="47"/>
      <c r="N1016" s="47"/>
      <c r="O1016" s="47"/>
      <c r="P1016" s="47"/>
    </row>
    <row r="1017" spans="1:16" x14ac:dyDescent="0.3">
      <c r="A1017" s="1">
        <v>1016</v>
      </c>
      <c r="G1017" s="4"/>
      <c r="H1017" s="4"/>
      <c r="I1017" s="47"/>
      <c r="J1017" s="47" t="str">
        <f t="shared" si="28"/>
        <v/>
      </c>
      <c r="K1017" s="47"/>
      <c r="L1017" s="47"/>
      <c r="N1017" s="47"/>
      <c r="O1017" s="47"/>
      <c r="P1017" s="47"/>
    </row>
    <row r="1018" spans="1:16" x14ac:dyDescent="0.3">
      <c r="A1018" s="1">
        <v>1017</v>
      </c>
      <c r="G1018" s="4"/>
      <c r="H1018" s="4"/>
      <c r="I1018" s="47"/>
      <c r="J1018" s="47" t="str">
        <f t="shared" si="28"/>
        <v/>
      </c>
      <c r="K1018" s="47"/>
      <c r="L1018" s="47"/>
      <c r="N1018" s="47"/>
      <c r="O1018" s="47"/>
      <c r="P1018" s="47"/>
    </row>
    <row r="1019" spans="1:16" x14ac:dyDescent="0.3">
      <c r="A1019" s="1">
        <v>1018</v>
      </c>
      <c r="G1019" s="4"/>
      <c r="H1019" s="4"/>
      <c r="I1019" s="47"/>
      <c r="J1019" s="47" t="str">
        <f t="shared" si="28"/>
        <v/>
      </c>
      <c r="K1019" s="47"/>
      <c r="L1019" s="47"/>
      <c r="N1019" s="47"/>
      <c r="O1019" s="47"/>
      <c r="P1019" s="47"/>
    </row>
    <row r="1020" spans="1:16" x14ac:dyDescent="0.3">
      <c r="A1020" s="1">
        <v>1019</v>
      </c>
      <c r="G1020" s="4"/>
      <c r="H1020" s="4"/>
      <c r="I1020" s="47"/>
      <c r="J1020" s="47" t="str">
        <f t="shared" si="28"/>
        <v/>
      </c>
      <c r="K1020" s="47"/>
      <c r="L1020" s="47"/>
      <c r="N1020" s="47"/>
      <c r="O1020" s="47"/>
      <c r="P1020" s="47"/>
    </row>
    <row r="1021" spans="1:16" x14ac:dyDescent="0.3">
      <c r="A1021" s="1">
        <v>1020</v>
      </c>
      <c r="G1021" s="4"/>
      <c r="H1021" s="4"/>
      <c r="I1021" s="47"/>
      <c r="J1021" s="47" t="str">
        <f t="shared" si="28"/>
        <v/>
      </c>
      <c r="K1021" s="47"/>
      <c r="L1021" s="47"/>
      <c r="N1021" s="47"/>
      <c r="O1021" s="47"/>
      <c r="P1021" s="47"/>
    </row>
    <row r="1022" spans="1:16" x14ac:dyDescent="0.3">
      <c r="A1022" s="1">
        <v>1021</v>
      </c>
      <c r="G1022" s="4"/>
      <c r="H1022" s="4"/>
      <c r="I1022" s="47"/>
      <c r="J1022" s="47" t="str">
        <f t="shared" si="28"/>
        <v/>
      </c>
      <c r="K1022" s="47"/>
      <c r="L1022" s="47"/>
      <c r="N1022" s="47"/>
      <c r="O1022" s="47"/>
      <c r="P1022" s="47"/>
    </row>
    <row r="1023" spans="1:16" x14ac:dyDescent="0.3">
      <c r="A1023" s="1">
        <v>1022</v>
      </c>
      <c r="G1023" s="4"/>
      <c r="H1023" s="4"/>
      <c r="I1023" s="47"/>
      <c r="J1023" s="47" t="str">
        <f t="shared" si="28"/>
        <v/>
      </c>
      <c r="K1023" s="47"/>
      <c r="L1023" s="47"/>
      <c r="N1023" s="47"/>
      <c r="O1023" s="47"/>
      <c r="P1023" s="47"/>
    </row>
    <row r="1024" spans="1:16" x14ac:dyDescent="0.3">
      <c r="A1024" s="1">
        <v>1023</v>
      </c>
      <c r="G1024" s="4"/>
      <c r="H1024" s="4"/>
      <c r="I1024" s="47"/>
      <c r="J1024" s="47" t="str">
        <f t="shared" si="28"/>
        <v/>
      </c>
      <c r="K1024" s="47"/>
      <c r="L1024" s="47"/>
      <c r="N1024" s="47"/>
      <c r="O1024" s="47"/>
      <c r="P1024" s="47"/>
    </row>
    <row r="1025" spans="1:16" x14ac:dyDescent="0.3">
      <c r="A1025" s="1">
        <v>1024</v>
      </c>
      <c r="G1025" s="4"/>
      <c r="H1025" s="4"/>
      <c r="I1025" s="47"/>
      <c r="J1025" s="47" t="str">
        <f t="shared" si="28"/>
        <v/>
      </c>
      <c r="K1025" s="47"/>
      <c r="L1025" s="47"/>
      <c r="N1025" s="47"/>
      <c r="O1025" s="47"/>
      <c r="P1025" s="47"/>
    </row>
    <row r="1026" spans="1:16" x14ac:dyDescent="0.3">
      <c r="A1026" s="1">
        <v>1025</v>
      </c>
      <c r="G1026" s="4"/>
      <c r="H1026" s="4"/>
      <c r="I1026" s="47"/>
      <c r="J1026" s="47" t="str">
        <f t="shared" si="28"/>
        <v/>
      </c>
      <c r="K1026" s="47"/>
      <c r="L1026" s="47"/>
      <c r="N1026" s="47"/>
      <c r="O1026" s="47"/>
      <c r="P1026" s="47"/>
    </row>
    <row r="1027" spans="1:16" x14ac:dyDescent="0.3">
      <c r="A1027" s="1">
        <v>1026</v>
      </c>
      <c r="G1027" s="4"/>
      <c r="H1027" s="4"/>
      <c r="I1027" s="47"/>
      <c r="J1027" s="47" t="str">
        <f t="shared" ref="J1027:J1090" si="29">+E1027&amp;I1027</f>
        <v/>
      </c>
      <c r="K1027" s="47"/>
      <c r="L1027" s="47"/>
      <c r="N1027" s="47"/>
      <c r="O1027" s="47"/>
      <c r="P1027" s="47"/>
    </row>
    <row r="1028" spans="1:16" x14ac:dyDescent="0.3">
      <c r="A1028" s="1">
        <v>1027</v>
      </c>
      <c r="G1028" s="4"/>
      <c r="H1028" s="4"/>
      <c r="I1028" s="47"/>
      <c r="J1028" s="47" t="str">
        <f t="shared" si="29"/>
        <v/>
      </c>
      <c r="K1028" s="47"/>
      <c r="L1028" s="47"/>
      <c r="N1028" s="47"/>
      <c r="O1028" s="47"/>
      <c r="P1028" s="47"/>
    </row>
    <row r="1029" spans="1:16" x14ac:dyDescent="0.3">
      <c r="A1029" s="1">
        <v>1028</v>
      </c>
      <c r="G1029" s="4"/>
      <c r="H1029" s="4"/>
      <c r="I1029" s="47"/>
      <c r="J1029" s="47" t="str">
        <f t="shared" si="29"/>
        <v/>
      </c>
      <c r="K1029" s="47"/>
      <c r="L1029" s="47"/>
      <c r="N1029" s="47"/>
      <c r="O1029" s="47"/>
      <c r="P1029" s="47"/>
    </row>
    <row r="1030" spans="1:16" x14ac:dyDescent="0.3">
      <c r="A1030" s="1">
        <v>1029</v>
      </c>
      <c r="G1030" s="4"/>
      <c r="H1030" s="4"/>
      <c r="I1030" s="47"/>
      <c r="J1030" s="47" t="str">
        <f t="shared" si="29"/>
        <v/>
      </c>
      <c r="K1030" s="47"/>
      <c r="L1030" s="47"/>
      <c r="N1030" s="47"/>
      <c r="O1030" s="47"/>
      <c r="P1030" s="47"/>
    </row>
    <row r="1031" spans="1:16" x14ac:dyDescent="0.3">
      <c r="A1031" s="1">
        <v>1030</v>
      </c>
      <c r="G1031" s="4"/>
      <c r="H1031" s="4"/>
      <c r="I1031" s="47"/>
      <c r="J1031" s="47" t="str">
        <f t="shared" si="29"/>
        <v/>
      </c>
      <c r="K1031" s="47"/>
      <c r="L1031" s="47"/>
      <c r="N1031" s="47"/>
      <c r="O1031" s="47"/>
      <c r="P1031" s="47"/>
    </row>
    <row r="1032" spans="1:16" x14ac:dyDescent="0.3">
      <c r="A1032" s="1">
        <v>1031</v>
      </c>
      <c r="G1032" s="4"/>
      <c r="H1032" s="4"/>
      <c r="I1032" s="47"/>
      <c r="J1032" s="47" t="str">
        <f t="shared" si="29"/>
        <v/>
      </c>
      <c r="K1032" s="47"/>
      <c r="L1032" s="47"/>
      <c r="N1032" s="47"/>
      <c r="O1032" s="47"/>
      <c r="P1032" s="47"/>
    </row>
    <row r="1033" spans="1:16" x14ac:dyDescent="0.3">
      <c r="A1033" s="1">
        <v>1032</v>
      </c>
      <c r="G1033" s="4"/>
      <c r="H1033" s="4"/>
      <c r="I1033" s="47"/>
      <c r="J1033" s="47" t="str">
        <f t="shared" si="29"/>
        <v/>
      </c>
      <c r="K1033" s="47"/>
      <c r="L1033" s="47"/>
      <c r="N1033" s="47"/>
      <c r="O1033" s="47"/>
      <c r="P1033" s="47"/>
    </row>
    <row r="1034" spans="1:16" x14ac:dyDescent="0.3">
      <c r="A1034" s="1">
        <v>1033</v>
      </c>
      <c r="G1034" s="4"/>
      <c r="H1034" s="4"/>
      <c r="I1034" s="47"/>
      <c r="J1034" s="47" t="str">
        <f t="shared" si="29"/>
        <v/>
      </c>
      <c r="K1034" s="47"/>
      <c r="L1034" s="47"/>
      <c r="N1034" s="47"/>
      <c r="O1034" s="47"/>
      <c r="P1034" s="47"/>
    </row>
    <row r="1035" spans="1:16" x14ac:dyDescent="0.3">
      <c r="A1035" s="1">
        <v>1034</v>
      </c>
      <c r="G1035" s="4"/>
      <c r="H1035" s="4"/>
      <c r="I1035" s="47"/>
      <c r="J1035" s="47" t="str">
        <f t="shared" si="29"/>
        <v/>
      </c>
      <c r="K1035" s="47"/>
      <c r="L1035" s="47"/>
      <c r="N1035" s="47"/>
      <c r="O1035" s="47"/>
      <c r="P1035" s="47"/>
    </row>
    <row r="1036" spans="1:16" x14ac:dyDescent="0.3">
      <c r="A1036" s="1">
        <v>1035</v>
      </c>
      <c r="G1036" s="4"/>
      <c r="H1036" s="4"/>
      <c r="I1036" s="47"/>
      <c r="J1036" s="47" t="str">
        <f t="shared" si="29"/>
        <v/>
      </c>
      <c r="K1036" s="47"/>
      <c r="L1036" s="47"/>
      <c r="N1036" s="47"/>
      <c r="O1036" s="47"/>
      <c r="P1036" s="47"/>
    </row>
    <row r="1037" spans="1:16" x14ac:dyDescent="0.3">
      <c r="A1037" s="1">
        <v>1036</v>
      </c>
      <c r="G1037" s="4"/>
      <c r="H1037" s="4"/>
      <c r="I1037" s="47"/>
      <c r="J1037" s="47" t="str">
        <f t="shared" si="29"/>
        <v/>
      </c>
      <c r="K1037" s="47"/>
      <c r="L1037" s="47"/>
      <c r="N1037" s="47"/>
      <c r="O1037" s="47"/>
      <c r="P1037" s="47"/>
    </row>
    <row r="1038" spans="1:16" x14ac:dyDescent="0.3">
      <c r="A1038" s="1">
        <v>1037</v>
      </c>
      <c r="G1038" s="4"/>
      <c r="H1038" s="4"/>
      <c r="I1038" s="47"/>
      <c r="J1038" s="47" t="str">
        <f t="shared" si="29"/>
        <v/>
      </c>
      <c r="K1038" s="47"/>
      <c r="L1038" s="47"/>
      <c r="N1038" s="47"/>
      <c r="O1038" s="47"/>
      <c r="P1038" s="47"/>
    </row>
    <row r="1039" spans="1:16" x14ac:dyDescent="0.3">
      <c r="A1039" s="1">
        <v>1038</v>
      </c>
      <c r="G1039" s="4"/>
      <c r="H1039" s="4"/>
      <c r="I1039" s="47"/>
      <c r="J1039" s="47" t="str">
        <f t="shared" si="29"/>
        <v/>
      </c>
      <c r="K1039" s="47"/>
      <c r="L1039" s="47"/>
      <c r="N1039" s="47"/>
      <c r="O1039" s="47"/>
      <c r="P1039" s="47"/>
    </row>
    <row r="1040" spans="1:16" x14ac:dyDescent="0.3">
      <c r="A1040" s="1">
        <v>1039</v>
      </c>
      <c r="G1040" s="4"/>
      <c r="H1040" s="4"/>
      <c r="I1040" s="47"/>
      <c r="J1040" s="47" t="str">
        <f t="shared" si="29"/>
        <v/>
      </c>
      <c r="K1040" s="47"/>
      <c r="L1040" s="47"/>
      <c r="N1040" s="47"/>
      <c r="O1040" s="47"/>
      <c r="P1040" s="47"/>
    </row>
    <row r="1041" spans="1:16" x14ac:dyDescent="0.3">
      <c r="A1041" s="1">
        <v>1040</v>
      </c>
      <c r="G1041" s="4"/>
      <c r="H1041" s="4"/>
      <c r="I1041" s="47"/>
      <c r="J1041" s="47" t="str">
        <f t="shared" si="29"/>
        <v/>
      </c>
      <c r="K1041" s="47"/>
      <c r="L1041" s="47"/>
      <c r="N1041" s="47"/>
      <c r="O1041" s="47"/>
      <c r="P1041" s="47"/>
    </row>
    <row r="1042" spans="1:16" x14ac:dyDescent="0.3">
      <c r="A1042" s="1">
        <v>1041</v>
      </c>
      <c r="G1042" s="4"/>
      <c r="H1042" s="4"/>
      <c r="I1042" s="47"/>
      <c r="J1042" s="47" t="str">
        <f t="shared" si="29"/>
        <v/>
      </c>
      <c r="K1042" s="47"/>
      <c r="L1042" s="47"/>
      <c r="N1042" s="47"/>
      <c r="O1042" s="47"/>
      <c r="P1042" s="47"/>
    </row>
    <row r="1043" spans="1:16" x14ac:dyDescent="0.3">
      <c r="A1043" s="1">
        <v>1042</v>
      </c>
      <c r="G1043" s="4"/>
      <c r="H1043" s="4"/>
      <c r="I1043" s="47"/>
      <c r="J1043" s="47" t="str">
        <f t="shared" si="29"/>
        <v/>
      </c>
      <c r="K1043" s="47"/>
      <c r="L1043" s="47"/>
      <c r="N1043" s="47"/>
      <c r="O1043" s="47"/>
      <c r="P1043" s="47"/>
    </row>
    <row r="1044" spans="1:16" x14ac:dyDescent="0.3">
      <c r="A1044" s="1">
        <v>1043</v>
      </c>
      <c r="G1044" s="4"/>
      <c r="H1044" s="4"/>
      <c r="I1044" s="47"/>
      <c r="J1044" s="47" t="str">
        <f t="shared" si="29"/>
        <v/>
      </c>
      <c r="K1044" s="47"/>
      <c r="L1044" s="47"/>
      <c r="N1044" s="47"/>
      <c r="O1044" s="47"/>
      <c r="P1044" s="47"/>
    </row>
    <row r="1045" spans="1:16" x14ac:dyDescent="0.3">
      <c r="A1045" s="1">
        <v>1044</v>
      </c>
      <c r="G1045" s="4"/>
      <c r="H1045" s="4"/>
      <c r="I1045" s="47"/>
      <c r="J1045" s="47" t="str">
        <f t="shared" si="29"/>
        <v/>
      </c>
      <c r="K1045" s="47"/>
      <c r="L1045" s="47"/>
      <c r="N1045" s="47"/>
      <c r="O1045" s="47"/>
      <c r="P1045" s="47"/>
    </row>
    <row r="1046" spans="1:16" x14ac:dyDescent="0.3">
      <c r="A1046" s="1">
        <v>1045</v>
      </c>
      <c r="G1046" s="4"/>
      <c r="H1046" s="4"/>
      <c r="I1046" s="47"/>
      <c r="J1046" s="47" t="str">
        <f t="shared" si="29"/>
        <v/>
      </c>
      <c r="K1046" s="47"/>
      <c r="L1046" s="47"/>
      <c r="N1046" s="47"/>
      <c r="O1046" s="47"/>
      <c r="P1046" s="47"/>
    </row>
    <row r="1047" spans="1:16" x14ac:dyDescent="0.3">
      <c r="A1047" s="1">
        <v>1046</v>
      </c>
      <c r="G1047" s="4"/>
      <c r="H1047" s="4"/>
      <c r="I1047" s="47"/>
      <c r="J1047" s="47" t="str">
        <f t="shared" si="29"/>
        <v/>
      </c>
      <c r="K1047" s="47"/>
      <c r="L1047" s="47"/>
      <c r="N1047" s="47"/>
      <c r="O1047" s="47"/>
      <c r="P1047" s="47"/>
    </row>
    <row r="1048" spans="1:16" x14ac:dyDescent="0.3">
      <c r="A1048" s="1">
        <v>1047</v>
      </c>
      <c r="G1048" s="4"/>
      <c r="H1048" s="4"/>
      <c r="I1048" s="47"/>
      <c r="J1048" s="47" t="str">
        <f t="shared" si="29"/>
        <v/>
      </c>
      <c r="K1048" s="47"/>
      <c r="L1048" s="47"/>
      <c r="N1048" s="47"/>
      <c r="O1048" s="47"/>
      <c r="P1048" s="47"/>
    </row>
    <row r="1049" spans="1:16" x14ac:dyDescent="0.3">
      <c r="A1049" s="1">
        <v>1048</v>
      </c>
      <c r="G1049" s="4"/>
      <c r="H1049" s="4"/>
      <c r="I1049" s="47"/>
      <c r="J1049" s="47" t="str">
        <f t="shared" si="29"/>
        <v/>
      </c>
      <c r="K1049" s="47"/>
      <c r="L1049" s="47"/>
      <c r="N1049" s="47"/>
      <c r="O1049" s="47"/>
      <c r="P1049" s="47"/>
    </row>
    <row r="1050" spans="1:16" x14ac:dyDescent="0.3">
      <c r="A1050" s="1">
        <v>1049</v>
      </c>
      <c r="G1050" s="4"/>
      <c r="H1050" s="4"/>
      <c r="I1050" s="47"/>
      <c r="J1050" s="47" t="str">
        <f t="shared" si="29"/>
        <v/>
      </c>
      <c r="K1050" s="47"/>
      <c r="L1050" s="47"/>
      <c r="N1050" s="47"/>
      <c r="O1050" s="47"/>
      <c r="P1050" s="47"/>
    </row>
    <row r="1051" spans="1:16" x14ac:dyDescent="0.3">
      <c r="A1051" s="1">
        <v>1050</v>
      </c>
      <c r="G1051" s="4"/>
      <c r="H1051" s="4"/>
      <c r="I1051" s="47"/>
      <c r="J1051" s="47" t="str">
        <f t="shared" si="29"/>
        <v/>
      </c>
      <c r="K1051" s="47"/>
      <c r="L1051" s="47"/>
      <c r="N1051" s="47"/>
      <c r="O1051" s="47"/>
      <c r="P1051" s="47"/>
    </row>
    <row r="1052" spans="1:16" x14ac:dyDescent="0.3">
      <c r="A1052" s="1">
        <v>1051</v>
      </c>
      <c r="G1052" s="4"/>
      <c r="H1052" s="4"/>
      <c r="I1052" s="47"/>
      <c r="J1052" s="47" t="str">
        <f t="shared" si="29"/>
        <v/>
      </c>
      <c r="K1052" s="47"/>
      <c r="L1052" s="47"/>
      <c r="N1052" s="47"/>
      <c r="O1052" s="47"/>
      <c r="P1052" s="47"/>
    </row>
    <row r="1053" spans="1:16" x14ac:dyDescent="0.3">
      <c r="A1053" s="1">
        <v>1052</v>
      </c>
      <c r="G1053" s="4"/>
      <c r="H1053" s="4"/>
      <c r="I1053" s="47"/>
      <c r="J1053" s="47" t="str">
        <f t="shared" si="29"/>
        <v/>
      </c>
      <c r="K1053" s="47"/>
      <c r="L1053" s="47"/>
      <c r="N1053" s="47"/>
      <c r="O1053" s="47"/>
      <c r="P1053" s="47"/>
    </row>
    <row r="1054" spans="1:16" x14ac:dyDescent="0.3">
      <c r="A1054" s="1">
        <v>1053</v>
      </c>
      <c r="G1054" s="4"/>
      <c r="H1054" s="4"/>
      <c r="I1054" s="47"/>
      <c r="J1054" s="47" t="str">
        <f t="shared" si="29"/>
        <v/>
      </c>
      <c r="K1054" s="47"/>
      <c r="L1054" s="47"/>
      <c r="N1054" s="47"/>
      <c r="O1054" s="47"/>
      <c r="P1054" s="47"/>
    </row>
    <row r="1055" spans="1:16" x14ac:dyDescent="0.3">
      <c r="A1055" s="1">
        <v>1054</v>
      </c>
      <c r="G1055" s="4"/>
      <c r="H1055" s="4"/>
      <c r="I1055" s="47"/>
      <c r="J1055" s="47" t="str">
        <f t="shared" si="29"/>
        <v/>
      </c>
      <c r="K1055" s="47"/>
      <c r="L1055" s="47"/>
      <c r="N1055" s="47"/>
      <c r="O1055" s="47"/>
      <c r="P1055" s="47"/>
    </row>
    <row r="1056" spans="1:16" x14ac:dyDescent="0.3">
      <c r="A1056" s="1">
        <v>1055</v>
      </c>
      <c r="G1056" s="4"/>
      <c r="H1056" s="4"/>
      <c r="I1056" s="47"/>
      <c r="J1056" s="47" t="str">
        <f t="shared" si="29"/>
        <v/>
      </c>
      <c r="K1056" s="47"/>
      <c r="L1056" s="47"/>
      <c r="N1056" s="47"/>
      <c r="O1056" s="47"/>
      <c r="P1056" s="47"/>
    </row>
    <row r="1057" spans="1:16" x14ac:dyDescent="0.3">
      <c r="A1057" s="1">
        <v>1056</v>
      </c>
      <c r="G1057" s="4"/>
      <c r="H1057" s="4"/>
      <c r="I1057" s="47"/>
      <c r="J1057" s="47" t="str">
        <f t="shared" si="29"/>
        <v/>
      </c>
      <c r="K1057" s="47"/>
      <c r="L1057" s="47"/>
      <c r="N1057" s="47"/>
      <c r="O1057" s="47"/>
      <c r="P1057" s="47"/>
    </row>
    <row r="1058" spans="1:16" x14ac:dyDescent="0.3">
      <c r="A1058" s="1">
        <v>1057</v>
      </c>
      <c r="G1058" s="4"/>
      <c r="H1058" s="4"/>
      <c r="I1058" s="47"/>
      <c r="J1058" s="47" t="str">
        <f t="shared" si="29"/>
        <v/>
      </c>
      <c r="K1058" s="47"/>
      <c r="L1058" s="47"/>
      <c r="N1058" s="47"/>
      <c r="O1058" s="47"/>
      <c r="P1058" s="47"/>
    </row>
    <row r="1059" spans="1:16" x14ac:dyDescent="0.3">
      <c r="A1059" s="1">
        <v>1058</v>
      </c>
      <c r="G1059" s="4"/>
      <c r="H1059" s="4"/>
      <c r="I1059" s="47"/>
      <c r="J1059" s="47" t="str">
        <f t="shared" si="29"/>
        <v/>
      </c>
      <c r="K1059" s="47"/>
      <c r="L1059" s="47"/>
      <c r="N1059" s="47"/>
      <c r="O1059" s="47"/>
      <c r="P1059" s="47"/>
    </row>
    <row r="1060" spans="1:16" x14ac:dyDescent="0.3">
      <c r="A1060" s="1">
        <v>1059</v>
      </c>
      <c r="G1060" s="4"/>
      <c r="H1060" s="4"/>
      <c r="I1060" s="47"/>
      <c r="J1060" s="47" t="str">
        <f t="shared" si="29"/>
        <v/>
      </c>
      <c r="K1060" s="47"/>
      <c r="L1060" s="47"/>
      <c r="N1060" s="47"/>
      <c r="O1060" s="47"/>
      <c r="P1060" s="47"/>
    </row>
    <row r="1061" spans="1:16" x14ac:dyDescent="0.3">
      <c r="A1061" s="1">
        <v>1060</v>
      </c>
      <c r="G1061" s="4"/>
      <c r="H1061" s="4"/>
      <c r="I1061" s="47"/>
      <c r="J1061" s="47" t="str">
        <f t="shared" si="29"/>
        <v/>
      </c>
      <c r="K1061" s="47"/>
      <c r="L1061" s="47"/>
      <c r="N1061" s="47"/>
      <c r="O1061" s="47"/>
      <c r="P1061" s="47"/>
    </row>
    <row r="1062" spans="1:16" x14ac:dyDescent="0.3">
      <c r="A1062" s="1">
        <v>1061</v>
      </c>
      <c r="G1062" s="4"/>
      <c r="H1062" s="4"/>
      <c r="I1062" s="47"/>
      <c r="J1062" s="47" t="str">
        <f t="shared" si="29"/>
        <v/>
      </c>
      <c r="K1062" s="47"/>
      <c r="L1062" s="47"/>
      <c r="N1062" s="47"/>
      <c r="O1062" s="47"/>
      <c r="P1062" s="47"/>
    </row>
    <row r="1063" spans="1:16" x14ac:dyDescent="0.3">
      <c r="A1063" s="1">
        <v>1062</v>
      </c>
      <c r="G1063" s="4"/>
      <c r="H1063" s="4"/>
      <c r="I1063" s="47"/>
      <c r="J1063" s="47" t="str">
        <f t="shared" si="29"/>
        <v/>
      </c>
      <c r="K1063" s="47"/>
      <c r="L1063" s="47"/>
      <c r="N1063" s="47"/>
      <c r="O1063" s="47"/>
      <c r="P1063" s="47"/>
    </row>
    <row r="1064" spans="1:16" x14ac:dyDescent="0.3">
      <c r="A1064" s="1">
        <v>1063</v>
      </c>
      <c r="G1064" s="4"/>
      <c r="H1064" s="4"/>
      <c r="I1064" s="47"/>
      <c r="J1064" s="47" t="str">
        <f t="shared" si="29"/>
        <v/>
      </c>
      <c r="K1064" s="47"/>
      <c r="L1064" s="47"/>
      <c r="N1064" s="47"/>
      <c r="O1064" s="47"/>
      <c r="P1064" s="47"/>
    </row>
    <row r="1065" spans="1:16" x14ac:dyDescent="0.3">
      <c r="A1065" s="1">
        <v>1064</v>
      </c>
      <c r="G1065" s="4"/>
      <c r="H1065" s="4"/>
      <c r="I1065" s="47"/>
      <c r="J1065" s="47" t="str">
        <f t="shared" si="29"/>
        <v/>
      </c>
      <c r="K1065" s="47"/>
      <c r="L1065" s="47"/>
      <c r="N1065" s="47"/>
      <c r="O1065" s="47"/>
      <c r="P1065" s="47"/>
    </row>
    <row r="1066" spans="1:16" x14ac:dyDescent="0.3">
      <c r="A1066" s="1">
        <v>1065</v>
      </c>
      <c r="G1066" s="4"/>
      <c r="H1066" s="4"/>
      <c r="I1066" s="47"/>
      <c r="J1066" s="47" t="str">
        <f t="shared" si="29"/>
        <v/>
      </c>
      <c r="K1066" s="47"/>
      <c r="L1066" s="47"/>
      <c r="N1066" s="47"/>
      <c r="O1066" s="47"/>
      <c r="P1066" s="47"/>
    </row>
    <row r="1067" spans="1:16" x14ac:dyDescent="0.3">
      <c r="A1067" s="1">
        <v>1066</v>
      </c>
      <c r="G1067" s="4"/>
      <c r="H1067" s="4"/>
      <c r="I1067" s="47"/>
      <c r="J1067" s="47" t="str">
        <f t="shared" si="29"/>
        <v/>
      </c>
      <c r="K1067" s="47"/>
      <c r="L1067" s="47"/>
      <c r="N1067" s="47"/>
      <c r="O1067" s="47"/>
      <c r="P1067" s="47"/>
    </row>
    <row r="1068" spans="1:16" x14ac:dyDescent="0.3">
      <c r="A1068" s="1">
        <v>1067</v>
      </c>
      <c r="G1068" s="4"/>
      <c r="H1068" s="4"/>
      <c r="I1068" s="47"/>
      <c r="J1068" s="47" t="str">
        <f t="shared" si="29"/>
        <v/>
      </c>
      <c r="K1068" s="47"/>
      <c r="L1068" s="47"/>
      <c r="N1068" s="47"/>
      <c r="O1068" s="47"/>
      <c r="P1068" s="47"/>
    </row>
    <row r="1069" spans="1:16" x14ac:dyDescent="0.3">
      <c r="A1069" s="1">
        <v>1068</v>
      </c>
      <c r="G1069" s="4"/>
      <c r="H1069" s="4"/>
      <c r="I1069" s="47"/>
      <c r="J1069" s="47" t="str">
        <f t="shared" si="29"/>
        <v/>
      </c>
      <c r="K1069" s="47"/>
      <c r="L1069" s="47"/>
      <c r="N1069" s="47"/>
      <c r="O1069" s="47"/>
      <c r="P1069" s="47"/>
    </row>
    <row r="1070" spans="1:16" x14ac:dyDescent="0.3">
      <c r="A1070" s="1">
        <v>1069</v>
      </c>
      <c r="G1070" s="4"/>
      <c r="H1070" s="4"/>
      <c r="I1070" s="47"/>
      <c r="J1070" s="47" t="str">
        <f t="shared" si="29"/>
        <v/>
      </c>
      <c r="K1070" s="47"/>
      <c r="L1070" s="47"/>
      <c r="N1070" s="47"/>
      <c r="O1070" s="47"/>
      <c r="P1070" s="47"/>
    </row>
    <row r="1071" spans="1:16" x14ac:dyDescent="0.3">
      <c r="A1071" s="1">
        <v>1070</v>
      </c>
      <c r="G1071" s="4"/>
      <c r="H1071" s="4"/>
      <c r="I1071" s="47"/>
      <c r="J1071" s="47" t="str">
        <f t="shared" si="29"/>
        <v/>
      </c>
      <c r="K1071" s="47"/>
      <c r="L1071" s="47"/>
      <c r="N1071" s="47"/>
      <c r="O1071" s="47"/>
      <c r="P1071" s="47"/>
    </row>
    <row r="1072" spans="1:16" x14ac:dyDescent="0.3">
      <c r="A1072" s="1">
        <v>1071</v>
      </c>
      <c r="G1072" s="4"/>
      <c r="H1072" s="4"/>
      <c r="I1072" s="47"/>
      <c r="J1072" s="47" t="str">
        <f t="shared" si="29"/>
        <v/>
      </c>
      <c r="K1072" s="47"/>
      <c r="L1072" s="47"/>
      <c r="N1072" s="47"/>
      <c r="O1072" s="47"/>
      <c r="P1072" s="47"/>
    </row>
    <row r="1073" spans="1:16" x14ac:dyDescent="0.3">
      <c r="A1073" s="1">
        <v>1072</v>
      </c>
      <c r="G1073" s="4"/>
      <c r="H1073" s="4"/>
      <c r="I1073" s="47"/>
      <c r="J1073" s="47" t="str">
        <f t="shared" si="29"/>
        <v/>
      </c>
      <c r="K1073" s="47"/>
      <c r="L1073" s="47"/>
      <c r="N1073" s="47"/>
      <c r="O1073" s="47"/>
      <c r="P1073" s="47"/>
    </row>
    <row r="1074" spans="1:16" x14ac:dyDescent="0.3">
      <c r="A1074" s="1">
        <v>1073</v>
      </c>
      <c r="G1074" s="4"/>
      <c r="H1074" s="4"/>
      <c r="I1074" s="47"/>
      <c r="J1074" s="47" t="str">
        <f t="shared" si="29"/>
        <v/>
      </c>
      <c r="K1074" s="47"/>
      <c r="L1074" s="47"/>
      <c r="N1074" s="47"/>
      <c r="O1074" s="47"/>
      <c r="P1074" s="47"/>
    </row>
    <row r="1075" spans="1:16" x14ac:dyDescent="0.3">
      <c r="A1075" s="1">
        <v>1074</v>
      </c>
      <c r="G1075" s="4"/>
      <c r="H1075" s="4"/>
      <c r="I1075" s="47"/>
      <c r="J1075" s="47" t="str">
        <f t="shared" si="29"/>
        <v/>
      </c>
      <c r="K1075" s="47"/>
      <c r="L1075" s="47"/>
      <c r="N1075" s="47"/>
      <c r="O1075" s="47"/>
      <c r="P1075" s="47"/>
    </row>
    <row r="1076" spans="1:16" x14ac:dyDescent="0.3">
      <c r="A1076" s="1">
        <v>1075</v>
      </c>
      <c r="G1076" s="4"/>
      <c r="H1076" s="4"/>
      <c r="I1076" s="47"/>
      <c r="J1076" s="47" t="str">
        <f t="shared" si="29"/>
        <v/>
      </c>
      <c r="K1076" s="47"/>
      <c r="L1076" s="47"/>
      <c r="N1076" s="47"/>
      <c r="O1076" s="47"/>
      <c r="P1076" s="47"/>
    </row>
    <row r="1077" spans="1:16" x14ac:dyDescent="0.3">
      <c r="A1077" s="1">
        <v>1076</v>
      </c>
      <c r="G1077" s="4"/>
      <c r="H1077" s="4"/>
      <c r="I1077" s="47"/>
      <c r="J1077" s="47" t="str">
        <f t="shared" si="29"/>
        <v/>
      </c>
      <c r="K1077" s="47"/>
      <c r="L1077" s="47"/>
      <c r="N1077" s="47"/>
      <c r="O1077" s="47"/>
      <c r="P1077" s="47"/>
    </row>
    <row r="1078" spans="1:16" x14ac:dyDescent="0.3">
      <c r="A1078" s="1">
        <v>1077</v>
      </c>
      <c r="G1078" s="4"/>
      <c r="H1078" s="4"/>
      <c r="I1078" s="47"/>
      <c r="J1078" s="47" t="str">
        <f t="shared" si="29"/>
        <v/>
      </c>
      <c r="K1078" s="47"/>
      <c r="L1078" s="47"/>
      <c r="N1078" s="47"/>
      <c r="O1078" s="47"/>
      <c r="P1078" s="47"/>
    </row>
    <row r="1079" spans="1:16" x14ac:dyDescent="0.3">
      <c r="A1079" s="1">
        <v>1078</v>
      </c>
      <c r="G1079" s="4"/>
      <c r="H1079" s="4"/>
      <c r="I1079" s="47"/>
      <c r="J1079" s="47" t="str">
        <f t="shared" si="29"/>
        <v/>
      </c>
      <c r="K1079" s="47"/>
      <c r="L1079" s="47"/>
      <c r="N1079" s="47"/>
      <c r="O1079" s="47"/>
      <c r="P1079" s="47"/>
    </row>
    <row r="1080" spans="1:16" x14ac:dyDescent="0.3">
      <c r="A1080" s="1">
        <v>1079</v>
      </c>
      <c r="G1080" s="4"/>
      <c r="H1080" s="4"/>
      <c r="I1080" s="47"/>
      <c r="J1080" s="47" t="str">
        <f t="shared" si="29"/>
        <v/>
      </c>
      <c r="K1080" s="47"/>
      <c r="L1080" s="47"/>
      <c r="N1080" s="47"/>
      <c r="O1080" s="47"/>
      <c r="P1080" s="47"/>
    </row>
    <row r="1081" spans="1:16" x14ac:dyDescent="0.3">
      <c r="A1081" s="1">
        <v>1080</v>
      </c>
      <c r="G1081" s="4"/>
      <c r="H1081" s="4"/>
      <c r="I1081" s="47"/>
      <c r="J1081" s="47" t="str">
        <f t="shared" si="29"/>
        <v/>
      </c>
      <c r="K1081" s="47"/>
      <c r="L1081" s="47"/>
      <c r="N1081" s="47"/>
      <c r="O1081" s="47"/>
      <c r="P1081" s="47"/>
    </row>
    <row r="1082" spans="1:16" x14ac:dyDescent="0.3">
      <c r="A1082" s="1">
        <v>1081</v>
      </c>
      <c r="G1082" s="4"/>
      <c r="H1082" s="4"/>
      <c r="I1082" s="47"/>
      <c r="J1082" s="47" t="str">
        <f t="shared" si="29"/>
        <v/>
      </c>
      <c r="K1082" s="47"/>
      <c r="L1082" s="47"/>
      <c r="N1082" s="47"/>
      <c r="O1082" s="47"/>
      <c r="P1082" s="47"/>
    </row>
    <row r="1083" spans="1:16" x14ac:dyDescent="0.3">
      <c r="A1083" s="1">
        <v>1082</v>
      </c>
      <c r="G1083" s="4"/>
      <c r="H1083" s="4"/>
      <c r="I1083" s="47"/>
      <c r="J1083" s="47" t="str">
        <f t="shared" si="29"/>
        <v/>
      </c>
      <c r="K1083" s="47"/>
      <c r="L1083" s="47"/>
      <c r="N1083" s="47"/>
      <c r="O1083" s="47"/>
      <c r="P1083" s="47"/>
    </row>
    <row r="1084" spans="1:16" x14ac:dyDescent="0.3">
      <c r="A1084" s="1">
        <v>1083</v>
      </c>
      <c r="G1084" s="4"/>
      <c r="H1084" s="4"/>
      <c r="I1084" s="47"/>
      <c r="J1084" s="47" t="str">
        <f t="shared" si="29"/>
        <v/>
      </c>
      <c r="K1084" s="47"/>
      <c r="L1084" s="47"/>
      <c r="N1084" s="47"/>
      <c r="O1084" s="47"/>
      <c r="P1084" s="47"/>
    </row>
    <row r="1085" spans="1:16" x14ac:dyDescent="0.3">
      <c r="A1085" s="1">
        <v>1084</v>
      </c>
      <c r="G1085" s="4"/>
      <c r="H1085" s="4"/>
      <c r="I1085" s="47"/>
      <c r="J1085" s="47" t="str">
        <f t="shared" si="29"/>
        <v/>
      </c>
      <c r="K1085" s="47"/>
      <c r="L1085" s="47"/>
      <c r="N1085" s="47"/>
      <c r="O1085" s="47"/>
      <c r="P1085" s="47"/>
    </row>
    <row r="1086" spans="1:16" x14ac:dyDescent="0.3">
      <c r="A1086" s="1">
        <v>1085</v>
      </c>
      <c r="G1086" s="4"/>
      <c r="H1086" s="4"/>
      <c r="I1086" s="47"/>
      <c r="J1086" s="47" t="str">
        <f t="shared" si="29"/>
        <v/>
      </c>
      <c r="K1086" s="47"/>
      <c r="L1086" s="47"/>
      <c r="N1086" s="47"/>
      <c r="O1086" s="47"/>
      <c r="P1086" s="47"/>
    </row>
    <row r="1087" spans="1:16" x14ac:dyDescent="0.3">
      <c r="A1087" s="1">
        <v>1086</v>
      </c>
      <c r="G1087" s="4"/>
      <c r="H1087" s="4"/>
      <c r="I1087" s="47"/>
      <c r="J1087" s="47" t="str">
        <f t="shared" si="29"/>
        <v/>
      </c>
      <c r="K1087" s="47"/>
      <c r="L1087" s="47"/>
      <c r="N1087" s="47"/>
      <c r="O1087" s="47"/>
      <c r="P1087" s="47"/>
    </row>
    <row r="1088" spans="1:16" x14ac:dyDescent="0.3">
      <c r="A1088" s="1">
        <v>1087</v>
      </c>
      <c r="G1088" s="4"/>
      <c r="H1088" s="4"/>
      <c r="I1088" s="47"/>
      <c r="J1088" s="47" t="str">
        <f t="shared" si="29"/>
        <v/>
      </c>
      <c r="K1088" s="47"/>
      <c r="L1088" s="47"/>
      <c r="N1088" s="47"/>
      <c r="O1088" s="47"/>
      <c r="P1088" s="47"/>
    </row>
    <row r="1089" spans="1:16" x14ac:dyDescent="0.3">
      <c r="A1089" s="1">
        <v>1088</v>
      </c>
      <c r="G1089" s="4"/>
      <c r="H1089" s="4"/>
      <c r="I1089" s="47"/>
      <c r="J1089" s="47" t="str">
        <f t="shared" si="29"/>
        <v/>
      </c>
      <c r="K1089" s="47"/>
      <c r="L1089" s="47"/>
      <c r="N1089" s="47"/>
      <c r="O1089" s="47"/>
      <c r="P1089" s="47"/>
    </row>
    <row r="1090" spans="1:16" x14ac:dyDescent="0.3">
      <c r="A1090" s="1">
        <v>1089</v>
      </c>
      <c r="G1090" s="4"/>
      <c r="H1090" s="4"/>
      <c r="I1090" s="47"/>
      <c r="J1090" s="47" t="str">
        <f t="shared" si="29"/>
        <v/>
      </c>
      <c r="K1090" s="47"/>
      <c r="L1090" s="47"/>
      <c r="N1090" s="47"/>
      <c r="O1090" s="47"/>
      <c r="P1090" s="47"/>
    </row>
    <row r="1091" spans="1:16" x14ac:dyDescent="0.3">
      <c r="A1091" s="1">
        <v>1090</v>
      </c>
      <c r="G1091" s="4"/>
      <c r="H1091" s="4"/>
      <c r="I1091" s="47"/>
      <c r="J1091" s="47" t="str">
        <f t="shared" ref="J1091:J1154" si="30">+E1091&amp;I1091</f>
        <v/>
      </c>
      <c r="K1091" s="47"/>
      <c r="L1091" s="47"/>
      <c r="N1091" s="47"/>
      <c r="O1091" s="47"/>
      <c r="P1091" s="47"/>
    </row>
    <row r="1092" spans="1:16" x14ac:dyDescent="0.3">
      <c r="A1092" s="1">
        <v>1091</v>
      </c>
      <c r="G1092" s="4"/>
      <c r="H1092" s="4"/>
      <c r="I1092" s="47"/>
      <c r="J1092" s="47" t="str">
        <f t="shared" si="30"/>
        <v/>
      </c>
      <c r="K1092" s="47"/>
      <c r="L1092" s="47"/>
      <c r="N1092" s="47"/>
      <c r="O1092" s="47"/>
      <c r="P1092" s="47"/>
    </row>
    <row r="1093" spans="1:16" x14ac:dyDescent="0.3">
      <c r="A1093" s="1">
        <v>1092</v>
      </c>
      <c r="G1093" s="4"/>
      <c r="H1093" s="4"/>
      <c r="I1093" s="47"/>
      <c r="J1093" s="47" t="str">
        <f t="shared" si="30"/>
        <v/>
      </c>
      <c r="K1093" s="47"/>
      <c r="L1093" s="47"/>
      <c r="N1093" s="47"/>
      <c r="O1093" s="47"/>
      <c r="P1093" s="47"/>
    </row>
    <row r="1094" spans="1:16" x14ac:dyDescent="0.3">
      <c r="A1094" s="1">
        <v>1093</v>
      </c>
      <c r="G1094" s="4"/>
      <c r="H1094" s="4"/>
      <c r="I1094" s="47"/>
      <c r="J1094" s="47" t="str">
        <f t="shared" si="30"/>
        <v/>
      </c>
      <c r="K1094" s="47"/>
      <c r="L1094" s="47"/>
      <c r="N1094" s="47"/>
      <c r="O1094" s="47"/>
      <c r="P1094" s="47"/>
    </row>
    <row r="1095" spans="1:16" x14ac:dyDescent="0.3">
      <c r="A1095" s="1">
        <v>1094</v>
      </c>
      <c r="G1095" s="4"/>
      <c r="H1095" s="4"/>
      <c r="I1095" s="47"/>
      <c r="J1095" s="47" t="str">
        <f t="shared" si="30"/>
        <v/>
      </c>
      <c r="K1095" s="47"/>
      <c r="L1095" s="47"/>
      <c r="N1095" s="47"/>
      <c r="O1095" s="47"/>
      <c r="P1095" s="47"/>
    </row>
    <row r="1096" spans="1:16" x14ac:dyDescent="0.3">
      <c r="A1096" s="1">
        <v>1095</v>
      </c>
      <c r="G1096" s="4"/>
      <c r="H1096" s="4"/>
      <c r="I1096" s="47"/>
      <c r="J1096" s="47" t="str">
        <f t="shared" si="30"/>
        <v/>
      </c>
      <c r="K1096" s="47"/>
      <c r="L1096" s="47"/>
      <c r="N1096" s="47"/>
      <c r="O1096" s="47"/>
      <c r="P1096" s="47"/>
    </row>
    <row r="1097" spans="1:16" x14ac:dyDescent="0.3">
      <c r="A1097" s="1">
        <v>1096</v>
      </c>
      <c r="G1097" s="4"/>
      <c r="H1097" s="4"/>
      <c r="I1097" s="47"/>
      <c r="J1097" s="47" t="str">
        <f t="shared" si="30"/>
        <v/>
      </c>
      <c r="K1097" s="47"/>
      <c r="L1097" s="47"/>
      <c r="N1097" s="47"/>
      <c r="O1097" s="47"/>
      <c r="P1097" s="47"/>
    </row>
    <row r="1098" spans="1:16" x14ac:dyDescent="0.3">
      <c r="A1098" s="1">
        <v>1097</v>
      </c>
      <c r="G1098" s="4"/>
      <c r="H1098" s="4"/>
      <c r="I1098" s="47"/>
      <c r="J1098" s="47" t="str">
        <f t="shared" si="30"/>
        <v/>
      </c>
      <c r="K1098" s="47"/>
      <c r="L1098" s="47"/>
      <c r="N1098" s="47"/>
      <c r="O1098" s="47"/>
      <c r="P1098" s="47"/>
    </row>
    <row r="1099" spans="1:16" x14ac:dyDescent="0.3">
      <c r="A1099" s="1">
        <v>1098</v>
      </c>
      <c r="G1099" s="4"/>
      <c r="H1099" s="4"/>
      <c r="I1099" s="47"/>
      <c r="J1099" s="47" t="str">
        <f t="shared" si="30"/>
        <v/>
      </c>
      <c r="K1099" s="47"/>
      <c r="L1099" s="47"/>
      <c r="N1099" s="47"/>
      <c r="O1099" s="47"/>
      <c r="P1099" s="47"/>
    </row>
    <row r="1100" spans="1:16" x14ac:dyDescent="0.3">
      <c r="A1100" s="1">
        <v>1099</v>
      </c>
      <c r="G1100" s="4"/>
      <c r="H1100" s="4"/>
      <c r="I1100" s="47"/>
      <c r="J1100" s="47" t="str">
        <f t="shared" si="30"/>
        <v/>
      </c>
      <c r="K1100" s="47"/>
      <c r="L1100" s="47"/>
      <c r="N1100" s="47"/>
      <c r="O1100" s="47"/>
      <c r="P1100" s="47"/>
    </row>
    <row r="1101" spans="1:16" x14ac:dyDescent="0.3">
      <c r="A1101" s="1">
        <v>1100</v>
      </c>
      <c r="G1101" s="4"/>
      <c r="H1101" s="4"/>
      <c r="I1101" s="47"/>
      <c r="J1101" s="47" t="str">
        <f t="shared" si="30"/>
        <v/>
      </c>
      <c r="K1101" s="47"/>
      <c r="L1101" s="47"/>
      <c r="N1101" s="47"/>
      <c r="O1101" s="47"/>
      <c r="P1101" s="47"/>
    </row>
    <row r="1102" spans="1:16" x14ac:dyDescent="0.3">
      <c r="A1102" s="1">
        <v>1101</v>
      </c>
      <c r="G1102" s="4"/>
      <c r="H1102" s="4"/>
      <c r="I1102" s="47"/>
      <c r="J1102" s="47" t="str">
        <f t="shared" si="30"/>
        <v/>
      </c>
      <c r="K1102" s="47"/>
      <c r="L1102" s="47"/>
      <c r="N1102" s="47"/>
      <c r="O1102" s="47"/>
      <c r="P1102" s="47"/>
    </row>
    <row r="1103" spans="1:16" x14ac:dyDescent="0.3">
      <c r="A1103" s="1">
        <v>1102</v>
      </c>
      <c r="G1103" s="4"/>
      <c r="H1103" s="4"/>
      <c r="I1103" s="47"/>
      <c r="J1103" s="47" t="str">
        <f t="shared" si="30"/>
        <v/>
      </c>
      <c r="K1103" s="47"/>
      <c r="L1103" s="47"/>
      <c r="N1103" s="47"/>
      <c r="O1103" s="47"/>
      <c r="P1103" s="47"/>
    </row>
    <row r="1104" spans="1:16" x14ac:dyDescent="0.3">
      <c r="A1104" s="1">
        <v>1103</v>
      </c>
      <c r="G1104" s="4"/>
      <c r="H1104" s="4"/>
      <c r="I1104" s="47"/>
      <c r="J1104" s="47" t="str">
        <f t="shared" si="30"/>
        <v/>
      </c>
      <c r="K1104" s="47"/>
      <c r="L1104" s="47"/>
      <c r="N1104" s="47"/>
      <c r="O1104" s="47"/>
      <c r="P1104" s="47"/>
    </row>
    <row r="1105" spans="1:16" x14ac:dyDescent="0.3">
      <c r="A1105" s="1">
        <v>1104</v>
      </c>
      <c r="G1105" s="4"/>
      <c r="H1105" s="4"/>
      <c r="I1105" s="47"/>
      <c r="J1105" s="47" t="str">
        <f t="shared" si="30"/>
        <v/>
      </c>
      <c r="K1105" s="47"/>
      <c r="L1105" s="47"/>
      <c r="N1105" s="47"/>
      <c r="O1105" s="47"/>
      <c r="P1105" s="47"/>
    </row>
    <row r="1106" spans="1:16" x14ac:dyDescent="0.3">
      <c r="A1106" s="1">
        <v>1105</v>
      </c>
      <c r="G1106" s="4"/>
      <c r="H1106" s="4"/>
      <c r="I1106" s="47"/>
      <c r="J1106" s="47" t="str">
        <f t="shared" si="30"/>
        <v/>
      </c>
      <c r="K1106" s="47"/>
      <c r="L1106" s="47"/>
      <c r="N1106" s="47"/>
      <c r="O1106" s="47"/>
      <c r="P1106" s="47"/>
    </row>
    <row r="1107" spans="1:16" x14ac:dyDescent="0.3">
      <c r="A1107" s="1">
        <v>1106</v>
      </c>
      <c r="G1107" s="4"/>
      <c r="H1107" s="4"/>
      <c r="I1107" s="47"/>
      <c r="J1107" s="47" t="str">
        <f t="shared" si="30"/>
        <v/>
      </c>
      <c r="K1107" s="47"/>
      <c r="L1107" s="47"/>
      <c r="N1107" s="47"/>
      <c r="O1107" s="47"/>
      <c r="P1107" s="47"/>
    </row>
    <row r="1108" spans="1:16" x14ac:dyDescent="0.3">
      <c r="A1108" s="1">
        <v>1107</v>
      </c>
      <c r="G1108" s="4"/>
      <c r="H1108" s="4"/>
      <c r="I1108" s="47"/>
      <c r="J1108" s="47" t="str">
        <f t="shared" si="30"/>
        <v/>
      </c>
      <c r="K1108" s="47"/>
      <c r="L1108" s="47"/>
      <c r="N1108" s="47"/>
      <c r="O1108" s="47"/>
      <c r="P1108" s="47"/>
    </row>
    <row r="1109" spans="1:16" x14ac:dyDescent="0.3">
      <c r="A1109" s="1">
        <v>1108</v>
      </c>
      <c r="G1109" s="4"/>
      <c r="H1109" s="4"/>
      <c r="I1109" s="47"/>
      <c r="J1109" s="47" t="str">
        <f t="shared" si="30"/>
        <v/>
      </c>
      <c r="K1109" s="47"/>
      <c r="L1109" s="47"/>
      <c r="N1109" s="47"/>
      <c r="O1109" s="47"/>
      <c r="P1109" s="47"/>
    </row>
    <row r="1110" spans="1:16" x14ac:dyDescent="0.3">
      <c r="A1110" s="1">
        <v>1109</v>
      </c>
      <c r="G1110" s="4"/>
      <c r="H1110" s="4"/>
      <c r="I1110" s="47"/>
      <c r="J1110" s="47" t="str">
        <f t="shared" si="30"/>
        <v/>
      </c>
      <c r="K1110" s="47"/>
      <c r="L1110" s="47"/>
      <c r="N1110" s="47"/>
      <c r="O1110" s="47"/>
      <c r="P1110" s="47"/>
    </row>
    <row r="1111" spans="1:16" x14ac:dyDescent="0.3">
      <c r="A1111" s="1">
        <v>1110</v>
      </c>
      <c r="G1111" s="4"/>
      <c r="H1111" s="4"/>
      <c r="I1111" s="47"/>
      <c r="J1111" s="47" t="str">
        <f t="shared" si="30"/>
        <v/>
      </c>
      <c r="K1111" s="47"/>
      <c r="L1111" s="47"/>
      <c r="N1111" s="47"/>
      <c r="O1111" s="47"/>
      <c r="P1111" s="47"/>
    </row>
    <row r="1112" spans="1:16" x14ac:dyDescent="0.3">
      <c r="A1112" s="1">
        <v>1111</v>
      </c>
      <c r="G1112" s="4"/>
      <c r="H1112" s="4"/>
      <c r="I1112" s="47"/>
      <c r="J1112" s="47" t="str">
        <f t="shared" si="30"/>
        <v/>
      </c>
      <c r="K1112" s="47"/>
      <c r="L1112" s="47"/>
      <c r="N1112" s="47"/>
      <c r="O1112" s="47"/>
      <c r="P1112" s="47"/>
    </row>
    <row r="1113" spans="1:16" x14ac:dyDescent="0.3">
      <c r="A1113" s="1">
        <v>1112</v>
      </c>
      <c r="G1113" s="4"/>
      <c r="H1113" s="4"/>
      <c r="I1113" s="47"/>
      <c r="J1113" s="47" t="str">
        <f t="shared" si="30"/>
        <v/>
      </c>
      <c r="K1113" s="47"/>
      <c r="L1113" s="47"/>
      <c r="N1113" s="47"/>
      <c r="O1113" s="47"/>
      <c r="P1113" s="47"/>
    </row>
    <row r="1114" spans="1:16" x14ac:dyDescent="0.3">
      <c r="A1114" s="1">
        <v>1113</v>
      </c>
      <c r="G1114" s="4"/>
      <c r="H1114" s="4"/>
      <c r="I1114" s="47"/>
      <c r="J1114" s="47" t="str">
        <f t="shared" si="30"/>
        <v/>
      </c>
      <c r="K1114" s="47"/>
      <c r="L1114" s="47"/>
      <c r="N1114" s="47"/>
      <c r="O1114" s="47"/>
      <c r="P1114" s="47"/>
    </row>
    <row r="1115" spans="1:16" x14ac:dyDescent="0.3">
      <c r="A1115" s="1">
        <v>1114</v>
      </c>
      <c r="G1115" s="4"/>
      <c r="H1115" s="4"/>
      <c r="I1115" s="47"/>
      <c r="J1115" s="47" t="str">
        <f t="shared" si="30"/>
        <v/>
      </c>
      <c r="K1115" s="47"/>
      <c r="L1115" s="47"/>
      <c r="N1115" s="47"/>
      <c r="O1115" s="47"/>
      <c r="P1115" s="47"/>
    </row>
    <row r="1116" spans="1:16" x14ac:dyDescent="0.3">
      <c r="A1116" s="1">
        <v>1115</v>
      </c>
      <c r="G1116" s="4"/>
      <c r="H1116" s="4"/>
      <c r="I1116" s="47"/>
      <c r="J1116" s="47" t="str">
        <f t="shared" si="30"/>
        <v/>
      </c>
      <c r="K1116" s="47"/>
      <c r="L1116" s="47"/>
      <c r="N1116" s="47"/>
      <c r="O1116" s="47"/>
      <c r="P1116" s="47"/>
    </row>
    <row r="1117" spans="1:16" x14ac:dyDescent="0.3">
      <c r="A1117" s="1">
        <v>1116</v>
      </c>
      <c r="G1117" s="4"/>
      <c r="H1117" s="4"/>
      <c r="I1117" s="47"/>
      <c r="J1117" s="47" t="str">
        <f t="shared" si="30"/>
        <v/>
      </c>
      <c r="K1117" s="47"/>
      <c r="L1117" s="47"/>
      <c r="N1117" s="47"/>
      <c r="O1117" s="47"/>
      <c r="P1117" s="47"/>
    </row>
    <row r="1118" spans="1:16" x14ac:dyDescent="0.3">
      <c r="A1118" s="1">
        <v>1117</v>
      </c>
      <c r="G1118" s="4"/>
      <c r="H1118" s="4"/>
      <c r="I1118" s="47"/>
      <c r="J1118" s="47" t="str">
        <f t="shared" si="30"/>
        <v/>
      </c>
      <c r="K1118" s="47"/>
      <c r="L1118" s="47"/>
      <c r="N1118" s="47"/>
      <c r="O1118" s="47"/>
      <c r="P1118" s="47"/>
    </row>
    <row r="1119" spans="1:16" x14ac:dyDescent="0.3">
      <c r="A1119" s="1">
        <v>1118</v>
      </c>
      <c r="G1119" s="4"/>
      <c r="H1119" s="4"/>
      <c r="I1119" s="47"/>
      <c r="J1119" s="47" t="str">
        <f t="shared" si="30"/>
        <v/>
      </c>
      <c r="K1119" s="47"/>
      <c r="L1119" s="47"/>
      <c r="N1119" s="47"/>
      <c r="O1119" s="47"/>
      <c r="P1119" s="47"/>
    </row>
    <row r="1120" spans="1:16" x14ac:dyDescent="0.3">
      <c r="A1120" s="1">
        <v>1119</v>
      </c>
      <c r="G1120" s="4"/>
      <c r="H1120" s="4"/>
      <c r="I1120" s="47"/>
      <c r="J1120" s="47" t="str">
        <f t="shared" si="30"/>
        <v/>
      </c>
      <c r="K1120" s="47"/>
      <c r="L1120" s="47"/>
      <c r="N1120" s="47"/>
      <c r="O1120" s="47"/>
      <c r="P1120" s="47"/>
    </row>
    <row r="1121" spans="1:16" x14ac:dyDescent="0.3">
      <c r="A1121" s="1">
        <v>1120</v>
      </c>
      <c r="G1121" s="4"/>
      <c r="H1121" s="4"/>
      <c r="I1121" s="47"/>
      <c r="J1121" s="47" t="str">
        <f t="shared" si="30"/>
        <v/>
      </c>
      <c r="K1121" s="47"/>
      <c r="L1121" s="47"/>
      <c r="N1121" s="47"/>
      <c r="O1121" s="47"/>
      <c r="P1121" s="47"/>
    </row>
    <row r="1122" spans="1:16" x14ac:dyDescent="0.3">
      <c r="A1122" s="1">
        <v>1121</v>
      </c>
      <c r="G1122" s="4"/>
      <c r="H1122" s="4"/>
      <c r="I1122" s="47"/>
      <c r="J1122" s="47" t="str">
        <f t="shared" si="30"/>
        <v/>
      </c>
      <c r="K1122" s="47"/>
      <c r="L1122" s="47"/>
      <c r="N1122" s="47"/>
      <c r="O1122" s="47"/>
      <c r="P1122" s="47"/>
    </row>
    <row r="1123" spans="1:16" x14ac:dyDescent="0.3">
      <c r="A1123" s="1">
        <v>1122</v>
      </c>
      <c r="G1123" s="4"/>
      <c r="H1123" s="4"/>
      <c r="I1123" s="47"/>
      <c r="J1123" s="47" t="str">
        <f t="shared" si="30"/>
        <v/>
      </c>
      <c r="K1123" s="47"/>
      <c r="L1123" s="47"/>
      <c r="N1123" s="47"/>
      <c r="O1123" s="47"/>
      <c r="P1123" s="47"/>
    </row>
    <row r="1124" spans="1:16" x14ac:dyDescent="0.3">
      <c r="A1124" s="1">
        <v>1123</v>
      </c>
      <c r="G1124" s="4"/>
      <c r="H1124" s="4"/>
      <c r="I1124" s="47"/>
      <c r="J1124" s="47" t="str">
        <f t="shared" si="30"/>
        <v/>
      </c>
      <c r="K1124" s="47"/>
      <c r="L1124" s="47"/>
      <c r="N1124" s="47"/>
      <c r="O1124" s="47"/>
      <c r="P1124" s="47"/>
    </row>
    <row r="1125" spans="1:16" x14ac:dyDescent="0.3">
      <c r="A1125" s="1">
        <v>1124</v>
      </c>
      <c r="G1125" s="4"/>
      <c r="H1125" s="4"/>
      <c r="I1125" s="47"/>
      <c r="J1125" s="47" t="str">
        <f t="shared" si="30"/>
        <v/>
      </c>
      <c r="K1125" s="47"/>
      <c r="L1125" s="47"/>
      <c r="N1125" s="47"/>
      <c r="O1125" s="47"/>
      <c r="P1125" s="47"/>
    </row>
    <row r="1126" spans="1:16" x14ac:dyDescent="0.3">
      <c r="A1126" s="1">
        <v>1125</v>
      </c>
      <c r="G1126" s="4"/>
      <c r="H1126" s="4"/>
      <c r="I1126" s="47"/>
      <c r="J1126" s="47" t="str">
        <f t="shared" si="30"/>
        <v/>
      </c>
      <c r="K1126" s="47"/>
      <c r="L1126" s="47"/>
      <c r="N1126" s="47"/>
      <c r="O1126" s="47"/>
      <c r="P1126" s="47"/>
    </row>
    <row r="1127" spans="1:16" x14ac:dyDescent="0.3">
      <c r="A1127" s="1">
        <v>1126</v>
      </c>
      <c r="G1127" s="4"/>
      <c r="H1127" s="4"/>
      <c r="I1127" s="47"/>
      <c r="J1127" s="47" t="str">
        <f t="shared" si="30"/>
        <v/>
      </c>
      <c r="K1127" s="47"/>
      <c r="L1127" s="47"/>
      <c r="N1127" s="47"/>
      <c r="O1127" s="47"/>
      <c r="P1127" s="47"/>
    </row>
    <row r="1128" spans="1:16" x14ac:dyDescent="0.3">
      <c r="A1128" s="1">
        <v>1127</v>
      </c>
      <c r="G1128" s="4"/>
      <c r="H1128" s="4"/>
      <c r="I1128" s="47"/>
      <c r="J1128" s="47" t="str">
        <f t="shared" si="30"/>
        <v/>
      </c>
      <c r="K1128" s="47"/>
      <c r="L1128" s="47"/>
      <c r="N1128" s="47"/>
      <c r="O1128" s="47"/>
      <c r="P1128" s="47"/>
    </row>
    <row r="1129" spans="1:16" x14ac:dyDescent="0.3">
      <c r="A1129" s="1">
        <v>1128</v>
      </c>
      <c r="G1129" s="4"/>
      <c r="H1129" s="4"/>
      <c r="I1129" s="47"/>
      <c r="J1129" s="47" t="str">
        <f t="shared" si="30"/>
        <v/>
      </c>
      <c r="K1129" s="47"/>
      <c r="L1129" s="47"/>
      <c r="N1129" s="47"/>
      <c r="O1129" s="47"/>
      <c r="P1129" s="47"/>
    </row>
    <row r="1130" spans="1:16" x14ac:dyDescent="0.3">
      <c r="A1130" s="1">
        <v>1129</v>
      </c>
      <c r="G1130" s="4"/>
      <c r="H1130" s="4"/>
      <c r="I1130" s="47"/>
      <c r="J1130" s="47" t="str">
        <f t="shared" si="30"/>
        <v/>
      </c>
      <c r="K1130" s="47"/>
      <c r="L1130" s="47"/>
      <c r="N1130" s="47"/>
      <c r="O1130" s="47"/>
      <c r="P1130" s="47"/>
    </row>
    <row r="1131" spans="1:16" x14ac:dyDescent="0.3">
      <c r="A1131" s="1">
        <v>1130</v>
      </c>
      <c r="G1131" s="4"/>
      <c r="H1131" s="4"/>
      <c r="I1131" s="47"/>
      <c r="J1131" s="47" t="str">
        <f t="shared" si="30"/>
        <v/>
      </c>
      <c r="K1131" s="47"/>
      <c r="L1131" s="47"/>
      <c r="N1131" s="47"/>
      <c r="O1131" s="47"/>
      <c r="P1131" s="47"/>
    </row>
    <row r="1132" spans="1:16" x14ac:dyDescent="0.3">
      <c r="A1132" s="1">
        <v>1131</v>
      </c>
      <c r="G1132" s="4"/>
      <c r="H1132" s="4"/>
      <c r="I1132" s="47"/>
      <c r="J1132" s="47" t="str">
        <f t="shared" si="30"/>
        <v/>
      </c>
      <c r="K1132" s="47"/>
      <c r="L1132" s="47"/>
      <c r="N1132" s="47"/>
      <c r="O1132" s="47"/>
      <c r="P1132" s="47"/>
    </row>
    <row r="1133" spans="1:16" x14ac:dyDescent="0.3">
      <c r="A1133" s="1">
        <v>1132</v>
      </c>
      <c r="G1133" s="4"/>
      <c r="H1133" s="4"/>
      <c r="I1133" s="47"/>
      <c r="J1133" s="47" t="str">
        <f t="shared" si="30"/>
        <v/>
      </c>
      <c r="K1133" s="47"/>
      <c r="L1133" s="47"/>
      <c r="N1133" s="47"/>
      <c r="O1133" s="47"/>
      <c r="P1133" s="47"/>
    </row>
    <row r="1134" spans="1:16" x14ac:dyDescent="0.3">
      <c r="A1134" s="1">
        <v>1133</v>
      </c>
      <c r="G1134" s="4"/>
      <c r="H1134" s="4"/>
      <c r="I1134" s="47"/>
      <c r="J1134" s="47" t="str">
        <f t="shared" si="30"/>
        <v/>
      </c>
      <c r="K1134" s="47"/>
      <c r="L1134" s="47"/>
      <c r="N1134" s="47"/>
      <c r="O1134" s="47"/>
      <c r="P1134" s="47"/>
    </row>
    <row r="1135" spans="1:16" x14ac:dyDescent="0.3">
      <c r="A1135" s="1">
        <v>1134</v>
      </c>
      <c r="G1135" s="4"/>
      <c r="H1135" s="4"/>
      <c r="I1135" s="47"/>
      <c r="J1135" s="47" t="str">
        <f t="shared" si="30"/>
        <v/>
      </c>
      <c r="K1135" s="47"/>
      <c r="L1135" s="47"/>
      <c r="N1135" s="47"/>
      <c r="O1135" s="47"/>
      <c r="P1135" s="47"/>
    </row>
    <row r="1136" spans="1:16" x14ac:dyDescent="0.3">
      <c r="A1136" s="1">
        <v>1135</v>
      </c>
      <c r="G1136" s="4"/>
      <c r="H1136" s="4"/>
      <c r="I1136" s="47"/>
      <c r="J1136" s="47" t="str">
        <f t="shared" si="30"/>
        <v/>
      </c>
      <c r="K1136" s="47"/>
      <c r="L1136" s="47"/>
      <c r="N1136" s="47"/>
      <c r="O1136" s="47"/>
      <c r="P1136" s="47"/>
    </row>
    <row r="1137" spans="1:16" x14ac:dyDescent="0.3">
      <c r="A1137" s="1">
        <v>1136</v>
      </c>
      <c r="G1137" s="4"/>
      <c r="H1137" s="4"/>
      <c r="I1137" s="47"/>
      <c r="J1137" s="47" t="str">
        <f t="shared" si="30"/>
        <v/>
      </c>
      <c r="K1137" s="47"/>
      <c r="L1137" s="47"/>
      <c r="N1137" s="47"/>
      <c r="O1137" s="47"/>
      <c r="P1137" s="47"/>
    </row>
    <row r="1138" spans="1:16" x14ac:dyDescent="0.3">
      <c r="A1138" s="1">
        <v>1137</v>
      </c>
      <c r="G1138" s="4"/>
      <c r="H1138" s="4"/>
      <c r="I1138" s="47"/>
      <c r="J1138" s="47" t="str">
        <f t="shared" si="30"/>
        <v/>
      </c>
      <c r="K1138" s="47"/>
      <c r="L1138" s="47"/>
      <c r="N1138" s="47"/>
      <c r="O1138" s="47"/>
      <c r="P1138" s="47"/>
    </row>
    <row r="1139" spans="1:16" x14ac:dyDescent="0.3">
      <c r="A1139" s="1">
        <v>1138</v>
      </c>
      <c r="G1139" s="4"/>
      <c r="H1139" s="4"/>
      <c r="I1139" s="47"/>
      <c r="J1139" s="47" t="str">
        <f t="shared" si="30"/>
        <v/>
      </c>
      <c r="K1139" s="47"/>
      <c r="L1139" s="47"/>
      <c r="N1139" s="47"/>
      <c r="O1139" s="47"/>
      <c r="P1139" s="47"/>
    </row>
    <row r="1140" spans="1:16" x14ac:dyDescent="0.3">
      <c r="A1140" s="1">
        <v>1139</v>
      </c>
      <c r="G1140" s="4"/>
      <c r="H1140" s="4"/>
      <c r="I1140" s="47"/>
      <c r="J1140" s="47" t="str">
        <f t="shared" si="30"/>
        <v/>
      </c>
      <c r="K1140" s="47"/>
      <c r="L1140" s="47"/>
      <c r="N1140" s="47"/>
      <c r="O1140" s="47"/>
      <c r="P1140" s="47"/>
    </row>
    <row r="1141" spans="1:16" x14ac:dyDescent="0.3">
      <c r="A1141" s="1">
        <v>1140</v>
      </c>
      <c r="G1141" s="4"/>
      <c r="H1141" s="4"/>
      <c r="I1141" s="47"/>
      <c r="J1141" s="47" t="str">
        <f t="shared" si="30"/>
        <v/>
      </c>
      <c r="K1141" s="47"/>
      <c r="L1141" s="47"/>
      <c r="N1141" s="47"/>
      <c r="O1141" s="47"/>
      <c r="P1141" s="47"/>
    </row>
    <row r="1142" spans="1:16" x14ac:dyDescent="0.3">
      <c r="A1142" s="1">
        <v>1141</v>
      </c>
      <c r="G1142" s="4"/>
      <c r="H1142" s="4"/>
      <c r="I1142" s="47"/>
      <c r="J1142" s="47" t="str">
        <f t="shared" si="30"/>
        <v/>
      </c>
      <c r="K1142" s="47"/>
      <c r="L1142" s="47"/>
      <c r="N1142" s="47"/>
      <c r="O1142" s="47"/>
      <c r="P1142" s="47"/>
    </row>
    <row r="1143" spans="1:16" x14ac:dyDescent="0.3">
      <c r="A1143" s="1">
        <v>1142</v>
      </c>
      <c r="G1143" s="4"/>
      <c r="H1143" s="4"/>
      <c r="I1143" s="47"/>
      <c r="J1143" s="47" t="str">
        <f t="shared" si="30"/>
        <v/>
      </c>
      <c r="K1143" s="47"/>
      <c r="L1143" s="47"/>
      <c r="N1143" s="47"/>
      <c r="O1143" s="47"/>
      <c r="P1143" s="47"/>
    </row>
    <row r="1144" spans="1:16" x14ac:dyDescent="0.3">
      <c r="A1144" s="1">
        <v>1143</v>
      </c>
      <c r="G1144" s="4"/>
      <c r="H1144" s="4"/>
      <c r="I1144" s="47"/>
      <c r="J1144" s="47" t="str">
        <f t="shared" si="30"/>
        <v/>
      </c>
      <c r="K1144" s="47"/>
      <c r="L1144" s="47"/>
      <c r="N1144" s="47"/>
      <c r="O1144" s="47"/>
      <c r="P1144" s="47"/>
    </row>
    <row r="1145" spans="1:16" x14ac:dyDescent="0.3">
      <c r="A1145" s="1">
        <v>1144</v>
      </c>
      <c r="G1145" s="4"/>
      <c r="H1145" s="4"/>
      <c r="I1145" s="47"/>
      <c r="J1145" s="47" t="str">
        <f t="shared" si="30"/>
        <v/>
      </c>
      <c r="K1145" s="47"/>
      <c r="L1145" s="47"/>
      <c r="N1145" s="47"/>
      <c r="O1145" s="47"/>
      <c r="P1145" s="47"/>
    </row>
    <row r="1146" spans="1:16" x14ac:dyDescent="0.3">
      <c r="A1146" s="1">
        <v>1145</v>
      </c>
      <c r="G1146" s="4"/>
      <c r="H1146" s="4"/>
      <c r="I1146" s="47"/>
      <c r="J1146" s="47" t="str">
        <f t="shared" si="30"/>
        <v/>
      </c>
      <c r="K1146" s="47"/>
      <c r="L1146" s="47"/>
      <c r="N1146" s="47"/>
      <c r="O1146" s="47"/>
      <c r="P1146" s="47"/>
    </row>
    <row r="1147" spans="1:16" x14ac:dyDescent="0.3">
      <c r="A1147" s="1">
        <v>1146</v>
      </c>
      <c r="G1147" s="4"/>
      <c r="H1147" s="4"/>
      <c r="I1147" s="47"/>
      <c r="J1147" s="47" t="str">
        <f t="shared" si="30"/>
        <v/>
      </c>
      <c r="K1147" s="47"/>
      <c r="L1147" s="47"/>
      <c r="N1147" s="47"/>
      <c r="O1147" s="47"/>
      <c r="P1147" s="47"/>
    </row>
    <row r="1148" spans="1:16" x14ac:dyDescent="0.3">
      <c r="A1148" s="1">
        <v>1147</v>
      </c>
      <c r="G1148" s="4"/>
      <c r="H1148" s="4"/>
      <c r="I1148" s="47"/>
      <c r="J1148" s="47" t="str">
        <f t="shared" si="30"/>
        <v/>
      </c>
      <c r="K1148" s="47"/>
      <c r="L1148" s="47"/>
      <c r="N1148" s="47"/>
      <c r="O1148" s="47"/>
      <c r="P1148" s="47"/>
    </row>
    <row r="1149" spans="1:16" x14ac:dyDescent="0.3">
      <c r="A1149" s="1">
        <v>1148</v>
      </c>
      <c r="G1149" s="4"/>
      <c r="H1149" s="4"/>
      <c r="I1149" s="47"/>
      <c r="J1149" s="47" t="str">
        <f t="shared" si="30"/>
        <v/>
      </c>
      <c r="K1149" s="47"/>
      <c r="L1149" s="47"/>
      <c r="N1149" s="47"/>
      <c r="O1149" s="47"/>
      <c r="P1149" s="47"/>
    </row>
    <row r="1150" spans="1:16" x14ac:dyDescent="0.3">
      <c r="A1150" s="1">
        <v>1149</v>
      </c>
      <c r="G1150" s="4"/>
      <c r="H1150" s="4"/>
      <c r="I1150" s="47"/>
      <c r="J1150" s="47" t="str">
        <f t="shared" si="30"/>
        <v/>
      </c>
      <c r="K1150" s="47"/>
      <c r="L1150" s="47"/>
      <c r="N1150" s="47"/>
      <c r="O1150" s="47"/>
      <c r="P1150" s="47"/>
    </row>
    <row r="1151" spans="1:16" x14ac:dyDescent="0.3">
      <c r="A1151" s="1">
        <v>1150</v>
      </c>
      <c r="G1151" s="4"/>
      <c r="H1151" s="4"/>
      <c r="I1151" s="47"/>
      <c r="J1151" s="47" t="str">
        <f t="shared" si="30"/>
        <v/>
      </c>
      <c r="K1151" s="47"/>
      <c r="L1151" s="47"/>
      <c r="N1151" s="47"/>
      <c r="O1151" s="47"/>
      <c r="P1151" s="47"/>
    </row>
    <row r="1152" spans="1:16" x14ac:dyDescent="0.3">
      <c r="A1152" s="1">
        <v>1151</v>
      </c>
      <c r="G1152" s="4"/>
      <c r="H1152" s="4"/>
      <c r="I1152" s="47"/>
      <c r="J1152" s="47" t="str">
        <f t="shared" si="30"/>
        <v/>
      </c>
      <c r="K1152" s="47"/>
      <c r="L1152" s="47"/>
      <c r="N1152" s="47"/>
      <c r="O1152" s="47"/>
      <c r="P1152" s="47"/>
    </row>
    <row r="1153" spans="1:16" x14ac:dyDescent="0.3">
      <c r="A1153" s="1">
        <v>1152</v>
      </c>
      <c r="G1153" s="4"/>
      <c r="H1153" s="4"/>
      <c r="I1153" s="47"/>
      <c r="J1153" s="47" t="str">
        <f t="shared" si="30"/>
        <v/>
      </c>
      <c r="K1153" s="47"/>
      <c r="L1153" s="47"/>
      <c r="N1153" s="47"/>
      <c r="O1153" s="47"/>
      <c r="P1153" s="47"/>
    </row>
    <row r="1154" spans="1:16" x14ac:dyDescent="0.3">
      <c r="A1154" s="1">
        <v>1153</v>
      </c>
      <c r="G1154" s="4"/>
      <c r="H1154" s="4"/>
      <c r="I1154" s="47"/>
      <c r="J1154" s="47" t="str">
        <f t="shared" si="30"/>
        <v/>
      </c>
      <c r="K1154" s="47"/>
      <c r="L1154" s="47"/>
      <c r="N1154" s="47"/>
      <c r="O1154" s="47"/>
      <c r="P1154" s="47"/>
    </row>
    <row r="1155" spans="1:16" x14ac:dyDescent="0.3">
      <c r="A1155" s="1">
        <v>1154</v>
      </c>
      <c r="G1155" s="4"/>
      <c r="H1155" s="4"/>
      <c r="I1155" s="47"/>
      <c r="J1155" s="47" t="str">
        <f t="shared" ref="J1155:J1218" si="31">+E1155&amp;I1155</f>
        <v/>
      </c>
      <c r="K1155" s="47"/>
      <c r="L1155" s="47"/>
      <c r="N1155" s="47"/>
      <c r="O1155" s="47"/>
      <c r="P1155" s="47"/>
    </row>
    <row r="1156" spans="1:16" x14ac:dyDescent="0.3">
      <c r="A1156" s="1">
        <v>1155</v>
      </c>
      <c r="G1156" s="4"/>
      <c r="H1156" s="4"/>
      <c r="I1156" s="47"/>
      <c r="J1156" s="47" t="str">
        <f t="shared" si="31"/>
        <v/>
      </c>
      <c r="K1156" s="47"/>
      <c r="L1156" s="47"/>
      <c r="N1156" s="47"/>
      <c r="O1156" s="47"/>
      <c r="P1156" s="47"/>
    </row>
    <row r="1157" spans="1:16" x14ac:dyDescent="0.3">
      <c r="A1157" s="1">
        <v>1156</v>
      </c>
      <c r="G1157" s="4"/>
      <c r="H1157" s="4"/>
      <c r="I1157" s="47"/>
      <c r="J1157" s="47" t="str">
        <f t="shared" si="31"/>
        <v/>
      </c>
      <c r="K1157" s="47"/>
      <c r="L1157" s="47"/>
      <c r="N1157" s="47"/>
      <c r="O1157" s="47"/>
      <c r="P1157" s="47"/>
    </row>
    <row r="1158" spans="1:16" x14ac:dyDescent="0.3">
      <c r="A1158" s="1">
        <v>1157</v>
      </c>
      <c r="G1158" s="4"/>
      <c r="H1158" s="4"/>
      <c r="I1158" s="47"/>
      <c r="J1158" s="47" t="str">
        <f t="shared" si="31"/>
        <v/>
      </c>
      <c r="K1158" s="47"/>
      <c r="L1158" s="47"/>
      <c r="N1158" s="47"/>
      <c r="O1158" s="47"/>
      <c r="P1158" s="47"/>
    </row>
    <row r="1159" spans="1:16" x14ac:dyDescent="0.3">
      <c r="A1159" s="1">
        <v>1158</v>
      </c>
      <c r="G1159" s="4"/>
      <c r="H1159" s="4"/>
      <c r="I1159" s="47"/>
      <c r="J1159" s="47" t="str">
        <f t="shared" si="31"/>
        <v/>
      </c>
      <c r="K1159" s="47"/>
      <c r="L1159" s="47"/>
      <c r="N1159" s="47"/>
      <c r="O1159" s="47"/>
      <c r="P1159" s="47"/>
    </row>
    <row r="1160" spans="1:16" x14ac:dyDescent="0.3">
      <c r="A1160" s="1">
        <v>1159</v>
      </c>
      <c r="G1160" s="4"/>
      <c r="H1160" s="4"/>
      <c r="I1160" s="47"/>
      <c r="J1160" s="47" t="str">
        <f t="shared" si="31"/>
        <v/>
      </c>
      <c r="K1160" s="47"/>
      <c r="L1160" s="47"/>
      <c r="N1160" s="47"/>
      <c r="O1160" s="47"/>
      <c r="P1160" s="47"/>
    </row>
    <row r="1161" spans="1:16" x14ac:dyDescent="0.3">
      <c r="A1161" s="1">
        <v>1160</v>
      </c>
      <c r="G1161" s="4"/>
      <c r="H1161" s="4"/>
      <c r="I1161" s="47"/>
      <c r="J1161" s="47" t="str">
        <f t="shared" si="31"/>
        <v/>
      </c>
      <c r="K1161" s="47"/>
      <c r="L1161" s="47"/>
      <c r="N1161" s="47"/>
      <c r="O1161" s="47"/>
      <c r="P1161" s="47"/>
    </row>
    <row r="1162" spans="1:16" x14ac:dyDescent="0.3">
      <c r="A1162" s="1">
        <v>1161</v>
      </c>
      <c r="G1162" s="4"/>
      <c r="H1162" s="4"/>
      <c r="I1162" s="47"/>
      <c r="J1162" s="47" t="str">
        <f t="shared" si="31"/>
        <v/>
      </c>
      <c r="K1162" s="47"/>
      <c r="L1162" s="47"/>
      <c r="N1162" s="47"/>
      <c r="O1162" s="47"/>
      <c r="P1162" s="47"/>
    </row>
    <row r="1163" spans="1:16" x14ac:dyDescent="0.3">
      <c r="A1163" s="1">
        <v>1162</v>
      </c>
      <c r="G1163" s="4"/>
      <c r="H1163" s="4"/>
      <c r="I1163" s="47"/>
      <c r="J1163" s="47" t="str">
        <f t="shared" si="31"/>
        <v/>
      </c>
      <c r="K1163" s="47"/>
      <c r="L1163" s="47"/>
      <c r="N1163" s="47"/>
      <c r="O1163" s="47"/>
      <c r="P1163" s="47"/>
    </row>
    <row r="1164" spans="1:16" x14ac:dyDescent="0.3">
      <c r="A1164" s="1">
        <v>1163</v>
      </c>
      <c r="G1164" s="4"/>
      <c r="H1164" s="4"/>
      <c r="I1164" s="47"/>
      <c r="J1164" s="47" t="str">
        <f t="shared" si="31"/>
        <v/>
      </c>
      <c r="K1164" s="47"/>
      <c r="L1164" s="47"/>
      <c r="N1164" s="47"/>
      <c r="O1164" s="47"/>
      <c r="P1164" s="47"/>
    </row>
    <row r="1165" spans="1:16" x14ac:dyDescent="0.3">
      <c r="A1165" s="1">
        <v>1164</v>
      </c>
      <c r="G1165" s="4"/>
      <c r="H1165" s="4"/>
      <c r="I1165" s="47"/>
      <c r="J1165" s="47" t="str">
        <f t="shared" si="31"/>
        <v/>
      </c>
      <c r="K1165" s="47"/>
      <c r="L1165" s="47"/>
      <c r="N1165" s="47"/>
      <c r="O1165" s="47"/>
      <c r="P1165" s="47"/>
    </row>
    <row r="1166" spans="1:16" x14ac:dyDescent="0.3">
      <c r="A1166" s="1">
        <v>1165</v>
      </c>
      <c r="G1166" s="4"/>
      <c r="H1166" s="4"/>
      <c r="I1166" s="47"/>
      <c r="J1166" s="47" t="str">
        <f t="shared" si="31"/>
        <v/>
      </c>
      <c r="K1166" s="47"/>
      <c r="L1166" s="47"/>
      <c r="N1166" s="47"/>
      <c r="O1166" s="47"/>
      <c r="P1166" s="47"/>
    </row>
    <row r="1167" spans="1:16" x14ac:dyDescent="0.3">
      <c r="A1167" s="1">
        <v>1166</v>
      </c>
      <c r="G1167" s="4"/>
      <c r="H1167" s="4"/>
      <c r="I1167" s="47"/>
      <c r="J1167" s="47" t="str">
        <f t="shared" si="31"/>
        <v/>
      </c>
      <c r="K1167" s="47"/>
      <c r="L1167" s="47"/>
      <c r="N1167" s="47"/>
      <c r="O1167" s="47"/>
      <c r="P1167" s="47"/>
    </row>
    <row r="1168" spans="1:16" x14ac:dyDescent="0.3">
      <c r="A1168" s="1">
        <v>1167</v>
      </c>
      <c r="G1168" s="4"/>
      <c r="H1168" s="4"/>
      <c r="I1168" s="47"/>
      <c r="J1168" s="47" t="str">
        <f t="shared" si="31"/>
        <v/>
      </c>
      <c r="K1168" s="47"/>
      <c r="L1168" s="47"/>
      <c r="N1168" s="47"/>
      <c r="O1168" s="47"/>
      <c r="P1168" s="47"/>
    </row>
    <row r="1169" spans="1:16" x14ac:dyDescent="0.3">
      <c r="A1169" s="1">
        <v>1168</v>
      </c>
      <c r="G1169" s="4"/>
      <c r="H1169" s="4"/>
      <c r="I1169" s="47"/>
      <c r="J1169" s="47" t="str">
        <f t="shared" si="31"/>
        <v/>
      </c>
      <c r="K1169" s="47"/>
      <c r="L1169" s="47"/>
      <c r="N1169" s="47"/>
      <c r="O1169" s="47"/>
      <c r="P1169" s="47"/>
    </row>
    <row r="1170" spans="1:16" x14ac:dyDescent="0.3">
      <c r="A1170" s="1">
        <v>1169</v>
      </c>
      <c r="G1170" s="4"/>
      <c r="H1170" s="4"/>
      <c r="I1170" s="47"/>
      <c r="J1170" s="47" t="str">
        <f t="shared" si="31"/>
        <v/>
      </c>
      <c r="K1170" s="47"/>
      <c r="L1170" s="47"/>
      <c r="N1170" s="47"/>
      <c r="O1170" s="47"/>
      <c r="P1170" s="47"/>
    </row>
    <row r="1171" spans="1:16" x14ac:dyDescent="0.3">
      <c r="A1171" s="1">
        <v>1170</v>
      </c>
      <c r="G1171" s="4"/>
      <c r="H1171" s="4"/>
      <c r="I1171" s="47"/>
      <c r="J1171" s="47" t="str">
        <f t="shared" si="31"/>
        <v/>
      </c>
      <c r="K1171" s="47"/>
      <c r="L1171" s="47"/>
      <c r="N1171" s="47"/>
      <c r="O1171" s="47"/>
      <c r="P1171" s="47"/>
    </row>
    <row r="1172" spans="1:16" x14ac:dyDescent="0.3">
      <c r="A1172" s="1">
        <v>1171</v>
      </c>
      <c r="G1172" s="4"/>
      <c r="H1172" s="4"/>
      <c r="I1172" s="47"/>
      <c r="J1172" s="47" t="str">
        <f t="shared" si="31"/>
        <v/>
      </c>
      <c r="K1172" s="47"/>
      <c r="L1172" s="47"/>
      <c r="N1172" s="47"/>
      <c r="O1172" s="47"/>
      <c r="P1172" s="47"/>
    </row>
    <row r="1173" spans="1:16" x14ac:dyDescent="0.3">
      <c r="A1173" s="1">
        <v>1172</v>
      </c>
      <c r="G1173" s="4"/>
      <c r="H1173" s="4"/>
      <c r="I1173" s="47"/>
      <c r="J1173" s="47" t="str">
        <f t="shared" si="31"/>
        <v/>
      </c>
      <c r="K1173" s="47"/>
      <c r="L1173" s="47"/>
      <c r="N1173" s="47"/>
      <c r="O1173" s="47"/>
      <c r="P1173" s="47"/>
    </row>
    <row r="1174" spans="1:16" x14ac:dyDescent="0.3">
      <c r="A1174" s="1">
        <v>1173</v>
      </c>
      <c r="G1174" s="4"/>
      <c r="H1174" s="4"/>
      <c r="I1174" s="47"/>
      <c r="J1174" s="47" t="str">
        <f t="shared" si="31"/>
        <v/>
      </c>
      <c r="K1174" s="47"/>
      <c r="L1174" s="47"/>
      <c r="N1174" s="47"/>
      <c r="O1174" s="47"/>
      <c r="P1174" s="47"/>
    </row>
    <row r="1175" spans="1:16" x14ac:dyDescent="0.3">
      <c r="A1175" s="1">
        <v>1174</v>
      </c>
      <c r="G1175" s="4"/>
      <c r="H1175" s="4"/>
      <c r="I1175" s="47"/>
      <c r="J1175" s="47" t="str">
        <f t="shared" si="31"/>
        <v/>
      </c>
      <c r="K1175" s="47"/>
      <c r="L1175" s="47"/>
      <c r="N1175" s="47"/>
      <c r="O1175" s="47"/>
      <c r="P1175" s="47"/>
    </row>
    <row r="1176" spans="1:16" x14ac:dyDescent="0.3">
      <c r="A1176" s="1">
        <v>1175</v>
      </c>
      <c r="G1176" s="4"/>
      <c r="H1176" s="4"/>
      <c r="I1176" s="47"/>
      <c r="J1176" s="47" t="str">
        <f t="shared" si="31"/>
        <v/>
      </c>
      <c r="K1176" s="47"/>
      <c r="L1176" s="47"/>
      <c r="N1176" s="47"/>
      <c r="O1176" s="47"/>
      <c r="P1176" s="47"/>
    </row>
    <row r="1177" spans="1:16" x14ac:dyDescent="0.3">
      <c r="A1177" s="1">
        <v>1176</v>
      </c>
      <c r="G1177" s="4"/>
      <c r="H1177" s="4"/>
      <c r="I1177" s="47"/>
      <c r="J1177" s="47" t="str">
        <f t="shared" si="31"/>
        <v/>
      </c>
      <c r="K1177" s="47"/>
      <c r="L1177" s="47"/>
      <c r="N1177" s="47"/>
      <c r="O1177" s="47"/>
      <c r="P1177" s="47"/>
    </row>
    <row r="1178" spans="1:16" x14ac:dyDescent="0.3">
      <c r="A1178" s="1">
        <v>1177</v>
      </c>
      <c r="G1178" s="4"/>
      <c r="H1178" s="4"/>
      <c r="I1178" s="47"/>
      <c r="J1178" s="47" t="str">
        <f t="shared" si="31"/>
        <v/>
      </c>
      <c r="K1178" s="47"/>
      <c r="L1178" s="47"/>
      <c r="N1178" s="47"/>
      <c r="O1178" s="47"/>
      <c r="P1178" s="47"/>
    </row>
    <row r="1179" spans="1:16" x14ac:dyDescent="0.3">
      <c r="A1179" s="1">
        <v>1178</v>
      </c>
      <c r="G1179" s="4"/>
      <c r="H1179" s="4"/>
      <c r="I1179" s="47"/>
      <c r="J1179" s="47" t="str">
        <f t="shared" si="31"/>
        <v/>
      </c>
      <c r="K1179" s="47"/>
      <c r="L1179" s="47"/>
      <c r="N1179" s="47"/>
      <c r="O1179" s="47"/>
      <c r="P1179" s="47"/>
    </row>
    <row r="1180" spans="1:16" x14ac:dyDescent="0.3">
      <c r="A1180" s="1">
        <v>1179</v>
      </c>
      <c r="G1180" s="4"/>
      <c r="H1180" s="4"/>
      <c r="I1180" s="47"/>
      <c r="J1180" s="47" t="str">
        <f t="shared" si="31"/>
        <v/>
      </c>
      <c r="K1180" s="47"/>
      <c r="L1180" s="47"/>
      <c r="N1180" s="47"/>
      <c r="O1180" s="47"/>
      <c r="P1180" s="47"/>
    </row>
    <row r="1181" spans="1:16" x14ac:dyDescent="0.3">
      <c r="A1181" s="1">
        <v>1180</v>
      </c>
      <c r="G1181" s="4"/>
      <c r="H1181" s="4"/>
      <c r="I1181" s="47"/>
      <c r="J1181" s="47" t="str">
        <f t="shared" si="31"/>
        <v/>
      </c>
      <c r="K1181" s="47"/>
      <c r="L1181" s="47"/>
      <c r="N1181" s="47"/>
      <c r="O1181" s="47"/>
      <c r="P1181" s="47"/>
    </row>
    <row r="1182" spans="1:16" x14ac:dyDescent="0.3">
      <c r="A1182" s="1">
        <v>1181</v>
      </c>
      <c r="G1182" s="4"/>
      <c r="H1182" s="4"/>
      <c r="I1182" s="47"/>
      <c r="J1182" s="47" t="str">
        <f t="shared" si="31"/>
        <v/>
      </c>
      <c r="K1182" s="47"/>
      <c r="L1182" s="47"/>
      <c r="N1182" s="47"/>
      <c r="O1182" s="47"/>
      <c r="P1182" s="47"/>
    </row>
    <row r="1183" spans="1:16" x14ac:dyDescent="0.3">
      <c r="A1183" s="1">
        <v>1182</v>
      </c>
      <c r="G1183" s="4"/>
      <c r="H1183" s="4"/>
      <c r="I1183" s="47"/>
      <c r="J1183" s="47" t="str">
        <f t="shared" si="31"/>
        <v/>
      </c>
      <c r="K1183" s="47"/>
      <c r="L1183" s="47"/>
      <c r="N1183" s="47"/>
      <c r="O1183" s="47"/>
      <c r="P1183" s="47"/>
    </row>
    <row r="1184" spans="1:16" x14ac:dyDescent="0.3">
      <c r="A1184" s="1">
        <v>1183</v>
      </c>
      <c r="G1184" s="4"/>
      <c r="H1184" s="4"/>
      <c r="I1184" s="47"/>
      <c r="J1184" s="47" t="str">
        <f t="shared" si="31"/>
        <v/>
      </c>
      <c r="K1184" s="47"/>
      <c r="L1184" s="47"/>
      <c r="N1184" s="47"/>
      <c r="O1184" s="47"/>
      <c r="P1184" s="47"/>
    </row>
    <row r="1185" spans="1:16" x14ac:dyDescent="0.3">
      <c r="A1185" s="1">
        <v>1184</v>
      </c>
      <c r="G1185" s="4"/>
      <c r="H1185" s="4"/>
      <c r="I1185" s="47"/>
      <c r="J1185" s="47" t="str">
        <f t="shared" si="31"/>
        <v/>
      </c>
      <c r="K1185" s="47"/>
      <c r="L1185" s="47"/>
      <c r="N1185" s="47"/>
      <c r="O1185" s="47"/>
      <c r="P1185" s="47"/>
    </row>
    <row r="1186" spans="1:16" x14ac:dyDescent="0.3">
      <c r="A1186" s="1">
        <v>1185</v>
      </c>
      <c r="G1186" s="4"/>
      <c r="H1186" s="4"/>
      <c r="I1186" s="47"/>
      <c r="J1186" s="47" t="str">
        <f t="shared" si="31"/>
        <v/>
      </c>
      <c r="K1186" s="47"/>
      <c r="L1186" s="47"/>
      <c r="N1186" s="47"/>
      <c r="O1186" s="47"/>
      <c r="P1186" s="47"/>
    </row>
    <row r="1187" spans="1:16" x14ac:dyDescent="0.3">
      <c r="A1187" s="1">
        <v>1186</v>
      </c>
      <c r="G1187" s="4"/>
      <c r="H1187" s="4"/>
      <c r="I1187" s="47"/>
      <c r="J1187" s="47" t="str">
        <f t="shared" si="31"/>
        <v/>
      </c>
      <c r="K1187" s="47"/>
      <c r="L1187" s="47"/>
      <c r="N1187" s="47"/>
      <c r="O1187" s="47"/>
      <c r="P1187" s="47"/>
    </row>
    <row r="1188" spans="1:16" x14ac:dyDescent="0.3">
      <c r="A1188" s="1">
        <v>1187</v>
      </c>
      <c r="G1188" s="4"/>
      <c r="H1188" s="4"/>
      <c r="I1188" s="47"/>
      <c r="J1188" s="47" t="str">
        <f t="shared" si="31"/>
        <v/>
      </c>
      <c r="K1188" s="47"/>
      <c r="L1188" s="47"/>
      <c r="N1188" s="47"/>
      <c r="O1188" s="47"/>
      <c r="P1188" s="47"/>
    </row>
    <row r="1189" spans="1:16" x14ac:dyDescent="0.3">
      <c r="A1189" s="1">
        <v>1188</v>
      </c>
      <c r="G1189" s="4"/>
      <c r="H1189" s="4"/>
      <c r="I1189" s="47"/>
      <c r="J1189" s="47" t="str">
        <f t="shared" si="31"/>
        <v/>
      </c>
      <c r="K1189" s="47"/>
      <c r="L1189" s="47"/>
      <c r="N1189" s="47"/>
      <c r="O1189" s="47"/>
      <c r="P1189" s="47"/>
    </row>
    <row r="1190" spans="1:16" x14ac:dyDescent="0.3">
      <c r="A1190" s="1">
        <v>1189</v>
      </c>
      <c r="G1190" s="4"/>
      <c r="H1190" s="4"/>
      <c r="I1190" s="47"/>
      <c r="J1190" s="47" t="str">
        <f t="shared" si="31"/>
        <v/>
      </c>
      <c r="K1190" s="47"/>
      <c r="L1190" s="47"/>
      <c r="N1190" s="47"/>
      <c r="O1190" s="47"/>
      <c r="P1190" s="47"/>
    </row>
    <row r="1191" spans="1:16" x14ac:dyDescent="0.3">
      <c r="A1191" s="1">
        <v>1190</v>
      </c>
      <c r="G1191" s="4"/>
      <c r="H1191" s="4"/>
      <c r="I1191" s="47"/>
      <c r="J1191" s="47" t="str">
        <f t="shared" si="31"/>
        <v/>
      </c>
      <c r="K1191" s="47"/>
      <c r="L1191" s="47"/>
      <c r="N1191" s="47"/>
      <c r="O1191" s="47"/>
      <c r="P1191" s="47"/>
    </row>
    <row r="1192" spans="1:16" x14ac:dyDescent="0.3">
      <c r="A1192" s="1">
        <v>1191</v>
      </c>
      <c r="G1192" s="4"/>
      <c r="H1192" s="4"/>
      <c r="I1192" s="47"/>
      <c r="J1192" s="47" t="str">
        <f t="shared" si="31"/>
        <v/>
      </c>
      <c r="K1192" s="47"/>
      <c r="L1192" s="47"/>
      <c r="N1192" s="47"/>
      <c r="O1192" s="47"/>
      <c r="P1192" s="47"/>
    </row>
    <row r="1193" spans="1:16" x14ac:dyDescent="0.3">
      <c r="A1193" s="1">
        <v>1192</v>
      </c>
      <c r="G1193" s="4"/>
      <c r="H1193" s="4"/>
      <c r="I1193" s="47"/>
      <c r="J1193" s="47" t="str">
        <f t="shared" si="31"/>
        <v/>
      </c>
      <c r="K1193" s="47"/>
      <c r="L1193" s="47"/>
      <c r="N1193" s="47"/>
      <c r="O1193" s="47"/>
      <c r="P1193" s="47"/>
    </row>
    <row r="1194" spans="1:16" x14ac:dyDescent="0.3">
      <c r="A1194" s="1">
        <v>1193</v>
      </c>
      <c r="G1194" s="4"/>
      <c r="H1194" s="4"/>
      <c r="I1194" s="47"/>
      <c r="J1194" s="47" t="str">
        <f t="shared" si="31"/>
        <v/>
      </c>
      <c r="K1194" s="47"/>
      <c r="L1194" s="47"/>
      <c r="N1194" s="47"/>
      <c r="O1194" s="47"/>
      <c r="P1194" s="47"/>
    </row>
    <row r="1195" spans="1:16" x14ac:dyDescent="0.3">
      <c r="A1195" s="1">
        <v>1194</v>
      </c>
      <c r="G1195" s="4"/>
      <c r="H1195" s="4"/>
      <c r="I1195" s="47"/>
      <c r="J1195" s="47" t="str">
        <f t="shared" si="31"/>
        <v/>
      </c>
      <c r="K1195" s="47"/>
      <c r="L1195" s="47"/>
      <c r="N1195" s="47"/>
      <c r="O1195" s="47"/>
      <c r="P1195" s="47"/>
    </row>
    <row r="1196" spans="1:16" x14ac:dyDescent="0.3">
      <c r="A1196" s="1">
        <v>1195</v>
      </c>
      <c r="G1196" s="4"/>
      <c r="H1196" s="4"/>
      <c r="I1196" s="47"/>
      <c r="J1196" s="47" t="str">
        <f t="shared" si="31"/>
        <v/>
      </c>
      <c r="K1196" s="47"/>
      <c r="L1196" s="47"/>
      <c r="N1196" s="47"/>
      <c r="O1196" s="47"/>
      <c r="P1196" s="47"/>
    </row>
    <row r="1197" spans="1:16" x14ac:dyDescent="0.3">
      <c r="A1197" s="1">
        <v>1196</v>
      </c>
      <c r="G1197" s="4"/>
      <c r="H1197" s="4"/>
      <c r="I1197" s="47"/>
      <c r="J1197" s="47" t="str">
        <f t="shared" si="31"/>
        <v/>
      </c>
      <c r="K1197" s="47"/>
      <c r="L1197" s="47"/>
      <c r="N1197" s="47"/>
      <c r="O1197" s="47"/>
      <c r="P1197" s="47"/>
    </row>
    <row r="1198" spans="1:16" x14ac:dyDescent="0.3">
      <c r="A1198" s="1">
        <v>1197</v>
      </c>
      <c r="G1198" s="4"/>
      <c r="H1198" s="4"/>
      <c r="I1198" s="47"/>
      <c r="J1198" s="47" t="str">
        <f t="shared" si="31"/>
        <v/>
      </c>
      <c r="K1198" s="47"/>
      <c r="L1198" s="47"/>
      <c r="N1198" s="47"/>
      <c r="O1198" s="47"/>
      <c r="P1198" s="47"/>
    </row>
    <row r="1199" spans="1:16" x14ac:dyDescent="0.3">
      <c r="A1199" s="1">
        <v>1198</v>
      </c>
      <c r="G1199" s="4"/>
      <c r="H1199" s="4"/>
      <c r="I1199" s="47"/>
      <c r="J1199" s="47" t="str">
        <f t="shared" si="31"/>
        <v/>
      </c>
      <c r="K1199" s="47"/>
      <c r="L1199" s="47"/>
      <c r="N1199" s="47"/>
      <c r="O1199" s="47"/>
      <c r="P1199" s="47"/>
    </row>
    <row r="1200" spans="1:16" x14ac:dyDescent="0.3">
      <c r="A1200" s="1">
        <v>1199</v>
      </c>
      <c r="G1200" s="4"/>
      <c r="H1200" s="4"/>
      <c r="I1200" s="47"/>
      <c r="J1200" s="47" t="str">
        <f t="shared" si="31"/>
        <v/>
      </c>
      <c r="K1200" s="47"/>
      <c r="L1200" s="47"/>
      <c r="N1200" s="47"/>
      <c r="O1200" s="47"/>
      <c r="P1200" s="47"/>
    </row>
    <row r="1201" spans="1:16" x14ac:dyDescent="0.3">
      <c r="A1201" s="1">
        <v>1200</v>
      </c>
      <c r="G1201" s="4"/>
      <c r="H1201" s="4"/>
      <c r="I1201" s="47"/>
      <c r="J1201" s="47" t="str">
        <f t="shared" si="31"/>
        <v/>
      </c>
      <c r="K1201" s="47"/>
      <c r="L1201" s="47"/>
      <c r="N1201" s="47"/>
      <c r="O1201" s="47"/>
      <c r="P1201" s="47"/>
    </row>
    <row r="1202" spans="1:16" x14ac:dyDescent="0.3">
      <c r="A1202" s="1">
        <v>1201</v>
      </c>
      <c r="G1202" s="4"/>
      <c r="H1202" s="4"/>
      <c r="I1202" s="47"/>
      <c r="J1202" s="47" t="str">
        <f t="shared" si="31"/>
        <v/>
      </c>
      <c r="K1202" s="47"/>
      <c r="L1202" s="47"/>
      <c r="N1202" s="47"/>
      <c r="O1202" s="47"/>
      <c r="P1202" s="47"/>
    </row>
    <row r="1203" spans="1:16" x14ac:dyDescent="0.3">
      <c r="A1203" s="1">
        <v>1202</v>
      </c>
      <c r="G1203" s="4"/>
      <c r="H1203" s="4"/>
      <c r="I1203" s="47"/>
      <c r="J1203" s="47" t="str">
        <f t="shared" si="31"/>
        <v/>
      </c>
      <c r="K1203" s="47"/>
      <c r="L1203" s="47"/>
      <c r="N1203" s="47"/>
      <c r="O1203" s="47"/>
      <c r="P1203" s="47"/>
    </row>
    <row r="1204" spans="1:16" x14ac:dyDescent="0.3">
      <c r="A1204" s="1">
        <v>1203</v>
      </c>
      <c r="G1204" s="4"/>
      <c r="H1204" s="4"/>
      <c r="I1204" s="47"/>
      <c r="J1204" s="47" t="str">
        <f t="shared" si="31"/>
        <v/>
      </c>
      <c r="K1204" s="47"/>
      <c r="L1204" s="47"/>
      <c r="N1204" s="47"/>
      <c r="O1204" s="47"/>
      <c r="P1204" s="47"/>
    </row>
    <row r="1205" spans="1:16" x14ac:dyDescent="0.3">
      <c r="A1205" s="1">
        <v>1204</v>
      </c>
      <c r="G1205" s="4"/>
      <c r="H1205" s="4"/>
      <c r="I1205" s="47"/>
      <c r="J1205" s="47" t="str">
        <f t="shared" si="31"/>
        <v/>
      </c>
      <c r="K1205" s="47"/>
      <c r="L1205" s="47"/>
      <c r="N1205" s="47"/>
      <c r="O1205" s="47"/>
      <c r="P1205" s="47"/>
    </row>
    <row r="1206" spans="1:16" x14ac:dyDescent="0.3">
      <c r="A1206" s="1">
        <v>1205</v>
      </c>
      <c r="G1206" s="4"/>
      <c r="H1206" s="4"/>
      <c r="I1206" s="47"/>
      <c r="J1206" s="47" t="str">
        <f t="shared" si="31"/>
        <v/>
      </c>
      <c r="K1206" s="47"/>
      <c r="L1206" s="47"/>
      <c r="N1206" s="47"/>
      <c r="O1206" s="47"/>
      <c r="P1206" s="47"/>
    </row>
    <row r="1207" spans="1:16" x14ac:dyDescent="0.3">
      <c r="A1207" s="1">
        <v>1206</v>
      </c>
      <c r="G1207" s="4"/>
      <c r="H1207" s="4"/>
      <c r="I1207" s="47"/>
      <c r="J1207" s="47" t="str">
        <f t="shared" si="31"/>
        <v/>
      </c>
      <c r="K1207" s="47"/>
      <c r="L1207" s="47"/>
      <c r="N1207" s="47"/>
      <c r="O1207" s="47"/>
      <c r="P1207" s="47"/>
    </row>
    <row r="1208" spans="1:16" x14ac:dyDescent="0.3">
      <c r="A1208" s="1">
        <v>1207</v>
      </c>
      <c r="G1208" s="4"/>
      <c r="H1208" s="4"/>
      <c r="I1208" s="47"/>
      <c r="J1208" s="47" t="str">
        <f t="shared" si="31"/>
        <v/>
      </c>
      <c r="K1208" s="47"/>
      <c r="L1208" s="47"/>
      <c r="N1208" s="47"/>
      <c r="O1208" s="47"/>
      <c r="P1208" s="47"/>
    </row>
    <row r="1209" spans="1:16" x14ac:dyDescent="0.3">
      <c r="A1209" s="1">
        <v>1208</v>
      </c>
      <c r="G1209" s="4"/>
      <c r="H1209" s="4"/>
      <c r="I1209" s="47"/>
      <c r="J1209" s="47" t="str">
        <f t="shared" si="31"/>
        <v/>
      </c>
      <c r="K1209" s="47"/>
      <c r="L1209" s="47"/>
      <c r="N1209" s="47"/>
      <c r="O1209" s="47"/>
      <c r="P1209" s="47"/>
    </row>
    <row r="1210" spans="1:16" x14ac:dyDescent="0.3">
      <c r="A1210" s="1">
        <v>1209</v>
      </c>
      <c r="G1210" s="4"/>
      <c r="H1210" s="4"/>
      <c r="I1210" s="47"/>
      <c r="J1210" s="47" t="str">
        <f t="shared" si="31"/>
        <v/>
      </c>
      <c r="K1210" s="47"/>
      <c r="L1210" s="47"/>
      <c r="N1210" s="47"/>
      <c r="O1210" s="47"/>
      <c r="P1210" s="47"/>
    </row>
    <row r="1211" spans="1:16" x14ac:dyDescent="0.3">
      <c r="A1211" s="1">
        <v>1210</v>
      </c>
      <c r="G1211" s="4"/>
      <c r="H1211" s="4"/>
      <c r="I1211" s="47"/>
      <c r="J1211" s="47" t="str">
        <f t="shared" si="31"/>
        <v/>
      </c>
      <c r="K1211" s="47"/>
      <c r="L1211" s="47"/>
      <c r="N1211" s="47"/>
      <c r="O1211" s="47"/>
      <c r="P1211" s="47"/>
    </row>
    <row r="1212" spans="1:16" x14ac:dyDescent="0.3">
      <c r="A1212" s="1">
        <v>1211</v>
      </c>
      <c r="G1212" s="4"/>
      <c r="H1212" s="4"/>
      <c r="I1212" s="47"/>
      <c r="J1212" s="47" t="str">
        <f t="shared" si="31"/>
        <v/>
      </c>
      <c r="K1212" s="47"/>
      <c r="L1212" s="47"/>
      <c r="N1212" s="47"/>
      <c r="O1212" s="47"/>
      <c r="P1212" s="47"/>
    </row>
    <row r="1213" spans="1:16" x14ac:dyDescent="0.3">
      <c r="A1213" s="1">
        <v>1212</v>
      </c>
      <c r="G1213" s="4"/>
      <c r="H1213" s="4"/>
      <c r="I1213" s="47"/>
      <c r="J1213" s="47" t="str">
        <f t="shared" si="31"/>
        <v/>
      </c>
      <c r="K1213" s="47"/>
      <c r="L1213" s="47"/>
      <c r="N1213" s="47"/>
      <c r="O1213" s="47"/>
      <c r="P1213" s="47"/>
    </row>
    <row r="1214" spans="1:16" x14ac:dyDescent="0.3">
      <c r="A1214" s="1">
        <v>1213</v>
      </c>
      <c r="G1214" s="4"/>
      <c r="H1214" s="4"/>
      <c r="I1214" s="47"/>
      <c r="J1214" s="47" t="str">
        <f t="shared" si="31"/>
        <v/>
      </c>
      <c r="K1214" s="47"/>
      <c r="L1214" s="47"/>
      <c r="N1214" s="47"/>
      <c r="O1214" s="47"/>
      <c r="P1214" s="47"/>
    </row>
    <row r="1215" spans="1:16" x14ac:dyDescent="0.3">
      <c r="A1215" s="1">
        <v>1214</v>
      </c>
      <c r="G1215" s="4"/>
      <c r="H1215" s="4"/>
      <c r="I1215" s="47"/>
      <c r="J1215" s="47" t="str">
        <f t="shared" si="31"/>
        <v/>
      </c>
      <c r="K1215" s="47"/>
      <c r="L1215" s="47"/>
      <c r="N1215" s="47"/>
      <c r="O1215" s="47"/>
      <c r="P1215" s="47"/>
    </row>
    <row r="1216" spans="1:16" x14ac:dyDescent="0.3">
      <c r="A1216" s="1">
        <v>1215</v>
      </c>
      <c r="G1216" s="4"/>
      <c r="H1216" s="4"/>
      <c r="I1216" s="47"/>
      <c r="J1216" s="47" t="str">
        <f t="shared" si="31"/>
        <v/>
      </c>
      <c r="K1216" s="47"/>
      <c r="L1216" s="47"/>
      <c r="N1216" s="47"/>
      <c r="O1216" s="47"/>
      <c r="P1216" s="47"/>
    </row>
    <row r="1217" spans="1:16" x14ac:dyDescent="0.3">
      <c r="A1217" s="1">
        <v>1216</v>
      </c>
      <c r="G1217" s="4"/>
      <c r="H1217" s="4"/>
      <c r="I1217" s="47"/>
      <c r="J1217" s="47" t="str">
        <f t="shared" si="31"/>
        <v/>
      </c>
      <c r="K1217" s="47"/>
      <c r="L1217" s="47"/>
      <c r="N1217" s="47"/>
      <c r="O1217" s="47"/>
      <c r="P1217" s="47"/>
    </row>
    <row r="1218" spans="1:16" x14ac:dyDescent="0.3">
      <c r="A1218" s="1">
        <v>1217</v>
      </c>
      <c r="G1218" s="4"/>
      <c r="H1218" s="4"/>
      <c r="I1218" s="47"/>
      <c r="J1218" s="47" t="str">
        <f t="shared" si="31"/>
        <v/>
      </c>
      <c r="K1218" s="47"/>
      <c r="L1218" s="47"/>
      <c r="N1218" s="47"/>
      <c r="O1218" s="47"/>
      <c r="P1218" s="47"/>
    </row>
    <row r="1219" spans="1:16" x14ac:dyDescent="0.3">
      <c r="A1219" s="1">
        <v>1218</v>
      </c>
      <c r="G1219" s="4"/>
      <c r="H1219" s="4"/>
      <c r="I1219" s="47"/>
      <c r="J1219" s="47" t="str">
        <f t="shared" ref="J1219:J1282" si="32">+E1219&amp;I1219</f>
        <v/>
      </c>
      <c r="K1219" s="47"/>
      <c r="L1219" s="47"/>
      <c r="N1219" s="47"/>
      <c r="O1219" s="47"/>
      <c r="P1219" s="47"/>
    </row>
    <row r="1220" spans="1:16" x14ac:dyDescent="0.3">
      <c r="A1220" s="1">
        <v>1219</v>
      </c>
      <c r="G1220" s="4"/>
      <c r="H1220" s="4"/>
      <c r="I1220" s="47"/>
      <c r="J1220" s="47" t="str">
        <f t="shared" si="32"/>
        <v/>
      </c>
      <c r="K1220" s="47"/>
      <c r="L1220" s="47"/>
      <c r="N1220" s="47"/>
      <c r="O1220" s="47"/>
      <c r="P1220" s="47"/>
    </row>
    <row r="1221" spans="1:16" x14ac:dyDescent="0.3">
      <c r="A1221" s="1">
        <v>1220</v>
      </c>
      <c r="G1221" s="4"/>
      <c r="H1221" s="4"/>
      <c r="I1221" s="47"/>
      <c r="J1221" s="47" t="str">
        <f t="shared" si="32"/>
        <v/>
      </c>
      <c r="K1221" s="47"/>
      <c r="L1221" s="47"/>
      <c r="N1221" s="47"/>
      <c r="O1221" s="47"/>
      <c r="P1221" s="47"/>
    </row>
    <row r="1222" spans="1:16" x14ac:dyDescent="0.3">
      <c r="A1222" s="1">
        <v>1221</v>
      </c>
      <c r="G1222" s="4"/>
      <c r="H1222" s="4"/>
      <c r="I1222" s="47"/>
      <c r="J1222" s="47" t="str">
        <f t="shared" si="32"/>
        <v/>
      </c>
      <c r="K1222" s="47"/>
      <c r="L1222" s="47"/>
      <c r="N1222" s="47"/>
      <c r="O1222" s="47"/>
      <c r="P1222" s="47"/>
    </row>
    <row r="1223" spans="1:16" x14ac:dyDescent="0.3">
      <c r="A1223" s="1">
        <v>1222</v>
      </c>
      <c r="G1223" s="4"/>
      <c r="H1223" s="4"/>
      <c r="I1223" s="47"/>
      <c r="J1223" s="47" t="str">
        <f t="shared" si="32"/>
        <v/>
      </c>
      <c r="K1223" s="47"/>
      <c r="L1223" s="47"/>
      <c r="N1223" s="47"/>
      <c r="O1223" s="47"/>
      <c r="P1223" s="47"/>
    </row>
    <row r="1224" spans="1:16" x14ac:dyDescent="0.3">
      <c r="A1224" s="1">
        <v>1223</v>
      </c>
      <c r="G1224" s="4"/>
      <c r="H1224" s="4"/>
      <c r="I1224" s="47"/>
      <c r="J1224" s="47" t="str">
        <f t="shared" si="32"/>
        <v/>
      </c>
      <c r="K1224" s="47"/>
      <c r="L1224" s="47"/>
      <c r="N1224" s="47"/>
      <c r="O1224" s="47"/>
      <c r="P1224" s="47"/>
    </row>
    <row r="1225" spans="1:16" x14ac:dyDescent="0.3">
      <c r="A1225" s="1">
        <v>1224</v>
      </c>
      <c r="G1225" s="4"/>
      <c r="H1225" s="4"/>
      <c r="I1225" s="47"/>
      <c r="J1225" s="47" t="str">
        <f t="shared" si="32"/>
        <v/>
      </c>
      <c r="K1225" s="47"/>
      <c r="L1225" s="47"/>
      <c r="N1225" s="47"/>
      <c r="O1225" s="47"/>
      <c r="P1225" s="47"/>
    </row>
    <row r="1226" spans="1:16" x14ac:dyDescent="0.3">
      <c r="A1226" s="1">
        <v>1225</v>
      </c>
      <c r="G1226" s="4"/>
      <c r="H1226" s="4"/>
      <c r="I1226" s="47"/>
      <c r="J1226" s="47" t="str">
        <f t="shared" si="32"/>
        <v/>
      </c>
      <c r="K1226" s="47"/>
      <c r="L1226" s="47"/>
      <c r="N1226" s="47"/>
      <c r="O1226" s="47"/>
      <c r="P1226" s="47"/>
    </row>
    <row r="1227" spans="1:16" x14ac:dyDescent="0.3">
      <c r="A1227" s="1">
        <v>1226</v>
      </c>
      <c r="G1227" s="4"/>
      <c r="H1227" s="4"/>
      <c r="I1227" s="47"/>
      <c r="J1227" s="47" t="str">
        <f t="shared" si="32"/>
        <v/>
      </c>
      <c r="K1227" s="47"/>
      <c r="L1227" s="47"/>
      <c r="N1227" s="47"/>
      <c r="O1227" s="47"/>
      <c r="P1227" s="47"/>
    </row>
    <row r="1228" spans="1:16" x14ac:dyDescent="0.3">
      <c r="A1228" s="1">
        <v>1227</v>
      </c>
      <c r="G1228" s="4"/>
      <c r="H1228" s="4"/>
      <c r="I1228" s="47"/>
      <c r="J1228" s="47" t="str">
        <f t="shared" si="32"/>
        <v/>
      </c>
      <c r="K1228" s="47"/>
      <c r="L1228" s="47"/>
      <c r="N1228" s="47"/>
      <c r="O1228" s="47"/>
      <c r="P1228" s="47"/>
    </row>
    <row r="1229" spans="1:16" x14ac:dyDescent="0.3">
      <c r="A1229" s="1">
        <v>1228</v>
      </c>
      <c r="G1229" s="4"/>
      <c r="H1229" s="4"/>
      <c r="I1229" s="47"/>
      <c r="J1229" s="47" t="str">
        <f t="shared" si="32"/>
        <v/>
      </c>
      <c r="K1229" s="47"/>
      <c r="L1229" s="47"/>
      <c r="N1229" s="47"/>
      <c r="O1229" s="47"/>
      <c r="P1229" s="47"/>
    </row>
    <row r="1230" spans="1:16" x14ac:dyDescent="0.3">
      <c r="A1230" s="1">
        <v>1229</v>
      </c>
      <c r="G1230" s="4"/>
      <c r="H1230" s="4"/>
      <c r="I1230" s="47"/>
      <c r="J1230" s="47" t="str">
        <f t="shared" si="32"/>
        <v/>
      </c>
      <c r="K1230" s="47"/>
      <c r="L1230" s="47"/>
      <c r="N1230" s="47"/>
      <c r="O1230" s="47"/>
      <c r="P1230" s="47"/>
    </row>
    <row r="1231" spans="1:16" x14ac:dyDescent="0.3">
      <c r="A1231" s="1">
        <v>1230</v>
      </c>
      <c r="G1231" s="4"/>
      <c r="H1231" s="4"/>
      <c r="I1231" s="47"/>
      <c r="J1231" s="47" t="str">
        <f t="shared" si="32"/>
        <v/>
      </c>
      <c r="K1231" s="47"/>
      <c r="L1231" s="47"/>
      <c r="N1231" s="47"/>
      <c r="O1231" s="47"/>
      <c r="P1231" s="47"/>
    </row>
    <row r="1232" spans="1:16" x14ac:dyDescent="0.3">
      <c r="A1232" s="1">
        <v>1231</v>
      </c>
      <c r="G1232" s="4"/>
      <c r="H1232" s="4"/>
      <c r="I1232" s="47"/>
      <c r="J1232" s="47" t="str">
        <f t="shared" si="32"/>
        <v/>
      </c>
      <c r="K1232" s="47"/>
      <c r="L1232" s="47"/>
      <c r="N1232" s="47"/>
      <c r="O1232" s="47"/>
      <c r="P1232" s="47"/>
    </row>
    <row r="1233" spans="1:16" x14ac:dyDescent="0.3">
      <c r="A1233" s="1">
        <v>1232</v>
      </c>
      <c r="G1233" s="4"/>
      <c r="H1233" s="4"/>
      <c r="I1233" s="47"/>
      <c r="J1233" s="47" t="str">
        <f t="shared" si="32"/>
        <v/>
      </c>
      <c r="K1233" s="47"/>
      <c r="L1233" s="47"/>
      <c r="N1233" s="47"/>
      <c r="O1233" s="47"/>
      <c r="P1233" s="47"/>
    </row>
    <row r="1234" spans="1:16" x14ac:dyDescent="0.3">
      <c r="A1234" s="1">
        <v>1233</v>
      </c>
      <c r="G1234" s="4"/>
      <c r="H1234" s="4"/>
      <c r="I1234" s="47"/>
      <c r="J1234" s="47" t="str">
        <f t="shared" si="32"/>
        <v/>
      </c>
      <c r="K1234" s="47"/>
      <c r="L1234" s="47"/>
      <c r="N1234" s="47"/>
      <c r="O1234" s="47"/>
      <c r="P1234" s="47"/>
    </row>
    <row r="1235" spans="1:16" x14ac:dyDescent="0.3">
      <c r="A1235" s="1">
        <v>1234</v>
      </c>
      <c r="G1235" s="4"/>
      <c r="H1235" s="4"/>
      <c r="I1235" s="47"/>
      <c r="J1235" s="47" t="str">
        <f t="shared" si="32"/>
        <v/>
      </c>
      <c r="K1235" s="47"/>
      <c r="L1235" s="47"/>
      <c r="N1235" s="47"/>
      <c r="O1235" s="47"/>
      <c r="P1235" s="47"/>
    </row>
    <row r="1236" spans="1:16" x14ac:dyDescent="0.3">
      <c r="A1236" s="1">
        <v>1235</v>
      </c>
      <c r="G1236" s="4"/>
      <c r="H1236" s="4"/>
      <c r="I1236" s="47"/>
      <c r="J1236" s="47" t="str">
        <f t="shared" si="32"/>
        <v/>
      </c>
      <c r="K1236" s="47"/>
      <c r="L1236" s="47"/>
      <c r="N1236" s="47"/>
      <c r="O1236" s="47"/>
      <c r="P1236" s="47"/>
    </row>
    <row r="1237" spans="1:16" x14ac:dyDescent="0.3">
      <c r="A1237" s="1">
        <v>1236</v>
      </c>
      <c r="G1237" s="4"/>
      <c r="H1237" s="4"/>
      <c r="I1237" s="47"/>
      <c r="J1237" s="47" t="str">
        <f t="shared" si="32"/>
        <v/>
      </c>
      <c r="K1237" s="47"/>
      <c r="L1237" s="47"/>
      <c r="N1237" s="47"/>
      <c r="O1237" s="47"/>
      <c r="P1237" s="47"/>
    </row>
    <row r="1238" spans="1:16" x14ac:dyDescent="0.3">
      <c r="A1238" s="1">
        <v>1237</v>
      </c>
      <c r="G1238" s="4"/>
      <c r="H1238" s="4"/>
      <c r="I1238" s="47"/>
      <c r="J1238" s="47" t="str">
        <f t="shared" si="32"/>
        <v/>
      </c>
      <c r="K1238" s="47"/>
      <c r="L1238" s="47"/>
      <c r="N1238" s="47"/>
      <c r="O1238" s="47"/>
      <c r="P1238" s="47"/>
    </row>
    <row r="1239" spans="1:16" x14ac:dyDescent="0.3">
      <c r="A1239" s="1">
        <v>1238</v>
      </c>
      <c r="G1239" s="4"/>
      <c r="H1239" s="4"/>
      <c r="I1239" s="47"/>
      <c r="J1239" s="47" t="str">
        <f t="shared" si="32"/>
        <v/>
      </c>
      <c r="K1239" s="47"/>
      <c r="L1239" s="47"/>
      <c r="N1239" s="47"/>
      <c r="O1239" s="47"/>
      <c r="P1239" s="47"/>
    </row>
    <row r="1240" spans="1:16" x14ac:dyDescent="0.3">
      <c r="A1240" s="1">
        <v>1239</v>
      </c>
      <c r="G1240" s="4"/>
      <c r="H1240" s="4"/>
      <c r="I1240" s="47"/>
      <c r="J1240" s="47" t="str">
        <f t="shared" si="32"/>
        <v/>
      </c>
      <c r="K1240" s="47"/>
      <c r="L1240" s="47"/>
      <c r="N1240" s="47"/>
      <c r="O1240" s="47"/>
      <c r="P1240" s="47"/>
    </row>
    <row r="1241" spans="1:16" x14ac:dyDescent="0.3">
      <c r="A1241" s="1">
        <v>1240</v>
      </c>
      <c r="G1241" s="4"/>
      <c r="H1241" s="4"/>
      <c r="I1241" s="47"/>
      <c r="J1241" s="47" t="str">
        <f t="shared" si="32"/>
        <v/>
      </c>
      <c r="K1241" s="47"/>
      <c r="L1241" s="47"/>
      <c r="N1241" s="47"/>
      <c r="O1241" s="47"/>
      <c r="P1241" s="47"/>
    </row>
    <row r="1242" spans="1:16" x14ac:dyDescent="0.3">
      <c r="A1242" s="1">
        <v>1241</v>
      </c>
      <c r="G1242" s="4"/>
      <c r="H1242" s="4"/>
      <c r="I1242" s="47"/>
      <c r="J1242" s="47" t="str">
        <f t="shared" si="32"/>
        <v/>
      </c>
      <c r="K1242" s="47"/>
      <c r="L1242" s="47"/>
      <c r="N1242" s="47"/>
      <c r="O1242" s="47"/>
      <c r="P1242" s="47"/>
    </row>
    <row r="1243" spans="1:16" x14ac:dyDescent="0.3">
      <c r="A1243" s="1">
        <v>1242</v>
      </c>
      <c r="G1243" s="4"/>
      <c r="H1243" s="4"/>
      <c r="I1243" s="47"/>
      <c r="J1243" s="47" t="str">
        <f t="shared" si="32"/>
        <v/>
      </c>
      <c r="K1243" s="47"/>
      <c r="L1243" s="47"/>
      <c r="N1243" s="47"/>
      <c r="O1243" s="47"/>
      <c r="P1243" s="47"/>
    </row>
    <row r="1244" spans="1:16" x14ac:dyDescent="0.3">
      <c r="A1244" s="1">
        <v>1243</v>
      </c>
      <c r="G1244" s="4"/>
      <c r="H1244" s="4"/>
      <c r="I1244" s="47"/>
      <c r="J1244" s="47" t="str">
        <f t="shared" si="32"/>
        <v/>
      </c>
      <c r="K1244" s="47"/>
      <c r="L1244" s="47"/>
      <c r="N1244" s="47"/>
      <c r="O1244" s="47"/>
      <c r="P1244" s="47"/>
    </row>
    <row r="1245" spans="1:16" x14ac:dyDescent="0.3">
      <c r="A1245" s="1">
        <v>1244</v>
      </c>
      <c r="G1245" s="4"/>
      <c r="H1245" s="4"/>
      <c r="I1245" s="47"/>
      <c r="J1245" s="47" t="str">
        <f t="shared" si="32"/>
        <v/>
      </c>
      <c r="K1245" s="47"/>
      <c r="L1245" s="47"/>
      <c r="N1245" s="47"/>
      <c r="O1245" s="47"/>
      <c r="P1245" s="47"/>
    </row>
    <row r="1246" spans="1:16" x14ac:dyDescent="0.3">
      <c r="A1246" s="1">
        <v>1245</v>
      </c>
      <c r="G1246" s="4"/>
      <c r="H1246" s="4"/>
      <c r="I1246" s="47"/>
      <c r="J1246" s="47" t="str">
        <f t="shared" si="32"/>
        <v/>
      </c>
      <c r="K1246" s="47"/>
      <c r="L1246" s="47"/>
      <c r="N1246" s="47"/>
      <c r="O1246" s="47"/>
      <c r="P1246" s="47"/>
    </row>
    <row r="1247" spans="1:16" x14ac:dyDescent="0.3">
      <c r="A1247" s="1">
        <v>1246</v>
      </c>
      <c r="G1247" s="4"/>
      <c r="H1247" s="4"/>
      <c r="I1247" s="47"/>
      <c r="J1247" s="47" t="str">
        <f t="shared" si="32"/>
        <v/>
      </c>
      <c r="K1247" s="47"/>
      <c r="L1247" s="47"/>
      <c r="N1247" s="47"/>
      <c r="O1247" s="47"/>
      <c r="P1247" s="47"/>
    </row>
    <row r="1248" spans="1:16" x14ac:dyDescent="0.3">
      <c r="A1248" s="1">
        <v>1247</v>
      </c>
      <c r="G1248" s="4"/>
      <c r="H1248" s="4"/>
      <c r="I1248" s="47"/>
      <c r="J1248" s="47" t="str">
        <f t="shared" si="32"/>
        <v/>
      </c>
      <c r="K1248" s="47"/>
      <c r="L1248" s="47"/>
      <c r="N1248" s="47"/>
      <c r="O1248" s="47"/>
      <c r="P1248" s="47"/>
    </row>
    <row r="1249" spans="1:16" x14ac:dyDescent="0.3">
      <c r="A1249" s="1">
        <v>1248</v>
      </c>
      <c r="G1249" s="4"/>
      <c r="H1249" s="4"/>
      <c r="I1249" s="47"/>
      <c r="J1249" s="47" t="str">
        <f t="shared" si="32"/>
        <v/>
      </c>
      <c r="K1249" s="47"/>
      <c r="L1249" s="47"/>
      <c r="N1249" s="47"/>
      <c r="O1249" s="47"/>
      <c r="P1249" s="47"/>
    </row>
    <row r="1250" spans="1:16" x14ac:dyDescent="0.3">
      <c r="A1250" s="1">
        <v>1249</v>
      </c>
      <c r="G1250" s="4"/>
      <c r="H1250" s="4"/>
      <c r="I1250" s="47"/>
      <c r="J1250" s="47" t="str">
        <f t="shared" si="32"/>
        <v/>
      </c>
      <c r="K1250" s="47"/>
      <c r="L1250" s="47"/>
      <c r="N1250" s="47"/>
      <c r="O1250" s="47"/>
      <c r="P1250" s="47"/>
    </row>
    <row r="1251" spans="1:16" x14ac:dyDescent="0.3">
      <c r="A1251" s="1">
        <v>1250</v>
      </c>
      <c r="G1251" s="4"/>
      <c r="H1251" s="4"/>
      <c r="I1251" s="47"/>
      <c r="J1251" s="47" t="str">
        <f t="shared" si="32"/>
        <v/>
      </c>
      <c r="K1251" s="47"/>
      <c r="L1251" s="47"/>
      <c r="N1251" s="47"/>
      <c r="O1251" s="47"/>
      <c r="P1251" s="47"/>
    </row>
    <row r="1252" spans="1:16" x14ac:dyDescent="0.3">
      <c r="A1252" s="1">
        <v>1251</v>
      </c>
      <c r="G1252" s="4"/>
      <c r="H1252" s="4"/>
      <c r="I1252" s="47"/>
      <c r="J1252" s="47" t="str">
        <f t="shared" si="32"/>
        <v/>
      </c>
      <c r="K1252" s="47"/>
      <c r="L1252" s="47"/>
      <c r="N1252" s="47"/>
      <c r="O1252" s="47"/>
      <c r="P1252" s="47"/>
    </row>
    <row r="1253" spans="1:16" x14ac:dyDescent="0.3">
      <c r="A1253" s="1">
        <v>1252</v>
      </c>
      <c r="G1253" s="4"/>
      <c r="H1253" s="4"/>
      <c r="I1253" s="47"/>
      <c r="J1253" s="47" t="str">
        <f t="shared" si="32"/>
        <v/>
      </c>
      <c r="K1253" s="47"/>
      <c r="L1253" s="47"/>
      <c r="N1253" s="47"/>
      <c r="O1253" s="47"/>
      <c r="P1253" s="47"/>
    </row>
    <row r="1254" spans="1:16" x14ac:dyDescent="0.3">
      <c r="A1254" s="1">
        <v>1253</v>
      </c>
      <c r="G1254" s="4"/>
      <c r="H1254" s="4"/>
      <c r="I1254" s="47"/>
      <c r="J1254" s="47" t="str">
        <f t="shared" si="32"/>
        <v/>
      </c>
      <c r="K1254" s="47"/>
      <c r="L1254" s="47"/>
      <c r="N1254" s="47"/>
      <c r="O1254" s="47"/>
      <c r="P1254" s="47"/>
    </row>
    <row r="1255" spans="1:16" x14ac:dyDescent="0.3">
      <c r="A1255" s="1">
        <v>1254</v>
      </c>
      <c r="G1255" s="4"/>
      <c r="H1255" s="4"/>
      <c r="I1255" s="47"/>
      <c r="J1255" s="47" t="str">
        <f t="shared" si="32"/>
        <v/>
      </c>
      <c r="K1255" s="47"/>
      <c r="L1255" s="47"/>
      <c r="N1255" s="47"/>
      <c r="O1255" s="47"/>
      <c r="P1255" s="47"/>
    </row>
    <row r="1256" spans="1:16" x14ac:dyDescent="0.3">
      <c r="A1256" s="1">
        <v>1255</v>
      </c>
      <c r="G1256" s="4"/>
      <c r="H1256" s="4"/>
      <c r="I1256" s="47"/>
      <c r="J1256" s="47" t="str">
        <f t="shared" si="32"/>
        <v/>
      </c>
      <c r="K1256" s="47"/>
      <c r="L1256" s="47"/>
      <c r="N1256" s="47"/>
      <c r="O1256" s="47"/>
      <c r="P1256" s="47"/>
    </row>
    <row r="1257" spans="1:16" x14ac:dyDescent="0.3">
      <c r="A1257" s="1">
        <v>1256</v>
      </c>
      <c r="G1257" s="4"/>
      <c r="H1257" s="4"/>
      <c r="I1257" s="47"/>
      <c r="J1257" s="47" t="str">
        <f t="shared" si="32"/>
        <v/>
      </c>
      <c r="K1257" s="47"/>
      <c r="L1257" s="47"/>
      <c r="N1257" s="47"/>
      <c r="O1257" s="47"/>
      <c r="P1257" s="47"/>
    </row>
    <row r="1258" spans="1:16" x14ac:dyDescent="0.3">
      <c r="A1258" s="1">
        <v>1257</v>
      </c>
      <c r="G1258" s="4"/>
      <c r="H1258" s="4"/>
      <c r="I1258" s="47"/>
      <c r="J1258" s="47" t="str">
        <f t="shared" si="32"/>
        <v/>
      </c>
      <c r="K1258" s="47"/>
      <c r="L1258" s="47"/>
      <c r="N1258" s="47"/>
      <c r="O1258" s="47"/>
      <c r="P1258" s="47"/>
    </row>
    <row r="1259" spans="1:16" x14ac:dyDescent="0.3">
      <c r="A1259" s="1">
        <v>1258</v>
      </c>
      <c r="G1259" s="4"/>
      <c r="H1259" s="4"/>
      <c r="I1259" s="47"/>
      <c r="J1259" s="47" t="str">
        <f t="shared" si="32"/>
        <v/>
      </c>
      <c r="K1259" s="47"/>
      <c r="L1259" s="47"/>
      <c r="N1259" s="47"/>
      <c r="O1259" s="47"/>
      <c r="P1259" s="47"/>
    </row>
    <row r="1260" spans="1:16" x14ac:dyDescent="0.3">
      <c r="A1260" s="1">
        <v>1259</v>
      </c>
      <c r="G1260" s="4"/>
      <c r="H1260" s="4"/>
      <c r="I1260" s="47"/>
      <c r="J1260" s="47" t="str">
        <f t="shared" si="32"/>
        <v/>
      </c>
      <c r="K1260" s="47"/>
      <c r="L1260" s="47"/>
      <c r="N1260" s="47"/>
      <c r="O1260" s="47"/>
      <c r="P1260" s="47"/>
    </row>
    <row r="1261" spans="1:16" x14ac:dyDescent="0.3">
      <c r="A1261" s="1">
        <v>1260</v>
      </c>
      <c r="G1261" s="4"/>
      <c r="H1261" s="4"/>
      <c r="I1261" s="47"/>
      <c r="J1261" s="47" t="str">
        <f t="shared" si="32"/>
        <v/>
      </c>
      <c r="K1261" s="47"/>
      <c r="L1261" s="47"/>
      <c r="N1261" s="47"/>
      <c r="O1261" s="47"/>
      <c r="P1261" s="47"/>
    </row>
    <row r="1262" spans="1:16" x14ac:dyDescent="0.3">
      <c r="A1262" s="1">
        <v>1261</v>
      </c>
      <c r="G1262" s="4"/>
      <c r="H1262" s="4"/>
      <c r="I1262" s="47"/>
      <c r="J1262" s="47" t="str">
        <f t="shared" si="32"/>
        <v/>
      </c>
      <c r="K1262" s="47"/>
      <c r="L1262" s="47"/>
      <c r="N1262" s="47"/>
      <c r="O1262" s="47"/>
      <c r="P1262" s="47"/>
    </row>
    <row r="1263" spans="1:16" x14ac:dyDescent="0.3">
      <c r="A1263" s="1">
        <v>1262</v>
      </c>
      <c r="G1263" s="4"/>
      <c r="H1263" s="4"/>
      <c r="I1263" s="47"/>
      <c r="J1263" s="47" t="str">
        <f t="shared" si="32"/>
        <v/>
      </c>
      <c r="K1263" s="47"/>
      <c r="L1263" s="47"/>
      <c r="N1263" s="47"/>
      <c r="O1263" s="47"/>
      <c r="P1263" s="47"/>
    </row>
    <row r="1264" spans="1:16" x14ac:dyDescent="0.3">
      <c r="A1264" s="1">
        <v>1263</v>
      </c>
      <c r="G1264" s="4"/>
      <c r="H1264" s="4"/>
      <c r="I1264" s="47"/>
      <c r="J1264" s="47" t="str">
        <f t="shared" si="32"/>
        <v/>
      </c>
      <c r="K1264" s="47"/>
      <c r="L1264" s="47"/>
      <c r="N1264" s="47"/>
      <c r="O1264" s="47"/>
      <c r="P1264" s="47"/>
    </row>
    <row r="1265" spans="1:16" x14ac:dyDescent="0.3">
      <c r="A1265" s="1">
        <v>1264</v>
      </c>
      <c r="G1265" s="4"/>
      <c r="H1265" s="4"/>
      <c r="I1265" s="47"/>
      <c r="J1265" s="47" t="str">
        <f t="shared" si="32"/>
        <v/>
      </c>
      <c r="K1265" s="47"/>
      <c r="L1265" s="47"/>
      <c r="N1265" s="47"/>
      <c r="O1265" s="47"/>
      <c r="P1265" s="47"/>
    </row>
    <row r="1266" spans="1:16" x14ac:dyDescent="0.3">
      <c r="A1266" s="1">
        <v>1265</v>
      </c>
      <c r="G1266" s="4"/>
      <c r="H1266" s="4"/>
      <c r="I1266" s="47"/>
      <c r="J1266" s="47" t="str">
        <f t="shared" si="32"/>
        <v/>
      </c>
      <c r="K1266" s="47"/>
      <c r="L1266" s="47"/>
      <c r="N1266" s="47"/>
      <c r="O1266" s="47"/>
      <c r="P1266" s="47"/>
    </row>
    <row r="1267" spans="1:16" x14ac:dyDescent="0.3">
      <c r="A1267" s="1">
        <v>1266</v>
      </c>
      <c r="G1267" s="4"/>
      <c r="H1267" s="4"/>
      <c r="I1267" s="47"/>
      <c r="J1267" s="47" t="str">
        <f t="shared" si="32"/>
        <v/>
      </c>
      <c r="K1267" s="47"/>
      <c r="L1267" s="47"/>
      <c r="N1267" s="47"/>
      <c r="O1267" s="47"/>
      <c r="P1267" s="47"/>
    </row>
    <row r="1268" spans="1:16" x14ac:dyDescent="0.3">
      <c r="A1268" s="1">
        <v>1267</v>
      </c>
      <c r="G1268" s="4"/>
      <c r="H1268" s="4"/>
      <c r="I1268" s="47"/>
      <c r="J1268" s="47" t="str">
        <f t="shared" si="32"/>
        <v/>
      </c>
      <c r="K1268" s="47"/>
      <c r="L1268" s="47"/>
      <c r="N1268" s="47"/>
      <c r="O1268" s="47"/>
      <c r="P1268" s="47"/>
    </row>
    <row r="1269" spans="1:16" x14ac:dyDescent="0.3">
      <c r="A1269" s="1">
        <v>1268</v>
      </c>
      <c r="G1269" s="4"/>
      <c r="H1269" s="4"/>
      <c r="I1269" s="47"/>
      <c r="J1269" s="47" t="str">
        <f t="shared" si="32"/>
        <v/>
      </c>
      <c r="K1269" s="47"/>
      <c r="L1269" s="47"/>
      <c r="N1269" s="47"/>
      <c r="O1269" s="47"/>
      <c r="P1269" s="47"/>
    </row>
    <row r="1270" spans="1:16" x14ac:dyDescent="0.3">
      <c r="A1270" s="1">
        <v>1269</v>
      </c>
      <c r="G1270" s="4"/>
      <c r="H1270" s="4"/>
      <c r="I1270" s="47"/>
      <c r="J1270" s="47" t="str">
        <f t="shared" si="32"/>
        <v/>
      </c>
      <c r="K1270" s="47"/>
      <c r="L1270" s="47"/>
      <c r="N1270" s="47"/>
      <c r="O1270" s="47"/>
      <c r="P1270" s="47"/>
    </row>
    <row r="1271" spans="1:16" x14ac:dyDescent="0.3">
      <c r="A1271" s="1">
        <v>1270</v>
      </c>
      <c r="G1271" s="4"/>
      <c r="H1271" s="4"/>
      <c r="I1271" s="47"/>
      <c r="J1271" s="47" t="str">
        <f t="shared" si="32"/>
        <v/>
      </c>
      <c r="K1271" s="47"/>
      <c r="L1271" s="47"/>
      <c r="N1271" s="47"/>
      <c r="O1271" s="47"/>
      <c r="P1271" s="47"/>
    </row>
    <row r="1272" spans="1:16" x14ac:dyDescent="0.3">
      <c r="A1272" s="1">
        <v>1271</v>
      </c>
      <c r="G1272" s="4"/>
      <c r="H1272" s="4"/>
      <c r="I1272" s="47"/>
      <c r="J1272" s="47" t="str">
        <f t="shared" si="32"/>
        <v/>
      </c>
      <c r="K1272" s="47"/>
      <c r="L1272" s="47"/>
      <c r="N1272" s="47"/>
      <c r="O1272" s="47"/>
      <c r="P1272" s="47"/>
    </row>
    <row r="1273" spans="1:16" x14ac:dyDescent="0.3">
      <c r="A1273" s="1">
        <v>1272</v>
      </c>
      <c r="G1273" s="4"/>
      <c r="H1273" s="4"/>
      <c r="I1273" s="47"/>
      <c r="J1273" s="47" t="str">
        <f t="shared" si="32"/>
        <v/>
      </c>
      <c r="K1273" s="47"/>
      <c r="L1273" s="47"/>
      <c r="N1273" s="47"/>
      <c r="O1273" s="47"/>
      <c r="P1273" s="47"/>
    </row>
    <row r="1274" spans="1:16" x14ac:dyDescent="0.3">
      <c r="A1274" s="1">
        <v>1273</v>
      </c>
      <c r="G1274" s="4"/>
      <c r="H1274" s="4"/>
      <c r="I1274" s="47"/>
      <c r="J1274" s="47" t="str">
        <f t="shared" si="32"/>
        <v/>
      </c>
      <c r="K1274" s="47"/>
      <c r="L1274" s="47"/>
      <c r="N1274" s="47"/>
      <c r="O1274" s="47"/>
      <c r="P1274" s="47"/>
    </row>
    <row r="1275" spans="1:16" x14ac:dyDescent="0.3">
      <c r="A1275" s="1">
        <v>1274</v>
      </c>
      <c r="G1275" s="4"/>
      <c r="H1275" s="4"/>
      <c r="I1275" s="47"/>
      <c r="J1275" s="47" t="str">
        <f t="shared" si="32"/>
        <v/>
      </c>
      <c r="K1275" s="47"/>
      <c r="L1275" s="47"/>
      <c r="N1275" s="47"/>
      <c r="O1275" s="47"/>
      <c r="P1275" s="47"/>
    </row>
    <row r="1276" spans="1:16" x14ac:dyDescent="0.3">
      <c r="A1276" s="1">
        <v>1275</v>
      </c>
      <c r="G1276" s="4"/>
      <c r="H1276" s="4"/>
      <c r="I1276" s="47"/>
      <c r="J1276" s="47" t="str">
        <f t="shared" si="32"/>
        <v/>
      </c>
      <c r="K1276" s="47"/>
      <c r="L1276" s="47"/>
      <c r="N1276" s="47"/>
      <c r="O1276" s="47"/>
      <c r="P1276" s="47"/>
    </row>
    <row r="1277" spans="1:16" x14ac:dyDescent="0.3">
      <c r="A1277" s="1">
        <v>1276</v>
      </c>
      <c r="G1277" s="4"/>
      <c r="H1277" s="4"/>
      <c r="I1277" s="47"/>
      <c r="J1277" s="47" t="str">
        <f t="shared" si="32"/>
        <v/>
      </c>
      <c r="K1277" s="47"/>
      <c r="L1277" s="47"/>
      <c r="N1277" s="47"/>
      <c r="O1277" s="47"/>
      <c r="P1277" s="47"/>
    </row>
    <row r="1278" spans="1:16" x14ac:dyDescent="0.3">
      <c r="A1278" s="1">
        <v>1277</v>
      </c>
      <c r="G1278" s="4"/>
      <c r="H1278" s="4"/>
      <c r="I1278" s="47"/>
      <c r="J1278" s="47" t="str">
        <f t="shared" si="32"/>
        <v/>
      </c>
      <c r="K1278" s="47"/>
      <c r="L1278" s="47"/>
      <c r="N1278" s="47"/>
      <c r="O1278" s="47"/>
      <c r="P1278" s="47"/>
    </row>
    <row r="1279" spans="1:16" x14ac:dyDescent="0.3">
      <c r="A1279" s="1">
        <v>1278</v>
      </c>
      <c r="G1279" s="4"/>
      <c r="H1279" s="4"/>
      <c r="I1279" s="47"/>
      <c r="J1279" s="47" t="str">
        <f t="shared" si="32"/>
        <v/>
      </c>
      <c r="K1279" s="47"/>
      <c r="L1279" s="47"/>
      <c r="N1279" s="47"/>
      <c r="O1279" s="47"/>
      <c r="P1279" s="47"/>
    </row>
    <row r="1280" spans="1:16" x14ac:dyDescent="0.3">
      <c r="A1280" s="1">
        <v>1279</v>
      </c>
      <c r="G1280" s="4"/>
      <c r="H1280" s="4"/>
      <c r="I1280" s="47"/>
      <c r="J1280" s="47" t="str">
        <f t="shared" si="32"/>
        <v/>
      </c>
      <c r="K1280" s="47"/>
      <c r="L1280" s="47"/>
      <c r="N1280" s="47"/>
      <c r="O1280" s="47"/>
      <c r="P1280" s="47"/>
    </row>
    <row r="1281" spans="1:16" x14ac:dyDescent="0.3">
      <c r="A1281" s="1">
        <v>1280</v>
      </c>
      <c r="G1281" s="4"/>
      <c r="H1281" s="4"/>
      <c r="I1281" s="47"/>
      <c r="J1281" s="47" t="str">
        <f t="shared" si="32"/>
        <v/>
      </c>
      <c r="K1281" s="47"/>
      <c r="L1281" s="47"/>
      <c r="N1281" s="47"/>
      <c r="O1281" s="47"/>
      <c r="P1281" s="47"/>
    </row>
    <row r="1282" spans="1:16" x14ac:dyDescent="0.3">
      <c r="A1282" s="1">
        <v>1281</v>
      </c>
      <c r="G1282" s="4"/>
      <c r="H1282" s="4"/>
      <c r="I1282" s="47"/>
      <c r="J1282" s="47" t="str">
        <f t="shared" si="32"/>
        <v/>
      </c>
      <c r="K1282" s="47"/>
      <c r="L1282" s="47"/>
      <c r="N1282" s="47"/>
      <c r="O1282" s="47"/>
      <c r="P1282" s="47"/>
    </row>
    <row r="1283" spans="1:16" x14ac:dyDescent="0.3">
      <c r="A1283" s="1">
        <v>1282</v>
      </c>
      <c r="G1283" s="4"/>
      <c r="H1283" s="4"/>
      <c r="I1283" s="47"/>
      <c r="J1283" s="47" t="str">
        <f t="shared" ref="J1283:J1346" si="33">+E1283&amp;I1283</f>
        <v/>
      </c>
      <c r="K1283" s="47"/>
      <c r="L1283" s="47"/>
      <c r="N1283" s="47"/>
      <c r="O1283" s="47"/>
      <c r="P1283" s="47"/>
    </row>
    <row r="1284" spans="1:16" x14ac:dyDescent="0.3">
      <c r="A1284" s="1">
        <v>1283</v>
      </c>
      <c r="G1284" s="4"/>
      <c r="H1284" s="4"/>
      <c r="I1284" s="47"/>
      <c r="J1284" s="47" t="str">
        <f t="shared" si="33"/>
        <v/>
      </c>
      <c r="K1284" s="47"/>
      <c r="L1284" s="47"/>
      <c r="N1284" s="47"/>
      <c r="O1284" s="47"/>
      <c r="P1284" s="47"/>
    </row>
    <row r="1285" spans="1:16" x14ac:dyDescent="0.3">
      <c r="A1285" s="1">
        <v>1284</v>
      </c>
      <c r="G1285" s="4"/>
      <c r="H1285" s="4"/>
      <c r="I1285" s="47"/>
      <c r="J1285" s="47" t="str">
        <f t="shared" si="33"/>
        <v/>
      </c>
      <c r="K1285" s="47"/>
      <c r="L1285" s="47"/>
      <c r="N1285" s="47"/>
      <c r="O1285" s="47"/>
      <c r="P1285" s="47"/>
    </row>
    <row r="1286" spans="1:16" x14ac:dyDescent="0.3">
      <c r="A1286" s="1">
        <v>1285</v>
      </c>
      <c r="G1286" s="4"/>
      <c r="H1286" s="4"/>
      <c r="I1286" s="47"/>
      <c r="J1286" s="47" t="str">
        <f t="shared" si="33"/>
        <v/>
      </c>
      <c r="K1286" s="47"/>
      <c r="L1286" s="47"/>
      <c r="N1286" s="47"/>
      <c r="O1286" s="47"/>
      <c r="P1286" s="47"/>
    </row>
    <row r="1287" spans="1:16" x14ac:dyDescent="0.3">
      <c r="A1287" s="1">
        <v>1286</v>
      </c>
      <c r="G1287" s="4"/>
      <c r="H1287" s="4"/>
      <c r="I1287" s="47"/>
      <c r="J1287" s="47" t="str">
        <f t="shared" si="33"/>
        <v/>
      </c>
      <c r="K1287" s="47"/>
      <c r="L1287" s="47"/>
      <c r="N1287" s="47"/>
      <c r="O1287" s="47"/>
      <c r="P1287" s="47"/>
    </row>
    <row r="1288" spans="1:16" x14ac:dyDescent="0.3">
      <c r="A1288" s="1">
        <v>1287</v>
      </c>
      <c r="G1288" s="4"/>
      <c r="H1288" s="4"/>
      <c r="I1288" s="47"/>
      <c r="J1288" s="47" t="str">
        <f t="shared" si="33"/>
        <v/>
      </c>
      <c r="K1288" s="47"/>
      <c r="L1288" s="47"/>
      <c r="N1288" s="47"/>
      <c r="O1288" s="47"/>
      <c r="P1288" s="47"/>
    </row>
    <row r="1289" spans="1:16" x14ac:dyDescent="0.3">
      <c r="A1289" s="1">
        <v>1288</v>
      </c>
      <c r="G1289" s="4"/>
      <c r="H1289" s="4"/>
      <c r="I1289" s="47"/>
      <c r="J1289" s="47" t="str">
        <f t="shared" si="33"/>
        <v/>
      </c>
      <c r="K1289" s="47"/>
      <c r="L1289" s="47"/>
      <c r="N1289" s="47"/>
      <c r="O1289" s="47"/>
      <c r="P1289" s="47"/>
    </row>
    <row r="1290" spans="1:16" x14ac:dyDescent="0.3">
      <c r="A1290" s="1">
        <v>1289</v>
      </c>
      <c r="G1290" s="4"/>
      <c r="H1290" s="4"/>
      <c r="I1290" s="47"/>
      <c r="J1290" s="47" t="str">
        <f t="shared" si="33"/>
        <v/>
      </c>
      <c r="K1290" s="47"/>
      <c r="L1290" s="47"/>
      <c r="N1290" s="47"/>
      <c r="O1290" s="47"/>
      <c r="P1290" s="47"/>
    </row>
    <row r="1291" spans="1:16" x14ac:dyDescent="0.3">
      <c r="A1291" s="1">
        <v>1290</v>
      </c>
      <c r="G1291" s="4"/>
      <c r="H1291" s="4"/>
      <c r="I1291" s="47"/>
      <c r="J1291" s="47" t="str">
        <f t="shared" si="33"/>
        <v/>
      </c>
      <c r="K1291" s="47"/>
      <c r="L1291" s="47"/>
      <c r="N1291" s="47"/>
      <c r="O1291" s="47"/>
      <c r="P1291" s="47"/>
    </row>
    <row r="1292" spans="1:16" x14ac:dyDescent="0.3">
      <c r="A1292" s="1">
        <v>1291</v>
      </c>
      <c r="G1292" s="4"/>
      <c r="H1292" s="4"/>
      <c r="I1292" s="47"/>
      <c r="J1292" s="47" t="str">
        <f t="shared" si="33"/>
        <v/>
      </c>
      <c r="K1292" s="47"/>
      <c r="L1292" s="47"/>
      <c r="N1292" s="47"/>
      <c r="O1292" s="47"/>
      <c r="P1292" s="47"/>
    </row>
    <row r="1293" spans="1:16" x14ac:dyDescent="0.3">
      <c r="A1293" s="1">
        <v>1292</v>
      </c>
      <c r="G1293" s="4"/>
      <c r="H1293" s="4"/>
      <c r="I1293" s="47"/>
      <c r="J1293" s="47" t="str">
        <f t="shared" si="33"/>
        <v/>
      </c>
      <c r="K1293" s="47"/>
      <c r="L1293" s="47"/>
      <c r="N1293" s="47"/>
      <c r="O1293" s="47"/>
      <c r="P1293" s="47"/>
    </row>
    <row r="1294" spans="1:16" x14ac:dyDescent="0.3">
      <c r="A1294" s="1">
        <v>1293</v>
      </c>
      <c r="G1294" s="4"/>
      <c r="H1294" s="4"/>
      <c r="I1294" s="47"/>
      <c r="J1294" s="47" t="str">
        <f t="shared" si="33"/>
        <v/>
      </c>
      <c r="K1294" s="47"/>
      <c r="L1294" s="47"/>
      <c r="N1294" s="47"/>
      <c r="O1294" s="47"/>
      <c r="P1294" s="47"/>
    </row>
    <row r="1295" spans="1:16" x14ac:dyDescent="0.3">
      <c r="A1295" s="1">
        <v>1294</v>
      </c>
      <c r="G1295" s="4"/>
      <c r="H1295" s="4"/>
      <c r="I1295" s="47"/>
      <c r="J1295" s="47" t="str">
        <f t="shared" si="33"/>
        <v/>
      </c>
      <c r="K1295" s="47"/>
      <c r="L1295" s="47"/>
      <c r="N1295" s="47"/>
      <c r="O1295" s="47"/>
      <c r="P1295" s="47"/>
    </row>
    <row r="1296" spans="1:16" x14ac:dyDescent="0.3">
      <c r="A1296" s="1">
        <v>1295</v>
      </c>
      <c r="G1296" s="4"/>
      <c r="H1296" s="4"/>
      <c r="I1296" s="47"/>
      <c r="J1296" s="47" t="str">
        <f t="shared" si="33"/>
        <v/>
      </c>
      <c r="K1296" s="47"/>
      <c r="L1296" s="47"/>
      <c r="N1296" s="47"/>
      <c r="O1296" s="47"/>
      <c r="P1296" s="47"/>
    </row>
    <row r="1297" spans="1:16" x14ac:dyDescent="0.3">
      <c r="A1297" s="1">
        <v>1296</v>
      </c>
      <c r="G1297" s="4"/>
      <c r="H1297" s="4"/>
      <c r="I1297" s="47"/>
      <c r="J1297" s="47" t="str">
        <f t="shared" si="33"/>
        <v/>
      </c>
      <c r="K1297" s="47"/>
      <c r="L1297" s="47"/>
      <c r="N1297" s="47"/>
      <c r="O1297" s="47"/>
      <c r="P1297" s="47"/>
    </row>
    <row r="1298" spans="1:16" x14ac:dyDescent="0.3">
      <c r="A1298" s="1">
        <v>1297</v>
      </c>
      <c r="G1298" s="4"/>
      <c r="H1298" s="4"/>
      <c r="I1298" s="47"/>
      <c r="J1298" s="47" t="str">
        <f t="shared" si="33"/>
        <v/>
      </c>
      <c r="K1298" s="47"/>
      <c r="L1298" s="47"/>
      <c r="N1298" s="47"/>
      <c r="O1298" s="47"/>
      <c r="P1298" s="47"/>
    </row>
    <row r="1299" spans="1:16" x14ac:dyDescent="0.3">
      <c r="A1299" s="1">
        <v>1298</v>
      </c>
      <c r="G1299" s="4"/>
      <c r="H1299" s="4"/>
      <c r="I1299" s="47"/>
      <c r="J1299" s="47" t="str">
        <f t="shared" si="33"/>
        <v/>
      </c>
      <c r="K1299" s="47"/>
      <c r="L1299" s="47"/>
      <c r="N1299" s="47"/>
      <c r="O1299" s="47"/>
      <c r="P1299" s="47"/>
    </row>
    <row r="1300" spans="1:16" x14ac:dyDescent="0.3">
      <c r="A1300" s="1">
        <v>1299</v>
      </c>
      <c r="G1300" s="4"/>
      <c r="H1300" s="4"/>
      <c r="I1300" s="47"/>
      <c r="J1300" s="47" t="str">
        <f t="shared" si="33"/>
        <v/>
      </c>
      <c r="K1300" s="47"/>
      <c r="L1300" s="47"/>
      <c r="N1300" s="47"/>
      <c r="O1300" s="47"/>
      <c r="P1300" s="47"/>
    </row>
    <row r="1301" spans="1:16" x14ac:dyDescent="0.3">
      <c r="A1301" s="1">
        <v>1300</v>
      </c>
      <c r="G1301" s="4"/>
      <c r="H1301" s="4"/>
      <c r="I1301" s="47"/>
      <c r="J1301" s="47" t="str">
        <f t="shared" si="33"/>
        <v/>
      </c>
      <c r="K1301" s="47"/>
      <c r="L1301" s="47"/>
      <c r="N1301" s="47"/>
      <c r="O1301" s="47"/>
      <c r="P1301" s="47"/>
    </row>
    <row r="1302" spans="1:16" x14ac:dyDescent="0.3">
      <c r="A1302" s="1">
        <v>1301</v>
      </c>
      <c r="G1302" s="4"/>
      <c r="H1302" s="4"/>
      <c r="I1302" s="47"/>
      <c r="J1302" s="47" t="str">
        <f t="shared" si="33"/>
        <v/>
      </c>
      <c r="K1302" s="47"/>
      <c r="L1302" s="47"/>
      <c r="N1302" s="47"/>
      <c r="O1302" s="47"/>
      <c r="P1302" s="47"/>
    </row>
    <row r="1303" spans="1:16" x14ac:dyDescent="0.3">
      <c r="A1303" s="1">
        <v>1302</v>
      </c>
      <c r="G1303" s="4"/>
      <c r="H1303" s="4"/>
      <c r="I1303" s="47"/>
      <c r="J1303" s="47" t="str">
        <f t="shared" si="33"/>
        <v/>
      </c>
      <c r="K1303" s="47"/>
      <c r="L1303" s="47"/>
      <c r="N1303" s="47"/>
      <c r="O1303" s="47"/>
      <c r="P1303" s="47"/>
    </row>
    <row r="1304" spans="1:16" x14ac:dyDescent="0.3">
      <c r="A1304" s="1">
        <v>1303</v>
      </c>
      <c r="G1304" s="4"/>
      <c r="H1304" s="4"/>
      <c r="I1304" s="47"/>
      <c r="J1304" s="47" t="str">
        <f t="shared" si="33"/>
        <v/>
      </c>
      <c r="K1304" s="47"/>
      <c r="L1304" s="47"/>
      <c r="N1304" s="47"/>
      <c r="O1304" s="47"/>
      <c r="P1304" s="47"/>
    </row>
    <row r="1305" spans="1:16" x14ac:dyDescent="0.3">
      <c r="A1305" s="1">
        <v>1304</v>
      </c>
      <c r="G1305" s="4"/>
      <c r="H1305" s="4"/>
      <c r="I1305" s="47"/>
      <c r="J1305" s="47" t="str">
        <f t="shared" si="33"/>
        <v/>
      </c>
      <c r="K1305" s="47"/>
      <c r="L1305" s="47"/>
      <c r="N1305" s="47"/>
      <c r="O1305" s="47"/>
      <c r="P1305" s="47"/>
    </row>
    <row r="1306" spans="1:16" x14ac:dyDescent="0.3">
      <c r="A1306" s="1">
        <v>1305</v>
      </c>
      <c r="G1306" s="4"/>
      <c r="H1306" s="4"/>
      <c r="I1306" s="47"/>
      <c r="J1306" s="47" t="str">
        <f t="shared" si="33"/>
        <v/>
      </c>
      <c r="K1306" s="47"/>
      <c r="L1306" s="47"/>
      <c r="N1306" s="47"/>
      <c r="O1306" s="47"/>
      <c r="P1306" s="47"/>
    </row>
    <row r="1307" spans="1:16" x14ac:dyDescent="0.3">
      <c r="A1307" s="1">
        <v>1306</v>
      </c>
      <c r="G1307" s="4"/>
      <c r="H1307" s="4"/>
      <c r="I1307" s="47"/>
      <c r="J1307" s="47" t="str">
        <f t="shared" si="33"/>
        <v/>
      </c>
      <c r="K1307" s="47"/>
      <c r="L1307" s="47"/>
      <c r="N1307" s="47"/>
      <c r="O1307" s="47"/>
      <c r="P1307" s="47"/>
    </row>
    <row r="1308" spans="1:16" x14ac:dyDescent="0.3">
      <c r="A1308" s="1">
        <v>1307</v>
      </c>
      <c r="G1308" s="4"/>
      <c r="H1308" s="4"/>
      <c r="I1308" s="47"/>
      <c r="J1308" s="47" t="str">
        <f t="shared" si="33"/>
        <v/>
      </c>
      <c r="K1308" s="47"/>
      <c r="L1308" s="47"/>
      <c r="N1308" s="47"/>
      <c r="O1308" s="47"/>
      <c r="P1308" s="47"/>
    </row>
    <row r="1309" spans="1:16" x14ac:dyDescent="0.3">
      <c r="A1309" s="1">
        <v>1308</v>
      </c>
      <c r="G1309" s="4"/>
      <c r="H1309" s="4"/>
      <c r="I1309" s="47"/>
      <c r="J1309" s="47" t="str">
        <f t="shared" si="33"/>
        <v/>
      </c>
      <c r="K1309" s="47"/>
      <c r="L1309" s="47"/>
      <c r="N1309" s="47"/>
      <c r="O1309" s="47"/>
      <c r="P1309" s="47"/>
    </row>
    <row r="1310" spans="1:16" x14ac:dyDescent="0.3">
      <c r="A1310" s="1">
        <v>1309</v>
      </c>
      <c r="G1310" s="4"/>
      <c r="H1310" s="4"/>
      <c r="I1310" s="47"/>
      <c r="J1310" s="47" t="str">
        <f t="shared" si="33"/>
        <v/>
      </c>
      <c r="K1310" s="47"/>
      <c r="L1310" s="47"/>
      <c r="N1310" s="47"/>
      <c r="O1310" s="47"/>
      <c r="P1310" s="47"/>
    </row>
    <row r="1311" spans="1:16" x14ac:dyDescent="0.3">
      <c r="A1311" s="1">
        <v>1310</v>
      </c>
      <c r="G1311" s="4"/>
      <c r="H1311" s="4"/>
      <c r="I1311" s="47"/>
      <c r="J1311" s="47" t="str">
        <f t="shared" si="33"/>
        <v/>
      </c>
      <c r="K1311" s="47"/>
      <c r="L1311" s="47"/>
      <c r="N1311" s="47"/>
      <c r="O1311" s="47"/>
      <c r="P1311" s="47"/>
    </row>
    <row r="1312" spans="1:16" x14ac:dyDescent="0.3">
      <c r="A1312" s="1">
        <v>1311</v>
      </c>
      <c r="G1312" s="4"/>
      <c r="H1312" s="4"/>
      <c r="I1312" s="47"/>
      <c r="J1312" s="47" t="str">
        <f t="shared" si="33"/>
        <v/>
      </c>
      <c r="K1312" s="47"/>
      <c r="L1312" s="47"/>
      <c r="N1312" s="47"/>
      <c r="O1312" s="47"/>
      <c r="P1312" s="47"/>
    </row>
    <row r="1313" spans="1:16" x14ac:dyDescent="0.3">
      <c r="A1313" s="1">
        <v>1312</v>
      </c>
      <c r="G1313" s="4"/>
      <c r="H1313" s="4"/>
      <c r="I1313" s="47"/>
      <c r="J1313" s="47" t="str">
        <f t="shared" si="33"/>
        <v/>
      </c>
      <c r="K1313" s="47"/>
      <c r="L1313" s="47"/>
      <c r="N1313" s="47"/>
      <c r="O1313" s="47"/>
      <c r="P1313" s="47"/>
    </row>
    <row r="1314" spans="1:16" x14ac:dyDescent="0.3">
      <c r="A1314" s="1">
        <v>1313</v>
      </c>
      <c r="G1314" s="4"/>
      <c r="H1314" s="4"/>
      <c r="I1314" s="47"/>
      <c r="J1314" s="47" t="str">
        <f t="shared" si="33"/>
        <v/>
      </c>
      <c r="K1314" s="47"/>
      <c r="L1314" s="47"/>
      <c r="N1314" s="47"/>
      <c r="O1314" s="47"/>
      <c r="P1314" s="47"/>
    </row>
    <row r="1315" spans="1:16" x14ac:dyDescent="0.3">
      <c r="A1315" s="1">
        <v>1314</v>
      </c>
      <c r="G1315" s="4"/>
      <c r="H1315" s="4"/>
      <c r="I1315" s="47"/>
      <c r="J1315" s="47" t="str">
        <f t="shared" si="33"/>
        <v/>
      </c>
      <c r="K1315" s="47"/>
      <c r="L1315" s="47"/>
      <c r="N1315" s="47"/>
      <c r="O1315" s="47"/>
      <c r="P1315" s="47"/>
    </row>
    <row r="1316" spans="1:16" x14ac:dyDescent="0.3">
      <c r="A1316" s="1">
        <v>1315</v>
      </c>
      <c r="G1316" s="4"/>
      <c r="H1316" s="4"/>
      <c r="I1316" s="47"/>
      <c r="J1316" s="47" t="str">
        <f t="shared" si="33"/>
        <v/>
      </c>
      <c r="K1316" s="47"/>
      <c r="L1316" s="47"/>
      <c r="N1316" s="47"/>
      <c r="O1316" s="47"/>
      <c r="P1316" s="47"/>
    </row>
    <row r="1317" spans="1:16" x14ac:dyDescent="0.3">
      <c r="A1317" s="1">
        <v>1316</v>
      </c>
      <c r="G1317" s="4"/>
      <c r="H1317" s="4"/>
      <c r="I1317" s="47"/>
      <c r="J1317" s="47" t="str">
        <f t="shared" si="33"/>
        <v/>
      </c>
      <c r="K1317" s="47"/>
      <c r="L1317" s="47"/>
      <c r="N1317" s="47"/>
      <c r="O1317" s="47"/>
      <c r="P1317" s="47"/>
    </row>
    <row r="1318" spans="1:16" x14ac:dyDescent="0.3">
      <c r="A1318" s="1">
        <v>1317</v>
      </c>
      <c r="G1318" s="4"/>
      <c r="H1318" s="4"/>
      <c r="I1318" s="47"/>
      <c r="J1318" s="47" t="str">
        <f t="shared" si="33"/>
        <v/>
      </c>
      <c r="K1318" s="47"/>
      <c r="L1318" s="47"/>
      <c r="N1318" s="47"/>
      <c r="O1318" s="47"/>
      <c r="P1318" s="47"/>
    </row>
    <row r="1319" spans="1:16" x14ac:dyDescent="0.3">
      <c r="A1319" s="1">
        <v>1318</v>
      </c>
      <c r="G1319" s="4"/>
      <c r="H1319" s="4"/>
      <c r="I1319" s="47"/>
      <c r="J1319" s="47" t="str">
        <f t="shared" si="33"/>
        <v/>
      </c>
      <c r="K1319" s="47"/>
      <c r="L1319" s="47"/>
      <c r="N1319" s="47"/>
      <c r="O1319" s="47"/>
      <c r="P1319" s="47"/>
    </row>
    <row r="1320" spans="1:16" x14ac:dyDescent="0.3">
      <c r="A1320" s="1">
        <v>1319</v>
      </c>
      <c r="G1320" s="4"/>
      <c r="H1320" s="4"/>
      <c r="I1320" s="47"/>
      <c r="J1320" s="47" t="str">
        <f t="shared" si="33"/>
        <v/>
      </c>
      <c r="K1320" s="47"/>
      <c r="L1320" s="47"/>
      <c r="N1320" s="47"/>
      <c r="O1320" s="47"/>
      <c r="P1320" s="47"/>
    </row>
    <row r="1321" spans="1:16" x14ac:dyDescent="0.3">
      <c r="A1321" s="1">
        <v>1320</v>
      </c>
      <c r="G1321" s="4"/>
      <c r="H1321" s="4"/>
      <c r="I1321" s="47"/>
      <c r="J1321" s="47" t="str">
        <f t="shared" si="33"/>
        <v/>
      </c>
      <c r="K1321" s="47"/>
      <c r="L1321" s="47"/>
      <c r="N1321" s="47"/>
      <c r="O1321" s="47"/>
      <c r="P1321" s="47"/>
    </row>
    <row r="1322" spans="1:16" x14ac:dyDescent="0.3">
      <c r="A1322" s="1">
        <v>1321</v>
      </c>
      <c r="G1322" s="4"/>
      <c r="H1322" s="4"/>
      <c r="I1322" s="47"/>
      <c r="J1322" s="47" t="str">
        <f t="shared" si="33"/>
        <v/>
      </c>
      <c r="K1322" s="47"/>
      <c r="L1322" s="47"/>
      <c r="N1322" s="47"/>
      <c r="O1322" s="47"/>
      <c r="P1322" s="47"/>
    </row>
    <row r="1323" spans="1:16" x14ac:dyDescent="0.3">
      <c r="A1323" s="1">
        <v>1322</v>
      </c>
      <c r="G1323" s="4"/>
      <c r="H1323" s="4"/>
      <c r="I1323" s="47"/>
      <c r="J1323" s="47" t="str">
        <f t="shared" si="33"/>
        <v/>
      </c>
      <c r="K1323" s="47"/>
      <c r="L1323" s="47"/>
      <c r="N1323" s="47"/>
      <c r="O1323" s="47"/>
      <c r="P1323" s="47"/>
    </row>
    <row r="1324" spans="1:16" x14ac:dyDescent="0.3">
      <c r="A1324" s="1">
        <v>1323</v>
      </c>
      <c r="G1324" s="4"/>
      <c r="H1324" s="4"/>
      <c r="I1324" s="47"/>
      <c r="J1324" s="47" t="str">
        <f t="shared" si="33"/>
        <v/>
      </c>
      <c r="K1324" s="47"/>
      <c r="L1324" s="47"/>
      <c r="N1324" s="47"/>
      <c r="O1324" s="47"/>
      <c r="P1324" s="47"/>
    </row>
    <row r="1325" spans="1:16" x14ac:dyDescent="0.3">
      <c r="A1325" s="1">
        <v>1324</v>
      </c>
      <c r="G1325" s="4"/>
      <c r="H1325" s="4"/>
      <c r="I1325" s="47"/>
      <c r="J1325" s="47" t="str">
        <f t="shared" si="33"/>
        <v/>
      </c>
      <c r="K1325" s="47"/>
      <c r="L1325" s="47"/>
      <c r="N1325" s="47"/>
      <c r="O1325" s="47"/>
      <c r="P1325" s="47"/>
    </row>
    <row r="1326" spans="1:16" x14ac:dyDescent="0.3">
      <c r="A1326" s="1">
        <v>1325</v>
      </c>
      <c r="G1326" s="4"/>
      <c r="H1326" s="4"/>
      <c r="I1326" s="47"/>
      <c r="J1326" s="47" t="str">
        <f t="shared" si="33"/>
        <v/>
      </c>
      <c r="K1326" s="47"/>
      <c r="L1326" s="47"/>
      <c r="N1326" s="47"/>
      <c r="O1326" s="47"/>
      <c r="P1326" s="47"/>
    </row>
    <row r="1327" spans="1:16" x14ac:dyDescent="0.3">
      <c r="A1327" s="1">
        <v>1326</v>
      </c>
      <c r="G1327" s="4"/>
      <c r="H1327" s="4"/>
      <c r="I1327" s="47"/>
      <c r="J1327" s="47" t="str">
        <f t="shared" si="33"/>
        <v/>
      </c>
      <c r="K1327" s="47"/>
      <c r="L1327" s="47"/>
      <c r="N1327" s="47"/>
      <c r="O1327" s="47"/>
      <c r="P1327" s="47"/>
    </row>
    <row r="1328" spans="1:16" x14ac:dyDescent="0.3">
      <c r="A1328" s="1">
        <v>1327</v>
      </c>
      <c r="G1328" s="4"/>
      <c r="H1328" s="4"/>
      <c r="I1328" s="47"/>
      <c r="J1328" s="47" t="str">
        <f t="shared" si="33"/>
        <v/>
      </c>
      <c r="K1328" s="47"/>
      <c r="L1328" s="47"/>
      <c r="N1328" s="47"/>
      <c r="O1328" s="47"/>
      <c r="P1328" s="47"/>
    </row>
    <row r="1329" spans="1:16" x14ac:dyDescent="0.3">
      <c r="A1329" s="1">
        <v>1328</v>
      </c>
      <c r="G1329" s="4"/>
      <c r="H1329" s="4"/>
      <c r="I1329" s="47"/>
      <c r="J1329" s="47" t="str">
        <f t="shared" si="33"/>
        <v/>
      </c>
      <c r="K1329" s="47"/>
      <c r="L1329" s="47"/>
      <c r="N1329" s="47"/>
      <c r="O1329" s="47"/>
      <c r="P1329" s="47"/>
    </row>
    <row r="1330" spans="1:16" x14ac:dyDescent="0.3">
      <c r="A1330" s="1">
        <v>1329</v>
      </c>
      <c r="G1330" s="4"/>
      <c r="H1330" s="4"/>
      <c r="I1330" s="47"/>
      <c r="J1330" s="47" t="str">
        <f t="shared" si="33"/>
        <v/>
      </c>
      <c r="K1330" s="47"/>
      <c r="L1330" s="47"/>
      <c r="N1330" s="47"/>
      <c r="O1330" s="47"/>
      <c r="P1330" s="47"/>
    </row>
    <row r="1331" spans="1:16" x14ac:dyDescent="0.3">
      <c r="A1331" s="1">
        <v>1330</v>
      </c>
      <c r="G1331" s="4"/>
      <c r="H1331" s="4"/>
      <c r="I1331" s="47"/>
      <c r="J1331" s="47" t="str">
        <f t="shared" si="33"/>
        <v/>
      </c>
      <c r="K1331" s="47"/>
      <c r="L1331" s="47"/>
      <c r="N1331" s="47"/>
      <c r="O1331" s="47"/>
      <c r="P1331" s="47"/>
    </row>
    <row r="1332" spans="1:16" x14ac:dyDescent="0.3">
      <c r="A1332" s="1">
        <v>1331</v>
      </c>
      <c r="G1332" s="4"/>
      <c r="H1332" s="4"/>
      <c r="I1332" s="47"/>
      <c r="J1332" s="47" t="str">
        <f t="shared" si="33"/>
        <v/>
      </c>
      <c r="K1332" s="47"/>
      <c r="L1332" s="47"/>
      <c r="N1332" s="47"/>
      <c r="O1332" s="47"/>
      <c r="P1332" s="47"/>
    </row>
    <row r="1333" spans="1:16" x14ac:dyDescent="0.3">
      <c r="A1333" s="1">
        <v>1332</v>
      </c>
      <c r="G1333" s="4"/>
      <c r="H1333" s="4"/>
      <c r="I1333" s="47"/>
      <c r="J1333" s="47" t="str">
        <f t="shared" si="33"/>
        <v/>
      </c>
      <c r="K1333" s="47"/>
      <c r="L1333" s="47"/>
      <c r="N1333" s="47"/>
      <c r="O1333" s="47"/>
      <c r="P1333" s="47"/>
    </row>
    <row r="1334" spans="1:16" x14ac:dyDescent="0.3">
      <c r="A1334" s="1">
        <v>1333</v>
      </c>
      <c r="G1334" s="4"/>
      <c r="H1334" s="4"/>
      <c r="I1334" s="47"/>
      <c r="J1334" s="47" t="str">
        <f t="shared" si="33"/>
        <v/>
      </c>
      <c r="K1334" s="47"/>
      <c r="L1334" s="47"/>
      <c r="N1334" s="47"/>
      <c r="O1334" s="47"/>
      <c r="P1334" s="47"/>
    </row>
    <row r="1335" spans="1:16" x14ac:dyDescent="0.3">
      <c r="A1335" s="1">
        <v>1334</v>
      </c>
      <c r="G1335" s="4"/>
      <c r="H1335" s="4"/>
      <c r="I1335" s="47"/>
      <c r="J1335" s="47" t="str">
        <f t="shared" si="33"/>
        <v/>
      </c>
      <c r="K1335" s="47"/>
      <c r="L1335" s="47"/>
      <c r="N1335" s="47"/>
      <c r="O1335" s="47"/>
      <c r="P1335" s="47"/>
    </row>
    <row r="1336" spans="1:16" x14ac:dyDescent="0.3">
      <c r="A1336" s="1">
        <v>1335</v>
      </c>
      <c r="G1336" s="4"/>
      <c r="H1336" s="4"/>
      <c r="I1336" s="47"/>
      <c r="J1336" s="47" t="str">
        <f t="shared" si="33"/>
        <v/>
      </c>
      <c r="K1336" s="47"/>
      <c r="L1336" s="47"/>
      <c r="N1336" s="47"/>
      <c r="O1336" s="47"/>
      <c r="P1336" s="47"/>
    </row>
    <row r="1337" spans="1:16" x14ac:dyDescent="0.3">
      <c r="A1337" s="1">
        <v>1336</v>
      </c>
      <c r="G1337" s="4"/>
      <c r="H1337" s="4"/>
      <c r="I1337" s="47"/>
      <c r="J1337" s="47" t="str">
        <f t="shared" si="33"/>
        <v/>
      </c>
      <c r="K1337" s="47"/>
      <c r="L1337" s="47"/>
      <c r="N1337" s="47"/>
      <c r="O1337" s="47"/>
      <c r="P1337" s="47"/>
    </row>
    <row r="1338" spans="1:16" x14ac:dyDescent="0.3">
      <c r="A1338" s="1">
        <v>1337</v>
      </c>
      <c r="G1338" s="4"/>
      <c r="H1338" s="4"/>
      <c r="I1338" s="47"/>
      <c r="J1338" s="47" t="str">
        <f t="shared" si="33"/>
        <v/>
      </c>
      <c r="K1338" s="47"/>
      <c r="L1338" s="47"/>
      <c r="N1338" s="47"/>
      <c r="O1338" s="47"/>
      <c r="P1338" s="47"/>
    </row>
    <row r="1339" spans="1:16" x14ac:dyDescent="0.3">
      <c r="A1339" s="1">
        <v>1338</v>
      </c>
      <c r="G1339" s="4"/>
      <c r="H1339" s="4"/>
      <c r="I1339" s="47"/>
      <c r="J1339" s="47" t="str">
        <f t="shared" si="33"/>
        <v/>
      </c>
      <c r="K1339" s="47"/>
      <c r="L1339" s="47"/>
      <c r="N1339" s="47"/>
      <c r="O1339" s="47"/>
      <c r="P1339" s="47"/>
    </row>
    <row r="1340" spans="1:16" x14ac:dyDescent="0.3">
      <c r="A1340" s="1">
        <v>1339</v>
      </c>
      <c r="G1340" s="4"/>
      <c r="H1340" s="4"/>
      <c r="I1340" s="47"/>
      <c r="J1340" s="47" t="str">
        <f t="shared" si="33"/>
        <v/>
      </c>
      <c r="K1340" s="47"/>
      <c r="L1340" s="47"/>
      <c r="N1340" s="47"/>
      <c r="O1340" s="47"/>
      <c r="P1340" s="47"/>
    </row>
    <row r="1341" spans="1:16" x14ac:dyDescent="0.3">
      <c r="A1341" s="1">
        <v>1340</v>
      </c>
      <c r="G1341" s="4"/>
      <c r="H1341" s="4"/>
      <c r="I1341" s="47"/>
      <c r="J1341" s="47" t="str">
        <f t="shared" si="33"/>
        <v/>
      </c>
      <c r="K1341" s="47"/>
      <c r="L1341" s="47"/>
      <c r="N1341" s="47"/>
      <c r="O1341" s="47"/>
      <c r="P1341" s="47"/>
    </row>
    <row r="1342" spans="1:16" x14ac:dyDescent="0.3">
      <c r="A1342" s="1">
        <v>1341</v>
      </c>
      <c r="G1342" s="4"/>
      <c r="H1342" s="4"/>
      <c r="I1342" s="47"/>
      <c r="J1342" s="47" t="str">
        <f t="shared" si="33"/>
        <v/>
      </c>
      <c r="K1342" s="47"/>
      <c r="L1342" s="47"/>
      <c r="N1342" s="47"/>
      <c r="O1342" s="47"/>
      <c r="P1342" s="47"/>
    </row>
    <row r="1343" spans="1:16" x14ac:dyDescent="0.3">
      <c r="A1343" s="1">
        <v>1342</v>
      </c>
      <c r="G1343" s="4"/>
      <c r="H1343" s="4"/>
      <c r="I1343" s="47"/>
      <c r="J1343" s="47" t="str">
        <f t="shared" si="33"/>
        <v/>
      </c>
      <c r="K1343" s="47"/>
      <c r="L1343" s="47"/>
      <c r="N1343" s="47"/>
      <c r="O1343" s="47"/>
      <c r="P1343" s="47"/>
    </row>
    <row r="1344" spans="1:16" x14ac:dyDescent="0.3">
      <c r="A1344" s="1">
        <v>1343</v>
      </c>
      <c r="G1344" s="4"/>
      <c r="H1344" s="4"/>
      <c r="I1344" s="47"/>
      <c r="J1344" s="47" t="str">
        <f t="shared" si="33"/>
        <v/>
      </c>
      <c r="K1344" s="47"/>
      <c r="L1344" s="47"/>
      <c r="N1344" s="47"/>
      <c r="O1344" s="47"/>
      <c r="P1344" s="47"/>
    </row>
    <row r="1345" spans="1:16" x14ac:dyDescent="0.3">
      <c r="A1345" s="1">
        <v>1344</v>
      </c>
      <c r="G1345" s="4"/>
      <c r="H1345" s="4"/>
      <c r="I1345" s="47"/>
      <c r="J1345" s="47" t="str">
        <f t="shared" si="33"/>
        <v/>
      </c>
      <c r="K1345" s="47"/>
      <c r="L1345" s="47"/>
      <c r="N1345" s="47"/>
      <c r="O1345" s="47"/>
      <c r="P1345" s="47"/>
    </row>
    <row r="1346" spans="1:16" x14ac:dyDescent="0.3">
      <c r="A1346" s="1">
        <v>1345</v>
      </c>
      <c r="G1346" s="4"/>
      <c r="H1346" s="4"/>
      <c r="I1346" s="47"/>
      <c r="J1346" s="47" t="str">
        <f t="shared" si="33"/>
        <v/>
      </c>
      <c r="K1346" s="47"/>
      <c r="L1346" s="47"/>
      <c r="N1346" s="47"/>
      <c r="O1346" s="47"/>
      <c r="P1346" s="47"/>
    </row>
    <row r="1347" spans="1:16" x14ac:dyDescent="0.3">
      <c r="A1347" s="1">
        <v>1346</v>
      </c>
      <c r="G1347" s="4"/>
      <c r="H1347" s="4"/>
      <c r="I1347" s="47"/>
      <c r="J1347" s="47" t="str">
        <f t="shared" ref="J1347:J1410" si="34">+E1347&amp;I1347</f>
        <v/>
      </c>
      <c r="K1347" s="47"/>
      <c r="L1347" s="47"/>
      <c r="N1347" s="47"/>
      <c r="O1347" s="47"/>
      <c r="P1347" s="47"/>
    </row>
    <row r="1348" spans="1:16" x14ac:dyDescent="0.3">
      <c r="A1348" s="1">
        <v>1347</v>
      </c>
      <c r="G1348" s="4"/>
      <c r="H1348" s="4"/>
      <c r="I1348" s="47"/>
      <c r="J1348" s="47" t="str">
        <f t="shared" si="34"/>
        <v/>
      </c>
      <c r="K1348" s="47"/>
      <c r="L1348" s="47"/>
      <c r="N1348" s="47"/>
      <c r="O1348" s="47"/>
      <c r="P1348" s="47"/>
    </row>
    <row r="1349" spans="1:16" x14ac:dyDescent="0.3">
      <c r="A1349" s="1">
        <v>1348</v>
      </c>
      <c r="G1349" s="4"/>
      <c r="H1349" s="4"/>
      <c r="I1349" s="47"/>
      <c r="J1349" s="47" t="str">
        <f t="shared" si="34"/>
        <v/>
      </c>
      <c r="K1349" s="47"/>
      <c r="L1349" s="47"/>
      <c r="N1349" s="47"/>
      <c r="O1349" s="47"/>
      <c r="P1349" s="47"/>
    </row>
    <row r="1350" spans="1:16" x14ac:dyDescent="0.3">
      <c r="A1350" s="1">
        <v>1349</v>
      </c>
      <c r="G1350" s="4"/>
      <c r="H1350" s="4"/>
      <c r="I1350" s="47"/>
      <c r="J1350" s="47" t="str">
        <f t="shared" si="34"/>
        <v/>
      </c>
      <c r="K1350" s="47"/>
      <c r="L1350" s="47"/>
      <c r="N1350" s="47"/>
      <c r="O1350" s="47"/>
      <c r="P1350" s="47"/>
    </row>
    <row r="1351" spans="1:16" x14ac:dyDescent="0.3">
      <c r="A1351" s="1">
        <v>1350</v>
      </c>
      <c r="G1351" s="4"/>
      <c r="H1351" s="4"/>
      <c r="I1351" s="47"/>
      <c r="J1351" s="47" t="str">
        <f t="shared" si="34"/>
        <v/>
      </c>
      <c r="K1351" s="47"/>
      <c r="L1351" s="47"/>
      <c r="N1351" s="47"/>
      <c r="O1351" s="47"/>
      <c r="P1351" s="47"/>
    </row>
    <row r="1352" spans="1:16" x14ac:dyDescent="0.3">
      <c r="A1352" s="1">
        <v>1351</v>
      </c>
      <c r="G1352" s="4"/>
      <c r="H1352" s="4"/>
      <c r="I1352" s="47"/>
      <c r="J1352" s="47" t="str">
        <f t="shared" si="34"/>
        <v/>
      </c>
      <c r="K1352" s="47"/>
      <c r="L1352" s="47"/>
      <c r="N1352" s="47"/>
      <c r="O1352" s="47"/>
      <c r="P1352" s="47"/>
    </row>
    <row r="1353" spans="1:16" x14ac:dyDescent="0.3">
      <c r="A1353" s="1">
        <v>1352</v>
      </c>
      <c r="G1353" s="4"/>
      <c r="H1353" s="4"/>
      <c r="I1353" s="47"/>
      <c r="J1353" s="47" t="str">
        <f t="shared" si="34"/>
        <v/>
      </c>
      <c r="K1353" s="47"/>
      <c r="L1353" s="47"/>
      <c r="N1353" s="47"/>
      <c r="O1353" s="47"/>
      <c r="P1353" s="47"/>
    </row>
    <row r="1354" spans="1:16" x14ac:dyDescent="0.3">
      <c r="A1354" s="1">
        <v>1353</v>
      </c>
      <c r="G1354" s="4"/>
      <c r="H1354" s="4"/>
      <c r="I1354" s="47"/>
      <c r="J1354" s="47" t="str">
        <f t="shared" si="34"/>
        <v/>
      </c>
      <c r="K1354" s="47"/>
      <c r="L1354" s="47"/>
      <c r="N1354" s="47"/>
      <c r="O1354" s="47"/>
      <c r="P1354" s="47"/>
    </row>
    <row r="1355" spans="1:16" x14ac:dyDescent="0.3">
      <c r="A1355" s="1">
        <v>1354</v>
      </c>
      <c r="G1355" s="4"/>
      <c r="H1355" s="4"/>
      <c r="I1355" s="47"/>
      <c r="J1355" s="47" t="str">
        <f t="shared" si="34"/>
        <v/>
      </c>
      <c r="K1355" s="47"/>
      <c r="L1355" s="47"/>
      <c r="N1355" s="47"/>
      <c r="O1355" s="47"/>
      <c r="P1355" s="47"/>
    </row>
    <row r="1356" spans="1:16" x14ac:dyDescent="0.3">
      <c r="A1356" s="1">
        <v>1355</v>
      </c>
      <c r="G1356" s="4"/>
      <c r="H1356" s="4"/>
      <c r="I1356" s="47"/>
      <c r="J1356" s="47" t="str">
        <f t="shared" si="34"/>
        <v/>
      </c>
      <c r="K1356" s="47"/>
      <c r="L1356" s="47"/>
      <c r="N1356" s="47"/>
      <c r="O1356" s="47"/>
      <c r="P1356" s="47"/>
    </row>
    <row r="1357" spans="1:16" x14ac:dyDescent="0.3">
      <c r="A1357" s="1">
        <v>1356</v>
      </c>
      <c r="G1357" s="4"/>
      <c r="H1357" s="4"/>
      <c r="I1357" s="47"/>
      <c r="J1357" s="47" t="str">
        <f t="shared" si="34"/>
        <v/>
      </c>
      <c r="K1357" s="47"/>
      <c r="L1357" s="47"/>
      <c r="N1357" s="47"/>
      <c r="O1357" s="47"/>
      <c r="P1357" s="47"/>
    </row>
    <row r="1358" spans="1:16" x14ac:dyDescent="0.3">
      <c r="A1358" s="1">
        <v>1357</v>
      </c>
      <c r="G1358" s="4"/>
      <c r="H1358" s="4"/>
      <c r="I1358" s="47"/>
      <c r="J1358" s="47" t="str">
        <f t="shared" si="34"/>
        <v/>
      </c>
      <c r="K1358" s="47"/>
      <c r="L1358" s="47"/>
      <c r="N1358" s="47"/>
      <c r="O1358" s="47"/>
      <c r="P1358" s="47"/>
    </row>
    <row r="1359" spans="1:16" x14ac:dyDescent="0.3">
      <c r="A1359" s="1">
        <v>1358</v>
      </c>
      <c r="G1359" s="4"/>
      <c r="H1359" s="4"/>
      <c r="I1359" s="47"/>
      <c r="J1359" s="47" t="str">
        <f t="shared" si="34"/>
        <v/>
      </c>
      <c r="K1359" s="47"/>
      <c r="L1359" s="47"/>
      <c r="N1359" s="47"/>
      <c r="O1359" s="47"/>
      <c r="P1359" s="47"/>
    </row>
    <row r="1360" spans="1:16" x14ac:dyDescent="0.3">
      <c r="A1360" s="1">
        <v>1359</v>
      </c>
      <c r="G1360" s="4"/>
      <c r="H1360" s="4"/>
      <c r="I1360" s="47"/>
      <c r="J1360" s="47" t="str">
        <f t="shared" si="34"/>
        <v/>
      </c>
      <c r="K1360" s="47"/>
      <c r="L1360" s="47"/>
      <c r="N1360" s="47"/>
      <c r="O1360" s="47"/>
      <c r="P1360" s="47"/>
    </row>
    <row r="1361" spans="1:16" x14ac:dyDescent="0.3">
      <c r="A1361" s="1">
        <v>1360</v>
      </c>
      <c r="G1361" s="4"/>
      <c r="H1361" s="4"/>
      <c r="I1361" s="47"/>
      <c r="J1361" s="47" t="str">
        <f t="shared" si="34"/>
        <v/>
      </c>
      <c r="K1361" s="47"/>
      <c r="L1361" s="47"/>
      <c r="N1361" s="47"/>
      <c r="O1361" s="47"/>
      <c r="P1361" s="47"/>
    </row>
    <row r="1362" spans="1:16" x14ac:dyDescent="0.3">
      <c r="A1362" s="1">
        <v>1361</v>
      </c>
      <c r="G1362" s="4"/>
      <c r="H1362" s="4"/>
      <c r="I1362" s="47"/>
      <c r="J1362" s="47" t="str">
        <f t="shared" si="34"/>
        <v/>
      </c>
      <c r="K1362" s="47"/>
      <c r="L1362" s="47"/>
      <c r="N1362" s="47"/>
      <c r="O1362" s="47"/>
      <c r="P1362" s="47"/>
    </row>
    <row r="1363" spans="1:16" x14ac:dyDescent="0.3">
      <c r="A1363" s="1">
        <v>1362</v>
      </c>
      <c r="G1363" s="4"/>
      <c r="H1363" s="4"/>
      <c r="I1363" s="47"/>
      <c r="J1363" s="47" t="str">
        <f t="shared" si="34"/>
        <v/>
      </c>
      <c r="K1363" s="47"/>
      <c r="L1363" s="47"/>
      <c r="N1363" s="47"/>
      <c r="O1363" s="47"/>
      <c r="P1363" s="47"/>
    </row>
    <row r="1364" spans="1:16" x14ac:dyDescent="0.3">
      <c r="A1364" s="1">
        <v>1363</v>
      </c>
      <c r="G1364" s="4"/>
      <c r="H1364" s="4"/>
      <c r="I1364" s="47"/>
      <c r="J1364" s="47" t="str">
        <f t="shared" si="34"/>
        <v/>
      </c>
      <c r="K1364" s="47"/>
      <c r="L1364" s="47"/>
      <c r="N1364" s="47"/>
      <c r="O1364" s="47"/>
      <c r="P1364" s="47"/>
    </row>
    <row r="1365" spans="1:16" x14ac:dyDescent="0.3">
      <c r="A1365" s="1">
        <v>1364</v>
      </c>
      <c r="G1365" s="4"/>
      <c r="H1365" s="4"/>
      <c r="I1365" s="47"/>
      <c r="J1365" s="47" t="str">
        <f t="shared" si="34"/>
        <v/>
      </c>
      <c r="K1365" s="47"/>
      <c r="L1365" s="47"/>
      <c r="N1365" s="47"/>
      <c r="O1365" s="47"/>
      <c r="P1365" s="47"/>
    </row>
    <row r="1366" spans="1:16" x14ac:dyDescent="0.3">
      <c r="A1366" s="1">
        <v>1365</v>
      </c>
      <c r="G1366" s="4"/>
      <c r="H1366" s="4"/>
      <c r="I1366" s="47"/>
      <c r="J1366" s="47" t="str">
        <f t="shared" si="34"/>
        <v/>
      </c>
      <c r="K1366" s="47"/>
      <c r="L1366" s="47"/>
      <c r="N1366" s="47"/>
      <c r="O1366" s="47"/>
      <c r="P1366" s="47"/>
    </row>
    <row r="1367" spans="1:16" x14ac:dyDescent="0.3">
      <c r="A1367" s="1">
        <v>1366</v>
      </c>
      <c r="G1367" s="4"/>
      <c r="H1367" s="4"/>
      <c r="I1367" s="47"/>
      <c r="J1367" s="47" t="str">
        <f t="shared" si="34"/>
        <v/>
      </c>
      <c r="K1367" s="47"/>
      <c r="L1367" s="47"/>
      <c r="N1367" s="47"/>
      <c r="O1367" s="47"/>
      <c r="P1367" s="47"/>
    </row>
    <row r="1368" spans="1:16" x14ac:dyDescent="0.3">
      <c r="A1368" s="1">
        <v>1367</v>
      </c>
      <c r="G1368" s="4"/>
      <c r="H1368" s="4"/>
      <c r="I1368" s="47"/>
      <c r="J1368" s="47" t="str">
        <f t="shared" si="34"/>
        <v/>
      </c>
      <c r="K1368" s="47"/>
      <c r="L1368" s="47"/>
      <c r="N1368" s="47"/>
      <c r="O1368" s="47"/>
      <c r="P1368" s="47"/>
    </row>
    <row r="1369" spans="1:16" x14ac:dyDescent="0.3">
      <c r="A1369" s="1">
        <v>1368</v>
      </c>
      <c r="G1369" s="4"/>
      <c r="H1369" s="4"/>
      <c r="I1369" s="47"/>
      <c r="J1369" s="47" t="str">
        <f t="shared" si="34"/>
        <v/>
      </c>
      <c r="K1369" s="47"/>
      <c r="L1369" s="47"/>
      <c r="N1369" s="47"/>
      <c r="O1369" s="47"/>
      <c r="P1369" s="47"/>
    </row>
    <row r="1370" spans="1:16" x14ac:dyDescent="0.3">
      <c r="A1370" s="1">
        <v>1369</v>
      </c>
      <c r="G1370" s="4"/>
      <c r="H1370" s="4"/>
      <c r="I1370" s="47"/>
      <c r="J1370" s="47" t="str">
        <f t="shared" si="34"/>
        <v/>
      </c>
      <c r="K1370" s="47"/>
      <c r="L1370" s="47"/>
      <c r="N1370" s="47"/>
      <c r="O1370" s="47"/>
      <c r="P1370" s="47"/>
    </row>
    <row r="1371" spans="1:16" x14ac:dyDescent="0.3">
      <c r="A1371" s="1">
        <v>1370</v>
      </c>
      <c r="G1371" s="4"/>
      <c r="H1371" s="4"/>
      <c r="I1371" s="47"/>
      <c r="J1371" s="47" t="str">
        <f t="shared" si="34"/>
        <v/>
      </c>
      <c r="K1371" s="47"/>
      <c r="L1371" s="47"/>
      <c r="N1371" s="47"/>
      <c r="O1371" s="47"/>
      <c r="P1371" s="47"/>
    </row>
    <row r="1372" spans="1:16" x14ac:dyDescent="0.3">
      <c r="A1372" s="1">
        <v>1371</v>
      </c>
      <c r="G1372" s="4"/>
      <c r="H1372" s="4"/>
      <c r="I1372" s="47"/>
      <c r="J1372" s="47" t="str">
        <f t="shared" si="34"/>
        <v/>
      </c>
      <c r="K1372" s="47"/>
      <c r="L1372" s="47"/>
      <c r="N1372" s="47"/>
      <c r="O1372" s="47"/>
      <c r="P1372" s="47"/>
    </row>
    <row r="1373" spans="1:16" x14ac:dyDescent="0.3">
      <c r="A1373" s="1">
        <v>1372</v>
      </c>
      <c r="G1373" s="4"/>
      <c r="H1373" s="4"/>
      <c r="I1373" s="47"/>
      <c r="J1373" s="47" t="str">
        <f t="shared" si="34"/>
        <v/>
      </c>
      <c r="K1373" s="47"/>
      <c r="L1373" s="47"/>
      <c r="N1373" s="47"/>
      <c r="O1373" s="47"/>
      <c r="P1373" s="47"/>
    </row>
    <row r="1374" spans="1:16" x14ac:dyDescent="0.3">
      <c r="A1374" s="1">
        <v>1373</v>
      </c>
      <c r="G1374" s="4"/>
      <c r="H1374" s="4"/>
      <c r="I1374" s="47"/>
      <c r="J1374" s="47" t="str">
        <f t="shared" si="34"/>
        <v/>
      </c>
      <c r="K1374" s="47"/>
      <c r="L1374" s="47"/>
      <c r="N1374" s="47"/>
      <c r="O1374" s="47"/>
      <c r="P1374" s="47"/>
    </row>
    <row r="1375" spans="1:16" x14ac:dyDescent="0.3">
      <c r="A1375" s="1">
        <v>1374</v>
      </c>
      <c r="G1375" s="4"/>
      <c r="H1375" s="4"/>
      <c r="I1375" s="47"/>
      <c r="J1375" s="47" t="str">
        <f t="shared" si="34"/>
        <v/>
      </c>
      <c r="K1375" s="47"/>
      <c r="L1375" s="47"/>
      <c r="N1375" s="47"/>
      <c r="O1375" s="47"/>
      <c r="P1375" s="47"/>
    </row>
    <row r="1376" spans="1:16" x14ac:dyDescent="0.3">
      <c r="A1376" s="1">
        <v>1375</v>
      </c>
      <c r="G1376" s="4"/>
      <c r="H1376" s="4"/>
      <c r="I1376" s="47"/>
      <c r="J1376" s="47" t="str">
        <f t="shared" si="34"/>
        <v/>
      </c>
      <c r="K1376" s="47"/>
      <c r="L1376" s="47"/>
      <c r="N1376" s="47"/>
      <c r="O1376" s="47"/>
      <c r="P1376" s="47"/>
    </row>
    <row r="1377" spans="1:16" x14ac:dyDescent="0.3">
      <c r="A1377" s="1">
        <v>1376</v>
      </c>
      <c r="G1377" s="4"/>
      <c r="H1377" s="4"/>
      <c r="I1377" s="47"/>
      <c r="J1377" s="47" t="str">
        <f t="shared" si="34"/>
        <v/>
      </c>
      <c r="K1377" s="47"/>
      <c r="L1377" s="47"/>
      <c r="N1377" s="47"/>
      <c r="O1377" s="47"/>
      <c r="P1377" s="47"/>
    </row>
    <row r="1378" spans="1:16" x14ac:dyDescent="0.3">
      <c r="A1378" s="1">
        <v>1377</v>
      </c>
      <c r="G1378" s="4"/>
      <c r="H1378" s="4"/>
      <c r="I1378" s="47"/>
      <c r="J1378" s="47" t="str">
        <f t="shared" si="34"/>
        <v/>
      </c>
      <c r="K1378" s="47"/>
      <c r="L1378" s="47"/>
      <c r="N1378" s="47"/>
      <c r="O1378" s="47"/>
      <c r="P1378" s="47"/>
    </row>
    <row r="1379" spans="1:16" x14ac:dyDescent="0.3">
      <c r="A1379" s="1">
        <v>1378</v>
      </c>
      <c r="G1379" s="4"/>
      <c r="H1379" s="4"/>
      <c r="I1379" s="47"/>
      <c r="J1379" s="47" t="str">
        <f t="shared" si="34"/>
        <v/>
      </c>
      <c r="K1379" s="47"/>
      <c r="L1379" s="47"/>
      <c r="N1379" s="47"/>
      <c r="O1379" s="47"/>
      <c r="P1379" s="47"/>
    </row>
    <row r="1380" spans="1:16" x14ac:dyDescent="0.3">
      <c r="A1380" s="1">
        <v>1379</v>
      </c>
      <c r="G1380" s="4"/>
      <c r="H1380" s="4"/>
      <c r="I1380" s="47"/>
      <c r="J1380" s="47" t="str">
        <f t="shared" si="34"/>
        <v/>
      </c>
      <c r="K1380" s="47"/>
      <c r="L1380" s="47"/>
      <c r="N1380" s="47"/>
      <c r="O1380" s="47"/>
      <c r="P1380" s="47"/>
    </row>
    <row r="1381" spans="1:16" x14ac:dyDescent="0.3">
      <c r="A1381" s="1">
        <v>1380</v>
      </c>
      <c r="G1381" s="4"/>
      <c r="H1381" s="4"/>
      <c r="I1381" s="47"/>
      <c r="J1381" s="47" t="str">
        <f t="shared" si="34"/>
        <v/>
      </c>
      <c r="K1381" s="47"/>
      <c r="L1381" s="47"/>
      <c r="N1381" s="47"/>
      <c r="O1381" s="47"/>
      <c r="P1381" s="47"/>
    </row>
    <row r="1382" spans="1:16" x14ac:dyDescent="0.3">
      <c r="A1382" s="1">
        <v>1381</v>
      </c>
      <c r="G1382" s="4"/>
      <c r="H1382" s="4"/>
      <c r="I1382" s="47"/>
      <c r="J1382" s="47" t="str">
        <f t="shared" si="34"/>
        <v/>
      </c>
      <c r="K1382" s="47"/>
      <c r="L1382" s="47"/>
      <c r="N1382" s="47"/>
      <c r="O1382" s="47"/>
      <c r="P1382" s="47"/>
    </row>
    <row r="1383" spans="1:16" x14ac:dyDescent="0.3">
      <c r="A1383" s="1">
        <v>1382</v>
      </c>
      <c r="G1383" s="4"/>
      <c r="H1383" s="4"/>
      <c r="I1383" s="47"/>
      <c r="J1383" s="47" t="str">
        <f t="shared" si="34"/>
        <v/>
      </c>
      <c r="K1383" s="47"/>
      <c r="L1383" s="47"/>
      <c r="N1383" s="47"/>
      <c r="O1383" s="47"/>
      <c r="P1383" s="47"/>
    </row>
    <row r="1384" spans="1:16" x14ac:dyDescent="0.3">
      <c r="A1384" s="1">
        <v>1383</v>
      </c>
      <c r="G1384" s="4"/>
      <c r="H1384" s="4"/>
      <c r="I1384" s="47"/>
      <c r="J1384" s="47" t="str">
        <f t="shared" si="34"/>
        <v/>
      </c>
      <c r="K1384" s="47"/>
      <c r="L1384" s="47"/>
      <c r="N1384" s="47"/>
      <c r="O1384" s="47"/>
      <c r="P1384" s="47"/>
    </row>
    <row r="1385" spans="1:16" x14ac:dyDescent="0.3">
      <c r="A1385" s="1">
        <v>1384</v>
      </c>
      <c r="G1385" s="4"/>
      <c r="H1385" s="4"/>
      <c r="I1385" s="47"/>
      <c r="J1385" s="47" t="str">
        <f t="shared" si="34"/>
        <v/>
      </c>
      <c r="K1385" s="47"/>
      <c r="L1385" s="47"/>
      <c r="N1385" s="47"/>
      <c r="O1385" s="47"/>
      <c r="P1385" s="47"/>
    </row>
    <row r="1386" spans="1:16" x14ac:dyDescent="0.3">
      <c r="A1386" s="1">
        <v>1385</v>
      </c>
      <c r="G1386" s="4"/>
      <c r="H1386" s="4"/>
      <c r="I1386" s="47"/>
      <c r="J1386" s="47" t="str">
        <f t="shared" si="34"/>
        <v/>
      </c>
      <c r="K1386" s="47"/>
      <c r="L1386" s="47"/>
      <c r="N1386" s="47"/>
      <c r="O1386" s="47"/>
      <c r="P1386" s="47"/>
    </row>
    <row r="1387" spans="1:16" x14ac:dyDescent="0.3">
      <c r="A1387" s="1">
        <v>1386</v>
      </c>
      <c r="G1387" s="4"/>
      <c r="H1387" s="4"/>
      <c r="I1387" s="47"/>
      <c r="J1387" s="47" t="str">
        <f t="shared" si="34"/>
        <v/>
      </c>
      <c r="K1387" s="47"/>
      <c r="L1387" s="47"/>
      <c r="N1387" s="47"/>
      <c r="O1387" s="47"/>
      <c r="P1387" s="47"/>
    </row>
    <row r="1388" spans="1:16" x14ac:dyDescent="0.3">
      <c r="A1388" s="1">
        <v>1387</v>
      </c>
      <c r="G1388" s="4"/>
      <c r="H1388" s="4"/>
      <c r="I1388" s="47"/>
      <c r="J1388" s="47" t="str">
        <f t="shared" si="34"/>
        <v/>
      </c>
      <c r="K1388" s="47"/>
      <c r="L1388" s="47"/>
      <c r="N1388" s="47"/>
      <c r="O1388" s="47"/>
      <c r="P1388" s="47"/>
    </row>
    <row r="1389" spans="1:16" x14ac:dyDescent="0.3">
      <c r="A1389" s="1">
        <v>1388</v>
      </c>
      <c r="G1389" s="4"/>
      <c r="H1389" s="4"/>
      <c r="I1389" s="47"/>
      <c r="J1389" s="47" t="str">
        <f t="shared" si="34"/>
        <v/>
      </c>
      <c r="K1389" s="47"/>
      <c r="L1389" s="47"/>
      <c r="N1389" s="47"/>
      <c r="O1389" s="47"/>
      <c r="P1389" s="47"/>
    </row>
    <row r="1390" spans="1:16" x14ac:dyDescent="0.3">
      <c r="A1390" s="1">
        <v>1389</v>
      </c>
      <c r="G1390" s="4"/>
      <c r="H1390" s="4"/>
      <c r="I1390" s="47"/>
      <c r="J1390" s="47" t="str">
        <f t="shared" si="34"/>
        <v/>
      </c>
      <c r="K1390" s="47"/>
      <c r="L1390" s="47"/>
      <c r="N1390" s="47"/>
      <c r="O1390" s="47"/>
      <c r="P1390" s="47"/>
    </row>
    <row r="1391" spans="1:16" x14ac:dyDescent="0.3">
      <c r="A1391" s="1">
        <v>1390</v>
      </c>
      <c r="G1391" s="4"/>
      <c r="H1391" s="4"/>
      <c r="I1391" s="47"/>
      <c r="J1391" s="47" t="str">
        <f t="shared" si="34"/>
        <v/>
      </c>
      <c r="K1391" s="47"/>
      <c r="L1391" s="47"/>
      <c r="N1391" s="47"/>
      <c r="O1391" s="47"/>
      <c r="P1391" s="47"/>
    </row>
    <row r="1392" spans="1:16" x14ac:dyDescent="0.3">
      <c r="A1392" s="1">
        <v>1391</v>
      </c>
      <c r="G1392" s="4"/>
      <c r="H1392" s="4"/>
      <c r="I1392" s="47"/>
      <c r="J1392" s="47" t="str">
        <f t="shared" si="34"/>
        <v/>
      </c>
      <c r="K1392" s="47"/>
      <c r="L1392" s="47"/>
      <c r="N1392" s="47"/>
      <c r="O1392" s="47"/>
      <c r="P1392" s="47"/>
    </row>
    <row r="1393" spans="1:16" x14ac:dyDescent="0.3">
      <c r="A1393" s="1">
        <v>1392</v>
      </c>
      <c r="G1393" s="4"/>
      <c r="H1393" s="4"/>
      <c r="I1393" s="47"/>
      <c r="J1393" s="47" t="str">
        <f t="shared" si="34"/>
        <v/>
      </c>
      <c r="K1393" s="47"/>
      <c r="L1393" s="47"/>
      <c r="N1393" s="47"/>
      <c r="O1393" s="47"/>
      <c r="P1393" s="47"/>
    </row>
    <row r="1394" spans="1:16" x14ac:dyDescent="0.3">
      <c r="A1394" s="1">
        <v>1393</v>
      </c>
      <c r="G1394" s="4"/>
      <c r="H1394" s="4"/>
      <c r="I1394" s="47"/>
      <c r="J1394" s="47" t="str">
        <f t="shared" si="34"/>
        <v/>
      </c>
      <c r="K1394" s="47"/>
      <c r="L1394" s="47"/>
      <c r="N1394" s="47"/>
      <c r="O1394" s="47"/>
      <c r="P1394" s="47"/>
    </row>
    <row r="1395" spans="1:16" x14ac:dyDescent="0.3">
      <c r="A1395" s="1">
        <v>1394</v>
      </c>
      <c r="G1395" s="4"/>
      <c r="H1395" s="4"/>
      <c r="I1395" s="47"/>
      <c r="J1395" s="47" t="str">
        <f t="shared" si="34"/>
        <v/>
      </c>
      <c r="K1395" s="47"/>
      <c r="L1395" s="47"/>
      <c r="N1395" s="47"/>
      <c r="O1395" s="47"/>
      <c r="P1395" s="47"/>
    </row>
    <row r="1396" spans="1:16" x14ac:dyDescent="0.3">
      <c r="A1396" s="1">
        <v>1395</v>
      </c>
      <c r="G1396" s="4"/>
      <c r="H1396" s="4"/>
      <c r="I1396" s="47"/>
      <c r="J1396" s="47" t="str">
        <f t="shared" si="34"/>
        <v/>
      </c>
      <c r="K1396" s="47"/>
      <c r="L1396" s="47"/>
      <c r="N1396" s="47"/>
      <c r="O1396" s="47"/>
      <c r="P1396" s="47"/>
    </row>
    <row r="1397" spans="1:16" x14ac:dyDescent="0.3">
      <c r="A1397" s="1">
        <v>1396</v>
      </c>
      <c r="G1397" s="4"/>
      <c r="H1397" s="4"/>
      <c r="I1397" s="47"/>
      <c r="J1397" s="47" t="str">
        <f t="shared" si="34"/>
        <v/>
      </c>
      <c r="K1397" s="47"/>
      <c r="L1397" s="47"/>
      <c r="N1397" s="47"/>
      <c r="O1397" s="47"/>
      <c r="P1397" s="47"/>
    </row>
    <row r="1398" spans="1:16" x14ac:dyDescent="0.3">
      <c r="A1398" s="1">
        <v>1397</v>
      </c>
      <c r="G1398" s="4"/>
      <c r="H1398" s="4"/>
      <c r="I1398" s="47"/>
      <c r="J1398" s="47" t="str">
        <f t="shared" si="34"/>
        <v/>
      </c>
      <c r="K1398" s="47"/>
      <c r="L1398" s="47"/>
      <c r="N1398" s="47"/>
      <c r="O1398" s="47"/>
      <c r="P1398" s="47"/>
    </row>
    <row r="1399" spans="1:16" x14ac:dyDescent="0.3">
      <c r="A1399" s="1">
        <v>1398</v>
      </c>
      <c r="G1399" s="4"/>
      <c r="H1399" s="4"/>
      <c r="I1399" s="47"/>
      <c r="J1399" s="47" t="str">
        <f t="shared" si="34"/>
        <v/>
      </c>
      <c r="K1399" s="47"/>
      <c r="L1399" s="47"/>
      <c r="N1399" s="47"/>
      <c r="O1399" s="47"/>
      <c r="P1399" s="47"/>
    </row>
    <row r="1400" spans="1:16" x14ac:dyDescent="0.3">
      <c r="A1400" s="1">
        <v>1399</v>
      </c>
      <c r="G1400" s="4"/>
      <c r="H1400" s="4"/>
      <c r="I1400" s="47"/>
      <c r="J1400" s="47" t="str">
        <f t="shared" si="34"/>
        <v/>
      </c>
      <c r="K1400" s="47"/>
      <c r="L1400" s="47"/>
      <c r="N1400" s="47"/>
      <c r="O1400" s="47"/>
      <c r="P1400" s="47"/>
    </row>
    <row r="1401" spans="1:16" x14ac:dyDescent="0.3">
      <c r="A1401" s="1">
        <v>1400</v>
      </c>
      <c r="G1401" s="4"/>
      <c r="H1401" s="4"/>
      <c r="I1401" s="47"/>
      <c r="J1401" s="47" t="str">
        <f t="shared" si="34"/>
        <v/>
      </c>
      <c r="K1401" s="47"/>
      <c r="L1401" s="47"/>
      <c r="N1401" s="47"/>
      <c r="O1401" s="47"/>
      <c r="P1401" s="47"/>
    </row>
    <row r="1402" spans="1:16" x14ac:dyDescent="0.3">
      <c r="A1402" s="1">
        <v>1401</v>
      </c>
      <c r="G1402" s="4"/>
      <c r="H1402" s="4"/>
      <c r="I1402" s="47"/>
      <c r="J1402" s="47" t="str">
        <f t="shared" si="34"/>
        <v/>
      </c>
      <c r="K1402" s="47"/>
      <c r="L1402" s="47"/>
      <c r="N1402" s="47"/>
      <c r="O1402" s="47"/>
      <c r="P1402" s="47"/>
    </row>
    <row r="1403" spans="1:16" x14ac:dyDescent="0.3">
      <c r="A1403" s="1">
        <v>1402</v>
      </c>
      <c r="G1403" s="4"/>
      <c r="H1403" s="4"/>
      <c r="I1403" s="47"/>
      <c r="J1403" s="47" t="str">
        <f t="shared" si="34"/>
        <v/>
      </c>
      <c r="K1403" s="47"/>
      <c r="L1403" s="47"/>
      <c r="N1403" s="47"/>
      <c r="O1403" s="47"/>
      <c r="P1403" s="47"/>
    </row>
    <row r="1404" spans="1:16" x14ac:dyDescent="0.3">
      <c r="A1404" s="1">
        <v>1403</v>
      </c>
      <c r="G1404" s="4"/>
      <c r="H1404" s="4"/>
      <c r="I1404" s="47"/>
      <c r="J1404" s="47" t="str">
        <f t="shared" si="34"/>
        <v/>
      </c>
      <c r="K1404" s="47"/>
      <c r="L1404" s="47"/>
      <c r="N1404" s="47"/>
      <c r="O1404" s="47"/>
      <c r="P1404" s="47"/>
    </row>
    <row r="1405" spans="1:16" x14ac:dyDescent="0.3">
      <c r="A1405" s="1">
        <v>1404</v>
      </c>
      <c r="G1405" s="4"/>
      <c r="H1405" s="4"/>
      <c r="I1405" s="47"/>
      <c r="J1405" s="47" t="str">
        <f t="shared" si="34"/>
        <v/>
      </c>
      <c r="K1405" s="47"/>
      <c r="L1405" s="47"/>
      <c r="N1405" s="47"/>
      <c r="O1405" s="47"/>
      <c r="P1405" s="47"/>
    </row>
    <row r="1406" spans="1:16" x14ac:dyDescent="0.3">
      <c r="A1406" s="1">
        <v>1405</v>
      </c>
      <c r="G1406" s="4"/>
      <c r="H1406" s="4"/>
      <c r="I1406" s="47"/>
      <c r="J1406" s="47" t="str">
        <f t="shared" si="34"/>
        <v/>
      </c>
      <c r="K1406" s="47"/>
      <c r="L1406" s="47"/>
      <c r="N1406" s="47"/>
      <c r="O1406" s="47"/>
      <c r="P1406" s="47"/>
    </row>
    <row r="1407" spans="1:16" x14ac:dyDescent="0.3">
      <c r="A1407" s="1">
        <v>1406</v>
      </c>
      <c r="G1407" s="4"/>
      <c r="H1407" s="4"/>
      <c r="I1407" s="47"/>
      <c r="J1407" s="47" t="str">
        <f t="shared" si="34"/>
        <v/>
      </c>
      <c r="K1407" s="47"/>
      <c r="L1407" s="47"/>
      <c r="N1407" s="47"/>
      <c r="O1407" s="47"/>
      <c r="P1407" s="47"/>
    </row>
    <row r="1408" spans="1:16" x14ac:dyDescent="0.3">
      <c r="A1408" s="1">
        <v>1407</v>
      </c>
      <c r="G1408" s="4"/>
      <c r="H1408" s="4"/>
      <c r="I1408" s="47"/>
      <c r="J1408" s="47" t="str">
        <f t="shared" si="34"/>
        <v/>
      </c>
      <c r="K1408" s="47"/>
      <c r="L1408" s="47"/>
      <c r="N1408" s="47"/>
      <c r="O1408" s="47"/>
      <c r="P1408" s="47"/>
    </row>
    <row r="1409" spans="1:16" x14ac:dyDescent="0.3">
      <c r="A1409" s="1">
        <v>1408</v>
      </c>
      <c r="G1409" s="4"/>
      <c r="H1409" s="4"/>
      <c r="I1409" s="47"/>
      <c r="J1409" s="47" t="str">
        <f t="shared" si="34"/>
        <v/>
      </c>
      <c r="K1409" s="47"/>
      <c r="L1409" s="47"/>
      <c r="N1409" s="47"/>
      <c r="O1409" s="47"/>
      <c r="P1409" s="47"/>
    </row>
    <row r="1410" spans="1:16" x14ac:dyDescent="0.3">
      <c r="A1410" s="1">
        <v>1409</v>
      </c>
      <c r="G1410" s="4"/>
      <c r="H1410" s="4"/>
      <c r="I1410" s="47"/>
      <c r="J1410" s="47" t="str">
        <f t="shared" si="34"/>
        <v/>
      </c>
      <c r="K1410" s="47"/>
      <c r="L1410" s="47"/>
      <c r="N1410" s="47"/>
      <c r="O1410" s="47"/>
      <c r="P1410" s="47"/>
    </row>
    <row r="1411" spans="1:16" x14ac:dyDescent="0.3">
      <c r="A1411" s="1">
        <v>1410</v>
      </c>
      <c r="G1411" s="4"/>
      <c r="H1411" s="4"/>
      <c r="I1411" s="47"/>
      <c r="J1411" s="47" t="str">
        <f t="shared" ref="J1411:J1474" si="35">+E1411&amp;I1411</f>
        <v/>
      </c>
      <c r="K1411" s="47"/>
      <c r="L1411" s="47"/>
      <c r="N1411" s="47"/>
      <c r="O1411" s="47"/>
      <c r="P1411" s="47"/>
    </row>
    <row r="1412" spans="1:16" x14ac:dyDescent="0.3">
      <c r="A1412" s="1">
        <v>1411</v>
      </c>
      <c r="G1412" s="4"/>
      <c r="H1412" s="4"/>
      <c r="I1412" s="47"/>
      <c r="J1412" s="47" t="str">
        <f t="shared" si="35"/>
        <v/>
      </c>
      <c r="K1412" s="47"/>
      <c r="L1412" s="47"/>
      <c r="N1412" s="47"/>
      <c r="O1412" s="47"/>
      <c r="P1412" s="47"/>
    </row>
    <row r="1413" spans="1:16" x14ac:dyDescent="0.3">
      <c r="A1413" s="1">
        <v>1412</v>
      </c>
      <c r="G1413" s="4"/>
      <c r="H1413" s="4"/>
      <c r="I1413" s="47"/>
      <c r="J1413" s="47" t="str">
        <f t="shared" si="35"/>
        <v/>
      </c>
      <c r="K1413" s="47"/>
      <c r="L1413" s="47"/>
      <c r="N1413" s="47"/>
      <c r="O1413" s="47"/>
      <c r="P1413" s="47"/>
    </row>
    <row r="1414" spans="1:16" x14ac:dyDescent="0.3">
      <c r="A1414" s="1">
        <v>1413</v>
      </c>
      <c r="G1414" s="4"/>
      <c r="H1414" s="4"/>
      <c r="I1414" s="47"/>
      <c r="J1414" s="47" t="str">
        <f t="shared" si="35"/>
        <v/>
      </c>
      <c r="K1414" s="47"/>
      <c r="L1414" s="47"/>
      <c r="N1414" s="47"/>
      <c r="O1414" s="47"/>
      <c r="P1414" s="47"/>
    </row>
    <row r="1415" spans="1:16" x14ac:dyDescent="0.3">
      <c r="A1415" s="1">
        <v>1414</v>
      </c>
      <c r="G1415" s="4"/>
      <c r="H1415" s="4"/>
      <c r="I1415" s="47"/>
      <c r="J1415" s="47" t="str">
        <f t="shared" si="35"/>
        <v/>
      </c>
      <c r="K1415" s="47"/>
      <c r="L1415" s="47"/>
      <c r="N1415" s="47"/>
      <c r="O1415" s="47"/>
      <c r="P1415" s="47"/>
    </row>
    <row r="1416" spans="1:16" x14ac:dyDescent="0.3">
      <c r="A1416" s="1">
        <v>1415</v>
      </c>
      <c r="G1416" s="4"/>
      <c r="H1416" s="4"/>
      <c r="I1416" s="47"/>
      <c r="J1416" s="47" t="str">
        <f t="shared" si="35"/>
        <v/>
      </c>
      <c r="K1416" s="47"/>
      <c r="L1416" s="47"/>
      <c r="N1416" s="47"/>
      <c r="O1416" s="47"/>
      <c r="P1416" s="47"/>
    </row>
    <row r="1417" spans="1:16" x14ac:dyDescent="0.3">
      <c r="A1417" s="1">
        <v>1416</v>
      </c>
      <c r="G1417" s="4"/>
      <c r="H1417" s="4"/>
      <c r="I1417" s="47"/>
      <c r="J1417" s="47" t="str">
        <f t="shared" si="35"/>
        <v/>
      </c>
      <c r="K1417" s="47"/>
      <c r="L1417" s="47"/>
      <c r="N1417" s="47"/>
      <c r="O1417" s="47"/>
      <c r="P1417" s="47"/>
    </row>
    <row r="1418" spans="1:16" x14ac:dyDescent="0.3">
      <c r="A1418" s="1">
        <v>1417</v>
      </c>
      <c r="G1418" s="4"/>
      <c r="H1418" s="4"/>
      <c r="I1418" s="47"/>
      <c r="J1418" s="47" t="str">
        <f t="shared" si="35"/>
        <v/>
      </c>
      <c r="K1418" s="47"/>
      <c r="L1418" s="47"/>
      <c r="N1418" s="47"/>
      <c r="O1418" s="47"/>
      <c r="P1418" s="47"/>
    </row>
    <row r="1419" spans="1:16" x14ac:dyDescent="0.3">
      <c r="A1419" s="1">
        <v>1418</v>
      </c>
      <c r="G1419" s="4"/>
      <c r="H1419" s="4"/>
      <c r="I1419" s="47"/>
      <c r="J1419" s="47" t="str">
        <f t="shared" si="35"/>
        <v/>
      </c>
      <c r="K1419" s="47"/>
      <c r="L1419" s="47"/>
      <c r="N1419" s="47"/>
      <c r="O1419" s="47"/>
      <c r="P1419" s="47"/>
    </row>
    <row r="1420" spans="1:16" x14ac:dyDescent="0.3">
      <c r="A1420" s="1">
        <v>1419</v>
      </c>
      <c r="G1420" s="4"/>
      <c r="H1420" s="4"/>
      <c r="I1420" s="47"/>
      <c r="J1420" s="47" t="str">
        <f t="shared" si="35"/>
        <v/>
      </c>
      <c r="K1420" s="47"/>
      <c r="L1420" s="47"/>
      <c r="N1420" s="47"/>
      <c r="O1420" s="47"/>
      <c r="P1420" s="47"/>
    </row>
    <row r="1421" spans="1:16" x14ac:dyDescent="0.3">
      <c r="A1421" s="1">
        <v>1420</v>
      </c>
      <c r="G1421" s="4"/>
      <c r="H1421" s="4"/>
      <c r="I1421" s="47"/>
      <c r="J1421" s="47" t="str">
        <f t="shared" si="35"/>
        <v/>
      </c>
      <c r="K1421" s="47"/>
      <c r="L1421" s="47"/>
      <c r="N1421" s="47"/>
      <c r="O1421" s="47"/>
      <c r="P1421" s="47"/>
    </row>
    <row r="1422" spans="1:16" x14ac:dyDescent="0.3">
      <c r="A1422" s="1">
        <v>1421</v>
      </c>
      <c r="G1422" s="4"/>
      <c r="H1422" s="4"/>
      <c r="I1422" s="47"/>
      <c r="J1422" s="47" t="str">
        <f t="shared" si="35"/>
        <v/>
      </c>
      <c r="K1422" s="47"/>
      <c r="L1422" s="47"/>
      <c r="N1422" s="47"/>
      <c r="O1422" s="47"/>
      <c r="P1422" s="47"/>
    </row>
    <row r="1423" spans="1:16" x14ac:dyDescent="0.3">
      <c r="A1423" s="1">
        <v>1422</v>
      </c>
      <c r="G1423" s="4"/>
      <c r="H1423" s="4"/>
      <c r="I1423" s="47"/>
      <c r="J1423" s="47" t="str">
        <f t="shared" si="35"/>
        <v/>
      </c>
      <c r="K1423" s="47"/>
      <c r="L1423" s="47"/>
      <c r="N1423" s="47"/>
      <c r="O1423" s="47"/>
      <c r="P1423" s="47"/>
    </row>
    <row r="1424" spans="1:16" x14ac:dyDescent="0.3">
      <c r="A1424" s="1">
        <v>1423</v>
      </c>
      <c r="G1424" s="4"/>
      <c r="H1424" s="4"/>
      <c r="I1424" s="47"/>
      <c r="J1424" s="47" t="str">
        <f t="shared" si="35"/>
        <v/>
      </c>
      <c r="K1424" s="47"/>
      <c r="L1424" s="47"/>
      <c r="N1424" s="47"/>
      <c r="O1424" s="47"/>
      <c r="P1424" s="47"/>
    </row>
    <row r="1425" spans="1:16" x14ac:dyDescent="0.3">
      <c r="A1425" s="1">
        <v>1424</v>
      </c>
      <c r="G1425" s="4"/>
      <c r="H1425" s="4"/>
      <c r="I1425" s="47"/>
      <c r="J1425" s="47" t="str">
        <f t="shared" si="35"/>
        <v/>
      </c>
      <c r="K1425" s="47"/>
      <c r="L1425" s="47"/>
      <c r="N1425" s="47"/>
      <c r="O1425" s="47"/>
      <c r="P1425" s="47"/>
    </row>
    <row r="1426" spans="1:16" x14ac:dyDescent="0.3">
      <c r="A1426" s="1">
        <v>1425</v>
      </c>
      <c r="G1426" s="4"/>
      <c r="H1426" s="4"/>
      <c r="I1426" s="47"/>
      <c r="J1426" s="47" t="str">
        <f t="shared" si="35"/>
        <v/>
      </c>
      <c r="K1426" s="47"/>
      <c r="L1426" s="47"/>
      <c r="N1426" s="47"/>
      <c r="O1426" s="47"/>
      <c r="P1426" s="47"/>
    </row>
    <row r="1427" spans="1:16" x14ac:dyDescent="0.3">
      <c r="A1427" s="1">
        <v>1426</v>
      </c>
      <c r="G1427" s="4"/>
      <c r="H1427" s="4"/>
      <c r="I1427" s="47"/>
      <c r="J1427" s="47" t="str">
        <f t="shared" si="35"/>
        <v/>
      </c>
      <c r="K1427" s="47"/>
      <c r="L1427" s="47"/>
      <c r="N1427" s="47"/>
      <c r="O1427" s="47"/>
      <c r="P1427" s="47"/>
    </row>
    <row r="1428" spans="1:16" x14ac:dyDescent="0.3">
      <c r="A1428" s="1">
        <v>1427</v>
      </c>
      <c r="G1428" s="4"/>
      <c r="H1428" s="4"/>
      <c r="I1428" s="47"/>
      <c r="J1428" s="47" t="str">
        <f t="shared" si="35"/>
        <v/>
      </c>
      <c r="K1428" s="47"/>
      <c r="L1428" s="47"/>
      <c r="N1428" s="47"/>
      <c r="O1428" s="47"/>
      <c r="P1428" s="47"/>
    </row>
    <row r="1429" spans="1:16" x14ac:dyDescent="0.3">
      <c r="A1429" s="1">
        <v>1428</v>
      </c>
      <c r="G1429" s="4"/>
      <c r="H1429" s="4"/>
      <c r="I1429" s="47"/>
      <c r="J1429" s="47" t="str">
        <f t="shared" si="35"/>
        <v/>
      </c>
      <c r="K1429" s="47"/>
      <c r="L1429" s="47"/>
      <c r="N1429" s="47"/>
      <c r="O1429" s="47"/>
      <c r="P1429" s="47"/>
    </row>
    <row r="1430" spans="1:16" x14ac:dyDescent="0.3">
      <c r="A1430" s="1">
        <v>1429</v>
      </c>
      <c r="G1430" s="4"/>
      <c r="H1430" s="4"/>
      <c r="I1430" s="47"/>
      <c r="J1430" s="47" t="str">
        <f t="shared" si="35"/>
        <v/>
      </c>
      <c r="K1430" s="47"/>
      <c r="L1430" s="47"/>
      <c r="N1430" s="47"/>
      <c r="O1430" s="47"/>
      <c r="P1430" s="47"/>
    </row>
    <row r="1431" spans="1:16" x14ac:dyDescent="0.3">
      <c r="A1431" s="1">
        <v>1430</v>
      </c>
      <c r="G1431" s="4"/>
      <c r="H1431" s="4"/>
      <c r="I1431" s="47"/>
      <c r="J1431" s="47" t="str">
        <f t="shared" si="35"/>
        <v/>
      </c>
      <c r="K1431" s="47"/>
      <c r="L1431" s="47"/>
      <c r="N1431" s="47"/>
      <c r="O1431" s="47"/>
      <c r="P1431" s="47"/>
    </row>
    <row r="1432" spans="1:16" x14ac:dyDescent="0.3">
      <c r="A1432" s="1">
        <v>1431</v>
      </c>
      <c r="G1432" s="4"/>
      <c r="H1432" s="4"/>
      <c r="I1432" s="47"/>
      <c r="J1432" s="47" t="str">
        <f t="shared" si="35"/>
        <v/>
      </c>
      <c r="K1432" s="47"/>
      <c r="L1432" s="47"/>
      <c r="N1432" s="47"/>
      <c r="O1432" s="47"/>
      <c r="P1432" s="47"/>
    </row>
    <row r="1433" spans="1:16" x14ac:dyDescent="0.3">
      <c r="A1433" s="1">
        <v>1432</v>
      </c>
      <c r="G1433" s="4"/>
      <c r="H1433" s="4"/>
      <c r="I1433" s="47"/>
      <c r="J1433" s="47" t="str">
        <f t="shared" si="35"/>
        <v/>
      </c>
      <c r="K1433" s="47"/>
      <c r="L1433" s="47"/>
      <c r="N1433" s="47"/>
      <c r="O1433" s="47"/>
      <c r="P1433" s="47"/>
    </row>
    <row r="1434" spans="1:16" x14ac:dyDescent="0.3">
      <c r="A1434" s="1">
        <v>1433</v>
      </c>
      <c r="G1434" s="4"/>
      <c r="H1434" s="4"/>
      <c r="I1434" s="47"/>
      <c r="J1434" s="47" t="str">
        <f t="shared" si="35"/>
        <v/>
      </c>
      <c r="K1434" s="47"/>
      <c r="L1434" s="47"/>
      <c r="N1434" s="47"/>
      <c r="O1434" s="47"/>
      <c r="P1434" s="47"/>
    </row>
    <row r="1435" spans="1:16" x14ac:dyDescent="0.3">
      <c r="A1435" s="1">
        <v>1434</v>
      </c>
      <c r="G1435" s="4"/>
      <c r="H1435" s="4"/>
      <c r="I1435" s="47"/>
      <c r="J1435" s="47" t="str">
        <f t="shared" si="35"/>
        <v/>
      </c>
      <c r="K1435" s="47"/>
      <c r="L1435" s="47"/>
      <c r="N1435" s="47"/>
      <c r="O1435" s="47"/>
      <c r="P1435" s="47"/>
    </row>
    <row r="1436" spans="1:16" x14ac:dyDescent="0.3">
      <c r="A1436" s="1">
        <v>1435</v>
      </c>
      <c r="G1436" s="4"/>
      <c r="H1436" s="4"/>
      <c r="I1436" s="47"/>
      <c r="J1436" s="47" t="str">
        <f t="shared" si="35"/>
        <v/>
      </c>
      <c r="K1436" s="47"/>
      <c r="L1436" s="47"/>
      <c r="N1436" s="47"/>
      <c r="O1436" s="47"/>
      <c r="P1436" s="47"/>
    </row>
    <row r="1437" spans="1:16" x14ac:dyDescent="0.3">
      <c r="A1437" s="1">
        <v>1436</v>
      </c>
      <c r="G1437" s="4"/>
      <c r="H1437" s="4"/>
      <c r="I1437" s="47"/>
      <c r="J1437" s="47" t="str">
        <f t="shared" si="35"/>
        <v/>
      </c>
      <c r="K1437" s="47"/>
      <c r="L1437" s="47"/>
      <c r="N1437" s="47"/>
      <c r="O1437" s="47"/>
      <c r="P1437" s="47"/>
    </row>
    <row r="1438" spans="1:16" x14ac:dyDescent="0.3">
      <c r="A1438" s="1">
        <v>1437</v>
      </c>
      <c r="G1438" s="4"/>
      <c r="H1438" s="4"/>
      <c r="I1438" s="47"/>
      <c r="J1438" s="47" t="str">
        <f t="shared" si="35"/>
        <v/>
      </c>
      <c r="K1438" s="47"/>
      <c r="L1438" s="47"/>
      <c r="N1438" s="47"/>
      <c r="O1438" s="47"/>
      <c r="P1438" s="47"/>
    </row>
    <row r="1439" spans="1:16" x14ac:dyDescent="0.3">
      <c r="A1439" s="1">
        <v>1438</v>
      </c>
      <c r="G1439" s="4"/>
      <c r="H1439" s="4"/>
      <c r="I1439" s="47"/>
      <c r="J1439" s="47" t="str">
        <f t="shared" si="35"/>
        <v/>
      </c>
      <c r="K1439" s="47"/>
      <c r="L1439" s="47"/>
      <c r="N1439" s="47"/>
      <c r="O1439" s="47"/>
      <c r="P1439" s="47"/>
    </row>
    <row r="1440" spans="1:16" x14ac:dyDescent="0.3">
      <c r="A1440" s="1">
        <v>1439</v>
      </c>
      <c r="G1440" s="4"/>
      <c r="H1440" s="4"/>
      <c r="I1440" s="47"/>
      <c r="J1440" s="47" t="str">
        <f t="shared" si="35"/>
        <v/>
      </c>
      <c r="K1440" s="47"/>
      <c r="L1440" s="47"/>
      <c r="N1440" s="47"/>
      <c r="O1440" s="47"/>
      <c r="P1440" s="47"/>
    </row>
    <row r="1441" spans="1:16" x14ac:dyDescent="0.3">
      <c r="A1441" s="1">
        <v>1440</v>
      </c>
      <c r="G1441" s="4"/>
      <c r="H1441" s="4"/>
      <c r="I1441" s="47"/>
      <c r="J1441" s="47" t="str">
        <f t="shared" si="35"/>
        <v/>
      </c>
      <c r="K1441" s="47"/>
      <c r="L1441" s="47"/>
      <c r="N1441" s="47"/>
      <c r="O1441" s="47"/>
      <c r="P1441" s="47"/>
    </row>
    <row r="1442" spans="1:16" x14ac:dyDescent="0.3">
      <c r="A1442" s="1">
        <v>1441</v>
      </c>
      <c r="G1442" s="4"/>
      <c r="H1442" s="4"/>
      <c r="I1442" s="47"/>
      <c r="J1442" s="47" t="str">
        <f t="shared" si="35"/>
        <v/>
      </c>
      <c r="K1442" s="47"/>
      <c r="L1442" s="47"/>
      <c r="N1442" s="47"/>
      <c r="O1442" s="47"/>
      <c r="P1442" s="47"/>
    </row>
    <row r="1443" spans="1:16" x14ac:dyDescent="0.3">
      <c r="A1443" s="1">
        <v>1442</v>
      </c>
      <c r="G1443" s="4"/>
      <c r="H1443" s="4"/>
      <c r="I1443" s="47"/>
      <c r="J1443" s="47" t="str">
        <f t="shared" si="35"/>
        <v/>
      </c>
      <c r="K1443" s="47"/>
      <c r="L1443" s="47"/>
      <c r="N1443" s="47"/>
      <c r="O1443" s="47"/>
      <c r="P1443" s="47"/>
    </row>
    <row r="1444" spans="1:16" x14ac:dyDescent="0.3">
      <c r="A1444" s="1">
        <v>1443</v>
      </c>
      <c r="G1444" s="4"/>
      <c r="H1444" s="4"/>
      <c r="I1444" s="47"/>
      <c r="J1444" s="47" t="str">
        <f t="shared" si="35"/>
        <v/>
      </c>
      <c r="K1444" s="47"/>
      <c r="L1444" s="47"/>
      <c r="N1444" s="47"/>
      <c r="O1444" s="47"/>
      <c r="P1444" s="47"/>
    </row>
    <row r="1445" spans="1:16" x14ac:dyDescent="0.3">
      <c r="A1445" s="1">
        <v>1444</v>
      </c>
      <c r="G1445" s="4"/>
      <c r="H1445" s="4"/>
      <c r="I1445" s="47"/>
      <c r="J1445" s="47" t="str">
        <f t="shared" si="35"/>
        <v/>
      </c>
      <c r="K1445" s="47"/>
      <c r="L1445" s="47"/>
      <c r="N1445" s="47"/>
      <c r="O1445" s="47"/>
      <c r="P1445" s="47"/>
    </row>
    <row r="1446" spans="1:16" x14ac:dyDescent="0.3">
      <c r="A1446" s="1">
        <v>1445</v>
      </c>
      <c r="G1446" s="4"/>
      <c r="H1446" s="4"/>
      <c r="I1446" s="47"/>
      <c r="J1446" s="47" t="str">
        <f t="shared" si="35"/>
        <v/>
      </c>
      <c r="K1446" s="47"/>
      <c r="L1446" s="47"/>
      <c r="N1446" s="47"/>
      <c r="O1446" s="47"/>
      <c r="P1446" s="47"/>
    </row>
    <row r="1447" spans="1:16" x14ac:dyDescent="0.3">
      <c r="A1447" s="1">
        <v>1446</v>
      </c>
      <c r="G1447" s="4"/>
      <c r="H1447" s="4"/>
      <c r="I1447" s="47"/>
      <c r="J1447" s="47" t="str">
        <f t="shared" si="35"/>
        <v/>
      </c>
      <c r="K1447" s="47"/>
      <c r="L1447" s="47"/>
      <c r="N1447" s="47"/>
      <c r="O1447" s="47"/>
      <c r="P1447" s="47"/>
    </row>
    <row r="1448" spans="1:16" x14ac:dyDescent="0.3">
      <c r="A1448" s="1">
        <v>1447</v>
      </c>
      <c r="G1448" s="4"/>
      <c r="H1448" s="4"/>
      <c r="I1448" s="47"/>
      <c r="J1448" s="47" t="str">
        <f t="shared" si="35"/>
        <v/>
      </c>
      <c r="K1448" s="47"/>
      <c r="L1448" s="47"/>
      <c r="N1448" s="47"/>
      <c r="O1448" s="47"/>
      <c r="P1448" s="47"/>
    </row>
    <row r="1449" spans="1:16" x14ac:dyDescent="0.3">
      <c r="A1449" s="1">
        <v>1448</v>
      </c>
      <c r="G1449" s="4"/>
      <c r="H1449" s="4"/>
      <c r="I1449" s="47"/>
      <c r="J1449" s="47" t="str">
        <f t="shared" si="35"/>
        <v/>
      </c>
      <c r="K1449" s="47"/>
      <c r="L1449" s="47"/>
      <c r="N1449" s="47"/>
      <c r="O1449" s="47"/>
      <c r="P1449" s="47"/>
    </row>
    <row r="1450" spans="1:16" x14ac:dyDescent="0.3">
      <c r="A1450" s="1">
        <v>1449</v>
      </c>
      <c r="G1450" s="4"/>
      <c r="H1450" s="4"/>
      <c r="I1450" s="47"/>
      <c r="J1450" s="47" t="str">
        <f t="shared" si="35"/>
        <v/>
      </c>
      <c r="K1450" s="47"/>
      <c r="L1450" s="47"/>
      <c r="N1450" s="47"/>
      <c r="O1450" s="47"/>
      <c r="P1450" s="47"/>
    </row>
    <row r="1451" spans="1:16" x14ac:dyDescent="0.3">
      <c r="A1451" s="1">
        <v>1450</v>
      </c>
      <c r="G1451" s="4"/>
      <c r="H1451" s="4"/>
      <c r="I1451" s="47"/>
      <c r="J1451" s="47" t="str">
        <f t="shared" si="35"/>
        <v/>
      </c>
      <c r="K1451" s="47"/>
      <c r="L1451" s="47"/>
      <c r="N1451" s="47"/>
      <c r="O1451" s="47"/>
      <c r="P1451" s="47"/>
    </row>
    <row r="1452" spans="1:16" x14ac:dyDescent="0.3">
      <c r="A1452" s="1">
        <v>1451</v>
      </c>
      <c r="G1452" s="4"/>
      <c r="H1452" s="4"/>
      <c r="I1452" s="47"/>
      <c r="J1452" s="47" t="str">
        <f t="shared" si="35"/>
        <v/>
      </c>
      <c r="K1452" s="47"/>
      <c r="L1452" s="47"/>
      <c r="N1452" s="47"/>
      <c r="O1452" s="47"/>
      <c r="P1452" s="47"/>
    </row>
    <row r="1453" spans="1:16" x14ac:dyDescent="0.3">
      <c r="A1453" s="1">
        <v>1452</v>
      </c>
      <c r="G1453" s="4"/>
      <c r="H1453" s="4"/>
      <c r="I1453" s="47"/>
      <c r="J1453" s="47" t="str">
        <f t="shared" si="35"/>
        <v/>
      </c>
      <c r="K1453" s="47"/>
      <c r="L1453" s="47"/>
      <c r="N1453" s="47"/>
      <c r="O1453" s="47"/>
      <c r="P1453" s="47"/>
    </row>
    <row r="1454" spans="1:16" x14ac:dyDescent="0.3">
      <c r="A1454" s="1">
        <v>1453</v>
      </c>
      <c r="G1454" s="4"/>
      <c r="H1454" s="4"/>
      <c r="I1454" s="47"/>
      <c r="J1454" s="47" t="str">
        <f t="shared" si="35"/>
        <v/>
      </c>
      <c r="K1454" s="47"/>
      <c r="L1454" s="47"/>
      <c r="N1454" s="47"/>
      <c r="O1454" s="47"/>
      <c r="P1454" s="47"/>
    </row>
    <row r="1455" spans="1:16" x14ac:dyDescent="0.3">
      <c r="A1455" s="1">
        <v>1454</v>
      </c>
      <c r="G1455" s="4"/>
      <c r="H1455" s="4"/>
      <c r="I1455" s="47"/>
      <c r="J1455" s="47" t="str">
        <f t="shared" si="35"/>
        <v/>
      </c>
      <c r="K1455" s="47"/>
      <c r="L1455" s="47"/>
      <c r="N1455" s="47"/>
      <c r="O1455" s="47"/>
      <c r="P1455" s="47"/>
    </row>
    <row r="1456" spans="1:16" x14ac:dyDescent="0.3">
      <c r="A1456" s="1">
        <v>1455</v>
      </c>
      <c r="G1456" s="4"/>
      <c r="H1456" s="4"/>
      <c r="I1456" s="47"/>
      <c r="J1456" s="47" t="str">
        <f t="shared" si="35"/>
        <v/>
      </c>
      <c r="K1456" s="47"/>
      <c r="L1456" s="47"/>
      <c r="N1456" s="47"/>
      <c r="O1456" s="47"/>
      <c r="P1456" s="47"/>
    </row>
    <row r="1457" spans="1:16" x14ac:dyDescent="0.3">
      <c r="A1457" s="1">
        <v>1456</v>
      </c>
      <c r="G1457" s="4"/>
      <c r="H1457" s="4"/>
      <c r="I1457" s="47"/>
      <c r="J1457" s="47" t="str">
        <f t="shared" si="35"/>
        <v/>
      </c>
      <c r="K1457" s="47"/>
      <c r="L1457" s="47"/>
      <c r="N1457" s="47"/>
      <c r="O1457" s="47"/>
      <c r="P1457" s="47"/>
    </row>
    <row r="1458" spans="1:16" x14ac:dyDescent="0.3">
      <c r="A1458" s="1">
        <v>1457</v>
      </c>
      <c r="G1458" s="4"/>
      <c r="H1458" s="4"/>
      <c r="I1458" s="47"/>
      <c r="J1458" s="47" t="str">
        <f t="shared" si="35"/>
        <v/>
      </c>
      <c r="K1458" s="47"/>
      <c r="L1458" s="47"/>
      <c r="N1458" s="47"/>
      <c r="O1458" s="47"/>
      <c r="P1458" s="47"/>
    </row>
    <row r="1459" spans="1:16" x14ac:dyDescent="0.3">
      <c r="A1459" s="1">
        <v>1458</v>
      </c>
      <c r="G1459" s="4"/>
      <c r="H1459" s="4"/>
      <c r="I1459" s="47"/>
      <c r="J1459" s="47" t="str">
        <f t="shared" si="35"/>
        <v/>
      </c>
      <c r="K1459" s="47"/>
      <c r="L1459" s="47"/>
      <c r="N1459" s="47"/>
      <c r="O1459" s="47"/>
      <c r="P1459" s="47"/>
    </row>
    <row r="1460" spans="1:16" x14ac:dyDescent="0.3">
      <c r="A1460" s="1">
        <v>1459</v>
      </c>
      <c r="G1460" s="4"/>
      <c r="H1460" s="4"/>
      <c r="I1460" s="47"/>
      <c r="J1460" s="47" t="str">
        <f t="shared" si="35"/>
        <v/>
      </c>
      <c r="K1460" s="47"/>
      <c r="L1460" s="47"/>
      <c r="N1460" s="47"/>
      <c r="O1460" s="47"/>
      <c r="P1460" s="47"/>
    </row>
    <row r="1461" spans="1:16" x14ac:dyDescent="0.3">
      <c r="A1461" s="1">
        <v>1460</v>
      </c>
      <c r="G1461" s="4"/>
      <c r="H1461" s="4"/>
      <c r="I1461" s="47"/>
      <c r="J1461" s="47" t="str">
        <f t="shared" si="35"/>
        <v/>
      </c>
      <c r="K1461" s="47"/>
      <c r="L1461" s="47"/>
      <c r="N1461" s="47"/>
      <c r="O1461" s="47"/>
      <c r="P1461" s="47"/>
    </row>
    <row r="1462" spans="1:16" x14ac:dyDescent="0.3">
      <c r="A1462" s="1">
        <v>1461</v>
      </c>
      <c r="G1462" s="4"/>
      <c r="H1462" s="4"/>
      <c r="I1462" s="47"/>
      <c r="J1462" s="47" t="str">
        <f t="shared" si="35"/>
        <v/>
      </c>
      <c r="K1462" s="47"/>
      <c r="L1462" s="47"/>
      <c r="N1462" s="47"/>
      <c r="O1462" s="47"/>
      <c r="P1462" s="47"/>
    </row>
    <row r="1463" spans="1:16" x14ac:dyDescent="0.3">
      <c r="A1463" s="1">
        <v>1462</v>
      </c>
      <c r="G1463" s="4"/>
      <c r="H1463" s="4"/>
      <c r="I1463" s="47"/>
      <c r="J1463" s="47" t="str">
        <f t="shared" si="35"/>
        <v/>
      </c>
      <c r="K1463" s="47"/>
      <c r="L1463" s="47"/>
      <c r="N1463" s="47"/>
      <c r="O1463" s="47"/>
      <c r="P1463" s="47"/>
    </row>
    <row r="1464" spans="1:16" x14ac:dyDescent="0.3">
      <c r="A1464" s="1">
        <v>1463</v>
      </c>
      <c r="G1464" s="4"/>
      <c r="H1464" s="4"/>
      <c r="I1464" s="47"/>
      <c r="J1464" s="47" t="str">
        <f t="shared" si="35"/>
        <v/>
      </c>
      <c r="K1464" s="47"/>
      <c r="L1464" s="47"/>
      <c r="N1464" s="47"/>
      <c r="O1464" s="47"/>
      <c r="P1464" s="47"/>
    </row>
    <row r="1465" spans="1:16" x14ac:dyDescent="0.3">
      <c r="A1465" s="1">
        <v>1464</v>
      </c>
      <c r="G1465" s="4"/>
      <c r="H1465" s="4"/>
      <c r="I1465" s="47"/>
      <c r="J1465" s="47" t="str">
        <f t="shared" si="35"/>
        <v/>
      </c>
      <c r="K1465" s="47"/>
      <c r="L1465" s="47"/>
      <c r="N1465" s="47"/>
      <c r="O1465" s="47"/>
      <c r="P1465" s="47"/>
    </row>
    <row r="1466" spans="1:16" x14ac:dyDescent="0.3">
      <c r="A1466" s="1">
        <v>1465</v>
      </c>
      <c r="G1466" s="4"/>
      <c r="H1466" s="4"/>
      <c r="I1466" s="47"/>
      <c r="J1466" s="47" t="str">
        <f t="shared" si="35"/>
        <v/>
      </c>
      <c r="K1466" s="47"/>
      <c r="L1466" s="47"/>
      <c r="N1466" s="47"/>
      <c r="O1466" s="47"/>
      <c r="P1466" s="47"/>
    </row>
    <row r="1467" spans="1:16" x14ac:dyDescent="0.3">
      <c r="A1467" s="1">
        <v>1466</v>
      </c>
      <c r="G1467" s="4"/>
      <c r="H1467" s="4"/>
      <c r="I1467" s="47"/>
      <c r="J1467" s="47" t="str">
        <f t="shared" si="35"/>
        <v/>
      </c>
      <c r="K1467" s="47"/>
      <c r="L1467" s="47"/>
      <c r="N1467" s="47"/>
      <c r="O1467" s="47"/>
      <c r="P1467" s="47"/>
    </row>
    <row r="1468" spans="1:16" x14ac:dyDescent="0.3">
      <c r="A1468" s="1">
        <v>1467</v>
      </c>
      <c r="G1468" s="4"/>
      <c r="H1468" s="4"/>
      <c r="I1468" s="47"/>
      <c r="J1468" s="47" t="str">
        <f t="shared" si="35"/>
        <v/>
      </c>
      <c r="K1468" s="47"/>
      <c r="L1468" s="47"/>
      <c r="N1468" s="47"/>
      <c r="O1468" s="47"/>
      <c r="P1468" s="47"/>
    </row>
    <row r="1469" spans="1:16" x14ac:dyDescent="0.3">
      <c r="A1469" s="1">
        <v>1468</v>
      </c>
      <c r="G1469" s="4"/>
      <c r="H1469" s="4"/>
      <c r="I1469" s="47"/>
      <c r="J1469" s="47" t="str">
        <f t="shared" si="35"/>
        <v/>
      </c>
      <c r="K1469" s="47"/>
      <c r="L1469" s="47"/>
      <c r="N1469" s="47"/>
      <c r="O1469" s="47"/>
      <c r="P1469" s="47"/>
    </row>
    <row r="1470" spans="1:16" x14ac:dyDescent="0.3">
      <c r="A1470" s="1">
        <v>1469</v>
      </c>
      <c r="G1470" s="4"/>
      <c r="H1470" s="4"/>
      <c r="I1470" s="47"/>
      <c r="J1470" s="47" t="str">
        <f t="shared" si="35"/>
        <v/>
      </c>
      <c r="K1470" s="47"/>
      <c r="L1470" s="47"/>
      <c r="N1470" s="47"/>
      <c r="O1470" s="47"/>
      <c r="P1470" s="47"/>
    </row>
    <row r="1471" spans="1:16" x14ac:dyDescent="0.3">
      <c r="A1471" s="1">
        <v>1470</v>
      </c>
      <c r="G1471" s="4"/>
      <c r="H1471" s="4"/>
      <c r="I1471" s="47"/>
      <c r="J1471" s="47" t="str">
        <f t="shared" si="35"/>
        <v/>
      </c>
      <c r="K1471" s="47"/>
      <c r="L1471" s="47"/>
      <c r="N1471" s="47"/>
      <c r="O1471" s="47"/>
      <c r="P1471" s="47"/>
    </row>
    <row r="1472" spans="1:16" x14ac:dyDescent="0.3">
      <c r="A1472" s="1">
        <v>1471</v>
      </c>
      <c r="G1472" s="4"/>
      <c r="H1472" s="4"/>
      <c r="I1472" s="47"/>
      <c r="J1472" s="47" t="str">
        <f t="shared" si="35"/>
        <v/>
      </c>
      <c r="K1472" s="47"/>
      <c r="L1472" s="47"/>
      <c r="N1472" s="47"/>
      <c r="O1472" s="47"/>
      <c r="P1472" s="47"/>
    </row>
    <row r="1473" spans="1:16" x14ac:dyDescent="0.3">
      <c r="A1473" s="1">
        <v>1472</v>
      </c>
      <c r="G1473" s="4"/>
      <c r="H1473" s="4"/>
      <c r="I1473" s="47"/>
      <c r="J1473" s="47" t="str">
        <f t="shared" si="35"/>
        <v/>
      </c>
      <c r="K1473" s="47"/>
      <c r="L1473" s="47"/>
      <c r="N1473" s="47"/>
      <c r="O1473" s="47"/>
      <c r="P1473" s="47"/>
    </row>
    <row r="1474" spans="1:16" x14ac:dyDescent="0.3">
      <c r="A1474" s="1">
        <v>1473</v>
      </c>
      <c r="G1474" s="4"/>
      <c r="H1474" s="4"/>
      <c r="I1474" s="47"/>
      <c r="J1474" s="47" t="str">
        <f t="shared" si="35"/>
        <v/>
      </c>
      <c r="K1474" s="47"/>
      <c r="L1474" s="47"/>
      <c r="N1474" s="47"/>
      <c r="O1474" s="47"/>
      <c r="P1474" s="47"/>
    </row>
    <row r="1475" spans="1:16" x14ac:dyDescent="0.3">
      <c r="A1475" s="1">
        <v>1474</v>
      </c>
      <c r="G1475" s="4"/>
      <c r="H1475" s="4"/>
      <c r="I1475" s="47"/>
      <c r="J1475" s="47" t="str">
        <f t="shared" ref="J1475:J1538" si="36">+E1475&amp;I1475</f>
        <v/>
      </c>
      <c r="K1475" s="47"/>
      <c r="L1475" s="47"/>
      <c r="N1475" s="47"/>
      <c r="O1475" s="47"/>
      <c r="P1475" s="47"/>
    </row>
    <row r="1476" spans="1:16" x14ac:dyDescent="0.3">
      <c r="A1476" s="1">
        <v>1475</v>
      </c>
      <c r="G1476" s="4"/>
      <c r="H1476" s="4"/>
      <c r="I1476" s="47"/>
      <c r="J1476" s="47" t="str">
        <f t="shared" si="36"/>
        <v/>
      </c>
      <c r="K1476" s="47"/>
      <c r="L1476" s="47"/>
      <c r="N1476" s="47"/>
      <c r="O1476" s="47"/>
      <c r="P1476" s="47"/>
    </row>
    <row r="1477" spans="1:16" x14ac:dyDescent="0.3">
      <c r="A1477" s="1">
        <v>1476</v>
      </c>
      <c r="G1477" s="4"/>
      <c r="H1477" s="4"/>
      <c r="I1477" s="47"/>
      <c r="J1477" s="47" t="str">
        <f t="shared" si="36"/>
        <v/>
      </c>
      <c r="K1477" s="47"/>
      <c r="L1477" s="47"/>
      <c r="N1477" s="47"/>
      <c r="O1477" s="47"/>
      <c r="P1477" s="47"/>
    </row>
    <row r="1478" spans="1:16" x14ac:dyDescent="0.3">
      <c r="A1478" s="1">
        <v>1477</v>
      </c>
      <c r="G1478" s="4"/>
      <c r="H1478" s="4"/>
      <c r="I1478" s="47"/>
      <c r="J1478" s="47" t="str">
        <f t="shared" si="36"/>
        <v/>
      </c>
      <c r="K1478" s="47"/>
      <c r="L1478" s="47"/>
      <c r="N1478" s="47"/>
      <c r="O1478" s="47"/>
      <c r="P1478" s="47"/>
    </row>
    <row r="1479" spans="1:16" x14ac:dyDescent="0.3">
      <c r="A1479" s="1">
        <v>1478</v>
      </c>
      <c r="G1479" s="4"/>
      <c r="H1479" s="4"/>
      <c r="I1479" s="47"/>
      <c r="J1479" s="47" t="str">
        <f t="shared" si="36"/>
        <v/>
      </c>
      <c r="K1479" s="47"/>
      <c r="L1479" s="47"/>
      <c r="N1479" s="47"/>
      <c r="O1479" s="47"/>
      <c r="P1479" s="47"/>
    </row>
    <row r="1480" spans="1:16" x14ac:dyDescent="0.3">
      <c r="A1480" s="1">
        <v>1479</v>
      </c>
      <c r="G1480" s="4"/>
      <c r="H1480" s="4"/>
      <c r="I1480" s="47"/>
      <c r="J1480" s="47" t="str">
        <f t="shared" si="36"/>
        <v/>
      </c>
      <c r="K1480" s="47"/>
      <c r="L1480" s="47"/>
      <c r="N1480" s="47"/>
      <c r="O1480" s="47"/>
      <c r="P1480" s="47"/>
    </row>
    <row r="1481" spans="1:16" x14ac:dyDescent="0.3">
      <c r="A1481" s="1">
        <v>1480</v>
      </c>
      <c r="G1481" s="4"/>
      <c r="H1481" s="4"/>
      <c r="I1481" s="47"/>
      <c r="J1481" s="47" t="str">
        <f t="shared" si="36"/>
        <v/>
      </c>
      <c r="K1481" s="47"/>
      <c r="L1481" s="47"/>
      <c r="N1481" s="47"/>
      <c r="O1481" s="47"/>
      <c r="P1481" s="47"/>
    </row>
    <row r="1482" spans="1:16" x14ac:dyDescent="0.3">
      <c r="A1482" s="1">
        <v>1481</v>
      </c>
      <c r="G1482" s="4"/>
      <c r="H1482" s="4"/>
      <c r="I1482" s="47"/>
      <c r="J1482" s="47" t="str">
        <f t="shared" si="36"/>
        <v/>
      </c>
      <c r="K1482" s="47"/>
      <c r="L1482" s="47"/>
      <c r="N1482" s="47"/>
      <c r="O1482" s="47"/>
      <c r="P1482" s="47"/>
    </row>
    <row r="1483" spans="1:16" x14ac:dyDescent="0.3">
      <c r="A1483" s="1">
        <v>1482</v>
      </c>
      <c r="G1483" s="4"/>
      <c r="H1483" s="4"/>
      <c r="I1483" s="47"/>
      <c r="J1483" s="47" t="str">
        <f t="shared" si="36"/>
        <v/>
      </c>
      <c r="K1483" s="47"/>
      <c r="L1483" s="47"/>
      <c r="N1483" s="47"/>
      <c r="O1483" s="47"/>
      <c r="P1483" s="47"/>
    </row>
    <row r="1484" spans="1:16" x14ac:dyDescent="0.3">
      <c r="A1484" s="1">
        <v>1483</v>
      </c>
      <c r="G1484" s="4"/>
      <c r="H1484" s="4"/>
      <c r="I1484" s="47"/>
      <c r="J1484" s="47" t="str">
        <f t="shared" si="36"/>
        <v/>
      </c>
      <c r="K1484" s="47"/>
      <c r="L1484" s="47"/>
      <c r="N1484" s="47"/>
      <c r="O1484" s="47"/>
      <c r="P1484" s="47"/>
    </row>
    <row r="1485" spans="1:16" x14ac:dyDescent="0.3">
      <c r="A1485" s="1">
        <v>1484</v>
      </c>
      <c r="G1485" s="4"/>
      <c r="H1485" s="4"/>
      <c r="I1485" s="47"/>
      <c r="J1485" s="47" t="str">
        <f t="shared" si="36"/>
        <v/>
      </c>
      <c r="K1485" s="47"/>
      <c r="L1485" s="47"/>
      <c r="N1485" s="47"/>
      <c r="O1485" s="47"/>
      <c r="P1485" s="47"/>
    </row>
    <row r="1486" spans="1:16" x14ac:dyDescent="0.3">
      <c r="A1486" s="1">
        <v>1485</v>
      </c>
      <c r="G1486" s="4"/>
      <c r="H1486" s="4"/>
      <c r="I1486" s="47"/>
      <c r="J1486" s="47" t="str">
        <f t="shared" si="36"/>
        <v/>
      </c>
      <c r="K1486" s="47"/>
      <c r="L1486" s="47"/>
      <c r="N1486" s="47"/>
      <c r="O1486" s="47"/>
      <c r="P1486" s="47"/>
    </row>
    <row r="1487" spans="1:16" x14ac:dyDescent="0.3">
      <c r="A1487" s="1">
        <v>1486</v>
      </c>
      <c r="G1487" s="4"/>
      <c r="H1487" s="4"/>
      <c r="I1487" s="47"/>
      <c r="J1487" s="47" t="str">
        <f t="shared" si="36"/>
        <v/>
      </c>
      <c r="K1487" s="47"/>
      <c r="L1487" s="47"/>
      <c r="N1487" s="47"/>
      <c r="O1487" s="47"/>
      <c r="P1487" s="47"/>
    </row>
    <row r="1488" spans="1:16" x14ac:dyDescent="0.3">
      <c r="A1488" s="1">
        <v>1487</v>
      </c>
      <c r="G1488" s="4"/>
      <c r="H1488" s="4"/>
      <c r="I1488" s="47"/>
      <c r="J1488" s="47" t="str">
        <f t="shared" si="36"/>
        <v/>
      </c>
      <c r="K1488" s="47"/>
      <c r="L1488" s="47"/>
      <c r="N1488" s="47"/>
      <c r="O1488" s="47"/>
      <c r="P1488" s="47"/>
    </row>
    <row r="1489" spans="1:16" x14ac:dyDescent="0.3">
      <c r="A1489" s="1">
        <v>1488</v>
      </c>
      <c r="G1489" s="4"/>
      <c r="H1489" s="4"/>
      <c r="I1489" s="47"/>
      <c r="J1489" s="47" t="str">
        <f t="shared" si="36"/>
        <v/>
      </c>
      <c r="K1489" s="47"/>
      <c r="L1489" s="47"/>
      <c r="N1489" s="47"/>
      <c r="O1489" s="47"/>
      <c r="P1489" s="47"/>
    </row>
    <row r="1490" spans="1:16" x14ac:dyDescent="0.3">
      <c r="A1490" s="1">
        <v>1489</v>
      </c>
      <c r="G1490" s="4"/>
      <c r="H1490" s="4"/>
      <c r="I1490" s="47"/>
      <c r="J1490" s="47" t="str">
        <f t="shared" si="36"/>
        <v/>
      </c>
      <c r="K1490" s="47"/>
      <c r="L1490" s="47"/>
      <c r="N1490" s="47"/>
      <c r="O1490" s="47"/>
      <c r="P1490" s="47"/>
    </row>
    <row r="1491" spans="1:16" x14ac:dyDescent="0.3">
      <c r="A1491" s="1">
        <v>1490</v>
      </c>
      <c r="G1491" s="4"/>
      <c r="H1491" s="4"/>
      <c r="I1491" s="47"/>
      <c r="J1491" s="47" t="str">
        <f t="shared" si="36"/>
        <v/>
      </c>
      <c r="K1491" s="47"/>
      <c r="L1491" s="47"/>
      <c r="N1491" s="47"/>
      <c r="O1491" s="47"/>
      <c r="P1491" s="47"/>
    </row>
    <row r="1492" spans="1:16" x14ac:dyDescent="0.3">
      <c r="A1492" s="1">
        <v>1491</v>
      </c>
      <c r="G1492" s="4"/>
      <c r="H1492" s="4"/>
      <c r="I1492" s="47"/>
      <c r="J1492" s="47" t="str">
        <f t="shared" si="36"/>
        <v/>
      </c>
      <c r="K1492" s="47"/>
      <c r="L1492" s="47"/>
      <c r="N1492" s="47"/>
      <c r="O1492" s="47"/>
      <c r="P1492" s="47"/>
    </row>
    <row r="1493" spans="1:16" x14ac:dyDescent="0.3">
      <c r="A1493" s="1">
        <v>1492</v>
      </c>
      <c r="G1493" s="4"/>
      <c r="H1493" s="4"/>
      <c r="I1493" s="47"/>
      <c r="J1493" s="47" t="str">
        <f t="shared" si="36"/>
        <v/>
      </c>
      <c r="K1493" s="47"/>
      <c r="L1493" s="47"/>
      <c r="N1493" s="47"/>
      <c r="O1493" s="47"/>
      <c r="P1493" s="47"/>
    </row>
    <row r="1494" spans="1:16" x14ac:dyDescent="0.3">
      <c r="A1494" s="1">
        <v>1493</v>
      </c>
      <c r="G1494" s="4"/>
      <c r="H1494" s="4"/>
      <c r="I1494" s="47"/>
      <c r="J1494" s="47" t="str">
        <f t="shared" si="36"/>
        <v/>
      </c>
      <c r="K1494" s="47"/>
      <c r="L1494" s="47"/>
      <c r="N1494" s="47"/>
      <c r="O1494" s="47"/>
      <c r="P1494" s="47"/>
    </row>
    <row r="1495" spans="1:16" x14ac:dyDescent="0.3">
      <c r="A1495" s="1">
        <v>1494</v>
      </c>
      <c r="G1495" s="4"/>
      <c r="H1495" s="4"/>
      <c r="I1495" s="47"/>
      <c r="J1495" s="47" t="str">
        <f t="shared" si="36"/>
        <v/>
      </c>
      <c r="K1495" s="47"/>
      <c r="L1495" s="47"/>
      <c r="N1495" s="47"/>
      <c r="O1495" s="47"/>
      <c r="P1495" s="47"/>
    </row>
    <row r="1496" spans="1:16" x14ac:dyDescent="0.3">
      <c r="A1496" s="1">
        <v>1495</v>
      </c>
      <c r="G1496" s="4"/>
      <c r="H1496" s="4"/>
      <c r="I1496" s="47"/>
      <c r="J1496" s="47" t="str">
        <f t="shared" si="36"/>
        <v/>
      </c>
      <c r="K1496" s="47"/>
      <c r="L1496" s="47"/>
      <c r="N1496" s="47"/>
      <c r="O1496" s="47"/>
      <c r="P1496" s="47"/>
    </row>
    <row r="1497" spans="1:16" x14ac:dyDescent="0.3">
      <c r="A1497" s="1">
        <v>1496</v>
      </c>
      <c r="G1497" s="4"/>
      <c r="H1497" s="4"/>
      <c r="I1497" s="47"/>
      <c r="J1497" s="47" t="str">
        <f t="shared" si="36"/>
        <v/>
      </c>
      <c r="K1497" s="47"/>
      <c r="L1497" s="47"/>
      <c r="N1497" s="47"/>
      <c r="O1497" s="47"/>
      <c r="P1497" s="47"/>
    </row>
    <row r="1498" spans="1:16" x14ac:dyDescent="0.3">
      <c r="A1498" s="1">
        <v>1497</v>
      </c>
      <c r="G1498" s="4"/>
      <c r="H1498" s="4"/>
      <c r="I1498" s="47"/>
      <c r="J1498" s="47" t="str">
        <f t="shared" si="36"/>
        <v/>
      </c>
      <c r="K1498" s="47"/>
      <c r="L1498" s="47"/>
      <c r="N1498" s="47"/>
      <c r="O1498" s="47"/>
      <c r="P1498" s="47"/>
    </row>
    <row r="1499" spans="1:16" x14ac:dyDescent="0.3">
      <c r="A1499" s="1">
        <v>1498</v>
      </c>
      <c r="G1499" s="4"/>
      <c r="H1499" s="4"/>
      <c r="I1499" s="47"/>
      <c r="J1499" s="47" t="str">
        <f t="shared" si="36"/>
        <v/>
      </c>
      <c r="K1499" s="47"/>
      <c r="L1499" s="47"/>
      <c r="N1499" s="47"/>
      <c r="O1499" s="47"/>
      <c r="P1499" s="47"/>
    </row>
    <row r="1500" spans="1:16" x14ac:dyDescent="0.3">
      <c r="A1500" s="1">
        <v>1499</v>
      </c>
      <c r="G1500" s="4"/>
      <c r="H1500" s="4"/>
      <c r="I1500" s="47"/>
      <c r="J1500" s="47" t="str">
        <f t="shared" si="36"/>
        <v/>
      </c>
      <c r="K1500" s="47"/>
      <c r="L1500" s="47"/>
      <c r="N1500" s="47"/>
      <c r="O1500" s="47"/>
      <c r="P1500" s="47"/>
    </row>
    <row r="1501" spans="1:16" x14ac:dyDescent="0.3">
      <c r="A1501" s="1">
        <v>1500</v>
      </c>
      <c r="G1501" s="4"/>
      <c r="H1501" s="4"/>
      <c r="I1501" s="47"/>
      <c r="J1501" s="47" t="str">
        <f t="shared" si="36"/>
        <v/>
      </c>
      <c r="K1501" s="47"/>
      <c r="L1501" s="47"/>
      <c r="N1501" s="47"/>
      <c r="O1501" s="47"/>
      <c r="P1501" s="47"/>
    </row>
    <row r="1502" spans="1:16" x14ac:dyDescent="0.3">
      <c r="A1502" s="1">
        <v>1501</v>
      </c>
      <c r="G1502" s="4"/>
      <c r="H1502" s="4"/>
      <c r="I1502" s="47"/>
      <c r="J1502" s="47" t="str">
        <f t="shared" si="36"/>
        <v/>
      </c>
      <c r="K1502" s="47"/>
      <c r="L1502" s="47"/>
      <c r="N1502" s="47"/>
      <c r="O1502" s="47"/>
      <c r="P1502" s="47"/>
    </row>
    <row r="1503" spans="1:16" x14ac:dyDescent="0.3">
      <c r="A1503" s="1">
        <v>1502</v>
      </c>
      <c r="G1503" s="4"/>
      <c r="H1503" s="4"/>
      <c r="I1503" s="47"/>
      <c r="J1503" s="47" t="str">
        <f t="shared" si="36"/>
        <v/>
      </c>
      <c r="K1503" s="47"/>
      <c r="L1503" s="47"/>
      <c r="N1503" s="47"/>
      <c r="O1503" s="47"/>
      <c r="P1503" s="47"/>
    </row>
    <row r="1504" spans="1:16" x14ac:dyDescent="0.3">
      <c r="A1504" s="1">
        <v>1503</v>
      </c>
      <c r="G1504" s="4"/>
      <c r="H1504" s="4"/>
      <c r="I1504" s="47"/>
      <c r="J1504" s="47" t="str">
        <f t="shared" si="36"/>
        <v/>
      </c>
      <c r="K1504" s="47"/>
      <c r="L1504" s="47"/>
      <c r="N1504" s="47"/>
      <c r="O1504" s="47"/>
      <c r="P1504" s="47"/>
    </row>
    <row r="1505" spans="1:16" x14ac:dyDescent="0.3">
      <c r="A1505" s="1">
        <v>1504</v>
      </c>
      <c r="G1505" s="4"/>
      <c r="H1505" s="4"/>
      <c r="I1505" s="47"/>
      <c r="J1505" s="47" t="str">
        <f t="shared" si="36"/>
        <v/>
      </c>
      <c r="K1505" s="47"/>
      <c r="L1505" s="47"/>
      <c r="N1505" s="47"/>
      <c r="O1505" s="47"/>
      <c r="P1505" s="47"/>
    </row>
    <row r="1506" spans="1:16" x14ac:dyDescent="0.3">
      <c r="A1506" s="1">
        <v>1505</v>
      </c>
      <c r="G1506" s="4"/>
      <c r="H1506" s="4"/>
      <c r="I1506" s="47"/>
      <c r="J1506" s="47" t="str">
        <f t="shared" si="36"/>
        <v/>
      </c>
      <c r="K1506" s="47"/>
      <c r="L1506" s="47"/>
      <c r="N1506" s="47"/>
      <c r="O1506" s="47"/>
      <c r="P1506" s="47"/>
    </row>
    <row r="1507" spans="1:16" x14ac:dyDescent="0.3">
      <c r="A1507" s="1">
        <v>1506</v>
      </c>
      <c r="G1507" s="4"/>
      <c r="H1507" s="4"/>
      <c r="I1507" s="47"/>
      <c r="J1507" s="47" t="str">
        <f t="shared" si="36"/>
        <v/>
      </c>
      <c r="K1507" s="47"/>
      <c r="L1507" s="47"/>
      <c r="N1507" s="47"/>
      <c r="O1507" s="47"/>
      <c r="P1507" s="47"/>
    </row>
    <row r="1508" spans="1:16" x14ac:dyDescent="0.3">
      <c r="A1508" s="1">
        <v>1507</v>
      </c>
      <c r="G1508" s="4"/>
      <c r="H1508" s="4"/>
      <c r="I1508" s="47"/>
      <c r="J1508" s="47" t="str">
        <f t="shared" si="36"/>
        <v/>
      </c>
      <c r="K1508" s="47"/>
      <c r="L1508" s="47"/>
      <c r="N1508" s="47"/>
      <c r="O1508" s="47"/>
      <c r="P1508" s="47"/>
    </row>
    <row r="1509" spans="1:16" x14ac:dyDescent="0.3">
      <c r="A1509" s="1">
        <v>1508</v>
      </c>
      <c r="G1509" s="4"/>
      <c r="H1509" s="4"/>
      <c r="I1509" s="47"/>
      <c r="J1509" s="47" t="str">
        <f t="shared" si="36"/>
        <v/>
      </c>
      <c r="K1509" s="47"/>
      <c r="L1509" s="47"/>
      <c r="N1509" s="47"/>
      <c r="O1509" s="47"/>
      <c r="P1509" s="47"/>
    </row>
    <row r="1510" spans="1:16" x14ac:dyDescent="0.3">
      <c r="A1510" s="1">
        <v>1509</v>
      </c>
      <c r="G1510" s="4"/>
      <c r="H1510" s="4"/>
      <c r="I1510" s="47"/>
      <c r="J1510" s="47" t="str">
        <f t="shared" si="36"/>
        <v/>
      </c>
      <c r="K1510" s="47"/>
      <c r="L1510" s="47"/>
      <c r="N1510" s="47"/>
      <c r="O1510" s="47"/>
      <c r="P1510" s="47"/>
    </row>
    <row r="1511" spans="1:16" x14ac:dyDescent="0.3">
      <c r="A1511" s="1">
        <v>1510</v>
      </c>
      <c r="G1511" s="4"/>
      <c r="H1511" s="4"/>
      <c r="I1511" s="47"/>
      <c r="J1511" s="47" t="str">
        <f t="shared" si="36"/>
        <v/>
      </c>
      <c r="K1511" s="47"/>
      <c r="L1511" s="47"/>
      <c r="N1511" s="47"/>
      <c r="O1511" s="47"/>
      <c r="P1511" s="47"/>
    </row>
    <row r="1512" spans="1:16" x14ac:dyDescent="0.3">
      <c r="A1512" s="1">
        <v>1511</v>
      </c>
      <c r="G1512" s="4"/>
      <c r="H1512" s="4"/>
      <c r="I1512" s="47"/>
      <c r="J1512" s="47" t="str">
        <f t="shared" si="36"/>
        <v/>
      </c>
      <c r="K1512" s="47"/>
      <c r="L1512" s="47"/>
      <c r="N1512" s="47"/>
      <c r="O1512" s="47"/>
      <c r="P1512" s="47"/>
    </row>
    <row r="1513" spans="1:16" x14ac:dyDescent="0.3">
      <c r="A1513" s="1">
        <v>1512</v>
      </c>
      <c r="G1513" s="4"/>
      <c r="H1513" s="4"/>
      <c r="I1513" s="47"/>
      <c r="J1513" s="47" t="str">
        <f t="shared" si="36"/>
        <v/>
      </c>
      <c r="K1513" s="47"/>
      <c r="L1513" s="47"/>
      <c r="N1513" s="47"/>
      <c r="O1513" s="47"/>
      <c r="P1513" s="47"/>
    </row>
    <row r="1514" spans="1:16" x14ac:dyDescent="0.3">
      <c r="A1514" s="1">
        <v>1513</v>
      </c>
      <c r="G1514" s="4"/>
      <c r="H1514" s="4"/>
      <c r="I1514" s="47"/>
      <c r="J1514" s="47" t="str">
        <f t="shared" si="36"/>
        <v/>
      </c>
      <c r="K1514" s="47"/>
      <c r="L1514" s="47"/>
      <c r="N1514" s="47"/>
      <c r="O1514" s="47"/>
      <c r="P1514" s="47"/>
    </row>
    <row r="1515" spans="1:16" x14ac:dyDescent="0.3">
      <c r="A1515" s="1">
        <v>1514</v>
      </c>
      <c r="G1515" s="4"/>
      <c r="H1515" s="4"/>
      <c r="I1515" s="47"/>
      <c r="J1515" s="47" t="str">
        <f t="shared" si="36"/>
        <v/>
      </c>
      <c r="K1515" s="47"/>
      <c r="L1515" s="47"/>
      <c r="N1515" s="47"/>
      <c r="O1515" s="47"/>
      <c r="P1515" s="47"/>
    </row>
    <row r="1516" spans="1:16" x14ac:dyDescent="0.3">
      <c r="A1516" s="1">
        <v>1515</v>
      </c>
      <c r="G1516" s="4"/>
      <c r="H1516" s="4"/>
      <c r="I1516" s="47"/>
      <c r="J1516" s="47" t="str">
        <f t="shared" si="36"/>
        <v/>
      </c>
      <c r="K1516" s="47"/>
      <c r="L1516" s="47"/>
      <c r="N1516" s="47"/>
      <c r="O1516" s="47"/>
      <c r="P1516" s="47"/>
    </row>
    <row r="1517" spans="1:16" x14ac:dyDescent="0.3">
      <c r="A1517" s="1">
        <v>1516</v>
      </c>
      <c r="G1517" s="4"/>
      <c r="H1517" s="4"/>
      <c r="I1517" s="47"/>
      <c r="J1517" s="47" t="str">
        <f t="shared" si="36"/>
        <v/>
      </c>
      <c r="K1517" s="47"/>
      <c r="L1517" s="47"/>
      <c r="N1517" s="47"/>
      <c r="O1517" s="47"/>
      <c r="P1517" s="47"/>
    </row>
    <row r="1518" spans="1:16" x14ac:dyDescent="0.3">
      <c r="A1518" s="1">
        <v>1517</v>
      </c>
      <c r="G1518" s="4"/>
      <c r="H1518" s="4"/>
      <c r="I1518" s="47"/>
      <c r="J1518" s="47" t="str">
        <f t="shared" si="36"/>
        <v/>
      </c>
      <c r="K1518" s="47"/>
      <c r="L1518" s="47"/>
      <c r="N1518" s="47"/>
      <c r="O1518" s="47"/>
      <c r="P1518" s="47"/>
    </row>
    <row r="1519" spans="1:16" x14ac:dyDescent="0.3">
      <c r="A1519" s="1">
        <v>1518</v>
      </c>
      <c r="G1519" s="4"/>
      <c r="H1519" s="4"/>
      <c r="I1519" s="47"/>
      <c r="J1519" s="47" t="str">
        <f t="shared" si="36"/>
        <v/>
      </c>
      <c r="K1519" s="47"/>
      <c r="L1519" s="47"/>
      <c r="N1519" s="47"/>
      <c r="O1519" s="47"/>
      <c r="P1519" s="47"/>
    </row>
    <row r="1520" spans="1:16" x14ac:dyDescent="0.3">
      <c r="A1520" s="1">
        <v>1519</v>
      </c>
      <c r="G1520" s="4"/>
      <c r="H1520" s="4"/>
      <c r="I1520" s="47"/>
      <c r="J1520" s="47" t="str">
        <f t="shared" si="36"/>
        <v/>
      </c>
      <c r="K1520" s="47"/>
      <c r="L1520" s="47"/>
      <c r="N1520" s="47"/>
      <c r="O1520" s="47"/>
      <c r="P1520" s="47"/>
    </row>
    <row r="1521" spans="1:16" x14ac:dyDescent="0.3">
      <c r="A1521" s="1">
        <v>1520</v>
      </c>
      <c r="G1521" s="4"/>
      <c r="H1521" s="4"/>
      <c r="I1521" s="47"/>
      <c r="J1521" s="47" t="str">
        <f t="shared" si="36"/>
        <v/>
      </c>
      <c r="K1521" s="47"/>
      <c r="L1521" s="47"/>
      <c r="N1521" s="47"/>
      <c r="O1521" s="47"/>
      <c r="P1521" s="47"/>
    </row>
    <row r="1522" spans="1:16" x14ac:dyDescent="0.3">
      <c r="A1522" s="1">
        <v>1521</v>
      </c>
      <c r="G1522" s="4"/>
      <c r="H1522" s="4"/>
      <c r="I1522" s="47"/>
      <c r="J1522" s="47" t="str">
        <f t="shared" si="36"/>
        <v/>
      </c>
      <c r="K1522" s="47"/>
      <c r="L1522" s="47"/>
      <c r="N1522" s="47"/>
      <c r="O1522" s="47"/>
      <c r="P1522" s="47"/>
    </row>
    <row r="1523" spans="1:16" x14ac:dyDescent="0.3">
      <c r="A1523" s="1">
        <v>1522</v>
      </c>
      <c r="G1523" s="4"/>
      <c r="H1523" s="4"/>
      <c r="I1523" s="47"/>
      <c r="J1523" s="47" t="str">
        <f t="shared" si="36"/>
        <v/>
      </c>
      <c r="K1523" s="47"/>
      <c r="L1523" s="47"/>
      <c r="N1523" s="47"/>
      <c r="O1523" s="47"/>
      <c r="P1523" s="47"/>
    </row>
    <row r="1524" spans="1:16" x14ac:dyDescent="0.3">
      <c r="A1524" s="1">
        <v>1523</v>
      </c>
      <c r="G1524" s="4"/>
      <c r="H1524" s="4"/>
      <c r="I1524" s="47"/>
      <c r="J1524" s="47" t="str">
        <f t="shared" si="36"/>
        <v/>
      </c>
      <c r="K1524" s="47"/>
      <c r="L1524" s="47"/>
      <c r="N1524" s="47"/>
      <c r="O1524" s="47"/>
      <c r="P1524" s="47"/>
    </row>
    <row r="1525" spans="1:16" x14ac:dyDescent="0.3">
      <c r="A1525" s="1">
        <v>1524</v>
      </c>
      <c r="G1525" s="4"/>
      <c r="H1525" s="4"/>
      <c r="I1525" s="47"/>
      <c r="J1525" s="47" t="str">
        <f t="shared" si="36"/>
        <v/>
      </c>
      <c r="K1525" s="47"/>
      <c r="L1525" s="47"/>
      <c r="N1525" s="47"/>
      <c r="O1525" s="47"/>
      <c r="P1525" s="47"/>
    </row>
    <row r="1526" spans="1:16" x14ac:dyDescent="0.3">
      <c r="A1526" s="1">
        <v>1525</v>
      </c>
      <c r="G1526" s="4"/>
      <c r="H1526" s="4"/>
      <c r="I1526" s="47"/>
      <c r="J1526" s="47" t="str">
        <f t="shared" si="36"/>
        <v/>
      </c>
      <c r="K1526" s="47"/>
      <c r="L1526" s="47"/>
      <c r="N1526" s="47"/>
      <c r="O1526" s="47"/>
      <c r="P1526" s="47"/>
    </row>
    <row r="1527" spans="1:16" x14ac:dyDescent="0.3">
      <c r="A1527" s="1">
        <v>1526</v>
      </c>
      <c r="G1527" s="4"/>
      <c r="H1527" s="4"/>
      <c r="I1527" s="47"/>
      <c r="J1527" s="47" t="str">
        <f t="shared" si="36"/>
        <v/>
      </c>
      <c r="K1527" s="47"/>
      <c r="L1527" s="47"/>
      <c r="N1527" s="47"/>
      <c r="O1527" s="47"/>
      <c r="P1527" s="47"/>
    </row>
    <row r="1528" spans="1:16" x14ac:dyDescent="0.3">
      <c r="A1528" s="1">
        <v>1527</v>
      </c>
      <c r="G1528" s="4"/>
      <c r="H1528" s="4"/>
      <c r="I1528" s="47"/>
      <c r="J1528" s="47" t="str">
        <f t="shared" si="36"/>
        <v/>
      </c>
      <c r="K1528" s="47"/>
      <c r="L1528" s="47"/>
      <c r="N1528" s="47"/>
      <c r="O1528" s="47"/>
      <c r="P1528" s="47"/>
    </row>
    <row r="1529" spans="1:16" x14ac:dyDescent="0.3">
      <c r="A1529" s="1">
        <v>1528</v>
      </c>
      <c r="G1529" s="4"/>
      <c r="H1529" s="4"/>
      <c r="I1529" s="47"/>
      <c r="J1529" s="47" t="str">
        <f t="shared" si="36"/>
        <v/>
      </c>
      <c r="K1529" s="47"/>
      <c r="L1529" s="47"/>
      <c r="N1529" s="47"/>
      <c r="O1529" s="47"/>
      <c r="P1529" s="47"/>
    </row>
    <row r="1530" spans="1:16" x14ac:dyDescent="0.3">
      <c r="A1530" s="1">
        <v>1529</v>
      </c>
      <c r="G1530" s="4"/>
      <c r="H1530" s="4"/>
      <c r="I1530" s="47"/>
      <c r="J1530" s="47" t="str">
        <f t="shared" si="36"/>
        <v/>
      </c>
      <c r="K1530" s="47"/>
      <c r="L1530" s="47"/>
      <c r="N1530" s="47"/>
      <c r="O1530" s="47"/>
      <c r="P1530" s="47"/>
    </row>
    <row r="1531" spans="1:16" x14ac:dyDescent="0.3">
      <c r="A1531" s="1">
        <v>1530</v>
      </c>
      <c r="G1531" s="4"/>
      <c r="H1531" s="4"/>
      <c r="I1531" s="47"/>
      <c r="J1531" s="47" t="str">
        <f t="shared" si="36"/>
        <v/>
      </c>
      <c r="K1531" s="47"/>
      <c r="L1531" s="47"/>
      <c r="N1531" s="47"/>
      <c r="O1531" s="47"/>
      <c r="P1531" s="47"/>
    </row>
    <row r="1532" spans="1:16" x14ac:dyDescent="0.3">
      <c r="A1532" s="1">
        <v>1531</v>
      </c>
      <c r="G1532" s="4"/>
      <c r="H1532" s="4"/>
      <c r="I1532" s="47"/>
      <c r="J1532" s="47" t="str">
        <f t="shared" si="36"/>
        <v/>
      </c>
      <c r="K1532" s="47"/>
      <c r="L1532" s="47"/>
      <c r="N1532" s="47"/>
      <c r="O1532" s="47"/>
      <c r="P1532" s="47"/>
    </row>
    <row r="1533" spans="1:16" x14ac:dyDescent="0.3">
      <c r="A1533" s="1">
        <v>1532</v>
      </c>
      <c r="G1533" s="4"/>
      <c r="H1533" s="4"/>
      <c r="I1533" s="47"/>
      <c r="J1533" s="47" t="str">
        <f t="shared" si="36"/>
        <v/>
      </c>
      <c r="K1533" s="47"/>
      <c r="L1533" s="47"/>
      <c r="N1533" s="47"/>
      <c r="O1533" s="47"/>
      <c r="P1533" s="47"/>
    </row>
    <row r="1534" spans="1:16" x14ac:dyDescent="0.3">
      <c r="A1534" s="1">
        <v>1533</v>
      </c>
      <c r="G1534" s="4"/>
      <c r="H1534" s="4"/>
      <c r="I1534" s="47"/>
      <c r="J1534" s="47" t="str">
        <f t="shared" si="36"/>
        <v/>
      </c>
      <c r="K1534" s="47"/>
      <c r="L1534" s="47"/>
      <c r="N1534" s="47"/>
      <c r="O1534" s="47"/>
      <c r="P1534" s="47"/>
    </row>
    <row r="1535" spans="1:16" x14ac:dyDescent="0.3">
      <c r="A1535" s="1">
        <v>1534</v>
      </c>
      <c r="G1535" s="4"/>
      <c r="H1535" s="4"/>
      <c r="I1535" s="47"/>
      <c r="J1535" s="47" t="str">
        <f t="shared" si="36"/>
        <v/>
      </c>
      <c r="K1535" s="47"/>
      <c r="L1535" s="47"/>
      <c r="N1535" s="47"/>
      <c r="O1535" s="47"/>
      <c r="P1535" s="47"/>
    </row>
    <row r="1536" spans="1:16" x14ac:dyDescent="0.3">
      <c r="A1536" s="1">
        <v>1535</v>
      </c>
      <c r="G1536" s="4"/>
      <c r="H1536" s="4"/>
      <c r="I1536" s="47"/>
      <c r="J1536" s="47" t="str">
        <f t="shared" si="36"/>
        <v/>
      </c>
      <c r="K1536" s="47"/>
      <c r="L1536" s="47"/>
      <c r="N1536" s="47"/>
      <c r="O1536" s="47"/>
      <c r="P1536" s="47"/>
    </row>
    <row r="1537" spans="1:16" x14ac:dyDescent="0.3">
      <c r="A1537" s="1">
        <v>1536</v>
      </c>
      <c r="G1537" s="4"/>
      <c r="H1537" s="4"/>
      <c r="I1537" s="47"/>
      <c r="J1537" s="47" t="str">
        <f t="shared" si="36"/>
        <v/>
      </c>
      <c r="K1537" s="47"/>
      <c r="L1537" s="47"/>
      <c r="N1537" s="47"/>
      <c r="O1537" s="47"/>
      <c r="P1537" s="47"/>
    </row>
    <row r="1538" spans="1:16" x14ac:dyDescent="0.3">
      <c r="A1538" s="1">
        <v>1537</v>
      </c>
      <c r="G1538" s="4"/>
      <c r="H1538" s="4"/>
      <c r="I1538" s="47"/>
      <c r="J1538" s="47" t="str">
        <f t="shared" si="36"/>
        <v/>
      </c>
      <c r="K1538" s="47"/>
      <c r="L1538" s="47"/>
      <c r="N1538" s="47"/>
      <c r="O1538" s="47"/>
      <c r="P1538" s="47"/>
    </row>
    <row r="1539" spans="1:16" x14ac:dyDescent="0.3">
      <c r="A1539" s="1">
        <v>1538</v>
      </c>
      <c r="G1539" s="4"/>
      <c r="H1539" s="4"/>
      <c r="I1539" s="47"/>
      <c r="J1539" s="47" t="str">
        <f t="shared" ref="J1539:J1602" si="37">+E1539&amp;I1539</f>
        <v/>
      </c>
      <c r="K1539" s="47"/>
      <c r="L1539" s="47"/>
      <c r="N1539" s="47"/>
      <c r="O1539" s="47"/>
      <c r="P1539" s="47"/>
    </row>
    <row r="1540" spans="1:16" x14ac:dyDescent="0.3">
      <c r="A1540" s="1">
        <v>1539</v>
      </c>
      <c r="G1540" s="4"/>
      <c r="H1540" s="4"/>
      <c r="I1540" s="47"/>
      <c r="J1540" s="47" t="str">
        <f t="shared" si="37"/>
        <v/>
      </c>
      <c r="K1540" s="47"/>
      <c r="L1540" s="47"/>
      <c r="N1540" s="47"/>
      <c r="O1540" s="47"/>
      <c r="P1540" s="47"/>
    </row>
    <row r="1541" spans="1:16" x14ac:dyDescent="0.3">
      <c r="A1541" s="1">
        <v>1540</v>
      </c>
      <c r="G1541" s="4"/>
      <c r="H1541" s="4"/>
      <c r="I1541" s="47"/>
      <c r="J1541" s="47" t="str">
        <f t="shared" si="37"/>
        <v/>
      </c>
      <c r="K1541" s="47"/>
      <c r="L1541" s="47"/>
      <c r="N1541" s="47"/>
      <c r="O1541" s="47"/>
      <c r="P1541" s="47"/>
    </row>
    <row r="1542" spans="1:16" x14ac:dyDescent="0.3">
      <c r="A1542" s="1">
        <v>1541</v>
      </c>
      <c r="G1542" s="4"/>
      <c r="H1542" s="4"/>
      <c r="I1542" s="47"/>
      <c r="J1542" s="47" t="str">
        <f t="shared" si="37"/>
        <v/>
      </c>
      <c r="K1542" s="47"/>
      <c r="L1542" s="47"/>
      <c r="N1542" s="47"/>
      <c r="O1542" s="47"/>
      <c r="P1542" s="47"/>
    </row>
    <row r="1543" spans="1:16" x14ac:dyDescent="0.3">
      <c r="A1543" s="1">
        <v>1542</v>
      </c>
      <c r="G1543" s="4"/>
      <c r="H1543" s="4"/>
      <c r="I1543" s="47"/>
      <c r="J1543" s="47" t="str">
        <f t="shared" si="37"/>
        <v/>
      </c>
      <c r="K1543" s="47"/>
      <c r="L1543" s="47"/>
      <c r="N1543" s="47"/>
      <c r="O1543" s="47"/>
      <c r="P1543" s="47"/>
    </row>
    <row r="1544" spans="1:16" x14ac:dyDescent="0.3">
      <c r="A1544" s="1">
        <v>1543</v>
      </c>
      <c r="G1544" s="4"/>
      <c r="H1544" s="4"/>
      <c r="I1544" s="47"/>
      <c r="J1544" s="47" t="str">
        <f t="shared" si="37"/>
        <v/>
      </c>
      <c r="K1544" s="47"/>
      <c r="L1544" s="47"/>
      <c r="N1544" s="47"/>
      <c r="O1544" s="47"/>
      <c r="P1544" s="47"/>
    </row>
    <row r="1545" spans="1:16" x14ac:dyDescent="0.3">
      <c r="A1545" s="1">
        <v>1544</v>
      </c>
      <c r="G1545" s="4"/>
      <c r="H1545" s="4"/>
      <c r="I1545" s="47"/>
      <c r="J1545" s="47" t="str">
        <f t="shared" si="37"/>
        <v/>
      </c>
      <c r="K1545" s="47"/>
      <c r="L1545" s="47"/>
      <c r="N1545" s="47"/>
      <c r="O1545" s="47"/>
      <c r="P1545" s="47"/>
    </row>
    <row r="1546" spans="1:16" x14ac:dyDescent="0.3">
      <c r="A1546" s="1">
        <v>1545</v>
      </c>
      <c r="G1546" s="4"/>
      <c r="H1546" s="4"/>
      <c r="I1546" s="47"/>
      <c r="J1546" s="47" t="str">
        <f t="shared" si="37"/>
        <v/>
      </c>
      <c r="K1546" s="47"/>
      <c r="L1546" s="47"/>
      <c r="N1546" s="47"/>
      <c r="O1546" s="47"/>
      <c r="P1546" s="47"/>
    </row>
    <row r="1547" spans="1:16" x14ac:dyDescent="0.3">
      <c r="A1547" s="1">
        <v>1546</v>
      </c>
      <c r="G1547" s="4"/>
      <c r="H1547" s="4"/>
      <c r="I1547" s="47"/>
      <c r="J1547" s="47" t="str">
        <f t="shared" si="37"/>
        <v/>
      </c>
      <c r="K1547" s="47"/>
      <c r="L1547" s="47"/>
      <c r="N1547" s="47"/>
      <c r="O1547" s="47"/>
      <c r="P1547" s="47"/>
    </row>
    <row r="1548" spans="1:16" x14ac:dyDescent="0.3">
      <c r="A1548" s="1">
        <v>1547</v>
      </c>
      <c r="G1548" s="4"/>
      <c r="H1548" s="4"/>
      <c r="I1548" s="47"/>
      <c r="J1548" s="47" t="str">
        <f t="shared" si="37"/>
        <v/>
      </c>
      <c r="K1548" s="47"/>
      <c r="L1548" s="47"/>
      <c r="N1548" s="47"/>
      <c r="O1548" s="47"/>
      <c r="P1548" s="47"/>
    </row>
    <row r="1549" spans="1:16" x14ac:dyDescent="0.3">
      <c r="A1549" s="1">
        <v>1548</v>
      </c>
      <c r="G1549" s="4"/>
      <c r="H1549" s="4"/>
      <c r="I1549" s="47"/>
      <c r="J1549" s="47" t="str">
        <f t="shared" si="37"/>
        <v/>
      </c>
      <c r="K1549" s="47"/>
      <c r="L1549" s="47"/>
      <c r="N1549" s="47"/>
      <c r="O1549" s="47"/>
      <c r="P1549" s="47"/>
    </row>
    <row r="1550" spans="1:16" x14ac:dyDescent="0.3">
      <c r="A1550" s="1">
        <v>1549</v>
      </c>
      <c r="G1550" s="4"/>
      <c r="H1550" s="4"/>
      <c r="I1550" s="47"/>
      <c r="J1550" s="47" t="str">
        <f t="shared" si="37"/>
        <v/>
      </c>
      <c r="K1550" s="47"/>
      <c r="L1550" s="47"/>
      <c r="N1550" s="47"/>
      <c r="O1550" s="47"/>
      <c r="P1550" s="47"/>
    </row>
    <row r="1551" spans="1:16" x14ac:dyDescent="0.3">
      <c r="A1551" s="1">
        <v>1550</v>
      </c>
      <c r="G1551" s="4"/>
      <c r="H1551" s="4"/>
      <c r="I1551" s="47"/>
      <c r="J1551" s="47" t="str">
        <f t="shared" si="37"/>
        <v/>
      </c>
      <c r="K1551" s="47"/>
      <c r="L1551" s="47"/>
      <c r="N1551" s="47"/>
      <c r="O1551" s="47"/>
      <c r="P1551" s="47"/>
    </row>
    <row r="1552" spans="1:16" x14ac:dyDescent="0.3">
      <c r="A1552" s="1">
        <v>1551</v>
      </c>
      <c r="G1552" s="4"/>
      <c r="H1552" s="4"/>
      <c r="I1552" s="47"/>
      <c r="J1552" s="47" t="str">
        <f t="shared" si="37"/>
        <v/>
      </c>
      <c r="K1552" s="47"/>
      <c r="L1552" s="47"/>
      <c r="N1552" s="47"/>
      <c r="O1552" s="47"/>
      <c r="P1552" s="47"/>
    </row>
    <row r="1553" spans="1:16" x14ac:dyDescent="0.3">
      <c r="A1553" s="1">
        <v>1552</v>
      </c>
      <c r="G1553" s="4"/>
      <c r="H1553" s="4"/>
      <c r="I1553" s="47"/>
      <c r="J1553" s="47" t="str">
        <f t="shared" si="37"/>
        <v/>
      </c>
      <c r="K1553" s="47"/>
      <c r="L1553" s="47"/>
      <c r="N1553" s="47"/>
      <c r="O1553" s="47"/>
      <c r="P1553" s="47"/>
    </row>
    <row r="1554" spans="1:16" x14ac:dyDescent="0.3">
      <c r="A1554" s="1">
        <v>1553</v>
      </c>
      <c r="G1554" s="4"/>
      <c r="H1554" s="4"/>
      <c r="I1554" s="47"/>
      <c r="J1554" s="47" t="str">
        <f t="shared" si="37"/>
        <v/>
      </c>
      <c r="K1554" s="47"/>
      <c r="L1554" s="47"/>
      <c r="N1554" s="47"/>
      <c r="O1554" s="47"/>
      <c r="P1554" s="47"/>
    </row>
    <row r="1555" spans="1:16" x14ac:dyDescent="0.3">
      <c r="A1555" s="1">
        <v>1554</v>
      </c>
      <c r="G1555" s="4"/>
      <c r="H1555" s="4"/>
      <c r="I1555" s="47"/>
      <c r="J1555" s="47" t="str">
        <f t="shared" si="37"/>
        <v/>
      </c>
      <c r="K1555" s="47"/>
      <c r="L1555" s="47"/>
      <c r="N1555" s="47"/>
      <c r="O1555" s="47"/>
      <c r="P1555" s="47"/>
    </row>
    <row r="1556" spans="1:16" x14ac:dyDescent="0.3">
      <c r="A1556" s="1">
        <v>1555</v>
      </c>
      <c r="G1556" s="4"/>
      <c r="H1556" s="4"/>
      <c r="I1556" s="47"/>
      <c r="J1556" s="47" t="str">
        <f t="shared" si="37"/>
        <v/>
      </c>
      <c r="K1556" s="47"/>
      <c r="L1556" s="47"/>
      <c r="N1556" s="47"/>
      <c r="O1556" s="47"/>
      <c r="P1556" s="47"/>
    </row>
    <row r="1557" spans="1:16" x14ac:dyDescent="0.3">
      <c r="A1557" s="1">
        <v>1556</v>
      </c>
      <c r="G1557" s="4"/>
      <c r="H1557" s="4"/>
      <c r="I1557" s="47"/>
      <c r="J1557" s="47" t="str">
        <f t="shared" si="37"/>
        <v/>
      </c>
      <c r="K1557" s="47"/>
      <c r="L1557" s="47"/>
      <c r="N1557" s="47"/>
      <c r="O1557" s="47"/>
      <c r="P1557" s="47"/>
    </row>
    <row r="1558" spans="1:16" x14ac:dyDescent="0.3">
      <c r="A1558" s="1">
        <v>1557</v>
      </c>
      <c r="G1558" s="4"/>
      <c r="H1558" s="4"/>
      <c r="I1558" s="47"/>
      <c r="J1558" s="47" t="str">
        <f t="shared" si="37"/>
        <v/>
      </c>
      <c r="K1558" s="47"/>
      <c r="L1558" s="47"/>
      <c r="N1558" s="47"/>
      <c r="O1558" s="47"/>
      <c r="P1558" s="47"/>
    </row>
    <row r="1559" spans="1:16" x14ac:dyDescent="0.3">
      <c r="A1559" s="1">
        <v>1558</v>
      </c>
      <c r="G1559" s="4"/>
      <c r="H1559" s="4"/>
      <c r="I1559" s="47"/>
      <c r="J1559" s="47" t="str">
        <f t="shared" si="37"/>
        <v/>
      </c>
      <c r="K1559" s="47"/>
      <c r="L1559" s="47"/>
      <c r="N1559" s="47"/>
      <c r="O1559" s="47"/>
      <c r="P1559" s="47"/>
    </row>
    <row r="1560" spans="1:16" x14ac:dyDescent="0.3">
      <c r="A1560" s="1">
        <v>1559</v>
      </c>
      <c r="G1560" s="4"/>
      <c r="H1560" s="4"/>
      <c r="I1560" s="47"/>
      <c r="J1560" s="47" t="str">
        <f t="shared" si="37"/>
        <v/>
      </c>
      <c r="K1560" s="47"/>
      <c r="L1560" s="47"/>
      <c r="N1560" s="47"/>
      <c r="O1560" s="47"/>
      <c r="P1560" s="47"/>
    </row>
    <row r="1561" spans="1:16" x14ac:dyDescent="0.3">
      <c r="A1561" s="1">
        <v>1560</v>
      </c>
      <c r="G1561" s="4"/>
      <c r="H1561" s="4"/>
      <c r="I1561" s="47"/>
      <c r="J1561" s="47" t="str">
        <f t="shared" si="37"/>
        <v/>
      </c>
      <c r="K1561" s="47"/>
      <c r="L1561" s="47"/>
      <c r="N1561" s="47"/>
      <c r="O1561" s="47"/>
      <c r="P1561" s="47"/>
    </row>
    <row r="1562" spans="1:16" x14ac:dyDescent="0.3">
      <c r="A1562" s="1">
        <v>1561</v>
      </c>
      <c r="G1562" s="4"/>
      <c r="H1562" s="4"/>
      <c r="I1562" s="47"/>
      <c r="J1562" s="47" t="str">
        <f t="shared" si="37"/>
        <v/>
      </c>
      <c r="K1562" s="47"/>
      <c r="L1562" s="47"/>
      <c r="N1562" s="47"/>
      <c r="O1562" s="47"/>
      <c r="P1562" s="47"/>
    </row>
    <row r="1563" spans="1:16" x14ac:dyDescent="0.3">
      <c r="A1563" s="1">
        <v>1562</v>
      </c>
      <c r="G1563" s="4"/>
      <c r="H1563" s="4"/>
      <c r="I1563" s="47"/>
      <c r="J1563" s="47" t="str">
        <f t="shared" si="37"/>
        <v/>
      </c>
      <c r="K1563" s="47"/>
      <c r="L1563" s="47"/>
      <c r="N1563" s="47"/>
      <c r="O1563" s="47"/>
      <c r="P1563" s="47"/>
    </row>
    <row r="1564" spans="1:16" x14ac:dyDescent="0.3">
      <c r="A1564" s="1">
        <v>1563</v>
      </c>
      <c r="G1564" s="4"/>
      <c r="H1564" s="4"/>
      <c r="I1564" s="47"/>
      <c r="J1564" s="47" t="str">
        <f t="shared" si="37"/>
        <v/>
      </c>
      <c r="K1564" s="47"/>
      <c r="L1564" s="47"/>
      <c r="N1564" s="47"/>
      <c r="O1564" s="47"/>
      <c r="P1564" s="47"/>
    </row>
    <row r="1565" spans="1:16" x14ac:dyDescent="0.3">
      <c r="A1565" s="1">
        <v>1564</v>
      </c>
      <c r="G1565" s="4"/>
      <c r="H1565" s="4"/>
      <c r="I1565" s="47"/>
      <c r="J1565" s="47" t="str">
        <f t="shared" si="37"/>
        <v/>
      </c>
      <c r="K1565" s="47"/>
      <c r="L1565" s="47"/>
      <c r="N1565" s="47"/>
      <c r="O1565" s="47"/>
      <c r="P1565" s="47"/>
    </row>
    <row r="1566" spans="1:16" x14ac:dyDescent="0.3">
      <c r="A1566" s="1">
        <v>1565</v>
      </c>
      <c r="G1566" s="4"/>
      <c r="H1566" s="4"/>
      <c r="I1566" s="47"/>
      <c r="J1566" s="47" t="str">
        <f t="shared" si="37"/>
        <v/>
      </c>
      <c r="K1566" s="47"/>
      <c r="L1566" s="47"/>
      <c r="N1566" s="47"/>
      <c r="O1566" s="47"/>
      <c r="P1566" s="47"/>
    </row>
    <row r="1567" spans="1:16" x14ac:dyDescent="0.3">
      <c r="A1567" s="1">
        <v>1566</v>
      </c>
      <c r="G1567" s="4"/>
      <c r="H1567" s="4"/>
      <c r="I1567" s="47"/>
      <c r="J1567" s="47" t="str">
        <f t="shared" si="37"/>
        <v/>
      </c>
      <c r="K1567" s="47"/>
      <c r="L1567" s="47"/>
      <c r="N1567" s="47"/>
      <c r="O1567" s="47"/>
      <c r="P1567" s="47"/>
    </row>
    <row r="1568" spans="1:16" x14ac:dyDescent="0.3">
      <c r="A1568" s="1">
        <v>1567</v>
      </c>
      <c r="G1568" s="4"/>
      <c r="H1568" s="4"/>
      <c r="I1568" s="47"/>
      <c r="J1568" s="47" t="str">
        <f t="shared" si="37"/>
        <v/>
      </c>
      <c r="K1568" s="47"/>
      <c r="L1568" s="47"/>
      <c r="N1568" s="47"/>
      <c r="O1568" s="47"/>
      <c r="P1568" s="47"/>
    </row>
    <row r="1569" spans="1:16" x14ac:dyDescent="0.3">
      <c r="A1569" s="1">
        <v>1568</v>
      </c>
      <c r="G1569" s="4"/>
      <c r="H1569" s="4"/>
      <c r="I1569" s="47"/>
      <c r="J1569" s="47" t="str">
        <f t="shared" si="37"/>
        <v/>
      </c>
      <c r="K1569" s="47"/>
      <c r="L1569" s="47"/>
      <c r="N1569" s="47"/>
      <c r="O1569" s="47"/>
      <c r="P1569" s="47"/>
    </row>
    <row r="1570" spans="1:16" x14ac:dyDescent="0.3">
      <c r="A1570" s="1">
        <v>1569</v>
      </c>
      <c r="G1570" s="4"/>
      <c r="H1570" s="4"/>
      <c r="I1570" s="47"/>
      <c r="J1570" s="47" t="str">
        <f t="shared" si="37"/>
        <v/>
      </c>
      <c r="K1570" s="47"/>
      <c r="L1570" s="47"/>
      <c r="N1570" s="47"/>
      <c r="O1570" s="47"/>
      <c r="P1570" s="47"/>
    </row>
    <row r="1571" spans="1:16" x14ac:dyDescent="0.3">
      <c r="A1571" s="1">
        <v>1570</v>
      </c>
      <c r="G1571" s="4"/>
      <c r="H1571" s="4"/>
      <c r="I1571" s="47"/>
      <c r="J1571" s="47" t="str">
        <f t="shared" si="37"/>
        <v/>
      </c>
      <c r="K1571" s="47"/>
      <c r="L1571" s="47"/>
      <c r="N1571" s="47"/>
      <c r="O1571" s="47"/>
      <c r="P1571" s="47"/>
    </row>
    <row r="1572" spans="1:16" x14ac:dyDescent="0.3">
      <c r="A1572" s="1">
        <v>1571</v>
      </c>
      <c r="G1572" s="4"/>
      <c r="H1572" s="4"/>
      <c r="I1572" s="47"/>
      <c r="J1572" s="47" t="str">
        <f t="shared" si="37"/>
        <v/>
      </c>
      <c r="K1572" s="47"/>
      <c r="L1572" s="47"/>
      <c r="N1572" s="47"/>
      <c r="O1572" s="47"/>
      <c r="P1572" s="47"/>
    </row>
    <row r="1573" spans="1:16" x14ac:dyDescent="0.3">
      <c r="A1573" s="1">
        <v>1572</v>
      </c>
      <c r="G1573" s="4"/>
      <c r="H1573" s="4"/>
      <c r="I1573" s="47"/>
      <c r="J1573" s="47" t="str">
        <f t="shared" si="37"/>
        <v/>
      </c>
      <c r="K1573" s="47"/>
      <c r="L1573" s="47"/>
      <c r="N1573" s="47"/>
      <c r="O1573" s="47"/>
      <c r="P1573" s="47"/>
    </row>
    <row r="1574" spans="1:16" x14ac:dyDescent="0.3">
      <c r="A1574" s="1">
        <v>1573</v>
      </c>
      <c r="G1574" s="4"/>
      <c r="H1574" s="4"/>
      <c r="I1574" s="47"/>
      <c r="J1574" s="47" t="str">
        <f t="shared" si="37"/>
        <v/>
      </c>
      <c r="K1574" s="47"/>
      <c r="L1574" s="47"/>
      <c r="N1574" s="47"/>
      <c r="O1574" s="47"/>
      <c r="P1574" s="47"/>
    </row>
    <row r="1575" spans="1:16" x14ac:dyDescent="0.3">
      <c r="A1575" s="1">
        <v>1574</v>
      </c>
      <c r="G1575" s="4"/>
      <c r="H1575" s="4"/>
      <c r="I1575" s="47"/>
      <c r="J1575" s="47" t="str">
        <f t="shared" si="37"/>
        <v/>
      </c>
      <c r="K1575" s="47"/>
      <c r="L1575" s="47"/>
      <c r="N1575" s="47"/>
      <c r="O1575" s="47"/>
      <c r="P1575" s="47"/>
    </row>
    <row r="1576" spans="1:16" x14ac:dyDescent="0.3">
      <c r="A1576" s="1">
        <v>1575</v>
      </c>
      <c r="G1576" s="4"/>
      <c r="H1576" s="4"/>
      <c r="I1576" s="47"/>
      <c r="J1576" s="47" t="str">
        <f t="shared" si="37"/>
        <v/>
      </c>
      <c r="K1576" s="47"/>
      <c r="L1576" s="47"/>
      <c r="N1576" s="47"/>
      <c r="O1576" s="47"/>
      <c r="P1576" s="47"/>
    </row>
    <row r="1577" spans="1:16" x14ac:dyDescent="0.3">
      <c r="A1577" s="1">
        <v>1576</v>
      </c>
      <c r="G1577" s="4"/>
      <c r="H1577" s="4"/>
      <c r="I1577" s="47"/>
      <c r="J1577" s="47" t="str">
        <f t="shared" si="37"/>
        <v/>
      </c>
      <c r="K1577" s="47"/>
      <c r="L1577" s="47"/>
      <c r="N1577" s="47"/>
      <c r="O1577" s="47"/>
      <c r="P1577" s="47"/>
    </row>
    <row r="1578" spans="1:16" x14ac:dyDescent="0.3">
      <c r="A1578" s="1">
        <v>1577</v>
      </c>
      <c r="G1578" s="4"/>
      <c r="H1578" s="4"/>
      <c r="I1578" s="47"/>
      <c r="J1578" s="47" t="str">
        <f t="shared" si="37"/>
        <v/>
      </c>
      <c r="K1578" s="47"/>
      <c r="L1578" s="47"/>
      <c r="N1578" s="47"/>
      <c r="O1578" s="47"/>
      <c r="P1578" s="47"/>
    </row>
    <row r="1579" spans="1:16" x14ac:dyDescent="0.3">
      <c r="A1579" s="1">
        <v>1578</v>
      </c>
      <c r="G1579" s="4"/>
      <c r="H1579" s="4"/>
      <c r="I1579" s="47"/>
      <c r="J1579" s="47" t="str">
        <f t="shared" si="37"/>
        <v/>
      </c>
      <c r="K1579" s="47"/>
      <c r="L1579" s="47"/>
      <c r="N1579" s="47"/>
      <c r="O1579" s="47"/>
      <c r="P1579" s="47"/>
    </row>
    <row r="1580" spans="1:16" x14ac:dyDescent="0.3">
      <c r="A1580" s="1">
        <v>1579</v>
      </c>
      <c r="G1580" s="4"/>
      <c r="H1580" s="4"/>
      <c r="I1580" s="47"/>
      <c r="J1580" s="47" t="str">
        <f t="shared" si="37"/>
        <v/>
      </c>
      <c r="K1580" s="47"/>
      <c r="L1580" s="47"/>
      <c r="N1580" s="47"/>
      <c r="O1580" s="47"/>
      <c r="P1580" s="47"/>
    </row>
    <row r="1581" spans="1:16" x14ac:dyDescent="0.3">
      <c r="A1581" s="1">
        <v>1580</v>
      </c>
      <c r="G1581" s="4"/>
      <c r="H1581" s="4"/>
      <c r="I1581" s="47"/>
      <c r="J1581" s="47" t="str">
        <f t="shared" si="37"/>
        <v/>
      </c>
      <c r="K1581" s="47"/>
      <c r="L1581" s="47"/>
      <c r="N1581" s="47"/>
      <c r="O1581" s="47"/>
      <c r="P1581" s="47"/>
    </row>
    <row r="1582" spans="1:16" x14ac:dyDescent="0.3">
      <c r="A1582" s="1">
        <v>1581</v>
      </c>
      <c r="G1582" s="4"/>
      <c r="H1582" s="4"/>
      <c r="I1582" s="47"/>
      <c r="J1582" s="47" t="str">
        <f t="shared" si="37"/>
        <v/>
      </c>
      <c r="K1582" s="47"/>
      <c r="L1582" s="47"/>
      <c r="N1582" s="47"/>
      <c r="O1582" s="47"/>
      <c r="P1582" s="47"/>
    </row>
    <row r="1583" spans="1:16" x14ac:dyDescent="0.3">
      <c r="A1583" s="1">
        <v>1582</v>
      </c>
      <c r="G1583" s="4"/>
      <c r="H1583" s="4"/>
      <c r="I1583" s="47"/>
      <c r="J1583" s="47" t="str">
        <f t="shared" si="37"/>
        <v/>
      </c>
      <c r="K1583" s="47"/>
      <c r="L1583" s="47"/>
      <c r="N1583" s="47"/>
      <c r="O1583" s="47"/>
      <c r="P1583" s="47"/>
    </row>
    <row r="1584" spans="1:16" x14ac:dyDescent="0.3">
      <c r="A1584" s="1">
        <v>1583</v>
      </c>
      <c r="G1584" s="4"/>
      <c r="H1584" s="4"/>
      <c r="I1584" s="47"/>
      <c r="J1584" s="47" t="str">
        <f t="shared" si="37"/>
        <v/>
      </c>
      <c r="K1584" s="47"/>
      <c r="L1584" s="47"/>
      <c r="N1584" s="47"/>
      <c r="O1584" s="47"/>
      <c r="P1584" s="47"/>
    </row>
    <row r="1585" spans="1:16" x14ac:dyDescent="0.3">
      <c r="A1585" s="1">
        <v>1584</v>
      </c>
      <c r="G1585" s="4"/>
      <c r="H1585" s="4"/>
      <c r="I1585" s="47"/>
      <c r="J1585" s="47" t="str">
        <f t="shared" si="37"/>
        <v/>
      </c>
      <c r="K1585" s="47"/>
      <c r="L1585" s="47"/>
      <c r="N1585" s="47"/>
      <c r="O1585" s="47"/>
      <c r="P1585" s="47"/>
    </row>
    <row r="1586" spans="1:16" x14ac:dyDescent="0.3">
      <c r="A1586" s="1">
        <v>1585</v>
      </c>
      <c r="G1586" s="4"/>
      <c r="H1586" s="4"/>
      <c r="I1586" s="47"/>
      <c r="J1586" s="47" t="str">
        <f t="shared" si="37"/>
        <v/>
      </c>
      <c r="K1586" s="47"/>
      <c r="L1586" s="47"/>
      <c r="N1586" s="47"/>
      <c r="O1586" s="47"/>
      <c r="P1586" s="47"/>
    </row>
    <row r="1587" spans="1:16" x14ac:dyDescent="0.3">
      <c r="A1587" s="1">
        <v>1586</v>
      </c>
      <c r="G1587" s="4"/>
      <c r="H1587" s="4"/>
      <c r="I1587" s="47"/>
      <c r="J1587" s="47" t="str">
        <f t="shared" si="37"/>
        <v/>
      </c>
      <c r="K1587" s="47"/>
      <c r="L1587" s="47"/>
      <c r="N1587" s="47"/>
      <c r="O1587" s="47"/>
      <c r="P1587" s="47"/>
    </row>
    <row r="1588" spans="1:16" x14ac:dyDescent="0.3">
      <c r="A1588" s="1">
        <v>1587</v>
      </c>
      <c r="G1588" s="4"/>
      <c r="H1588" s="4"/>
      <c r="I1588" s="47"/>
      <c r="J1588" s="47" t="str">
        <f t="shared" si="37"/>
        <v/>
      </c>
      <c r="K1588" s="47"/>
      <c r="L1588" s="47"/>
      <c r="N1588" s="47"/>
      <c r="O1588" s="47"/>
      <c r="P1588" s="47"/>
    </row>
    <row r="1589" spans="1:16" x14ac:dyDescent="0.3">
      <c r="A1589" s="1">
        <v>1588</v>
      </c>
      <c r="G1589" s="4"/>
      <c r="H1589" s="4"/>
      <c r="I1589" s="47"/>
      <c r="J1589" s="47" t="str">
        <f t="shared" si="37"/>
        <v/>
      </c>
      <c r="K1589" s="47"/>
      <c r="L1589" s="47"/>
      <c r="N1589" s="47"/>
      <c r="O1589" s="47"/>
      <c r="P1589" s="47"/>
    </row>
    <row r="1590" spans="1:16" x14ac:dyDescent="0.3">
      <c r="A1590" s="1">
        <v>1589</v>
      </c>
      <c r="G1590" s="4"/>
      <c r="H1590" s="4"/>
      <c r="I1590" s="47"/>
      <c r="J1590" s="47" t="str">
        <f t="shared" si="37"/>
        <v/>
      </c>
      <c r="K1590" s="47"/>
      <c r="L1590" s="47"/>
      <c r="N1590" s="47"/>
      <c r="O1590" s="47"/>
      <c r="P1590" s="47"/>
    </row>
    <row r="1591" spans="1:16" x14ac:dyDescent="0.3">
      <c r="A1591" s="1">
        <v>1590</v>
      </c>
      <c r="G1591" s="4"/>
      <c r="H1591" s="4"/>
      <c r="I1591" s="47"/>
      <c r="J1591" s="47" t="str">
        <f t="shared" si="37"/>
        <v/>
      </c>
      <c r="K1591" s="47"/>
      <c r="L1591" s="47"/>
      <c r="N1591" s="47"/>
      <c r="O1591" s="47"/>
      <c r="P1591" s="47"/>
    </row>
    <row r="1592" spans="1:16" x14ac:dyDescent="0.3">
      <c r="A1592" s="1">
        <v>1591</v>
      </c>
      <c r="G1592" s="4"/>
      <c r="H1592" s="4"/>
      <c r="I1592" s="47"/>
      <c r="J1592" s="47" t="str">
        <f t="shared" si="37"/>
        <v/>
      </c>
      <c r="K1592" s="47"/>
      <c r="L1592" s="47"/>
      <c r="N1592" s="47"/>
      <c r="O1592" s="47"/>
      <c r="P1592" s="47"/>
    </row>
    <row r="1593" spans="1:16" x14ac:dyDescent="0.3">
      <c r="A1593" s="1">
        <v>1592</v>
      </c>
      <c r="G1593" s="4"/>
      <c r="H1593" s="4"/>
      <c r="I1593" s="47"/>
      <c r="J1593" s="47" t="str">
        <f t="shared" si="37"/>
        <v/>
      </c>
      <c r="K1593" s="47"/>
      <c r="L1593" s="47"/>
      <c r="N1593" s="47"/>
      <c r="O1593" s="47"/>
      <c r="P1593" s="47"/>
    </row>
    <row r="1594" spans="1:16" x14ac:dyDescent="0.3">
      <c r="A1594" s="1">
        <v>1593</v>
      </c>
      <c r="G1594" s="4"/>
      <c r="H1594" s="4"/>
      <c r="I1594" s="47"/>
      <c r="J1594" s="47" t="str">
        <f t="shared" si="37"/>
        <v/>
      </c>
      <c r="K1594" s="47"/>
      <c r="L1594" s="47"/>
      <c r="N1594" s="47"/>
      <c r="O1594" s="47"/>
      <c r="P1594" s="47"/>
    </row>
    <row r="1595" spans="1:16" x14ac:dyDescent="0.3">
      <c r="A1595" s="1">
        <v>1594</v>
      </c>
      <c r="G1595" s="4"/>
      <c r="H1595" s="4"/>
      <c r="I1595" s="47"/>
      <c r="J1595" s="47" t="str">
        <f t="shared" si="37"/>
        <v/>
      </c>
      <c r="K1595" s="47"/>
      <c r="L1595" s="47"/>
      <c r="N1595" s="47"/>
      <c r="O1595" s="47"/>
      <c r="P1595" s="47"/>
    </row>
    <row r="1596" spans="1:16" x14ac:dyDescent="0.3">
      <c r="A1596" s="1">
        <v>1595</v>
      </c>
      <c r="G1596" s="4"/>
      <c r="H1596" s="4"/>
      <c r="I1596" s="47"/>
      <c r="J1596" s="47" t="str">
        <f t="shared" si="37"/>
        <v/>
      </c>
      <c r="K1596" s="47"/>
      <c r="L1596" s="47"/>
      <c r="N1596" s="47"/>
      <c r="O1596" s="47"/>
      <c r="P1596" s="47"/>
    </row>
    <row r="1597" spans="1:16" x14ac:dyDescent="0.3">
      <c r="A1597" s="1">
        <v>1596</v>
      </c>
      <c r="G1597" s="4"/>
      <c r="H1597" s="4"/>
      <c r="I1597" s="47"/>
      <c r="J1597" s="47" t="str">
        <f t="shared" si="37"/>
        <v/>
      </c>
      <c r="K1597" s="47"/>
      <c r="L1597" s="47"/>
      <c r="N1597" s="47"/>
      <c r="O1597" s="47"/>
      <c r="P1597" s="47"/>
    </row>
    <row r="1598" spans="1:16" x14ac:dyDescent="0.3">
      <c r="A1598" s="1">
        <v>1597</v>
      </c>
      <c r="G1598" s="4"/>
      <c r="H1598" s="4"/>
      <c r="I1598" s="47"/>
      <c r="J1598" s="47" t="str">
        <f t="shared" si="37"/>
        <v/>
      </c>
      <c r="K1598" s="47"/>
      <c r="L1598" s="47"/>
      <c r="N1598" s="47"/>
      <c r="O1598" s="47"/>
      <c r="P1598" s="47"/>
    </row>
    <row r="1599" spans="1:16" x14ac:dyDescent="0.3">
      <c r="A1599" s="1">
        <v>1598</v>
      </c>
      <c r="G1599" s="4"/>
      <c r="H1599" s="4"/>
      <c r="I1599" s="47"/>
      <c r="J1599" s="47" t="str">
        <f t="shared" si="37"/>
        <v/>
      </c>
      <c r="K1599" s="47"/>
      <c r="L1599" s="47"/>
      <c r="N1599" s="47"/>
      <c r="O1599" s="47"/>
      <c r="P1599" s="47"/>
    </row>
    <row r="1600" spans="1:16" x14ac:dyDescent="0.3">
      <c r="A1600" s="1">
        <v>1599</v>
      </c>
      <c r="G1600" s="4"/>
      <c r="H1600" s="4"/>
      <c r="I1600" s="47"/>
      <c r="J1600" s="47" t="str">
        <f t="shared" si="37"/>
        <v/>
      </c>
      <c r="K1600" s="47"/>
      <c r="L1600" s="47"/>
      <c r="N1600" s="47"/>
      <c r="O1600" s="47"/>
      <c r="P1600" s="47"/>
    </row>
    <row r="1601" spans="1:16" x14ac:dyDescent="0.3">
      <c r="A1601" s="1">
        <v>1600</v>
      </c>
      <c r="G1601" s="4"/>
      <c r="H1601" s="4"/>
      <c r="I1601" s="47"/>
      <c r="J1601" s="47" t="str">
        <f t="shared" si="37"/>
        <v/>
      </c>
      <c r="K1601" s="47"/>
      <c r="L1601" s="47"/>
      <c r="N1601" s="47"/>
      <c r="O1601" s="47"/>
      <c r="P1601" s="47"/>
    </row>
    <row r="1602" spans="1:16" x14ac:dyDescent="0.3">
      <c r="A1602" s="1">
        <v>1601</v>
      </c>
      <c r="G1602" s="4"/>
      <c r="H1602" s="4"/>
      <c r="I1602" s="47"/>
      <c r="J1602" s="47" t="str">
        <f t="shared" si="37"/>
        <v/>
      </c>
      <c r="K1602" s="47"/>
      <c r="L1602" s="47"/>
      <c r="N1602" s="47"/>
      <c r="O1602" s="47"/>
      <c r="P1602" s="47"/>
    </row>
    <row r="1603" spans="1:16" x14ac:dyDescent="0.3">
      <c r="A1603" s="1">
        <v>1602</v>
      </c>
      <c r="G1603" s="4"/>
      <c r="H1603" s="4"/>
      <c r="I1603" s="47"/>
      <c r="J1603" s="47" t="str">
        <f t="shared" ref="J1603:J1666" si="38">+E1603&amp;I1603</f>
        <v/>
      </c>
      <c r="K1603" s="47"/>
      <c r="L1603" s="47"/>
      <c r="N1603" s="47"/>
      <c r="O1603" s="47"/>
      <c r="P1603" s="47"/>
    </row>
    <row r="1604" spans="1:16" x14ac:dyDescent="0.3">
      <c r="A1604" s="1">
        <v>1603</v>
      </c>
      <c r="G1604" s="4"/>
      <c r="H1604" s="4"/>
      <c r="I1604" s="47"/>
      <c r="J1604" s="47" t="str">
        <f t="shared" si="38"/>
        <v/>
      </c>
      <c r="K1604" s="47"/>
      <c r="L1604" s="47"/>
      <c r="N1604" s="47"/>
      <c r="O1604" s="47"/>
      <c r="P1604" s="47"/>
    </row>
    <row r="1605" spans="1:16" x14ac:dyDescent="0.3">
      <c r="A1605" s="1">
        <v>1604</v>
      </c>
      <c r="G1605" s="4"/>
      <c r="H1605" s="4"/>
      <c r="I1605" s="47"/>
      <c r="J1605" s="47" t="str">
        <f t="shared" si="38"/>
        <v/>
      </c>
      <c r="K1605" s="47"/>
      <c r="L1605" s="47"/>
      <c r="N1605" s="47"/>
      <c r="O1605" s="47"/>
      <c r="P1605" s="47"/>
    </row>
    <row r="1606" spans="1:16" x14ac:dyDescent="0.3">
      <c r="A1606" s="1">
        <v>1605</v>
      </c>
      <c r="G1606" s="4"/>
      <c r="H1606" s="4"/>
      <c r="I1606" s="47"/>
      <c r="J1606" s="47" t="str">
        <f t="shared" si="38"/>
        <v/>
      </c>
      <c r="K1606" s="47"/>
      <c r="L1606" s="47"/>
      <c r="N1606" s="47"/>
      <c r="O1606" s="47"/>
      <c r="P1606" s="47"/>
    </row>
    <row r="1607" spans="1:16" x14ac:dyDescent="0.3">
      <c r="A1607" s="1">
        <v>1606</v>
      </c>
      <c r="G1607" s="4"/>
      <c r="H1607" s="4"/>
      <c r="I1607" s="47"/>
      <c r="J1607" s="47" t="str">
        <f t="shared" si="38"/>
        <v/>
      </c>
      <c r="K1607" s="47"/>
      <c r="L1607" s="47"/>
      <c r="N1607" s="47"/>
      <c r="O1607" s="47"/>
      <c r="P1607" s="47"/>
    </row>
    <row r="1608" spans="1:16" x14ac:dyDescent="0.3">
      <c r="A1608" s="1">
        <v>1607</v>
      </c>
      <c r="G1608" s="4"/>
      <c r="H1608" s="4"/>
      <c r="I1608" s="47"/>
      <c r="J1608" s="47" t="str">
        <f t="shared" si="38"/>
        <v/>
      </c>
      <c r="K1608" s="47"/>
      <c r="L1608" s="47"/>
      <c r="N1608" s="47"/>
      <c r="O1608" s="47"/>
      <c r="P1608" s="47"/>
    </row>
    <row r="1609" spans="1:16" x14ac:dyDescent="0.3">
      <c r="A1609" s="1">
        <v>1608</v>
      </c>
      <c r="G1609" s="4"/>
      <c r="H1609" s="4"/>
      <c r="I1609" s="47"/>
      <c r="J1609" s="47" t="str">
        <f t="shared" si="38"/>
        <v/>
      </c>
      <c r="K1609" s="47"/>
      <c r="L1609" s="47"/>
      <c r="N1609" s="47"/>
      <c r="O1609" s="47"/>
      <c r="P1609" s="47"/>
    </row>
    <row r="1610" spans="1:16" x14ac:dyDescent="0.3">
      <c r="A1610" s="1">
        <v>1609</v>
      </c>
      <c r="G1610" s="4"/>
      <c r="H1610" s="4"/>
      <c r="I1610" s="47"/>
      <c r="J1610" s="47" t="str">
        <f t="shared" si="38"/>
        <v/>
      </c>
      <c r="K1610" s="47"/>
      <c r="L1610" s="47"/>
      <c r="N1610" s="47"/>
      <c r="O1610" s="47"/>
      <c r="P1610" s="47"/>
    </row>
    <row r="1611" spans="1:16" x14ac:dyDescent="0.3">
      <c r="A1611" s="1">
        <v>1610</v>
      </c>
      <c r="G1611" s="4"/>
      <c r="H1611" s="4"/>
      <c r="I1611" s="47"/>
      <c r="J1611" s="47" t="str">
        <f t="shared" si="38"/>
        <v/>
      </c>
      <c r="K1611" s="47"/>
      <c r="L1611" s="47"/>
      <c r="N1611" s="47"/>
      <c r="O1611" s="47"/>
      <c r="P1611" s="47"/>
    </row>
    <row r="1612" spans="1:16" x14ac:dyDescent="0.3">
      <c r="A1612" s="1">
        <v>1611</v>
      </c>
      <c r="G1612" s="4"/>
      <c r="H1612" s="4"/>
      <c r="I1612" s="47"/>
      <c r="J1612" s="47" t="str">
        <f t="shared" si="38"/>
        <v/>
      </c>
      <c r="K1612" s="47"/>
      <c r="L1612" s="47"/>
      <c r="N1612" s="47"/>
      <c r="O1612" s="47"/>
      <c r="P1612" s="47"/>
    </row>
    <row r="1613" spans="1:16" x14ac:dyDescent="0.3">
      <c r="A1613" s="1">
        <v>1612</v>
      </c>
      <c r="G1613" s="4"/>
      <c r="H1613" s="4"/>
      <c r="I1613" s="47"/>
      <c r="J1613" s="47" t="str">
        <f t="shared" si="38"/>
        <v/>
      </c>
      <c r="K1613" s="47"/>
      <c r="L1613" s="47"/>
      <c r="N1613" s="47"/>
      <c r="O1613" s="47"/>
      <c r="P1613" s="47"/>
    </row>
    <row r="1614" spans="1:16" x14ac:dyDescent="0.3">
      <c r="A1614" s="1">
        <v>1613</v>
      </c>
      <c r="G1614" s="4"/>
      <c r="H1614" s="4"/>
      <c r="I1614" s="47"/>
      <c r="J1614" s="47" t="str">
        <f t="shared" si="38"/>
        <v/>
      </c>
      <c r="K1614" s="47"/>
      <c r="L1614" s="47"/>
      <c r="N1614" s="47"/>
      <c r="O1614" s="47"/>
      <c r="P1614" s="47"/>
    </row>
    <row r="1615" spans="1:16" x14ac:dyDescent="0.3">
      <c r="A1615" s="1">
        <v>1614</v>
      </c>
      <c r="G1615" s="4"/>
      <c r="H1615" s="4"/>
      <c r="I1615" s="47"/>
      <c r="J1615" s="47" t="str">
        <f t="shared" si="38"/>
        <v/>
      </c>
      <c r="K1615" s="47"/>
      <c r="L1615" s="47"/>
      <c r="N1615" s="47"/>
      <c r="O1615" s="47"/>
      <c r="P1615" s="47"/>
    </row>
    <row r="1616" spans="1:16" x14ac:dyDescent="0.3">
      <c r="A1616" s="1">
        <v>1615</v>
      </c>
      <c r="G1616" s="4"/>
      <c r="H1616" s="4"/>
      <c r="I1616" s="47"/>
      <c r="J1616" s="47" t="str">
        <f t="shared" si="38"/>
        <v/>
      </c>
      <c r="K1616" s="47"/>
      <c r="L1616" s="47"/>
      <c r="N1616" s="47"/>
      <c r="O1616" s="47"/>
      <c r="P1616" s="47"/>
    </row>
    <row r="1617" spans="1:16" x14ac:dyDescent="0.3">
      <c r="A1617" s="1">
        <v>1616</v>
      </c>
      <c r="G1617" s="4"/>
      <c r="H1617" s="4"/>
      <c r="I1617" s="47"/>
      <c r="J1617" s="47" t="str">
        <f t="shared" si="38"/>
        <v/>
      </c>
      <c r="K1617" s="47"/>
      <c r="L1617" s="47"/>
      <c r="N1617" s="47"/>
      <c r="O1617" s="47"/>
      <c r="P1617" s="47"/>
    </row>
    <row r="1618" spans="1:16" x14ac:dyDescent="0.3">
      <c r="A1618" s="1">
        <v>1617</v>
      </c>
      <c r="G1618" s="4"/>
      <c r="H1618" s="4"/>
      <c r="I1618" s="47"/>
      <c r="J1618" s="47" t="str">
        <f t="shared" si="38"/>
        <v/>
      </c>
      <c r="K1618" s="47"/>
      <c r="L1618" s="47"/>
      <c r="N1618" s="47"/>
      <c r="O1618" s="47"/>
      <c r="P1618" s="47"/>
    </row>
    <row r="1619" spans="1:16" x14ac:dyDescent="0.3">
      <c r="A1619" s="1">
        <v>1618</v>
      </c>
      <c r="G1619" s="4"/>
      <c r="H1619" s="4"/>
      <c r="I1619" s="47"/>
      <c r="J1619" s="47" t="str">
        <f t="shared" si="38"/>
        <v/>
      </c>
      <c r="K1619" s="47"/>
      <c r="L1619" s="47"/>
      <c r="N1619" s="47"/>
      <c r="O1619" s="47"/>
      <c r="P1619" s="47"/>
    </row>
    <row r="1620" spans="1:16" x14ac:dyDescent="0.3">
      <c r="A1620" s="1">
        <v>1619</v>
      </c>
      <c r="G1620" s="4"/>
      <c r="H1620" s="4"/>
      <c r="I1620" s="47"/>
      <c r="J1620" s="47" t="str">
        <f t="shared" si="38"/>
        <v/>
      </c>
      <c r="K1620" s="47"/>
      <c r="L1620" s="47"/>
      <c r="N1620" s="47"/>
      <c r="O1620" s="47"/>
      <c r="P1620" s="47"/>
    </row>
    <row r="1621" spans="1:16" x14ac:dyDescent="0.3">
      <c r="A1621" s="1">
        <v>1620</v>
      </c>
      <c r="G1621" s="4"/>
      <c r="H1621" s="4"/>
      <c r="I1621" s="47"/>
      <c r="J1621" s="47" t="str">
        <f t="shared" si="38"/>
        <v/>
      </c>
      <c r="K1621" s="47"/>
      <c r="L1621" s="47"/>
      <c r="N1621" s="47"/>
      <c r="O1621" s="47"/>
      <c r="P1621" s="47"/>
    </row>
    <row r="1622" spans="1:16" x14ac:dyDescent="0.3">
      <c r="A1622" s="1">
        <v>1621</v>
      </c>
      <c r="G1622" s="4"/>
      <c r="H1622" s="4"/>
      <c r="I1622" s="47"/>
      <c r="J1622" s="47" t="str">
        <f t="shared" si="38"/>
        <v/>
      </c>
      <c r="K1622" s="47"/>
      <c r="L1622" s="47"/>
      <c r="N1622" s="47"/>
      <c r="O1622" s="47"/>
      <c r="P1622" s="47"/>
    </row>
    <row r="1623" spans="1:16" x14ac:dyDescent="0.3">
      <c r="A1623" s="1">
        <v>1622</v>
      </c>
      <c r="G1623" s="4"/>
      <c r="H1623" s="4"/>
      <c r="I1623" s="47"/>
      <c r="J1623" s="47" t="str">
        <f t="shared" si="38"/>
        <v/>
      </c>
      <c r="K1623" s="47"/>
      <c r="L1623" s="47"/>
      <c r="N1623" s="47"/>
      <c r="O1623" s="47"/>
      <c r="P1623" s="47"/>
    </row>
    <row r="1624" spans="1:16" x14ac:dyDescent="0.3">
      <c r="A1624" s="1">
        <v>1623</v>
      </c>
      <c r="G1624" s="4"/>
      <c r="H1624" s="4"/>
      <c r="I1624" s="47"/>
      <c r="J1624" s="47" t="str">
        <f t="shared" si="38"/>
        <v/>
      </c>
      <c r="K1624" s="47"/>
      <c r="L1624" s="47"/>
      <c r="N1624" s="47"/>
      <c r="O1624" s="47"/>
      <c r="P1624" s="47"/>
    </row>
    <row r="1625" spans="1:16" x14ac:dyDescent="0.3">
      <c r="A1625" s="1">
        <v>1624</v>
      </c>
      <c r="G1625" s="4"/>
      <c r="H1625" s="4"/>
      <c r="I1625" s="47"/>
      <c r="J1625" s="47" t="str">
        <f t="shared" si="38"/>
        <v/>
      </c>
      <c r="K1625" s="47"/>
      <c r="L1625" s="47"/>
      <c r="N1625" s="47"/>
      <c r="O1625" s="47"/>
      <c r="P1625" s="47"/>
    </row>
    <row r="1626" spans="1:16" x14ac:dyDescent="0.3">
      <c r="A1626" s="1">
        <v>1625</v>
      </c>
      <c r="G1626" s="4"/>
      <c r="H1626" s="4"/>
      <c r="I1626" s="47"/>
      <c r="J1626" s="47" t="str">
        <f t="shared" si="38"/>
        <v/>
      </c>
      <c r="K1626" s="47"/>
      <c r="L1626" s="47"/>
      <c r="N1626" s="47"/>
      <c r="O1626" s="47"/>
      <c r="P1626" s="47"/>
    </row>
    <row r="1627" spans="1:16" x14ac:dyDescent="0.3">
      <c r="A1627" s="1">
        <v>1626</v>
      </c>
      <c r="G1627" s="4"/>
      <c r="H1627" s="4"/>
      <c r="I1627" s="47"/>
      <c r="J1627" s="47" t="str">
        <f t="shared" si="38"/>
        <v/>
      </c>
      <c r="K1627" s="47"/>
      <c r="L1627" s="47"/>
      <c r="N1627" s="47"/>
      <c r="O1627" s="47"/>
      <c r="P1627" s="47"/>
    </row>
    <row r="1628" spans="1:16" x14ac:dyDescent="0.3">
      <c r="A1628" s="1">
        <v>1627</v>
      </c>
      <c r="G1628" s="4"/>
      <c r="H1628" s="4"/>
      <c r="I1628" s="47"/>
      <c r="J1628" s="47" t="str">
        <f t="shared" si="38"/>
        <v/>
      </c>
      <c r="K1628" s="47"/>
      <c r="L1628" s="47"/>
      <c r="N1628" s="47"/>
      <c r="O1628" s="47"/>
      <c r="P1628" s="47"/>
    </row>
    <row r="1629" spans="1:16" x14ac:dyDescent="0.3">
      <c r="A1629" s="1">
        <v>1628</v>
      </c>
      <c r="G1629" s="4"/>
      <c r="H1629" s="4"/>
      <c r="I1629" s="47"/>
      <c r="J1629" s="47" t="str">
        <f t="shared" si="38"/>
        <v/>
      </c>
      <c r="K1629" s="47"/>
      <c r="L1629" s="47"/>
      <c r="N1629" s="47"/>
      <c r="O1629" s="47"/>
      <c r="P1629" s="47"/>
    </row>
    <row r="1630" spans="1:16" x14ac:dyDescent="0.3">
      <c r="A1630" s="1">
        <v>1629</v>
      </c>
      <c r="G1630" s="4"/>
      <c r="H1630" s="4"/>
      <c r="I1630" s="47"/>
      <c r="J1630" s="47" t="str">
        <f t="shared" si="38"/>
        <v/>
      </c>
      <c r="K1630" s="47"/>
      <c r="L1630" s="47"/>
      <c r="N1630" s="47"/>
      <c r="O1630" s="47"/>
      <c r="P1630" s="47"/>
    </row>
    <row r="1631" spans="1:16" x14ac:dyDescent="0.3">
      <c r="A1631" s="1">
        <v>1630</v>
      </c>
      <c r="G1631" s="4"/>
      <c r="H1631" s="4"/>
      <c r="I1631" s="47"/>
      <c r="J1631" s="47" t="str">
        <f t="shared" si="38"/>
        <v/>
      </c>
      <c r="K1631" s="47"/>
      <c r="L1631" s="47"/>
      <c r="N1631" s="47"/>
      <c r="O1631" s="47"/>
      <c r="P1631" s="47"/>
    </row>
    <row r="1632" spans="1:16" x14ac:dyDescent="0.3">
      <c r="A1632" s="1">
        <v>1631</v>
      </c>
      <c r="G1632" s="4"/>
      <c r="H1632" s="4"/>
      <c r="I1632" s="47"/>
      <c r="J1632" s="47" t="str">
        <f t="shared" si="38"/>
        <v/>
      </c>
      <c r="K1632" s="47"/>
      <c r="L1632" s="47"/>
      <c r="N1632" s="47"/>
      <c r="O1632" s="47"/>
      <c r="P1632" s="47"/>
    </row>
    <row r="1633" spans="1:16" x14ac:dyDescent="0.3">
      <c r="A1633" s="1">
        <v>1632</v>
      </c>
      <c r="G1633" s="4"/>
      <c r="H1633" s="4"/>
      <c r="I1633" s="47"/>
      <c r="J1633" s="47" t="str">
        <f t="shared" si="38"/>
        <v/>
      </c>
      <c r="K1633" s="47"/>
      <c r="L1633" s="47"/>
      <c r="N1633" s="47"/>
      <c r="O1633" s="47"/>
      <c r="P1633" s="47"/>
    </row>
    <row r="1634" spans="1:16" x14ac:dyDescent="0.3">
      <c r="A1634" s="1">
        <v>1633</v>
      </c>
      <c r="G1634" s="4"/>
      <c r="H1634" s="4"/>
      <c r="I1634" s="47"/>
      <c r="J1634" s="47" t="str">
        <f t="shared" si="38"/>
        <v/>
      </c>
      <c r="K1634" s="47"/>
      <c r="L1634" s="47"/>
      <c r="N1634" s="47"/>
      <c r="O1634" s="47"/>
      <c r="P1634" s="47"/>
    </row>
    <row r="1635" spans="1:16" x14ac:dyDescent="0.3">
      <c r="A1635" s="1">
        <v>1634</v>
      </c>
      <c r="G1635" s="4"/>
      <c r="H1635" s="4"/>
      <c r="I1635" s="47"/>
      <c r="J1635" s="47" t="str">
        <f t="shared" si="38"/>
        <v/>
      </c>
      <c r="K1635" s="47"/>
      <c r="L1635" s="47"/>
      <c r="N1635" s="47"/>
      <c r="O1635" s="47"/>
      <c r="P1635" s="47"/>
    </row>
    <row r="1636" spans="1:16" x14ac:dyDescent="0.3">
      <c r="A1636" s="1">
        <v>1635</v>
      </c>
      <c r="G1636" s="4"/>
      <c r="H1636" s="4"/>
      <c r="I1636" s="47"/>
      <c r="J1636" s="47" t="str">
        <f t="shared" si="38"/>
        <v/>
      </c>
      <c r="K1636" s="47"/>
      <c r="L1636" s="47"/>
      <c r="N1636" s="47"/>
      <c r="O1636" s="47"/>
      <c r="P1636" s="47"/>
    </row>
    <row r="1637" spans="1:16" x14ac:dyDescent="0.3">
      <c r="A1637" s="1">
        <v>1636</v>
      </c>
      <c r="G1637" s="4"/>
      <c r="H1637" s="4"/>
      <c r="I1637" s="47"/>
      <c r="J1637" s="47" t="str">
        <f t="shared" si="38"/>
        <v/>
      </c>
      <c r="K1637" s="47"/>
      <c r="L1637" s="47"/>
      <c r="N1637" s="47"/>
      <c r="O1637" s="47"/>
      <c r="P1637" s="47"/>
    </row>
    <row r="1638" spans="1:16" x14ac:dyDescent="0.3">
      <c r="A1638" s="1">
        <v>1637</v>
      </c>
      <c r="G1638" s="4"/>
      <c r="H1638" s="4"/>
      <c r="I1638" s="47"/>
      <c r="J1638" s="47" t="str">
        <f t="shared" si="38"/>
        <v/>
      </c>
      <c r="K1638" s="47"/>
      <c r="L1638" s="47"/>
      <c r="N1638" s="47"/>
      <c r="O1638" s="47"/>
      <c r="P1638" s="47"/>
    </row>
    <row r="1639" spans="1:16" x14ac:dyDescent="0.3">
      <c r="A1639" s="1">
        <v>1638</v>
      </c>
      <c r="G1639" s="4"/>
      <c r="H1639" s="4"/>
      <c r="I1639" s="47"/>
      <c r="J1639" s="47" t="str">
        <f t="shared" si="38"/>
        <v/>
      </c>
      <c r="K1639" s="47"/>
      <c r="L1639" s="47"/>
      <c r="N1639" s="47"/>
      <c r="O1639" s="47"/>
      <c r="P1639" s="47"/>
    </row>
    <row r="1640" spans="1:16" x14ac:dyDescent="0.3">
      <c r="A1640" s="1">
        <v>1639</v>
      </c>
      <c r="G1640" s="4"/>
      <c r="H1640" s="4"/>
      <c r="I1640" s="47"/>
      <c r="J1640" s="47" t="str">
        <f t="shared" si="38"/>
        <v/>
      </c>
      <c r="K1640" s="47"/>
      <c r="L1640" s="47"/>
      <c r="N1640" s="47"/>
      <c r="O1640" s="47"/>
      <c r="P1640" s="47"/>
    </row>
    <row r="1641" spans="1:16" x14ac:dyDescent="0.3">
      <c r="A1641" s="1">
        <v>1640</v>
      </c>
      <c r="G1641" s="4"/>
      <c r="H1641" s="4"/>
      <c r="I1641" s="47"/>
      <c r="J1641" s="47" t="str">
        <f t="shared" si="38"/>
        <v/>
      </c>
      <c r="K1641" s="47"/>
      <c r="L1641" s="47"/>
      <c r="N1641" s="47"/>
      <c r="O1641" s="47"/>
      <c r="P1641" s="47"/>
    </row>
    <row r="1642" spans="1:16" x14ac:dyDescent="0.3">
      <c r="A1642" s="1">
        <v>1641</v>
      </c>
      <c r="G1642" s="4"/>
      <c r="H1642" s="4"/>
      <c r="I1642" s="47"/>
      <c r="J1642" s="47" t="str">
        <f t="shared" si="38"/>
        <v/>
      </c>
      <c r="K1642" s="47"/>
      <c r="L1642" s="47"/>
      <c r="N1642" s="47"/>
      <c r="O1642" s="47"/>
      <c r="P1642" s="47"/>
    </row>
    <row r="1643" spans="1:16" x14ac:dyDescent="0.3">
      <c r="A1643" s="1">
        <v>1642</v>
      </c>
      <c r="G1643" s="4"/>
      <c r="H1643" s="4"/>
      <c r="I1643" s="47"/>
      <c r="J1643" s="47" t="str">
        <f t="shared" si="38"/>
        <v/>
      </c>
      <c r="K1643" s="47"/>
      <c r="L1643" s="47"/>
      <c r="N1643" s="47"/>
      <c r="O1643" s="47"/>
      <c r="P1643" s="47"/>
    </row>
    <row r="1644" spans="1:16" x14ac:dyDescent="0.3">
      <c r="A1644" s="1">
        <v>1643</v>
      </c>
      <c r="G1644" s="4"/>
      <c r="H1644" s="4"/>
      <c r="I1644" s="47"/>
      <c r="J1644" s="47" t="str">
        <f t="shared" si="38"/>
        <v/>
      </c>
      <c r="K1644" s="47"/>
      <c r="L1644" s="47"/>
      <c r="N1644" s="47"/>
      <c r="O1644" s="47"/>
      <c r="P1644" s="47"/>
    </row>
    <row r="1645" spans="1:16" x14ac:dyDescent="0.3">
      <c r="A1645" s="1">
        <v>1644</v>
      </c>
      <c r="G1645" s="4"/>
      <c r="H1645" s="4"/>
      <c r="I1645" s="47"/>
      <c r="J1645" s="47" t="str">
        <f t="shared" si="38"/>
        <v/>
      </c>
      <c r="K1645" s="47"/>
      <c r="L1645" s="47"/>
      <c r="N1645" s="47"/>
      <c r="O1645" s="47"/>
      <c r="P1645" s="47"/>
    </row>
    <row r="1646" spans="1:16" x14ac:dyDescent="0.3">
      <c r="A1646" s="1">
        <v>1645</v>
      </c>
      <c r="G1646" s="4"/>
      <c r="H1646" s="4"/>
      <c r="I1646" s="47"/>
      <c r="J1646" s="47" t="str">
        <f t="shared" si="38"/>
        <v/>
      </c>
      <c r="K1646" s="47"/>
      <c r="L1646" s="47"/>
      <c r="N1646" s="47"/>
      <c r="O1646" s="47"/>
      <c r="P1646" s="47"/>
    </row>
    <row r="1647" spans="1:16" x14ac:dyDescent="0.3">
      <c r="A1647" s="1">
        <v>1646</v>
      </c>
      <c r="G1647" s="4"/>
      <c r="H1647" s="4"/>
      <c r="I1647" s="47"/>
      <c r="J1647" s="47" t="str">
        <f t="shared" si="38"/>
        <v/>
      </c>
      <c r="K1647" s="47"/>
      <c r="L1647" s="47"/>
      <c r="N1647" s="47"/>
      <c r="O1647" s="47"/>
      <c r="P1647" s="47"/>
    </row>
    <row r="1648" spans="1:16" x14ac:dyDescent="0.3">
      <c r="A1648" s="1">
        <v>1647</v>
      </c>
      <c r="G1648" s="4"/>
      <c r="H1648" s="4"/>
      <c r="I1648" s="47"/>
      <c r="J1648" s="47" t="str">
        <f t="shared" si="38"/>
        <v/>
      </c>
      <c r="K1648" s="47"/>
      <c r="L1648" s="47"/>
      <c r="N1648" s="47"/>
      <c r="O1648" s="47"/>
      <c r="P1648" s="47"/>
    </row>
    <row r="1649" spans="1:16" x14ac:dyDescent="0.3">
      <c r="A1649" s="1">
        <v>1648</v>
      </c>
      <c r="G1649" s="4"/>
      <c r="H1649" s="4"/>
      <c r="I1649" s="47"/>
      <c r="J1649" s="47" t="str">
        <f t="shared" si="38"/>
        <v/>
      </c>
      <c r="K1649" s="47"/>
      <c r="L1649" s="47"/>
      <c r="N1649" s="47"/>
      <c r="O1649" s="47"/>
      <c r="P1649" s="47"/>
    </row>
    <row r="1650" spans="1:16" x14ac:dyDescent="0.3">
      <c r="A1650" s="1">
        <v>1649</v>
      </c>
      <c r="G1650" s="4"/>
      <c r="H1650" s="4"/>
      <c r="I1650" s="47"/>
      <c r="J1650" s="47" t="str">
        <f t="shared" si="38"/>
        <v/>
      </c>
      <c r="K1650" s="47"/>
      <c r="L1650" s="47"/>
      <c r="N1650" s="47"/>
      <c r="O1650" s="47"/>
      <c r="P1650" s="47"/>
    </row>
    <row r="1651" spans="1:16" x14ac:dyDescent="0.3">
      <c r="A1651" s="1">
        <v>1650</v>
      </c>
      <c r="G1651" s="4"/>
      <c r="H1651" s="4"/>
      <c r="I1651" s="47"/>
      <c r="J1651" s="47" t="str">
        <f t="shared" si="38"/>
        <v/>
      </c>
      <c r="K1651" s="47"/>
      <c r="L1651" s="47"/>
      <c r="N1651" s="47"/>
      <c r="O1651" s="47"/>
      <c r="P1651" s="47"/>
    </row>
    <row r="1652" spans="1:16" x14ac:dyDescent="0.3">
      <c r="A1652" s="1">
        <v>1651</v>
      </c>
      <c r="G1652" s="4"/>
      <c r="H1652" s="4"/>
      <c r="I1652" s="47"/>
      <c r="J1652" s="47" t="str">
        <f t="shared" si="38"/>
        <v/>
      </c>
      <c r="K1652" s="47"/>
      <c r="L1652" s="47"/>
      <c r="N1652" s="47"/>
      <c r="O1652" s="47"/>
      <c r="P1652" s="47"/>
    </row>
    <row r="1653" spans="1:16" x14ac:dyDescent="0.3">
      <c r="A1653" s="1">
        <v>1652</v>
      </c>
      <c r="G1653" s="4"/>
      <c r="H1653" s="4"/>
      <c r="I1653" s="47"/>
      <c r="J1653" s="47" t="str">
        <f t="shared" si="38"/>
        <v/>
      </c>
      <c r="K1653" s="47"/>
      <c r="L1653" s="47"/>
      <c r="N1653" s="47"/>
      <c r="O1653" s="47"/>
      <c r="P1653" s="47"/>
    </row>
    <row r="1654" spans="1:16" x14ac:dyDescent="0.3">
      <c r="A1654" s="1">
        <v>1653</v>
      </c>
      <c r="G1654" s="4"/>
      <c r="H1654" s="4"/>
      <c r="I1654" s="47"/>
      <c r="J1654" s="47" t="str">
        <f t="shared" si="38"/>
        <v/>
      </c>
      <c r="K1654" s="47"/>
      <c r="L1654" s="47"/>
      <c r="N1654" s="47"/>
      <c r="O1654" s="47"/>
      <c r="P1654" s="47"/>
    </row>
    <row r="1655" spans="1:16" x14ac:dyDescent="0.3">
      <c r="A1655" s="1">
        <v>1654</v>
      </c>
      <c r="G1655" s="4"/>
      <c r="H1655" s="4"/>
      <c r="I1655" s="47"/>
      <c r="J1655" s="47" t="str">
        <f t="shared" si="38"/>
        <v/>
      </c>
      <c r="K1655" s="47"/>
      <c r="L1655" s="47"/>
      <c r="N1655" s="47"/>
      <c r="O1655" s="47"/>
      <c r="P1655" s="47"/>
    </row>
    <row r="1656" spans="1:16" x14ac:dyDescent="0.3">
      <c r="A1656" s="1">
        <v>1655</v>
      </c>
      <c r="G1656" s="4"/>
      <c r="H1656" s="4"/>
      <c r="I1656" s="47"/>
      <c r="J1656" s="47" t="str">
        <f t="shared" si="38"/>
        <v/>
      </c>
      <c r="K1656" s="47"/>
      <c r="L1656" s="47"/>
      <c r="N1656" s="47"/>
      <c r="O1656" s="47"/>
      <c r="P1656" s="47"/>
    </row>
    <row r="1657" spans="1:16" x14ac:dyDescent="0.3">
      <c r="A1657" s="1">
        <v>1656</v>
      </c>
      <c r="G1657" s="4"/>
      <c r="H1657" s="4"/>
      <c r="I1657" s="47"/>
      <c r="J1657" s="47" t="str">
        <f t="shared" si="38"/>
        <v/>
      </c>
      <c r="K1657" s="47"/>
      <c r="L1657" s="47"/>
      <c r="N1657" s="47"/>
      <c r="O1657" s="47"/>
      <c r="P1657" s="47"/>
    </row>
    <row r="1658" spans="1:16" x14ac:dyDescent="0.3">
      <c r="A1658" s="1">
        <v>1657</v>
      </c>
      <c r="G1658" s="4"/>
      <c r="H1658" s="4"/>
      <c r="I1658" s="47"/>
      <c r="J1658" s="47" t="str">
        <f t="shared" si="38"/>
        <v/>
      </c>
      <c r="K1658" s="47"/>
      <c r="L1658" s="47"/>
      <c r="N1658" s="47"/>
      <c r="O1658" s="47"/>
      <c r="P1658" s="47"/>
    </row>
    <row r="1659" spans="1:16" x14ac:dyDescent="0.3">
      <c r="A1659" s="1">
        <v>1658</v>
      </c>
      <c r="G1659" s="4"/>
      <c r="H1659" s="4"/>
      <c r="I1659" s="47"/>
      <c r="J1659" s="47" t="str">
        <f t="shared" si="38"/>
        <v/>
      </c>
      <c r="K1659" s="47"/>
      <c r="L1659" s="47"/>
      <c r="N1659" s="47"/>
      <c r="O1659" s="47"/>
      <c r="P1659" s="47"/>
    </row>
    <row r="1660" spans="1:16" x14ac:dyDescent="0.3">
      <c r="A1660" s="1">
        <v>1659</v>
      </c>
      <c r="G1660" s="4"/>
      <c r="H1660" s="4"/>
      <c r="I1660" s="47"/>
      <c r="J1660" s="47" t="str">
        <f t="shared" si="38"/>
        <v/>
      </c>
      <c r="K1660" s="47"/>
      <c r="L1660" s="47"/>
      <c r="N1660" s="47"/>
      <c r="O1660" s="47"/>
      <c r="P1660" s="47"/>
    </row>
    <row r="1661" spans="1:16" x14ac:dyDescent="0.3">
      <c r="A1661" s="1">
        <v>1660</v>
      </c>
      <c r="G1661" s="4"/>
      <c r="H1661" s="4"/>
      <c r="I1661" s="47"/>
      <c r="J1661" s="47" t="str">
        <f t="shared" si="38"/>
        <v/>
      </c>
      <c r="K1661" s="47"/>
      <c r="L1661" s="47"/>
      <c r="N1661" s="47"/>
      <c r="O1661" s="47"/>
      <c r="P1661" s="47"/>
    </row>
    <row r="1662" spans="1:16" x14ac:dyDescent="0.3">
      <c r="A1662" s="1">
        <v>1661</v>
      </c>
      <c r="G1662" s="4"/>
      <c r="H1662" s="4"/>
      <c r="I1662" s="47"/>
      <c r="J1662" s="47" t="str">
        <f t="shared" si="38"/>
        <v/>
      </c>
      <c r="K1662" s="47"/>
      <c r="L1662" s="47"/>
      <c r="N1662" s="47"/>
      <c r="O1662" s="47"/>
      <c r="P1662" s="47"/>
    </row>
    <row r="1663" spans="1:16" x14ac:dyDescent="0.3">
      <c r="A1663" s="1">
        <v>1662</v>
      </c>
      <c r="G1663" s="4"/>
      <c r="H1663" s="4"/>
      <c r="I1663" s="47"/>
      <c r="J1663" s="47" t="str">
        <f t="shared" si="38"/>
        <v/>
      </c>
      <c r="K1663" s="47"/>
      <c r="L1663" s="47"/>
      <c r="N1663" s="47"/>
      <c r="O1663" s="47"/>
      <c r="P1663" s="47"/>
    </row>
    <row r="1664" spans="1:16" x14ac:dyDescent="0.3">
      <c r="A1664" s="1">
        <v>1663</v>
      </c>
      <c r="G1664" s="4"/>
      <c r="H1664" s="4"/>
      <c r="I1664" s="47"/>
      <c r="J1664" s="47" t="str">
        <f t="shared" si="38"/>
        <v/>
      </c>
      <c r="K1664" s="47"/>
      <c r="L1664" s="47"/>
      <c r="N1664" s="47"/>
      <c r="O1664" s="47"/>
      <c r="P1664" s="47"/>
    </row>
    <row r="1665" spans="1:16" x14ac:dyDescent="0.3">
      <c r="A1665" s="1">
        <v>1664</v>
      </c>
      <c r="G1665" s="4"/>
      <c r="H1665" s="4"/>
      <c r="I1665" s="47"/>
      <c r="J1665" s="47" t="str">
        <f t="shared" si="38"/>
        <v/>
      </c>
      <c r="K1665" s="47"/>
      <c r="L1665" s="47"/>
      <c r="N1665" s="47"/>
      <c r="O1665" s="47"/>
      <c r="P1665" s="47"/>
    </row>
    <row r="1666" spans="1:16" x14ac:dyDescent="0.3">
      <c r="A1666" s="1">
        <v>1665</v>
      </c>
      <c r="G1666" s="4"/>
      <c r="H1666" s="4"/>
      <c r="I1666" s="47"/>
      <c r="J1666" s="47" t="str">
        <f t="shared" si="38"/>
        <v/>
      </c>
      <c r="K1666" s="47"/>
      <c r="L1666" s="47"/>
      <c r="N1666" s="47"/>
      <c r="O1666" s="47"/>
      <c r="P1666" s="47"/>
    </row>
    <row r="1667" spans="1:16" x14ac:dyDescent="0.3">
      <c r="A1667" s="1">
        <v>1666</v>
      </c>
      <c r="G1667" s="4"/>
      <c r="H1667" s="4"/>
      <c r="I1667" s="47"/>
      <c r="J1667" s="47" t="str">
        <f t="shared" ref="J1667:J1730" si="39">+E1667&amp;I1667</f>
        <v/>
      </c>
      <c r="K1667" s="47"/>
      <c r="L1667" s="47"/>
      <c r="N1667" s="47"/>
      <c r="O1667" s="47"/>
      <c r="P1667" s="47"/>
    </row>
    <row r="1668" spans="1:16" x14ac:dyDescent="0.3">
      <c r="A1668" s="1">
        <v>1667</v>
      </c>
      <c r="G1668" s="4"/>
      <c r="H1668" s="4"/>
      <c r="I1668" s="47"/>
      <c r="J1668" s="47" t="str">
        <f t="shared" si="39"/>
        <v/>
      </c>
      <c r="K1668" s="47"/>
      <c r="L1668" s="47"/>
      <c r="N1668" s="47"/>
      <c r="O1668" s="47"/>
      <c r="P1668" s="47"/>
    </row>
    <row r="1669" spans="1:16" x14ac:dyDescent="0.3">
      <c r="A1669" s="1">
        <v>1668</v>
      </c>
      <c r="G1669" s="4"/>
      <c r="H1669" s="4"/>
      <c r="I1669" s="47"/>
      <c r="J1669" s="47" t="str">
        <f t="shared" si="39"/>
        <v/>
      </c>
      <c r="K1669" s="47"/>
      <c r="L1669" s="47"/>
      <c r="N1669" s="47"/>
      <c r="O1669" s="47"/>
      <c r="P1669" s="47"/>
    </row>
    <row r="1670" spans="1:16" x14ac:dyDescent="0.3">
      <c r="A1670" s="1">
        <v>1669</v>
      </c>
      <c r="G1670" s="4"/>
      <c r="H1670" s="4"/>
      <c r="I1670" s="47"/>
      <c r="J1670" s="47" t="str">
        <f t="shared" si="39"/>
        <v/>
      </c>
      <c r="K1670" s="47"/>
      <c r="L1670" s="47"/>
      <c r="N1670" s="47"/>
      <c r="O1670" s="47"/>
      <c r="P1670" s="47"/>
    </row>
    <row r="1671" spans="1:16" x14ac:dyDescent="0.3">
      <c r="A1671" s="1">
        <v>1670</v>
      </c>
      <c r="G1671" s="4"/>
      <c r="H1671" s="4"/>
      <c r="I1671" s="47"/>
      <c r="J1671" s="47" t="str">
        <f t="shared" si="39"/>
        <v/>
      </c>
      <c r="K1671" s="47"/>
      <c r="L1671" s="47"/>
      <c r="N1671" s="47"/>
      <c r="O1671" s="47"/>
      <c r="P1671" s="47"/>
    </row>
    <row r="1672" spans="1:16" x14ac:dyDescent="0.3">
      <c r="A1672" s="1">
        <v>1671</v>
      </c>
      <c r="G1672" s="4"/>
      <c r="H1672" s="4"/>
      <c r="I1672" s="47"/>
      <c r="J1672" s="47" t="str">
        <f t="shared" si="39"/>
        <v/>
      </c>
      <c r="K1672" s="47"/>
      <c r="L1672" s="47"/>
      <c r="N1672" s="47"/>
      <c r="O1672" s="47"/>
      <c r="P1672" s="47"/>
    </row>
    <row r="1673" spans="1:16" x14ac:dyDescent="0.3">
      <c r="A1673" s="1">
        <v>1672</v>
      </c>
      <c r="G1673" s="4"/>
      <c r="H1673" s="4"/>
      <c r="I1673" s="47"/>
      <c r="J1673" s="47" t="str">
        <f t="shared" si="39"/>
        <v/>
      </c>
      <c r="K1673" s="47"/>
      <c r="L1673" s="47"/>
      <c r="N1673" s="47"/>
      <c r="O1673" s="47"/>
      <c r="P1673" s="47"/>
    </row>
    <row r="1674" spans="1:16" x14ac:dyDescent="0.3">
      <c r="A1674" s="1">
        <v>1673</v>
      </c>
      <c r="G1674" s="4"/>
      <c r="H1674" s="4"/>
      <c r="I1674" s="47"/>
      <c r="J1674" s="47" t="str">
        <f t="shared" si="39"/>
        <v/>
      </c>
      <c r="K1674" s="47"/>
      <c r="L1674" s="47"/>
      <c r="N1674" s="47"/>
      <c r="O1674" s="47"/>
      <c r="P1674" s="47"/>
    </row>
    <row r="1675" spans="1:16" x14ac:dyDescent="0.3">
      <c r="A1675" s="1">
        <v>1674</v>
      </c>
      <c r="G1675" s="4"/>
      <c r="H1675" s="4"/>
      <c r="I1675" s="47"/>
      <c r="J1675" s="47" t="str">
        <f t="shared" si="39"/>
        <v/>
      </c>
      <c r="K1675" s="47"/>
      <c r="L1675" s="47"/>
      <c r="N1675" s="47"/>
      <c r="O1675" s="47"/>
      <c r="P1675" s="47"/>
    </row>
    <row r="1676" spans="1:16" x14ac:dyDescent="0.3">
      <c r="A1676" s="1">
        <v>1675</v>
      </c>
      <c r="G1676" s="4"/>
      <c r="H1676" s="4"/>
      <c r="I1676" s="47"/>
      <c r="J1676" s="47" t="str">
        <f t="shared" si="39"/>
        <v/>
      </c>
      <c r="K1676" s="47"/>
      <c r="L1676" s="47"/>
      <c r="N1676" s="47"/>
      <c r="O1676" s="47"/>
      <c r="P1676" s="47"/>
    </row>
    <row r="1677" spans="1:16" x14ac:dyDescent="0.3">
      <c r="A1677" s="1">
        <v>1676</v>
      </c>
      <c r="G1677" s="4"/>
      <c r="H1677" s="4"/>
      <c r="I1677" s="47"/>
      <c r="J1677" s="47" t="str">
        <f t="shared" si="39"/>
        <v/>
      </c>
      <c r="K1677" s="47"/>
      <c r="L1677" s="47"/>
      <c r="N1677" s="47"/>
      <c r="O1677" s="47"/>
      <c r="P1677" s="47"/>
    </row>
    <row r="1678" spans="1:16" x14ac:dyDescent="0.3">
      <c r="A1678" s="1">
        <v>1677</v>
      </c>
      <c r="G1678" s="4"/>
      <c r="H1678" s="4"/>
      <c r="I1678" s="47"/>
      <c r="J1678" s="47" t="str">
        <f t="shared" si="39"/>
        <v/>
      </c>
      <c r="K1678" s="47"/>
      <c r="L1678" s="47"/>
      <c r="N1678" s="47"/>
      <c r="O1678" s="47"/>
      <c r="P1678" s="47"/>
    </row>
    <row r="1679" spans="1:16" x14ac:dyDescent="0.3">
      <c r="A1679" s="1">
        <v>1678</v>
      </c>
      <c r="G1679" s="4"/>
      <c r="H1679" s="4"/>
      <c r="I1679" s="47"/>
      <c r="J1679" s="47" t="str">
        <f t="shared" si="39"/>
        <v/>
      </c>
      <c r="K1679" s="47"/>
      <c r="L1679" s="47"/>
      <c r="N1679" s="47"/>
      <c r="O1679" s="47"/>
      <c r="P1679" s="47"/>
    </row>
    <row r="1680" spans="1:16" x14ac:dyDescent="0.3">
      <c r="A1680" s="1">
        <v>1679</v>
      </c>
      <c r="G1680" s="4"/>
      <c r="H1680" s="4"/>
      <c r="I1680" s="47"/>
      <c r="J1680" s="47" t="str">
        <f t="shared" si="39"/>
        <v/>
      </c>
      <c r="K1680" s="47"/>
      <c r="L1680" s="47"/>
      <c r="N1680" s="47"/>
      <c r="O1680" s="47"/>
      <c r="P1680" s="47"/>
    </row>
    <row r="1681" spans="1:16" x14ac:dyDescent="0.3">
      <c r="A1681" s="1">
        <v>1680</v>
      </c>
      <c r="G1681" s="4"/>
      <c r="H1681" s="4"/>
      <c r="I1681" s="47"/>
      <c r="J1681" s="47" t="str">
        <f t="shared" si="39"/>
        <v/>
      </c>
      <c r="K1681" s="47"/>
      <c r="L1681" s="47"/>
      <c r="N1681" s="47"/>
      <c r="O1681" s="47"/>
      <c r="P1681" s="47"/>
    </row>
    <row r="1682" spans="1:16" x14ac:dyDescent="0.3">
      <c r="A1682" s="1">
        <v>1681</v>
      </c>
      <c r="G1682" s="4"/>
      <c r="H1682" s="4"/>
      <c r="I1682" s="47"/>
      <c r="J1682" s="47" t="str">
        <f t="shared" si="39"/>
        <v/>
      </c>
      <c r="K1682" s="47"/>
      <c r="L1682" s="47"/>
      <c r="N1682" s="47"/>
      <c r="O1682" s="47"/>
      <c r="P1682" s="47"/>
    </row>
    <row r="1683" spans="1:16" x14ac:dyDescent="0.3">
      <c r="A1683" s="1">
        <v>1682</v>
      </c>
      <c r="G1683" s="4"/>
      <c r="H1683" s="4"/>
      <c r="I1683" s="47"/>
      <c r="J1683" s="47" t="str">
        <f t="shared" si="39"/>
        <v/>
      </c>
      <c r="K1683" s="47"/>
      <c r="L1683" s="47"/>
      <c r="N1683" s="47"/>
      <c r="O1683" s="47"/>
      <c r="P1683" s="47"/>
    </row>
    <row r="1684" spans="1:16" x14ac:dyDescent="0.3">
      <c r="A1684" s="1">
        <v>1683</v>
      </c>
      <c r="G1684" s="4"/>
      <c r="H1684" s="4"/>
      <c r="I1684" s="47"/>
      <c r="J1684" s="47" t="str">
        <f t="shared" si="39"/>
        <v/>
      </c>
      <c r="K1684" s="47"/>
      <c r="L1684" s="47"/>
      <c r="N1684" s="47"/>
      <c r="O1684" s="47"/>
      <c r="P1684" s="47"/>
    </row>
    <row r="1685" spans="1:16" x14ac:dyDescent="0.3">
      <c r="A1685" s="1">
        <v>1684</v>
      </c>
      <c r="G1685" s="4"/>
      <c r="H1685" s="4"/>
      <c r="I1685" s="47"/>
      <c r="J1685" s="47" t="str">
        <f t="shared" si="39"/>
        <v/>
      </c>
      <c r="K1685" s="47"/>
      <c r="L1685" s="47"/>
      <c r="N1685" s="47"/>
      <c r="O1685" s="47"/>
      <c r="P1685" s="47"/>
    </row>
    <row r="1686" spans="1:16" x14ac:dyDescent="0.3">
      <c r="A1686" s="1">
        <v>1685</v>
      </c>
      <c r="G1686" s="4"/>
      <c r="H1686" s="4"/>
      <c r="I1686" s="47"/>
      <c r="J1686" s="47" t="str">
        <f t="shared" si="39"/>
        <v/>
      </c>
      <c r="K1686" s="47"/>
      <c r="L1686" s="47"/>
      <c r="N1686" s="47"/>
      <c r="O1686" s="47"/>
      <c r="P1686" s="47"/>
    </row>
    <row r="1687" spans="1:16" x14ac:dyDescent="0.3">
      <c r="A1687" s="1">
        <v>1686</v>
      </c>
      <c r="G1687" s="4"/>
      <c r="H1687" s="4"/>
      <c r="I1687" s="47"/>
      <c r="J1687" s="47" t="str">
        <f t="shared" si="39"/>
        <v/>
      </c>
      <c r="K1687" s="47"/>
      <c r="L1687" s="47"/>
      <c r="N1687" s="47"/>
      <c r="O1687" s="47"/>
      <c r="P1687" s="47"/>
    </row>
    <row r="1688" spans="1:16" x14ac:dyDescent="0.3">
      <c r="A1688" s="1">
        <v>1687</v>
      </c>
      <c r="G1688" s="4"/>
      <c r="H1688" s="4"/>
      <c r="I1688" s="47"/>
      <c r="J1688" s="47" t="str">
        <f t="shared" si="39"/>
        <v/>
      </c>
      <c r="K1688" s="47"/>
      <c r="L1688" s="47"/>
      <c r="N1688" s="47"/>
      <c r="O1688" s="47"/>
      <c r="P1688" s="47"/>
    </row>
    <row r="1689" spans="1:16" x14ac:dyDescent="0.3">
      <c r="A1689" s="1">
        <v>1688</v>
      </c>
      <c r="G1689" s="4"/>
      <c r="H1689" s="4"/>
      <c r="I1689" s="47"/>
      <c r="J1689" s="47" t="str">
        <f t="shared" si="39"/>
        <v/>
      </c>
      <c r="K1689" s="47"/>
      <c r="L1689" s="47"/>
      <c r="N1689" s="47"/>
      <c r="O1689" s="47"/>
      <c r="P1689" s="47"/>
    </row>
    <row r="1690" spans="1:16" x14ac:dyDescent="0.3">
      <c r="A1690" s="1">
        <v>1689</v>
      </c>
      <c r="G1690" s="4"/>
      <c r="H1690" s="4"/>
      <c r="I1690" s="47"/>
      <c r="J1690" s="47" t="str">
        <f t="shared" si="39"/>
        <v/>
      </c>
      <c r="K1690" s="47"/>
      <c r="L1690" s="47"/>
      <c r="N1690" s="47"/>
      <c r="O1690" s="47"/>
      <c r="P1690" s="47"/>
    </row>
    <row r="1691" spans="1:16" x14ac:dyDescent="0.3">
      <c r="A1691" s="1">
        <v>1690</v>
      </c>
      <c r="G1691" s="4"/>
      <c r="H1691" s="4"/>
      <c r="I1691" s="47"/>
      <c r="J1691" s="47" t="str">
        <f t="shared" si="39"/>
        <v/>
      </c>
      <c r="K1691" s="47"/>
      <c r="L1691" s="47"/>
      <c r="N1691" s="47"/>
      <c r="O1691" s="47"/>
      <c r="P1691" s="47"/>
    </row>
    <row r="1692" spans="1:16" x14ac:dyDescent="0.3">
      <c r="A1692" s="1">
        <v>1691</v>
      </c>
      <c r="G1692" s="4"/>
      <c r="H1692" s="4"/>
      <c r="I1692" s="47"/>
      <c r="J1692" s="47" t="str">
        <f t="shared" si="39"/>
        <v/>
      </c>
      <c r="K1692" s="47"/>
      <c r="L1692" s="47"/>
      <c r="N1692" s="47"/>
      <c r="O1692" s="47"/>
      <c r="P1692" s="47"/>
    </row>
    <row r="1693" spans="1:16" x14ac:dyDescent="0.3">
      <c r="A1693" s="1">
        <v>1692</v>
      </c>
      <c r="G1693" s="4"/>
      <c r="H1693" s="4"/>
      <c r="I1693" s="47"/>
      <c r="J1693" s="47" t="str">
        <f t="shared" si="39"/>
        <v/>
      </c>
      <c r="K1693" s="47"/>
      <c r="L1693" s="47"/>
      <c r="N1693" s="47"/>
      <c r="O1693" s="47"/>
      <c r="P1693" s="47"/>
    </row>
    <row r="1694" spans="1:16" x14ac:dyDescent="0.3">
      <c r="A1694" s="1">
        <v>1693</v>
      </c>
      <c r="G1694" s="4"/>
      <c r="H1694" s="4"/>
      <c r="I1694" s="47"/>
      <c r="J1694" s="47" t="str">
        <f t="shared" si="39"/>
        <v/>
      </c>
      <c r="K1694" s="47"/>
      <c r="L1694" s="47"/>
      <c r="N1694" s="47"/>
      <c r="O1694" s="47"/>
      <c r="P1694" s="47"/>
    </row>
    <row r="1695" spans="1:16" x14ac:dyDescent="0.3">
      <c r="A1695" s="1">
        <v>1694</v>
      </c>
      <c r="G1695" s="4"/>
      <c r="H1695" s="4"/>
      <c r="I1695" s="47"/>
      <c r="J1695" s="47" t="str">
        <f t="shared" si="39"/>
        <v/>
      </c>
      <c r="K1695" s="47"/>
      <c r="L1695" s="47"/>
      <c r="N1695" s="47"/>
      <c r="O1695" s="47"/>
      <c r="P1695" s="47"/>
    </row>
    <row r="1696" spans="1:16" x14ac:dyDescent="0.3">
      <c r="A1696" s="1">
        <v>1695</v>
      </c>
      <c r="G1696" s="4"/>
      <c r="H1696" s="4"/>
      <c r="I1696" s="47"/>
      <c r="J1696" s="47" t="str">
        <f t="shared" si="39"/>
        <v/>
      </c>
      <c r="K1696" s="47"/>
      <c r="L1696" s="47"/>
      <c r="N1696" s="47"/>
      <c r="O1696" s="47"/>
      <c r="P1696" s="47"/>
    </row>
    <row r="1697" spans="1:16" x14ac:dyDescent="0.3">
      <c r="A1697" s="1">
        <v>1696</v>
      </c>
      <c r="G1697" s="4"/>
      <c r="H1697" s="4"/>
      <c r="I1697" s="47"/>
      <c r="J1697" s="47" t="str">
        <f t="shared" si="39"/>
        <v/>
      </c>
      <c r="K1697" s="47"/>
      <c r="L1697" s="47"/>
      <c r="N1697" s="47"/>
      <c r="O1697" s="47"/>
      <c r="P1697" s="47"/>
    </row>
    <row r="1698" spans="1:16" x14ac:dyDescent="0.3">
      <c r="A1698" s="1">
        <v>1697</v>
      </c>
      <c r="G1698" s="4"/>
      <c r="H1698" s="4"/>
      <c r="I1698" s="47"/>
      <c r="J1698" s="47" t="str">
        <f t="shared" si="39"/>
        <v/>
      </c>
      <c r="K1698" s="47"/>
      <c r="L1698" s="47"/>
      <c r="N1698" s="47"/>
      <c r="O1698" s="47"/>
      <c r="P1698" s="47"/>
    </row>
    <row r="1699" spans="1:16" x14ac:dyDescent="0.3">
      <c r="A1699" s="1">
        <v>1698</v>
      </c>
      <c r="G1699" s="4"/>
      <c r="H1699" s="4"/>
      <c r="I1699" s="47"/>
      <c r="J1699" s="47" t="str">
        <f t="shared" si="39"/>
        <v/>
      </c>
      <c r="K1699" s="47"/>
      <c r="L1699" s="47"/>
      <c r="N1699" s="47"/>
      <c r="O1699" s="47"/>
      <c r="P1699" s="47"/>
    </row>
    <row r="1700" spans="1:16" x14ac:dyDescent="0.3">
      <c r="A1700" s="1">
        <v>1699</v>
      </c>
      <c r="G1700" s="4"/>
      <c r="H1700" s="4"/>
      <c r="I1700" s="47"/>
      <c r="J1700" s="47" t="str">
        <f t="shared" si="39"/>
        <v/>
      </c>
      <c r="K1700" s="47"/>
      <c r="L1700" s="47"/>
      <c r="N1700" s="47"/>
      <c r="O1700" s="47"/>
      <c r="P1700" s="47"/>
    </row>
    <row r="1701" spans="1:16" x14ac:dyDescent="0.3">
      <c r="A1701" s="1">
        <v>1700</v>
      </c>
      <c r="G1701" s="4"/>
      <c r="H1701" s="4"/>
      <c r="I1701" s="47"/>
      <c r="J1701" s="47" t="str">
        <f t="shared" si="39"/>
        <v/>
      </c>
      <c r="K1701" s="47"/>
      <c r="L1701" s="47"/>
      <c r="N1701" s="47"/>
      <c r="O1701" s="47"/>
      <c r="P1701" s="47"/>
    </row>
    <row r="1702" spans="1:16" x14ac:dyDescent="0.3">
      <c r="A1702" s="1">
        <v>1701</v>
      </c>
      <c r="G1702" s="4"/>
      <c r="H1702" s="4"/>
      <c r="I1702" s="47"/>
      <c r="J1702" s="47" t="str">
        <f t="shared" si="39"/>
        <v/>
      </c>
      <c r="K1702" s="47"/>
      <c r="L1702" s="47"/>
      <c r="N1702" s="47"/>
      <c r="O1702" s="47"/>
      <c r="P1702" s="47"/>
    </row>
    <row r="1703" spans="1:16" x14ac:dyDescent="0.3">
      <c r="A1703" s="1">
        <v>1702</v>
      </c>
      <c r="G1703" s="4"/>
      <c r="H1703" s="4"/>
      <c r="I1703" s="47"/>
      <c r="J1703" s="47" t="str">
        <f t="shared" si="39"/>
        <v/>
      </c>
      <c r="K1703" s="47"/>
      <c r="L1703" s="47"/>
      <c r="N1703" s="47"/>
      <c r="O1703" s="47"/>
      <c r="P1703" s="47"/>
    </row>
    <row r="1704" spans="1:16" x14ac:dyDescent="0.3">
      <c r="A1704" s="1">
        <v>1703</v>
      </c>
      <c r="G1704" s="4"/>
      <c r="H1704" s="4"/>
      <c r="I1704" s="47"/>
      <c r="J1704" s="47" t="str">
        <f t="shared" si="39"/>
        <v/>
      </c>
      <c r="K1704" s="47"/>
      <c r="L1704" s="47"/>
      <c r="N1704" s="47"/>
      <c r="O1704" s="47"/>
      <c r="P1704" s="47"/>
    </row>
    <row r="1705" spans="1:16" x14ac:dyDescent="0.3">
      <c r="A1705" s="1">
        <v>1704</v>
      </c>
      <c r="G1705" s="4"/>
      <c r="H1705" s="4"/>
      <c r="I1705" s="47"/>
      <c r="J1705" s="47" t="str">
        <f t="shared" si="39"/>
        <v/>
      </c>
      <c r="K1705" s="47"/>
      <c r="L1705" s="47"/>
      <c r="N1705" s="47"/>
      <c r="O1705" s="47"/>
      <c r="P1705" s="47"/>
    </row>
    <row r="1706" spans="1:16" x14ac:dyDescent="0.3">
      <c r="A1706" s="1">
        <v>1705</v>
      </c>
      <c r="G1706" s="4"/>
      <c r="H1706" s="4"/>
      <c r="I1706" s="47"/>
      <c r="J1706" s="47" t="str">
        <f t="shared" si="39"/>
        <v/>
      </c>
      <c r="K1706" s="47"/>
      <c r="L1706" s="47"/>
      <c r="N1706" s="47"/>
      <c r="O1706" s="47"/>
      <c r="P1706" s="47"/>
    </row>
    <row r="1707" spans="1:16" x14ac:dyDescent="0.3">
      <c r="A1707" s="1">
        <v>1706</v>
      </c>
      <c r="G1707" s="4"/>
      <c r="H1707" s="4"/>
      <c r="I1707" s="47"/>
      <c r="J1707" s="47" t="str">
        <f t="shared" si="39"/>
        <v/>
      </c>
      <c r="K1707" s="47"/>
      <c r="L1707" s="47"/>
      <c r="N1707" s="47"/>
      <c r="O1707" s="47"/>
      <c r="P1707" s="47"/>
    </row>
    <row r="1708" spans="1:16" x14ac:dyDescent="0.3">
      <c r="A1708" s="1">
        <v>1707</v>
      </c>
      <c r="G1708" s="4"/>
      <c r="H1708" s="4"/>
      <c r="I1708" s="47"/>
      <c r="J1708" s="47" t="str">
        <f t="shared" si="39"/>
        <v/>
      </c>
      <c r="K1708" s="47"/>
      <c r="L1708" s="47"/>
      <c r="N1708" s="47"/>
      <c r="O1708" s="47"/>
      <c r="P1708" s="47"/>
    </row>
    <row r="1709" spans="1:16" x14ac:dyDescent="0.3">
      <c r="A1709" s="1">
        <v>1708</v>
      </c>
      <c r="G1709" s="4"/>
      <c r="H1709" s="4"/>
      <c r="I1709" s="47"/>
      <c r="J1709" s="47" t="str">
        <f t="shared" si="39"/>
        <v/>
      </c>
      <c r="K1709" s="47"/>
      <c r="L1709" s="47"/>
      <c r="N1709" s="47"/>
      <c r="O1709" s="47"/>
      <c r="P1709" s="47"/>
    </row>
    <row r="1710" spans="1:16" x14ac:dyDescent="0.3">
      <c r="A1710" s="1">
        <v>1709</v>
      </c>
      <c r="G1710" s="4"/>
      <c r="H1710" s="4"/>
      <c r="I1710" s="47"/>
      <c r="J1710" s="47" t="str">
        <f t="shared" si="39"/>
        <v/>
      </c>
      <c r="K1710" s="47"/>
      <c r="L1710" s="47"/>
      <c r="N1710" s="47"/>
      <c r="O1710" s="47"/>
      <c r="P1710" s="47"/>
    </row>
    <row r="1711" spans="1:16" x14ac:dyDescent="0.3">
      <c r="A1711" s="1">
        <v>1710</v>
      </c>
      <c r="G1711" s="4"/>
      <c r="H1711" s="4"/>
      <c r="I1711" s="47"/>
      <c r="J1711" s="47" t="str">
        <f t="shared" si="39"/>
        <v/>
      </c>
      <c r="K1711" s="47"/>
      <c r="L1711" s="47"/>
      <c r="N1711" s="47"/>
      <c r="O1711" s="47"/>
      <c r="P1711" s="47"/>
    </row>
    <row r="1712" spans="1:16" x14ac:dyDescent="0.3">
      <c r="A1712" s="1">
        <v>1711</v>
      </c>
      <c r="G1712" s="4"/>
      <c r="H1712" s="4"/>
      <c r="I1712" s="47"/>
      <c r="J1712" s="47" t="str">
        <f t="shared" si="39"/>
        <v/>
      </c>
      <c r="K1712" s="47"/>
      <c r="L1712" s="47"/>
      <c r="N1712" s="47"/>
      <c r="O1712" s="47"/>
      <c r="P1712" s="47"/>
    </row>
    <row r="1713" spans="1:16" x14ac:dyDescent="0.3">
      <c r="A1713" s="1">
        <v>1712</v>
      </c>
      <c r="G1713" s="4"/>
      <c r="H1713" s="4"/>
      <c r="I1713" s="47"/>
      <c r="J1713" s="47" t="str">
        <f t="shared" si="39"/>
        <v/>
      </c>
      <c r="K1713" s="47"/>
      <c r="L1713" s="47"/>
      <c r="N1713" s="47"/>
      <c r="O1713" s="47"/>
      <c r="P1713" s="47"/>
    </row>
    <row r="1714" spans="1:16" x14ac:dyDescent="0.3">
      <c r="A1714" s="1">
        <v>1713</v>
      </c>
      <c r="G1714" s="4"/>
      <c r="H1714" s="4"/>
      <c r="I1714" s="47"/>
      <c r="J1714" s="47" t="str">
        <f t="shared" si="39"/>
        <v/>
      </c>
      <c r="K1714" s="47"/>
      <c r="L1714" s="47"/>
      <c r="N1714" s="47"/>
      <c r="O1714" s="47"/>
      <c r="P1714" s="47"/>
    </row>
    <row r="1715" spans="1:16" x14ac:dyDescent="0.3">
      <c r="A1715" s="1">
        <v>1714</v>
      </c>
      <c r="G1715" s="4"/>
      <c r="H1715" s="4"/>
      <c r="I1715" s="47"/>
      <c r="J1715" s="47" t="str">
        <f t="shared" si="39"/>
        <v/>
      </c>
      <c r="K1715" s="47"/>
      <c r="L1715" s="47"/>
      <c r="N1715" s="47"/>
      <c r="O1715" s="47"/>
      <c r="P1715" s="47"/>
    </row>
    <row r="1716" spans="1:16" x14ac:dyDescent="0.3">
      <c r="A1716" s="1">
        <v>1715</v>
      </c>
      <c r="G1716" s="4"/>
      <c r="H1716" s="4"/>
      <c r="I1716" s="47"/>
      <c r="J1716" s="47" t="str">
        <f t="shared" si="39"/>
        <v/>
      </c>
      <c r="K1716" s="47"/>
      <c r="L1716" s="47"/>
      <c r="N1716" s="47"/>
      <c r="O1716" s="47"/>
      <c r="P1716" s="47"/>
    </row>
    <row r="1717" spans="1:16" x14ac:dyDescent="0.3">
      <c r="A1717" s="1">
        <v>1716</v>
      </c>
      <c r="G1717" s="4"/>
      <c r="H1717" s="4"/>
      <c r="I1717" s="47"/>
      <c r="J1717" s="47" t="str">
        <f t="shared" si="39"/>
        <v/>
      </c>
      <c r="K1717" s="47"/>
      <c r="L1717" s="47"/>
      <c r="N1717" s="47"/>
      <c r="O1717" s="47"/>
      <c r="P1717" s="47"/>
    </row>
    <row r="1718" spans="1:16" x14ac:dyDescent="0.3">
      <c r="A1718" s="1">
        <v>1717</v>
      </c>
      <c r="G1718" s="4"/>
      <c r="H1718" s="4"/>
      <c r="I1718" s="47"/>
      <c r="J1718" s="47" t="str">
        <f t="shared" si="39"/>
        <v/>
      </c>
      <c r="K1718" s="47"/>
      <c r="L1718" s="47"/>
      <c r="N1718" s="47"/>
      <c r="O1718" s="47"/>
      <c r="P1718" s="47"/>
    </row>
    <row r="1719" spans="1:16" x14ac:dyDescent="0.3">
      <c r="A1719" s="1">
        <v>1718</v>
      </c>
      <c r="G1719" s="4"/>
      <c r="H1719" s="4"/>
      <c r="I1719" s="47"/>
      <c r="J1719" s="47" t="str">
        <f t="shared" si="39"/>
        <v/>
      </c>
      <c r="K1719" s="47"/>
      <c r="L1719" s="47"/>
      <c r="N1719" s="47"/>
      <c r="O1719" s="47"/>
      <c r="P1719" s="47"/>
    </row>
    <row r="1720" spans="1:16" x14ac:dyDescent="0.3">
      <c r="A1720" s="1">
        <v>1719</v>
      </c>
      <c r="G1720" s="4"/>
      <c r="H1720" s="4"/>
      <c r="I1720" s="47"/>
      <c r="J1720" s="47" t="str">
        <f t="shared" si="39"/>
        <v/>
      </c>
      <c r="K1720" s="47"/>
      <c r="L1720" s="47"/>
      <c r="N1720" s="47"/>
      <c r="O1720" s="47"/>
      <c r="P1720" s="47"/>
    </row>
    <row r="1721" spans="1:16" x14ac:dyDescent="0.3">
      <c r="A1721" s="1">
        <v>1720</v>
      </c>
      <c r="G1721" s="4"/>
      <c r="H1721" s="4"/>
      <c r="I1721" s="47"/>
      <c r="J1721" s="47" t="str">
        <f t="shared" si="39"/>
        <v/>
      </c>
      <c r="K1721" s="47"/>
      <c r="L1721" s="47"/>
      <c r="N1721" s="47"/>
      <c r="O1721" s="47"/>
      <c r="P1721" s="47"/>
    </row>
    <row r="1722" spans="1:16" x14ac:dyDescent="0.3">
      <c r="A1722" s="1">
        <v>1721</v>
      </c>
      <c r="G1722" s="4"/>
      <c r="H1722" s="4"/>
      <c r="I1722" s="47"/>
      <c r="J1722" s="47" t="str">
        <f t="shared" si="39"/>
        <v/>
      </c>
      <c r="K1722" s="47"/>
      <c r="L1722" s="47"/>
      <c r="N1722" s="47"/>
      <c r="O1722" s="47"/>
      <c r="P1722" s="47"/>
    </row>
    <row r="1723" spans="1:16" x14ac:dyDescent="0.3">
      <c r="A1723" s="1">
        <v>1722</v>
      </c>
      <c r="G1723" s="4"/>
      <c r="H1723" s="4"/>
      <c r="I1723" s="47"/>
      <c r="J1723" s="47" t="str">
        <f t="shared" si="39"/>
        <v/>
      </c>
      <c r="K1723" s="47"/>
      <c r="L1723" s="47"/>
      <c r="N1723" s="47"/>
      <c r="O1723" s="47"/>
      <c r="P1723" s="47"/>
    </row>
    <row r="1724" spans="1:16" x14ac:dyDescent="0.3">
      <c r="A1724" s="1">
        <v>1723</v>
      </c>
      <c r="G1724" s="4"/>
      <c r="H1724" s="4"/>
      <c r="I1724" s="47"/>
      <c r="J1724" s="47" t="str">
        <f t="shared" si="39"/>
        <v/>
      </c>
      <c r="K1724" s="47"/>
      <c r="L1724" s="47"/>
      <c r="N1724" s="47"/>
      <c r="O1724" s="47"/>
      <c r="P1724" s="47"/>
    </row>
    <row r="1725" spans="1:16" x14ac:dyDescent="0.3">
      <c r="A1725" s="1">
        <v>1724</v>
      </c>
      <c r="G1725" s="4"/>
      <c r="H1725" s="4"/>
      <c r="I1725" s="47"/>
      <c r="J1725" s="47" t="str">
        <f t="shared" si="39"/>
        <v/>
      </c>
      <c r="K1725" s="47"/>
      <c r="L1725" s="47"/>
      <c r="N1725" s="47"/>
      <c r="O1725" s="47"/>
      <c r="P1725" s="47"/>
    </row>
    <row r="1726" spans="1:16" x14ac:dyDescent="0.3">
      <c r="A1726" s="1">
        <v>1725</v>
      </c>
      <c r="G1726" s="4"/>
      <c r="H1726" s="4"/>
      <c r="I1726" s="47"/>
      <c r="J1726" s="47" t="str">
        <f t="shared" si="39"/>
        <v/>
      </c>
      <c r="K1726" s="47"/>
      <c r="L1726" s="47"/>
      <c r="N1726" s="47"/>
      <c r="O1726" s="47"/>
      <c r="P1726" s="47"/>
    </row>
    <row r="1727" spans="1:16" x14ac:dyDescent="0.3">
      <c r="A1727" s="1">
        <v>1726</v>
      </c>
      <c r="G1727" s="4"/>
      <c r="H1727" s="4"/>
      <c r="I1727" s="47"/>
      <c r="J1727" s="47" t="str">
        <f t="shared" si="39"/>
        <v/>
      </c>
      <c r="K1727" s="47"/>
      <c r="L1727" s="47"/>
      <c r="N1727" s="47"/>
      <c r="O1727" s="47"/>
      <c r="P1727" s="47"/>
    </row>
    <row r="1728" spans="1:16" x14ac:dyDescent="0.3">
      <c r="A1728" s="1">
        <v>1727</v>
      </c>
      <c r="G1728" s="4"/>
      <c r="H1728" s="4"/>
      <c r="I1728" s="47"/>
      <c r="J1728" s="47" t="str">
        <f t="shared" si="39"/>
        <v/>
      </c>
      <c r="K1728" s="47"/>
      <c r="L1728" s="47"/>
      <c r="N1728" s="47"/>
      <c r="O1728" s="47"/>
      <c r="P1728" s="47"/>
    </row>
    <row r="1729" spans="1:16" x14ac:dyDescent="0.3">
      <c r="A1729" s="1">
        <v>1728</v>
      </c>
      <c r="G1729" s="4"/>
      <c r="H1729" s="4"/>
      <c r="I1729" s="47"/>
      <c r="J1729" s="47" t="str">
        <f t="shared" si="39"/>
        <v/>
      </c>
      <c r="K1729" s="47"/>
      <c r="L1729" s="47"/>
      <c r="N1729" s="47"/>
      <c r="O1729" s="47"/>
      <c r="P1729" s="47"/>
    </row>
    <row r="1730" spans="1:16" x14ac:dyDescent="0.3">
      <c r="A1730" s="1">
        <v>1729</v>
      </c>
      <c r="G1730" s="4"/>
      <c r="H1730" s="4"/>
      <c r="I1730" s="47"/>
      <c r="J1730" s="47" t="str">
        <f t="shared" si="39"/>
        <v/>
      </c>
      <c r="K1730" s="47"/>
      <c r="L1730" s="47"/>
      <c r="N1730" s="47"/>
      <c r="O1730" s="47"/>
      <c r="P1730" s="47"/>
    </row>
    <row r="1731" spans="1:16" x14ac:dyDescent="0.3">
      <c r="A1731" s="1">
        <v>1730</v>
      </c>
      <c r="G1731" s="4"/>
      <c r="H1731" s="4"/>
      <c r="I1731" s="47"/>
      <c r="J1731" s="47" t="str">
        <f t="shared" ref="J1731:J1794" si="40">+E1731&amp;I1731</f>
        <v/>
      </c>
      <c r="K1731" s="47"/>
      <c r="L1731" s="47"/>
      <c r="N1731" s="47"/>
      <c r="O1731" s="47"/>
      <c r="P1731" s="47"/>
    </row>
    <row r="1732" spans="1:16" x14ac:dyDescent="0.3">
      <c r="A1732" s="1">
        <v>1731</v>
      </c>
      <c r="G1732" s="4"/>
      <c r="H1732" s="4"/>
      <c r="I1732" s="47"/>
      <c r="J1732" s="47" t="str">
        <f t="shared" si="40"/>
        <v/>
      </c>
      <c r="K1732" s="47"/>
      <c r="L1732" s="47"/>
      <c r="N1732" s="47"/>
      <c r="O1732" s="47"/>
      <c r="P1732" s="47"/>
    </row>
    <row r="1733" spans="1:16" x14ac:dyDescent="0.3">
      <c r="A1733" s="1">
        <v>1732</v>
      </c>
      <c r="G1733" s="4"/>
      <c r="H1733" s="4"/>
      <c r="I1733" s="47"/>
      <c r="J1733" s="47" t="str">
        <f t="shared" si="40"/>
        <v/>
      </c>
      <c r="K1733" s="47"/>
      <c r="L1733" s="47"/>
      <c r="N1733" s="47"/>
      <c r="O1733" s="47"/>
      <c r="P1733" s="47"/>
    </row>
    <row r="1734" spans="1:16" x14ac:dyDescent="0.3">
      <c r="A1734" s="1">
        <v>1733</v>
      </c>
      <c r="G1734" s="4"/>
      <c r="H1734" s="4"/>
      <c r="I1734" s="47"/>
      <c r="J1734" s="47" t="str">
        <f t="shared" si="40"/>
        <v/>
      </c>
      <c r="K1734" s="47"/>
      <c r="L1734" s="47"/>
      <c r="N1734" s="47"/>
      <c r="O1734" s="47"/>
      <c r="P1734" s="47"/>
    </row>
    <row r="1735" spans="1:16" x14ac:dyDescent="0.3">
      <c r="A1735" s="1">
        <v>1734</v>
      </c>
      <c r="G1735" s="4"/>
      <c r="H1735" s="4"/>
      <c r="I1735" s="47"/>
      <c r="J1735" s="47" t="str">
        <f t="shared" si="40"/>
        <v/>
      </c>
      <c r="K1735" s="47"/>
      <c r="L1735" s="47"/>
      <c r="N1735" s="47"/>
      <c r="O1735" s="47"/>
      <c r="P1735" s="47"/>
    </row>
    <row r="1736" spans="1:16" x14ac:dyDescent="0.3">
      <c r="A1736" s="1">
        <v>1735</v>
      </c>
      <c r="G1736" s="4"/>
      <c r="H1736" s="4"/>
      <c r="I1736" s="47"/>
      <c r="J1736" s="47" t="str">
        <f t="shared" si="40"/>
        <v/>
      </c>
      <c r="K1736" s="47"/>
      <c r="L1736" s="47"/>
      <c r="N1736" s="47"/>
      <c r="O1736" s="47"/>
      <c r="P1736" s="47"/>
    </row>
    <row r="1737" spans="1:16" x14ac:dyDescent="0.3">
      <c r="A1737" s="1">
        <v>1736</v>
      </c>
      <c r="G1737" s="4"/>
      <c r="H1737" s="4"/>
      <c r="I1737" s="47"/>
      <c r="J1737" s="47" t="str">
        <f t="shared" si="40"/>
        <v/>
      </c>
      <c r="K1737" s="47"/>
      <c r="L1737" s="47"/>
      <c r="N1737" s="47"/>
      <c r="O1737" s="47"/>
      <c r="P1737" s="47"/>
    </row>
    <row r="1738" spans="1:16" x14ac:dyDescent="0.3">
      <c r="A1738" s="1">
        <v>1737</v>
      </c>
      <c r="G1738" s="4"/>
      <c r="H1738" s="4"/>
      <c r="I1738" s="47"/>
      <c r="J1738" s="47" t="str">
        <f t="shared" si="40"/>
        <v/>
      </c>
      <c r="K1738" s="47"/>
      <c r="L1738" s="47"/>
      <c r="N1738" s="47"/>
      <c r="O1738" s="47"/>
      <c r="P1738" s="47"/>
    </row>
    <row r="1739" spans="1:16" x14ac:dyDescent="0.3">
      <c r="A1739" s="1">
        <v>1738</v>
      </c>
      <c r="G1739" s="4"/>
      <c r="H1739" s="4"/>
      <c r="I1739" s="47"/>
      <c r="J1739" s="47" t="str">
        <f t="shared" si="40"/>
        <v/>
      </c>
      <c r="K1739" s="47"/>
      <c r="L1739" s="47"/>
      <c r="N1739" s="47"/>
      <c r="O1739" s="47"/>
      <c r="P1739" s="47"/>
    </row>
    <row r="1740" spans="1:16" x14ac:dyDescent="0.3">
      <c r="A1740" s="1">
        <v>1739</v>
      </c>
      <c r="G1740" s="4"/>
      <c r="H1740" s="4"/>
      <c r="I1740" s="47"/>
      <c r="J1740" s="47" t="str">
        <f t="shared" si="40"/>
        <v/>
      </c>
      <c r="K1740" s="47"/>
      <c r="L1740" s="47"/>
      <c r="N1740" s="47"/>
      <c r="O1740" s="47"/>
      <c r="P1740" s="47"/>
    </row>
    <row r="1741" spans="1:16" x14ac:dyDescent="0.3">
      <c r="A1741" s="1">
        <v>1740</v>
      </c>
      <c r="G1741" s="4"/>
      <c r="H1741" s="4"/>
      <c r="I1741" s="47"/>
      <c r="J1741" s="47" t="str">
        <f t="shared" si="40"/>
        <v/>
      </c>
      <c r="K1741" s="47"/>
      <c r="L1741" s="47"/>
      <c r="N1741" s="47"/>
      <c r="O1741" s="47"/>
      <c r="P1741" s="47"/>
    </row>
    <row r="1742" spans="1:16" x14ac:dyDescent="0.3">
      <c r="A1742" s="1">
        <v>1741</v>
      </c>
      <c r="G1742" s="4"/>
      <c r="H1742" s="4"/>
      <c r="I1742" s="47"/>
      <c r="J1742" s="47" t="str">
        <f t="shared" si="40"/>
        <v/>
      </c>
      <c r="K1742" s="47"/>
      <c r="L1742" s="47"/>
      <c r="N1742" s="47"/>
      <c r="O1742" s="47"/>
      <c r="P1742" s="47"/>
    </row>
    <row r="1743" spans="1:16" x14ac:dyDescent="0.3">
      <c r="A1743" s="1">
        <v>1742</v>
      </c>
      <c r="G1743" s="4"/>
      <c r="H1743" s="4"/>
      <c r="I1743" s="47"/>
      <c r="J1743" s="47" t="str">
        <f t="shared" si="40"/>
        <v/>
      </c>
      <c r="K1743" s="47"/>
      <c r="L1743" s="47"/>
      <c r="N1743" s="47"/>
      <c r="O1743" s="47"/>
      <c r="P1743" s="47"/>
    </row>
    <row r="1744" spans="1:16" x14ac:dyDescent="0.3">
      <c r="A1744" s="1">
        <v>1743</v>
      </c>
      <c r="G1744" s="4"/>
      <c r="H1744" s="4"/>
      <c r="I1744" s="47"/>
      <c r="J1744" s="47" t="str">
        <f t="shared" si="40"/>
        <v/>
      </c>
      <c r="K1744" s="47"/>
      <c r="L1744" s="47"/>
      <c r="N1744" s="47"/>
      <c r="O1744" s="47"/>
      <c r="P1744" s="47"/>
    </row>
    <row r="1745" spans="1:16" x14ac:dyDescent="0.3">
      <c r="A1745" s="1">
        <v>1744</v>
      </c>
      <c r="G1745" s="4"/>
      <c r="H1745" s="4"/>
      <c r="I1745" s="47"/>
      <c r="J1745" s="47" t="str">
        <f t="shared" si="40"/>
        <v/>
      </c>
      <c r="K1745" s="47"/>
      <c r="L1745" s="47"/>
      <c r="N1745" s="47"/>
      <c r="O1745" s="47"/>
      <c r="P1745" s="47"/>
    </row>
    <row r="1746" spans="1:16" x14ac:dyDescent="0.3">
      <c r="A1746" s="1">
        <v>1745</v>
      </c>
      <c r="G1746" s="4"/>
      <c r="H1746" s="4"/>
      <c r="I1746" s="47"/>
      <c r="J1746" s="47" t="str">
        <f t="shared" si="40"/>
        <v/>
      </c>
      <c r="K1746" s="47"/>
      <c r="L1746" s="47"/>
      <c r="N1746" s="47"/>
      <c r="O1746" s="47"/>
      <c r="P1746" s="47"/>
    </row>
    <row r="1747" spans="1:16" x14ac:dyDescent="0.3">
      <c r="A1747" s="1">
        <v>1746</v>
      </c>
      <c r="G1747" s="4"/>
      <c r="H1747" s="4"/>
      <c r="I1747" s="47"/>
      <c r="J1747" s="47" t="str">
        <f t="shared" si="40"/>
        <v/>
      </c>
      <c r="K1747" s="47"/>
      <c r="L1747" s="47"/>
      <c r="N1747" s="47"/>
      <c r="O1747" s="47"/>
      <c r="P1747" s="47"/>
    </row>
    <row r="1748" spans="1:16" x14ac:dyDescent="0.3">
      <c r="A1748" s="1">
        <v>1747</v>
      </c>
      <c r="G1748" s="4"/>
      <c r="H1748" s="4"/>
      <c r="I1748" s="47"/>
      <c r="J1748" s="47" t="str">
        <f t="shared" si="40"/>
        <v/>
      </c>
      <c r="K1748" s="47"/>
      <c r="L1748" s="47"/>
      <c r="N1748" s="47"/>
      <c r="O1748" s="47"/>
      <c r="P1748" s="47"/>
    </row>
    <row r="1749" spans="1:16" x14ac:dyDescent="0.3">
      <c r="A1749" s="1">
        <v>1748</v>
      </c>
      <c r="G1749" s="4"/>
      <c r="H1749" s="4"/>
      <c r="I1749" s="47"/>
      <c r="J1749" s="47" t="str">
        <f t="shared" si="40"/>
        <v/>
      </c>
      <c r="K1749" s="47"/>
      <c r="L1749" s="47"/>
      <c r="N1749" s="47"/>
      <c r="O1749" s="47"/>
      <c r="P1749" s="47"/>
    </row>
    <row r="1750" spans="1:16" x14ac:dyDescent="0.3">
      <c r="A1750" s="1">
        <v>1749</v>
      </c>
      <c r="G1750" s="4"/>
      <c r="H1750" s="4"/>
      <c r="I1750" s="47"/>
      <c r="J1750" s="47" t="str">
        <f t="shared" si="40"/>
        <v/>
      </c>
      <c r="K1750" s="47"/>
      <c r="L1750" s="47"/>
      <c r="N1750" s="47"/>
      <c r="O1750" s="47"/>
      <c r="P1750" s="47"/>
    </row>
    <row r="1751" spans="1:16" x14ac:dyDescent="0.3">
      <c r="A1751" s="1">
        <v>1750</v>
      </c>
      <c r="G1751" s="4"/>
      <c r="H1751" s="4"/>
      <c r="I1751" s="47"/>
      <c r="J1751" s="47" t="str">
        <f t="shared" si="40"/>
        <v/>
      </c>
      <c r="K1751" s="47"/>
      <c r="L1751" s="47"/>
      <c r="N1751" s="47"/>
      <c r="O1751" s="47"/>
      <c r="P1751" s="47"/>
    </row>
    <row r="1752" spans="1:16" x14ac:dyDescent="0.3">
      <c r="A1752" s="1">
        <v>1751</v>
      </c>
      <c r="G1752" s="4"/>
      <c r="H1752" s="4"/>
      <c r="I1752" s="47"/>
      <c r="J1752" s="47" t="str">
        <f t="shared" si="40"/>
        <v/>
      </c>
      <c r="K1752" s="47"/>
      <c r="L1752" s="47"/>
      <c r="N1752" s="47"/>
      <c r="O1752" s="47"/>
      <c r="P1752" s="47"/>
    </row>
    <row r="1753" spans="1:16" x14ac:dyDescent="0.3">
      <c r="A1753" s="1">
        <v>1752</v>
      </c>
      <c r="G1753" s="4"/>
      <c r="H1753" s="4"/>
      <c r="I1753" s="47"/>
      <c r="J1753" s="47" t="str">
        <f t="shared" si="40"/>
        <v/>
      </c>
      <c r="K1753" s="47"/>
      <c r="L1753" s="47"/>
      <c r="N1753" s="47"/>
      <c r="O1753" s="47"/>
      <c r="P1753" s="47"/>
    </row>
    <row r="1754" spans="1:16" x14ac:dyDescent="0.3">
      <c r="A1754" s="1">
        <v>1753</v>
      </c>
      <c r="G1754" s="4"/>
      <c r="H1754" s="4"/>
      <c r="I1754" s="47"/>
      <c r="J1754" s="47" t="str">
        <f t="shared" si="40"/>
        <v/>
      </c>
      <c r="K1754" s="47"/>
      <c r="L1754" s="47"/>
      <c r="N1754" s="47"/>
      <c r="O1754" s="47"/>
      <c r="P1754" s="47"/>
    </row>
    <row r="1755" spans="1:16" x14ac:dyDescent="0.3">
      <c r="A1755" s="1">
        <v>1754</v>
      </c>
      <c r="G1755" s="4"/>
      <c r="H1755" s="4"/>
      <c r="I1755" s="47"/>
      <c r="J1755" s="47" t="str">
        <f t="shared" si="40"/>
        <v/>
      </c>
      <c r="K1755" s="47"/>
      <c r="L1755" s="47"/>
      <c r="N1755" s="47"/>
      <c r="O1755" s="47"/>
      <c r="P1755" s="47"/>
    </row>
    <row r="1756" spans="1:16" x14ac:dyDescent="0.3">
      <c r="A1756" s="1">
        <v>1755</v>
      </c>
      <c r="G1756" s="4"/>
      <c r="H1756" s="4"/>
      <c r="I1756" s="47"/>
      <c r="J1756" s="47" t="str">
        <f t="shared" si="40"/>
        <v/>
      </c>
      <c r="K1756" s="47"/>
      <c r="L1756" s="47"/>
      <c r="N1756" s="47"/>
      <c r="O1756" s="47"/>
      <c r="P1756" s="47"/>
    </row>
    <row r="1757" spans="1:16" x14ac:dyDescent="0.3">
      <c r="A1757" s="1">
        <v>1756</v>
      </c>
      <c r="G1757" s="4"/>
      <c r="H1757" s="4"/>
      <c r="I1757" s="47"/>
      <c r="J1757" s="47" t="str">
        <f t="shared" si="40"/>
        <v/>
      </c>
      <c r="K1757" s="47"/>
      <c r="L1757" s="47"/>
      <c r="N1757" s="47"/>
      <c r="O1757" s="47"/>
      <c r="P1757" s="47"/>
    </row>
    <row r="1758" spans="1:16" x14ac:dyDescent="0.3">
      <c r="A1758" s="1">
        <v>1757</v>
      </c>
      <c r="G1758" s="4"/>
      <c r="H1758" s="4"/>
      <c r="I1758" s="47"/>
      <c r="J1758" s="47" t="str">
        <f t="shared" si="40"/>
        <v/>
      </c>
      <c r="K1758" s="47"/>
      <c r="L1758" s="47"/>
      <c r="N1758" s="47"/>
      <c r="O1758" s="47"/>
      <c r="P1758" s="47"/>
    </row>
    <row r="1759" spans="1:16" x14ac:dyDescent="0.3">
      <c r="A1759" s="1">
        <v>1758</v>
      </c>
      <c r="G1759" s="4"/>
      <c r="H1759" s="4"/>
      <c r="I1759" s="47"/>
      <c r="J1759" s="47" t="str">
        <f t="shared" si="40"/>
        <v/>
      </c>
      <c r="K1759" s="47"/>
      <c r="L1759" s="47"/>
      <c r="N1759" s="47"/>
      <c r="O1759" s="47"/>
      <c r="P1759" s="47"/>
    </row>
    <row r="1760" spans="1:16" x14ac:dyDescent="0.3">
      <c r="A1760" s="1">
        <v>1759</v>
      </c>
      <c r="G1760" s="4"/>
      <c r="H1760" s="4"/>
      <c r="I1760" s="47"/>
      <c r="J1760" s="47" t="str">
        <f t="shared" si="40"/>
        <v/>
      </c>
      <c r="K1760" s="47"/>
      <c r="L1760" s="47"/>
      <c r="N1760" s="47"/>
      <c r="O1760" s="47"/>
      <c r="P1760" s="47"/>
    </row>
    <row r="1761" spans="1:16" x14ac:dyDescent="0.3">
      <c r="A1761" s="1">
        <v>1760</v>
      </c>
      <c r="G1761" s="4"/>
      <c r="H1761" s="4"/>
      <c r="I1761" s="47"/>
      <c r="J1761" s="47" t="str">
        <f t="shared" si="40"/>
        <v/>
      </c>
      <c r="K1761" s="47"/>
      <c r="L1761" s="47"/>
      <c r="N1761" s="47"/>
      <c r="O1761" s="47"/>
      <c r="P1761" s="47"/>
    </row>
    <row r="1762" spans="1:16" x14ac:dyDescent="0.3">
      <c r="A1762" s="1">
        <v>1761</v>
      </c>
      <c r="G1762" s="4"/>
      <c r="H1762" s="4"/>
      <c r="I1762" s="47"/>
      <c r="J1762" s="47" t="str">
        <f t="shared" si="40"/>
        <v/>
      </c>
      <c r="K1762" s="47"/>
      <c r="L1762" s="47"/>
      <c r="N1762" s="47"/>
      <c r="O1762" s="47"/>
      <c r="P1762" s="47"/>
    </row>
    <row r="1763" spans="1:16" x14ac:dyDescent="0.3">
      <c r="A1763" s="1">
        <v>1762</v>
      </c>
      <c r="G1763" s="4"/>
      <c r="H1763" s="4"/>
      <c r="I1763" s="47"/>
      <c r="J1763" s="47" t="str">
        <f t="shared" si="40"/>
        <v/>
      </c>
      <c r="K1763" s="47"/>
      <c r="L1763" s="47"/>
      <c r="N1763" s="47"/>
      <c r="O1763" s="47"/>
      <c r="P1763" s="47"/>
    </row>
    <row r="1764" spans="1:16" x14ac:dyDescent="0.3">
      <c r="A1764" s="1">
        <v>1763</v>
      </c>
      <c r="G1764" s="4"/>
      <c r="H1764" s="4"/>
      <c r="I1764" s="47"/>
      <c r="J1764" s="47" t="str">
        <f t="shared" si="40"/>
        <v/>
      </c>
      <c r="K1764" s="47"/>
      <c r="L1764" s="47"/>
      <c r="N1764" s="47"/>
      <c r="O1764" s="47"/>
      <c r="P1764" s="47"/>
    </row>
    <row r="1765" spans="1:16" x14ac:dyDescent="0.3">
      <c r="A1765" s="1">
        <v>1764</v>
      </c>
      <c r="G1765" s="4"/>
      <c r="H1765" s="4"/>
      <c r="I1765" s="47"/>
      <c r="J1765" s="47" t="str">
        <f t="shared" si="40"/>
        <v/>
      </c>
      <c r="K1765" s="47"/>
      <c r="L1765" s="47"/>
      <c r="N1765" s="47"/>
      <c r="O1765" s="47"/>
      <c r="P1765" s="47"/>
    </row>
    <row r="1766" spans="1:16" x14ac:dyDescent="0.3">
      <c r="A1766" s="1">
        <v>1765</v>
      </c>
      <c r="G1766" s="4"/>
      <c r="H1766" s="4"/>
      <c r="I1766" s="47"/>
      <c r="J1766" s="47" t="str">
        <f t="shared" si="40"/>
        <v/>
      </c>
      <c r="K1766" s="47"/>
      <c r="L1766" s="47"/>
      <c r="N1766" s="47"/>
      <c r="O1766" s="47"/>
      <c r="P1766" s="47"/>
    </row>
    <row r="1767" spans="1:16" x14ac:dyDescent="0.3">
      <c r="A1767" s="1">
        <v>1766</v>
      </c>
      <c r="G1767" s="4"/>
      <c r="H1767" s="4"/>
      <c r="I1767" s="47"/>
      <c r="J1767" s="47" t="str">
        <f t="shared" si="40"/>
        <v/>
      </c>
      <c r="K1767" s="47"/>
      <c r="L1767" s="47"/>
      <c r="N1767" s="47"/>
      <c r="O1767" s="47"/>
      <c r="P1767" s="47"/>
    </row>
    <row r="1768" spans="1:16" x14ac:dyDescent="0.3">
      <c r="A1768" s="1">
        <v>1767</v>
      </c>
      <c r="G1768" s="4"/>
      <c r="H1768" s="4"/>
      <c r="I1768" s="47"/>
      <c r="J1768" s="47" t="str">
        <f t="shared" si="40"/>
        <v/>
      </c>
      <c r="K1768" s="47"/>
      <c r="L1768" s="47"/>
      <c r="N1768" s="47"/>
      <c r="O1768" s="47"/>
      <c r="P1768" s="47"/>
    </row>
    <row r="1769" spans="1:16" x14ac:dyDescent="0.3">
      <c r="A1769" s="1">
        <v>1768</v>
      </c>
      <c r="G1769" s="4"/>
      <c r="H1769" s="4"/>
      <c r="I1769" s="47"/>
      <c r="J1769" s="47" t="str">
        <f t="shared" si="40"/>
        <v/>
      </c>
      <c r="K1769" s="47"/>
      <c r="L1769" s="47"/>
      <c r="N1769" s="47"/>
      <c r="O1769" s="47"/>
      <c r="P1769" s="47"/>
    </row>
    <row r="1770" spans="1:16" x14ac:dyDescent="0.3">
      <c r="A1770" s="1">
        <v>1769</v>
      </c>
      <c r="G1770" s="4"/>
      <c r="H1770" s="4"/>
      <c r="I1770" s="47"/>
      <c r="J1770" s="47" t="str">
        <f t="shared" si="40"/>
        <v/>
      </c>
      <c r="K1770" s="47"/>
      <c r="L1770" s="47"/>
      <c r="N1770" s="47"/>
      <c r="O1770" s="47"/>
      <c r="P1770" s="47"/>
    </row>
    <row r="1771" spans="1:16" x14ac:dyDescent="0.3">
      <c r="A1771" s="1">
        <v>1770</v>
      </c>
      <c r="G1771" s="4"/>
      <c r="H1771" s="4"/>
      <c r="I1771" s="47"/>
      <c r="J1771" s="47" t="str">
        <f t="shared" si="40"/>
        <v/>
      </c>
      <c r="K1771" s="47"/>
      <c r="L1771" s="47"/>
      <c r="N1771" s="47"/>
      <c r="O1771" s="47"/>
      <c r="P1771" s="47"/>
    </row>
    <row r="1772" spans="1:16" x14ac:dyDescent="0.3">
      <c r="A1772" s="1">
        <v>1771</v>
      </c>
      <c r="G1772" s="4"/>
      <c r="H1772" s="4"/>
      <c r="I1772" s="47"/>
      <c r="J1772" s="47" t="str">
        <f t="shared" si="40"/>
        <v/>
      </c>
      <c r="K1772" s="47"/>
      <c r="L1772" s="47"/>
      <c r="N1772" s="47"/>
      <c r="O1772" s="47"/>
      <c r="P1772" s="47"/>
    </row>
    <row r="1773" spans="1:16" x14ac:dyDescent="0.3">
      <c r="A1773" s="1">
        <v>1772</v>
      </c>
      <c r="G1773" s="4"/>
      <c r="H1773" s="4"/>
      <c r="I1773" s="47"/>
      <c r="J1773" s="47" t="str">
        <f t="shared" si="40"/>
        <v/>
      </c>
      <c r="K1773" s="47"/>
      <c r="L1773" s="47"/>
      <c r="N1773" s="47"/>
      <c r="O1773" s="47"/>
      <c r="P1773" s="47"/>
    </row>
    <row r="1774" spans="1:16" x14ac:dyDescent="0.3">
      <c r="A1774" s="1">
        <v>1773</v>
      </c>
      <c r="G1774" s="4"/>
      <c r="H1774" s="4"/>
      <c r="I1774" s="47"/>
      <c r="J1774" s="47" t="str">
        <f t="shared" si="40"/>
        <v/>
      </c>
      <c r="K1774" s="47"/>
      <c r="L1774" s="47"/>
      <c r="N1774" s="47"/>
      <c r="O1774" s="47"/>
      <c r="P1774" s="47"/>
    </row>
    <row r="1775" spans="1:16" x14ac:dyDescent="0.3">
      <c r="A1775" s="1">
        <v>1774</v>
      </c>
      <c r="G1775" s="4"/>
      <c r="H1775" s="4"/>
      <c r="I1775" s="47"/>
      <c r="J1775" s="47" t="str">
        <f t="shared" si="40"/>
        <v/>
      </c>
      <c r="K1775" s="47"/>
      <c r="L1775" s="47"/>
      <c r="N1775" s="47"/>
      <c r="O1775" s="47"/>
      <c r="P1775" s="47"/>
    </row>
    <row r="1776" spans="1:16" x14ac:dyDescent="0.3">
      <c r="A1776" s="1">
        <v>1775</v>
      </c>
      <c r="G1776" s="4"/>
      <c r="H1776" s="4"/>
      <c r="I1776" s="47"/>
      <c r="J1776" s="47" t="str">
        <f t="shared" si="40"/>
        <v/>
      </c>
      <c r="K1776" s="47"/>
      <c r="L1776" s="47"/>
      <c r="N1776" s="47"/>
      <c r="O1776" s="47"/>
      <c r="P1776" s="47"/>
    </row>
    <row r="1777" spans="1:16" x14ac:dyDescent="0.3">
      <c r="A1777" s="1">
        <v>1776</v>
      </c>
      <c r="G1777" s="4"/>
      <c r="H1777" s="4"/>
      <c r="I1777" s="47"/>
      <c r="J1777" s="47" t="str">
        <f t="shared" si="40"/>
        <v/>
      </c>
      <c r="K1777" s="47"/>
      <c r="L1777" s="47"/>
      <c r="N1777" s="47"/>
      <c r="O1777" s="47"/>
      <c r="P1777" s="47"/>
    </row>
    <row r="1778" spans="1:16" x14ac:dyDescent="0.3">
      <c r="A1778" s="1">
        <v>1777</v>
      </c>
      <c r="G1778" s="4"/>
      <c r="H1778" s="4"/>
      <c r="I1778" s="47"/>
      <c r="J1778" s="47" t="str">
        <f t="shared" si="40"/>
        <v/>
      </c>
      <c r="K1778" s="47"/>
      <c r="L1778" s="47"/>
      <c r="N1778" s="47"/>
      <c r="O1778" s="47"/>
      <c r="P1778" s="47"/>
    </row>
    <row r="1779" spans="1:16" x14ac:dyDescent="0.3">
      <c r="A1779" s="1">
        <v>1778</v>
      </c>
      <c r="G1779" s="4"/>
      <c r="H1779" s="4"/>
      <c r="I1779" s="47"/>
      <c r="J1779" s="47" t="str">
        <f t="shared" si="40"/>
        <v/>
      </c>
      <c r="K1779" s="47"/>
      <c r="L1779" s="47"/>
      <c r="N1779" s="47"/>
      <c r="O1779" s="47"/>
      <c r="P1779" s="47"/>
    </row>
    <row r="1780" spans="1:16" x14ac:dyDescent="0.3">
      <c r="A1780" s="1">
        <v>1779</v>
      </c>
      <c r="G1780" s="4"/>
      <c r="H1780" s="4"/>
      <c r="I1780" s="47"/>
      <c r="J1780" s="47" t="str">
        <f t="shared" si="40"/>
        <v/>
      </c>
      <c r="K1780" s="47"/>
      <c r="L1780" s="47"/>
      <c r="N1780" s="47"/>
      <c r="O1780" s="47"/>
      <c r="P1780" s="47"/>
    </row>
    <row r="1781" spans="1:16" x14ac:dyDescent="0.3">
      <c r="A1781" s="1">
        <v>1780</v>
      </c>
      <c r="G1781" s="4"/>
      <c r="H1781" s="4"/>
      <c r="I1781" s="47"/>
      <c r="J1781" s="47" t="str">
        <f t="shared" si="40"/>
        <v/>
      </c>
      <c r="K1781" s="47"/>
      <c r="L1781" s="47"/>
      <c r="N1781" s="47"/>
      <c r="O1781" s="47"/>
      <c r="P1781" s="47"/>
    </row>
    <row r="1782" spans="1:16" x14ac:dyDescent="0.3">
      <c r="A1782" s="1">
        <v>1781</v>
      </c>
      <c r="G1782" s="4"/>
      <c r="H1782" s="4"/>
      <c r="I1782" s="47"/>
      <c r="J1782" s="47" t="str">
        <f t="shared" si="40"/>
        <v/>
      </c>
      <c r="K1782" s="47"/>
      <c r="L1782" s="47"/>
      <c r="N1782" s="47"/>
      <c r="O1782" s="47"/>
      <c r="P1782" s="47"/>
    </row>
    <row r="1783" spans="1:16" x14ac:dyDescent="0.3">
      <c r="A1783" s="1">
        <v>1782</v>
      </c>
      <c r="G1783" s="4"/>
      <c r="H1783" s="4"/>
      <c r="I1783" s="47"/>
      <c r="J1783" s="47" t="str">
        <f t="shared" si="40"/>
        <v/>
      </c>
      <c r="K1783" s="47"/>
      <c r="L1783" s="47"/>
      <c r="N1783" s="47"/>
      <c r="O1783" s="47"/>
      <c r="P1783" s="47"/>
    </row>
    <row r="1784" spans="1:16" x14ac:dyDescent="0.3">
      <c r="A1784" s="1">
        <v>1783</v>
      </c>
      <c r="G1784" s="4"/>
      <c r="H1784" s="4"/>
      <c r="I1784" s="47"/>
      <c r="J1784" s="47" t="str">
        <f t="shared" si="40"/>
        <v/>
      </c>
      <c r="K1784" s="47"/>
      <c r="L1784" s="47"/>
      <c r="N1784" s="47"/>
      <c r="O1784" s="47"/>
      <c r="P1784" s="47"/>
    </row>
    <row r="1785" spans="1:16" x14ac:dyDescent="0.3">
      <c r="A1785" s="1">
        <v>1784</v>
      </c>
      <c r="G1785" s="4"/>
      <c r="H1785" s="4"/>
      <c r="I1785" s="47"/>
      <c r="J1785" s="47" t="str">
        <f t="shared" si="40"/>
        <v/>
      </c>
      <c r="K1785" s="47"/>
      <c r="L1785" s="47"/>
      <c r="N1785" s="47"/>
      <c r="O1785" s="47"/>
      <c r="P1785" s="47"/>
    </row>
    <row r="1786" spans="1:16" x14ac:dyDescent="0.3">
      <c r="A1786" s="1">
        <v>1785</v>
      </c>
      <c r="G1786" s="4"/>
      <c r="H1786" s="4"/>
      <c r="I1786" s="47"/>
      <c r="J1786" s="47" t="str">
        <f t="shared" si="40"/>
        <v/>
      </c>
      <c r="K1786" s="47"/>
      <c r="L1786" s="47"/>
      <c r="N1786" s="47"/>
      <c r="O1786" s="47"/>
      <c r="P1786" s="47"/>
    </row>
    <row r="1787" spans="1:16" x14ac:dyDescent="0.3">
      <c r="A1787" s="1">
        <v>1786</v>
      </c>
      <c r="G1787" s="4"/>
      <c r="H1787" s="4"/>
      <c r="I1787" s="47"/>
      <c r="J1787" s="47" t="str">
        <f t="shared" si="40"/>
        <v/>
      </c>
      <c r="K1787" s="47"/>
      <c r="L1787" s="47"/>
      <c r="N1787" s="47"/>
      <c r="O1787" s="47"/>
      <c r="P1787" s="47"/>
    </row>
    <row r="1788" spans="1:16" x14ac:dyDescent="0.3">
      <c r="A1788" s="1">
        <v>1787</v>
      </c>
      <c r="G1788" s="4"/>
      <c r="H1788" s="4"/>
      <c r="I1788" s="47"/>
      <c r="J1788" s="47" t="str">
        <f t="shared" si="40"/>
        <v/>
      </c>
      <c r="K1788" s="47"/>
      <c r="L1788" s="47"/>
      <c r="N1788" s="47"/>
      <c r="O1788" s="47"/>
      <c r="P1788" s="47"/>
    </row>
    <row r="1789" spans="1:16" x14ac:dyDescent="0.3">
      <c r="A1789" s="1">
        <v>1788</v>
      </c>
      <c r="G1789" s="4"/>
      <c r="H1789" s="4"/>
      <c r="I1789" s="47"/>
      <c r="J1789" s="47" t="str">
        <f t="shared" si="40"/>
        <v/>
      </c>
      <c r="K1789" s="47"/>
      <c r="L1789" s="47"/>
      <c r="N1789" s="47"/>
      <c r="O1789" s="47"/>
      <c r="P1789" s="47"/>
    </row>
    <row r="1790" spans="1:16" x14ac:dyDescent="0.3">
      <c r="A1790" s="1">
        <v>1789</v>
      </c>
      <c r="G1790" s="4"/>
      <c r="H1790" s="4"/>
      <c r="I1790" s="47"/>
      <c r="J1790" s="47" t="str">
        <f t="shared" si="40"/>
        <v/>
      </c>
      <c r="K1790" s="47"/>
      <c r="L1790" s="47"/>
      <c r="N1790" s="47"/>
      <c r="O1790" s="47"/>
      <c r="P1790" s="47"/>
    </row>
    <row r="1791" spans="1:16" x14ac:dyDescent="0.3">
      <c r="A1791" s="1">
        <v>1790</v>
      </c>
      <c r="G1791" s="4"/>
      <c r="H1791" s="4"/>
      <c r="I1791" s="47"/>
      <c r="J1791" s="47" t="str">
        <f t="shared" si="40"/>
        <v/>
      </c>
      <c r="K1791" s="47"/>
      <c r="L1791" s="47"/>
      <c r="N1791" s="47"/>
      <c r="O1791" s="47"/>
      <c r="P1791" s="47"/>
    </row>
    <row r="1792" spans="1:16" x14ac:dyDescent="0.3">
      <c r="A1792" s="1">
        <v>1791</v>
      </c>
      <c r="G1792" s="4"/>
      <c r="H1792" s="4"/>
      <c r="I1792" s="47"/>
      <c r="J1792" s="47" t="str">
        <f t="shared" si="40"/>
        <v/>
      </c>
      <c r="K1792" s="47"/>
      <c r="L1792" s="47"/>
      <c r="N1792" s="47"/>
      <c r="O1792" s="47"/>
      <c r="P1792" s="47"/>
    </row>
    <row r="1793" spans="1:16" x14ac:dyDescent="0.3">
      <c r="A1793" s="1">
        <v>1792</v>
      </c>
      <c r="G1793" s="4"/>
      <c r="H1793" s="4"/>
      <c r="I1793" s="47"/>
      <c r="J1793" s="47" t="str">
        <f t="shared" si="40"/>
        <v/>
      </c>
      <c r="K1793" s="47"/>
      <c r="L1793" s="47"/>
      <c r="N1793" s="47"/>
      <c r="O1793" s="47"/>
      <c r="P1793" s="47"/>
    </row>
    <row r="1794" spans="1:16" x14ac:dyDescent="0.3">
      <c r="A1794" s="1">
        <v>1793</v>
      </c>
      <c r="G1794" s="4"/>
      <c r="H1794" s="4"/>
      <c r="I1794" s="47"/>
      <c r="J1794" s="47" t="str">
        <f t="shared" si="40"/>
        <v/>
      </c>
      <c r="K1794" s="47"/>
      <c r="L1794" s="47"/>
      <c r="N1794" s="47"/>
      <c r="O1794" s="47"/>
      <c r="P1794" s="47"/>
    </row>
    <row r="1795" spans="1:16" x14ac:dyDescent="0.3">
      <c r="A1795" s="1">
        <v>1794</v>
      </c>
      <c r="G1795" s="4"/>
      <c r="H1795" s="4"/>
      <c r="I1795" s="47"/>
      <c r="J1795" s="47" t="str">
        <f t="shared" ref="J1795:J1858" si="41">+E1795&amp;I1795</f>
        <v/>
      </c>
      <c r="K1795" s="47"/>
      <c r="L1795" s="47"/>
      <c r="N1795" s="47"/>
      <c r="O1795" s="47"/>
      <c r="P1795" s="47"/>
    </row>
    <row r="1796" spans="1:16" x14ac:dyDescent="0.3">
      <c r="A1796" s="1">
        <v>1795</v>
      </c>
      <c r="G1796" s="4"/>
      <c r="H1796" s="4"/>
      <c r="I1796" s="47"/>
      <c r="J1796" s="47" t="str">
        <f t="shared" si="41"/>
        <v/>
      </c>
      <c r="K1796" s="47"/>
      <c r="L1796" s="47"/>
      <c r="N1796" s="47"/>
      <c r="O1796" s="47"/>
      <c r="P1796" s="47"/>
    </row>
    <row r="1797" spans="1:16" x14ac:dyDescent="0.3">
      <c r="A1797" s="1">
        <v>1796</v>
      </c>
      <c r="G1797" s="4"/>
      <c r="H1797" s="4"/>
      <c r="I1797" s="47"/>
      <c r="J1797" s="47" t="str">
        <f t="shared" si="41"/>
        <v/>
      </c>
      <c r="K1797" s="47"/>
      <c r="L1797" s="47"/>
      <c r="N1797" s="47"/>
      <c r="O1797" s="47"/>
      <c r="P1797" s="47"/>
    </row>
    <row r="1798" spans="1:16" x14ac:dyDescent="0.3">
      <c r="A1798" s="1">
        <v>1797</v>
      </c>
      <c r="G1798" s="4"/>
      <c r="H1798" s="4"/>
      <c r="I1798" s="47"/>
      <c r="J1798" s="47" t="str">
        <f t="shared" si="41"/>
        <v/>
      </c>
      <c r="K1798" s="47"/>
      <c r="L1798" s="47"/>
      <c r="N1798" s="47"/>
      <c r="O1798" s="47"/>
      <c r="P1798" s="47"/>
    </row>
    <row r="1799" spans="1:16" x14ac:dyDescent="0.3">
      <c r="A1799" s="1">
        <v>1798</v>
      </c>
      <c r="G1799" s="4"/>
      <c r="H1799" s="4"/>
      <c r="I1799" s="47"/>
      <c r="J1799" s="47" t="str">
        <f t="shared" si="41"/>
        <v/>
      </c>
      <c r="K1799" s="47"/>
      <c r="L1799" s="47"/>
      <c r="N1799" s="47"/>
      <c r="O1799" s="47"/>
      <c r="P1799" s="47"/>
    </row>
    <row r="1800" spans="1:16" x14ac:dyDescent="0.3">
      <c r="A1800" s="1">
        <v>1799</v>
      </c>
      <c r="G1800" s="4"/>
      <c r="H1800" s="4"/>
      <c r="I1800" s="47"/>
      <c r="J1800" s="47" t="str">
        <f t="shared" si="41"/>
        <v/>
      </c>
      <c r="K1800" s="47"/>
      <c r="L1800" s="47"/>
      <c r="N1800" s="47"/>
      <c r="O1800" s="47"/>
      <c r="P1800" s="47"/>
    </row>
    <row r="1801" spans="1:16" x14ac:dyDescent="0.3">
      <c r="A1801" s="1">
        <v>1800</v>
      </c>
      <c r="G1801" s="4"/>
      <c r="H1801" s="4"/>
      <c r="I1801" s="47"/>
      <c r="J1801" s="47" t="str">
        <f t="shared" si="41"/>
        <v/>
      </c>
      <c r="K1801" s="47"/>
      <c r="L1801" s="47"/>
      <c r="N1801" s="47"/>
      <c r="O1801" s="47"/>
      <c r="P1801" s="47"/>
    </row>
    <row r="1802" spans="1:16" x14ac:dyDescent="0.3">
      <c r="A1802" s="1">
        <v>1801</v>
      </c>
      <c r="G1802" s="4"/>
      <c r="H1802" s="4"/>
      <c r="I1802" s="47"/>
      <c r="J1802" s="47" t="str">
        <f t="shared" si="41"/>
        <v/>
      </c>
      <c r="K1802" s="47"/>
      <c r="L1802" s="47"/>
      <c r="N1802" s="47"/>
      <c r="O1802" s="47"/>
      <c r="P1802" s="47"/>
    </row>
    <row r="1803" spans="1:16" x14ac:dyDescent="0.3">
      <c r="A1803" s="1">
        <v>1802</v>
      </c>
      <c r="G1803" s="4"/>
      <c r="H1803" s="4"/>
      <c r="I1803" s="47"/>
      <c r="J1803" s="47" t="str">
        <f t="shared" si="41"/>
        <v/>
      </c>
      <c r="K1803" s="47"/>
      <c r="L1803" s="47"/>
      <c r="N1803" s="47"/>
      <c r="O1803" s="47"/>
      <c r="P1803" s="47"/>
    </row>
    <row r="1804" spans="1:16" x14ac:dyDescent="0.3">
      <c r="A1804" s="1">
        <v>1803</v>
      </c>
      <c r="G1804" s="4"/>
      <c r="H1804" s="4"/>
      <c r="I1804" s="47"/>
      <c r="J1804" s="47" t="str">
        <f t="shared" si="41"/>
        <v/>
      </c>
      <c r="K1804" s="47"/>
      <c r="L1804" s="47"/>
      <c r="N1804" s="47"/>
      <c r="O1804" s="47"/>
      <c r="P1804" s="47"/>
    </row>
    <row r="1805" spans="1:16" x14ac:dyDescent="0.3">
      <c r="A1805" s="1">
        <v>1804</v>
      </c>
      <c r="G1805" s="4"/>
      <c r="H1805" s="4"/>
      <c r="I1805" s="47"/>
      <c r="J1805" s="47" t="str">
        <f t="shared" si="41"/>
        <v/>
      </c>
      <c r="K1805" s="47"/>
      <c r="L1805" s="47"/>
      <c r="N1805" s="47"/>
      <c r="O1805" s="47"/>
      <c r="P1805" s="47"/>
    </row>
    <row r="1806" spans="1:16" x14ac:dyDescent="0.3">
      <c r="A1806" s="1">
        <v>1805</v>
      </c>
      <c r="G1806" s="4"/>
      <c r="H1806" s="4"/>
      <c r="I1806" s="47"/>
      <c r="J1806" s="47" t="str">
        <f t="shared" si="41"/>
        <v/>
      </c>
      <c r="K1806" s="47"/>
      <c r="L1806" s="47"/>
      <c r="N1806" s="47"/>
      <c r="O1806" s="47"/>
      <c r="P1806" s="47"/>
    </row>
    <row r="1807" spans="1:16" x14ac:dyDescent="0.3">
      <c r="A1807" s="1">
        <v>1806</v>
      </c>
      <c r="G1807" s="4"/>
      <c r="H1807" s="4"/>
      <c r="I1807" s="47"/>
      <c r="J1807" s="47" t="str">
        <f t="shared" si="41"/>
        <v/>
      </c>
      <c r="K1807" s="47"/>
      <c r="L1807" s="47"/>
      <c r="N1807" s="47"/>
      <c r="O1807" s="47"/>
      <c r="P1807" s="47"/>
    </row>
    <row r="1808" spans="1:16" x14ac:dyDescent="0.3">
      <c r="A1808" s="1">
        <v>1807</v>
      </c>
      <c r="G1808" s="4"/>
      <c r="H1808" s="4"/>
      <c r="I1808" s="47"/>
      <c r="J1808" s="47" t="str">
        <f t="shared" si="41"/>
        <v/>
      </c>
      <c r="K1808" s="47"/>
      <c r="L1808" s="47"/>
      <c r="N1808" s="47"/>
      <c r="O1808" s="47"/>
      <c r="P1808" s="47"/>
    </row>
    <row r="1809" spans="1:16" x14ac:dyDescent="0.3">
      <c r="A1809" s="1">
        <v>1808</v>
      </c>
      <c r="G1809" s="4"/>
      <c r="H1809" s="4"/>
      <c r="I1809" s="47"/>
      <c r="J1809" s="47" t="str">
        <f t="shared" si="41"/>
        <v/>
      </c>
      <c r="K1809" s="47"/>
      <c r="L1809" s="47"/>
      <c r="N1809" s="47"/>
      <c r="O1809" s="47"/>
      <c r="P1809" s="47"/>
    </row>
    <row r="1810" spans="1:16" x14ac:dyDescent="0.3">
      <c r="A1810" s="1">
        <v>1809</v>
      </c>
      <c r="G1810" s="4"/>
      <c r="H1810" s="4"/>
      <c r="I1810" s="47"/>
      <c r="J1810" s="47" t="str">
        <f t="shared" si="41"/>
        <v/>
      </c>
      <c r="K1810" s="47"/>
      <c r="L1810" s="47"/>
      <c r="N1810" s="47"/>
      <c r="O1810" s="47"/>
      <c r="P1810" s="47"/>
    </row>
    <row r="1811" spans="1:16" x14ac:dyDescent="0.3">
      <c r="A1811" s="1">
        <v>1810</v>
      </c>
      <c r="G1811" s="4"/>
      <c r="H1811" s="4"/>
      <c r="I1811" s="47"/>
      <c r="J1811" s="47" t="str">
        <f t="shared" si="41"/>
        <v/>
      </c>
      <c r="K1811" s="47"/>
      <c r="L1811" s="47"/>
      <c r="N1811" s="47"/>
      <c r="O1811" s="47"/>
      <c r="P1811" s="47"/>
    </row>
    <row r="1812" spans="1:16" x14ac:dyDescent="0.3">
      <c r="A1812" s="1">
        <v>1811</v>
      </c>
      <c r="G1812" s="4"/>
      <c r="H1812" s="4"/>
      <c r="I1812" s="47"/>
      <c r="J1812" s="47" t="str">
        <f t="shared" si="41"/>
        <v/>
      </c>
      <c r="K1812" s="47"/>
      <c r="L1812" s="47"/>
      <c r="N1812" s="47"/>
      <c r="O1812" s="47"/>
      <c r="P1812" s="47"/>
    </row>
    <row r="1813" spans="1:16" x14ac:dyDescent="0.3">
      <c r="A1813" s="1">
        <v>1812</v>
      </c>
      <c r="G1813" s="4"/>
      <c r="H1813" s="4"/>
      <c r="I1813" s="47"/>
      <c r="J1813" s="47" t="str">
        <f t="shared" si="41"/>
        <v/>
      </c>
      <c r="K1813" s="47"/>
      <c r="L1813" s="47"/>
      <c r="N1813" s="47"/>
      <c r="O1813" s="47"/>
      <c r="P1813" s="47"/>
    </row>
    <row r="1814" spans="1:16" x14ac:dyDescent="0.3">
      <c r="A1814" s="1">
        <v>1813</v>
      </c>
      <c r="G1814" s="4"/>
      <c r="H1814" s="4"/>
      <c r="I1814" s="47"/>
      <c r="J1814" s="47" t="str">
        <f t="shared" si="41"/>
        <v/>
      </c>
      <c r="K1814" s="47"/>
      <c r="L1814" s="47"/>
      <c r="N1814" s="47"/>
      <c r="O1814" s="47"/>
      <c r="P1814" s="47"/>
    </row>
    <row r="1815" spans="1:16" x14ac:dyDescent="0.3">
      <c r="A1815" s="1">
        <v>1814</v>
      </c>
      <c r="G1815" s="4"/>
      <c r="H1815" s="4"/>
      <c r="I1815" s="47"/>
      <c r="J1815" s="47" t="str">
        <f t="shared" si="41"/>
        <v/>
      </c>
      <c r="K1815" s="47"/>
      <c r="L1815" s="47"/>
      <c r="N1815" s="47"/>
      <c r="O1815" s="47"/>
      <c r="P1815" s="47"/>
    </row>
    <row r="1816" spans="1:16" x14ac:dyDescent="0.3">
      <c r="A1816" s="1">
        <v>1815</v>
      </c>
      <c r="G1816" s="4"/>
      <c r="H1816" s="4"/>
      <c r="I1816" s="47"/>
      <c r="J1816" s="47" t="str">
        <f t="shared" si="41"/>
        <v/>
      </c>
      <c r="K1816" s="47"/>
      <c r="L1816" s="47"/>
      <c r="N1816" s="47"/>
      <c r="O1816" s="47"/>
      <c r="P1816" s="47"/>
    </row>
    <row r="1817" spans="1:16" x14ac:dyDescent="0.3">
      <c r="A1817" s="1">
        <v>1816</v>
      </c>
      <c r="G1817" s="4"/>
      <c r="H1817" s="4"/>
      <c r="I1817" s="47"/>
      <c r="J1817" s="47" t="str">
        <f t="shared" si="41"/>
        <v/>
      </c>
      <c r="K1817" s="47"/>
      <c r="L1817" s="47"/>
      <c r="N1817" s="47"/>
      <c r="O1817" s="47"/>
      <c r="P1817" s="47"/>
    </row>
    <row r="1818" spans="1:16" x14ac:dyDescent="0.3">
      <c r="A1818" s="1">
        <v>1817</v>
      </c>
      <c r="G1818" s="4"/>
      <c r="H1818" s="4"/>
      <c r="I1818" s="47"/>
      <c r="J1818" s="47" t="str">
        <f t="shared" si="41"/>
        <v/>
      </c>
      <c r="K1818" s="47"/>
      <c r="L1818" s="47"/>
      <c r="N1818" s="47"/>
      <c r="O1818" s="47"/>
      <c r="P1818" s="47"/>
    </row>
    <row r="1819" spans="1:16" x14ac:dyDescent="0.3">
      <c r="A1819" s="1">
        <v>1818</v>
      </c>
      <c r="G1819" s="4"/>
      <c r="H1819" s="4"/>
      <c r="I1819" s="47"/>
      <c r="J1819" s="47" t="str">
        <f t="shared" si="41"/>
        <v/>
      </c>
      <c r="K1819" s="47"/>
      <c r="L1819" s="47"/>
      <c r="N1819" s="47"/>
      <c r="O1819" s="47"/>
      <c r="P1819" s="47"/>
    </row>
    <row r="1820" spans="1:16" x14ac:dyDescent="0.3">
      <c r="A1820" s="1">
        <v>1819</v>
      </c>
      <c r="G1820" s="4"/>
      <c r="H1820" s="4"/>
      <c r="I1820" s="47"/>
      <c r="J1820" s="47" t="str">
        <f t="shared" si="41"/>
        <v/>
      </c>
      <c r="K1820" s="47"/>
      <c r="L1820" s="47"/>
      <c r="N1820" s="47"/>
      <c r="O1820" s="47"/>
      <c r="P1820" s="47"/>
    </row>
    <row r="1821" spans="1:16" x14ac:dyDescent="0.3">
      <c r="A1821" s="1">
        <v>1820</v>
      </c>
      <c r="G1821" s="4"/>
      <c r="H1821" s="4"/>
      <c r="I1821" s="47"/>
      <c r="J1821" s="47" t="str">
        <f t="shared" si="41"/>
        <v/>
      </c>
      <c r="K1821" s="47"/>
      <c r="L1821" s="47"/>
      <c r="N1821" s="47"/>
      <c r="O1821" s="47"/>
      <c r="P1821" s="47"/>
    </row>
    <row r="1822" spans="1:16" x14ac:dyDescent="0.3">
      <c r="A1822" s="1">
        <v>1821</v>
      </c>
      <c r="G1822" s="4"/>
      <c r="H1822" s="4"/>
      <c r="I1822" s="47"/>
      <c r="J1822" s="47" t="str">
        <f t="shared" si="41"/>
        <v/>
      </c>
      <c r="K1822" s="47"/>
      <c r="L1822" s="47"/>
      <c r="N1822" s="47"/>
      <c r="O1822" s="47"/>
      <c r="P1822" s="47"/>
    </row>
    <row r="1823" spans="1:16" x14ac:dyDescent="0.3">
      <c r="A1823" s="1">
        <v>1822</v>
      </c>
      <c r="G1823" s="4"/>
      <c r="H1823" s="4"/>
      <c r="I1823" s="47"/>
      <c r="J1823" s="47" t="str">
        <f t="shared" si="41"/>
        <v/>
      </c>
      <c r="K1823" s="47"/>
      <c r="L1823" s="47"/>
      <c r="N1823" s="47"/>
      <c r="O1823" s="47"/>
      <c r="P1823" s="47"/>
    </row>
    <row r="1824" spans="1:16" x14ac:dyDescent="0.3">
      <c r="A1824" s="1">
        <v>1823</v>
      </c>
      <c r="G1824" s="4"/>
      <c r="H1824" s="4"/>
      <c r="I1824" s="47"/>
      <c r="J1824" s="47" t="str">
        <f t="shared" si="41"/>
        <v/>
      </c>
      <c r="K1824" s="47"/>
      <c r="L1824" s="47"/>
      <c r="N1824" s="47"/>
      <c r="O1824" s="47"/>
      <c r="P1824" s="47"/>
    </row>
    <row r="1825" spans="1:16" x14ac:dyDescent="0.3">
      <c r="A1825" s="1">
        <v>1824</v>
      </c>
      <c r="G1825" s="4"/>
      <c r="H1825" s="4"/>
      <c r="I1825" s="47"/>
      <c r="J1825" s="47" t="str">
        <f t="shared" si="41"/>
        <v/>
      </c>
      <c r="K1825" s="47"/>
      <c r="L1825" s="47"/>
      <c r="N1825" s="47"/>
      <c r="O1825" s="47"/>
      <c r="P1825" s="47"/>
    </row>
    <row r="1826" spans="1:16" x14ac:dyDescent="0.3">
      <c r="A1826" s="1">
        <v>1825</v>
      </c>
      <c r="G1826" s="4"/>
      <c r="H1826" s="4"/>
      <c r="I1826" s="47"/>
      <c r="J1826" s="47" t="str">
        <f t="shared" si="41"/>
        <v/>
      </c>
      <c r="K1826" s="47"/>
      <c r="L1826" s="47"/>
      <c r="N1826" s="47"/>
      <c r="O1826" s="47"/>
      <c r="P1826" s="47"/>
    </row>
    <row r="1827" spans="1:16" x14ac:dyDescent="0.3">
      <c r="A1827" s="1">
        <v>1826</v>
      </c>
      <c r="G1827" s="4"/>
      <c r="H1827" s="4"/>
      <c r="I1827" s="47"/>
      <c r="J1827" s="47" t="str">
        <f t="shared" si="41"/>
        <v/>
      </c>
      <c r="K1827" s="47"/>
      <c r="L1827" s="47"/>
      <c r="N1827" s="47"/>
      <c r="O1827" s="47"/>
      <c r="P1827" s="47"/>
    </row>
    <row r="1828" spans="1:16" x14ac:dyDescent="0.3">
      <c r="A1828" s="1">
        <v>1827</v>
      </c>
      <c r="G1828" s="4"/>
      <c r="H1828" s="4"/>
      <c r="I1828" s="47"/>
      <c r="J1828" s="47" t="str">
        <f t="shared" si="41"/>
        <v/>
      </c>
      <c r="K1828" s="47"/>
      <c r="L1828" s="47"/>
      <c r="N1828" s="47"/>
      <c r="O1828" s="47"/>
      <c r="P1828" s="47"/>
    </row>
    <row r="1829" spans="1:16" x14ac:dyDescent="0.3">
      <c r="A1829" s="1">
        <v>1828</v>
      </c>
      <c r="G1829" s="4"/>
      <c r="H1829" s="4"/>
      <c r="I1829" s="47"/>
      <c r="J1829" s="47" t="str">
        <f t="shared" si="41"/>
        <v/>
      </c>
      <c r="K1829" s="47"/>
      <c r="L1829" s="47"/>
      <c r="N1829" s="47"/>
      <c r="O1829" s="47"/>
      <c r="P1829" s="47"/>
    </row>
    <row r="1830" spans="1:16" x14ac:dyDescent="0.3">
      <c r="A1830" s="1">
        <v>1829</v>
      </c>
      <c r="G1830" s="4"/>
      <c r="H1830" s="4"/>
      <c r="I1830" s="47"/>
      <c r="J1830" s="47" t="str">
        <f t="shared" si="41"/>
        <v/>
      </c>
      <c r="K1830" s="47"/>
      <c r="L1830" s="47"/>
      <c r="N1830" s="47"/>
      <c r="O1830" s="47"/>
      <c r="P1830" s="47"/>
    </row>
    <row r="1831" spans="1:16" x14ac:dyDescent="0.3">
      <c r="A1831" s="1">
        <v>1830</v>
      </c>
      <c r="G1831" s="4"/>
      <c r="H1831" s="4"/>
      <c r="I1831" s="47"/>
      <c r="J1831" s="47" t="str">
        <f t="shared" si="41"/>
        <v/>
      </c>
      <c r="K1831" s="47"/>
      <c r="L1831" s="47"/>
      <c r="N1831" s="47"/>
      <c r="O1831" s="47"/>
      <c r="P1831" s="47"/>
    </row>
    <row r="1832" spans="1:16" x14ac:dyDescent="0.3">
      <c r="A1832" s="1">
        <v>1831</v>
      </c>
      <c r="G1832" s="4"/>
      <c r="H1832" s="4"/>
      <c r="I1832" s="47"/>
      <c r="J1832" s="47" t="str">
        <f t="shared" si="41"/>
        <v/>
      </c>
      <c r="K1832" s="47"/>
      <c r="L1832" s="47"/>
      <c r="N1832" s="47"/>
      <c r="O1832" s="47"/>
      <c r="P1832" s="47"/>
    </row>
    <row r="1833" spans="1:16" x14ac:dyDescent="0.3">
      <c r="A1833" s="1">
        <v>1832</v>
      </c>
      <c r="G1833" s="4"/>
      <c r="H1833" s="4"/>
      <c r="I1833" s="47"/>
      <c r="J1833" s="47" t="str">
        <f t="shared" si="41"/>
        <v/>
      </c>
      <c r="K1833" s="47"/>
      <c r="L1833" s="47"/>
      <c r="N1833" s="47"/>
      <c r="O1833" s="47"/>
      <c r="P1833" s="47"/>
    </row>
    <row r="1834" spans="1:16" x14ac:dyDescent="0.3">
      <c r="A1834" s="1">
        <v>1833</v>
      </c>
      <c r="G1834" s="4"/>
      <c r="H1834" s="4"/>
      <c r="I1834" s="47"/>
      <c r="J1834" s="47" t="str">
        <f t="shared" si="41"/>
        <v/>
      </c>
      <c r="K1834" s="47"/>
      <c r="L1834" s="47"/>
      <c r="N1834" s="47"/>
      <c r="O1834" s="47"/>
      <c r="P1834" s="47"/>
    </row>
    <row r="1835" spans="1:16" x14ac:dyDescent="0.3">
      <c r="A1835" s="1">
        <v>1834</v>
      </c>
      <c r="G1835" s="4"/>
      <c r="H1835" s="4"/>
      <c r="I1835" s="47"/>
      <c r="J1835" s="47" t="str">
        <f t="shared" si="41"/>
        <v/>
      </c>
      <c r="K1835" s="47"/>
      <c r="L1835" s="47"/>
      <c r="N1835" s="47"/>
      <c r="O1835" s="47"/>
      <c r="P1835" s="47"/>
    </row>
    <row r="1836" spans="1:16" x14ac:dyDescent="0.3">
      <c r="A1836" s="1">
        <v>1835</v>
      </c>
      <c r="G1836" s="4"/>
      <c r="H1836" s="4"/>
      <c r="I1836" s="47"/>
      <c r="J1836" s="47" t="str">
        <f t="shared" si="41"/>
        <v/>
      </c>
      <c r="K1836" s="47"/>
      <c r="L1836" s="47"/>
      <c r="N1836" s="47"/>
      <c r="O1836" s="47"/>
      <c r="P1836" s="47"/>
    </row>
    <row r="1837" spans="1:16" x14ac:dyDescent="0.3">
      <c r="A1837" s="1">
        <v>1836</v>
      </c>
      <c r="G1837" s="4"/>
      <c r="H1837" s="4"/>
      <c r="I1837" s="47"/>
      <c r="J1837" s="47" t="str">
        <f t="shared" si="41"/>
        <v/>
      </c>
      <c r="K1837" s="47"/>
      <c r="L1837" s="47"/>
      <c r="N1837" s="47"/>
      <c r="O1837" s="47"/>
      <c r="P1837" s="47"/>
    </row>
    <row r="1838" spans="1:16" x14ac:dyDescent="0.3">
      <c r="A1838" s="1">
        <v>1837</v>
      </c>
      <c r="G1838" s="4"/>
      <c r="H1838" s="4"/>
      <c r="I1838" s="47"/>
      <c r="J1838" s="47" t="str">
        <f t="shared" si="41"/>
        <v/>
      </c>
      <c r="K1838" s="47"/>
      <c r="L1838" s="47"/>
      <c r="N1838" s="47"/>
      <c r="O1838" s="47"/>
      <c r="P1838" s="47"/>
    </row>
    <row r="1839" spans="1:16" x14ac:dyDescent="0.3">
      <c r="A1839" s="1">
        <v>1838</v>
      </c>
      <c r="G1839" s="4"/>
      <c r="H1839" s="4"/>
      <c r="I1839" s="47"/>
      <c r="J1839" s="47" t="str">
        <f t="shared" si="41"/>
        <v/>
      </c>
      <c r="K1839" s="47"/>
      <c r="L1839" s="47"/>
      <c r="N1839" s="47"/>
      <c r="O1839" s="47"/>
      <c r="P1839" s="47"/>
    </row>
    <row r="1840" spans="1:16" x14ac:dyDescent="0.3">
      <c r="A1840" s="1">
        <v>1839</v>
      </c>
      <c r="G1840" s="4"/>
      <c r="H1840" s="4"/>
      <c r="I1840" s="47"/>
      <c r="J1840" s="47" t="str">
        <f t="shared" si="41"/>
        <v/>
      </c>
      <c r="K1840" s="47"/>
      <c r="L1840" s="47"/>
      <c r="N1840" s="47"/>
      <c r="O1840" s="47"/>
      <c r="P1840" s="47"/>
    </row>
    <row r="1841" spans="1:16" x14ac:dyDescent="0.3">
      <c r="A1841" s="1">
        <v>1840</v>
      </c>
      <c r="G1841" s="4"/>
      <c r="H1841" s="4"/>
      <c r="I1841" s="47"/>
      <c r="J1841" s="47" t="str">
        <f t="shared" si="41"/>
        <v/>
      </c>
      <c r="K1841" s="47"/>
      <c r="L1841" s="47"/>
      <c r="N1841" s="47"/>
      <c r="O1841" s="47"/>
      <c r="P1841" s="47"/>
    </row>
    <row r="1842" spans="1:16" x14ac:dyDescent="0.3">
      <c r="A1842" s="1">
        <v>1841</v>
      </c>
      <c r="G1842" s="4"/>
      <c r="H1842" s="4"/>
      <c r="I1842" s="47"/>
      <c r="J1842" s="47" t="str">
        <f t="shared" si="41"/>
        <v/>
      </c>
      <c r="K1842" s="47"/>
      <c r="L1842" s="47"/>
      <c r="N1842" s="47"/>
      <c r="O1842" s="47"/>
      <c r="P1842" s="47"/>
    </row>
    <row r="1843" spans="1:16" x14ac:dyDescent="0.3">
      <c r="A1843" s="1">
        <v>1842</v>
      </c>
      <c r="G1843" s="4"/>
      <c r="H1843" s="4"/>
      <c r="I1843" s="47"/>
      <c r="J1843" s="47" t="str">
        <f t="shared" si="41"/>
        <v/>
      </c>
      <c r="K1843" s="47"/>
      <c r="L1843" s="47"/>
      <c r="N1843" s="47"/>
      <c r="O1843" s="47"/>
      <c r="P1843" s="47"/>
    </row>
    <row r="1844" spans="1:16" x14ac:dyDescent="0.3">
      <c r="A1844" s="1">
        <v>1843</v>
      </c>
      <c r="G1844" s="4"/>
      <c r="H1844" s="4"/>
      <c r="I1844" s="47"/>
      <c r="J1844" s="47" t="str">
        <f t="shared" si="41"/>
        <v/>
      </c>
      <c r="K1844" s="47"/>
      <c r="L1844" s="47"/>
      <c r="N1844" s="47"/>
      <c r="O1844" s="47"/>
      <c r="P1844" s="47"/>
    </row>
    <row r="1845" spans="1:16" x14ac:dyDescent="0.3">
      <c r="A1845" s="1">
        <v>1844</v>
      </c>
      <c r="G1845" s="4"/>
      <c r="H1845" s="4"/>
      <c r="I1845" s="47"/>
      <c r="J1845" s="47" t="str">
        <f t="shared" si="41"/>
        <v/>
      </c>
      <c r="K1845" s="47"/>
      <c r="L1845" s="47"/>
      <c r="N1845" s="47"/>
      <c r="O1845" s="47"/>
      <c r="P1845" s="47"/>
    </row>
    <row r="1846" spans="1:16" x14ac:dyDescent="0.3">
      <c r="A1846" s="1">
        <v>1845</v>
      </c>
      <c r="G1846" s="4"/>
      <c r="H1846" s="4"/>
      <c r="I1846" s="47"/>
      <c r="J1846" s="47" t="str">
        <f t="shared" si="41"/>
        <v/>
      </c>
      <c r="K1846" s="47"/>
      <c r="L1846" s="47"/>
      <c r="N1846" s="47"/>
      <c r="O1846" s="47"/>
      <c r="P1846" s="47"/>
    </row>
    <row r="1847" spans="1:16" x14ac:dyDescent="0.3">
      <c r="A1847" s="1">
        <v>1846</v>
      </c>
      <c r="G1847" s="4"/>
      <c r="H1847" s="4"/>
      <c r="I1847" s="47"/>
      <c r="J1847" s="47" t="str">
        <f t="shared" si="41"/>
        <v/>
      </c>
      <c r="K1847" s="47"/>
      <c r="L1847" s="47"/>
      <c r="N1847" s="47"/>
      <c r="O1847" s="47"/>
      <c r="P1847" s="47"/>
    </row>
    <row r="1848" spans="1:16" x14ac:dyDescent="0.3">
      <c r="A1848" s="1">
        <v>1847</v>
      </c>
      <c r="G1848" s="4"/>
      <c r="H1848" s="4"/>
      <c r="I1848" s="47"/>
      <c r="J1848" s="47" t="str">
        <f t="shared" si="41"/>
        <v/>
      </c>
      <c r="K1848" s="47"/>
      <c r="L1848" s="47"/>
      <c r="N1848" s="47"/>
      <c r="O1848" s="47"/>
      <c r="P1848" s="47"/>
    </row>
    <row r="1849" spans="1:16" x14ac:dyDescent="0.3">
      <c r="A1849" s="1">
        <v>1848</v>
      </c>
      <c r="G1849" s="4"/>
      <c r="H1849" s="4"/>
      <c r="I1849" s="47"/>
      <c r="J1849" s="47" t="str">
        <f t="shared" si="41"/>
        <v/>
      </c>
      <c r="K1849" s="47"/>
      <c r="L1849" s="47"/>
      <c r="N1849" s="47"/>
      <c r="O1849" s="47"/>
      <c r="P1849" s="47"/>
    </row>
    <row r="1850" spans="1:16" x14ac:dyDescent="0.3">
      <c r="A1850" s="1">
        <v>1849</v>
      </c>
      <c r="G1850" s="4"/>
      <c r="H1850" s="4"/>
      <c r="I1850" s="47"/>
      <c r="J1850" s="47" t="str">
        <f t="shared" si="41"/>
        <v/>
      </c>
      <c r="K1850" s="47"/>
      <c r="L1850" s="47"/>
      <c r="N1850" s="47"/>
      <c r="O1850" s="47"/>
      <c r="P1850" s="47"/>
    </row>
    <row r="1851" spans="1:16" x14ac:dyDescent="0.3">
      <c r="A1851" s="1">
        <v>1850</v>
      </c>
      <c r="G1851" s="4"/>
      <c r="H1851" s="4"/>
      <c r="I1851" s="47"/>
      <c r="J1851" s="47" t="str">
        <f t="shared" si="41"/>
        <v/>
      </c>
      <c r="K1851" s="47"/>
      <c r="L1851" s="47"/>
      <c r="N1851" s="47"/>
      <c r="O1851" s="47"/>
      <c r="P1851" s="47"/>
    </row>
    <row r="1852" spans="1:16" x14ac:dyDescent="0.3">
      <c r="A1852" s="1">
        <v>1851</v>
      </c>
      <c r="G1852" s="4"/>
      <c r="H1852" s="4"/>
      <c r="I1852" s="47"/>
      <c r="J1852" s="47" t="str">
        <f t="shared" si="41"/>
        <v/>
      </c>
      <c r="K1852" s="47"/>
      <c r="L1852" s="47"/>
      <c r="N1852" s="47"/>
      <c r="O1852" s="47"/>
      <c r="P1852" s="47"/>
    </row>
    <row r="1853" spans="1:16" x14ac:dyDescent="0.3">
      <c r="A1853" s="1">
        <v>1852</v>
      </c>
      <c r="G1853" s="4"/>
      <c r="H1853" s="4"/>
      <c r="I1853" s="47"/>
      <c r="J1853" s="47" t="str">
        <f t="shared" si="41"/>
        <v/>
      </c>
      <c r="K1853" s="47"/>
      <c r="L1853" s="47"/>
      <c r="N1853" s="47"/>
      <c r="O1853" s="47"/>
      <c r="P1853" s="47"/>
    </row>
    <row r="1854" spans="1:16" x14ac:dyDescent="0.3">
      <c r="A1854" s="1">
        <v>1853</v>
      </c>
      <c r="G1854" s="4"/>
      <c r="H1854" s="4"/>
      <c r="I1854" s="47"/>
      <c r="J1854" s="47" t="str">
        <f t="shared" si="41"/>
        <v/>
      </c>
      <c r="K1854" s="47"/>
      <c r="L1854" s="47"/>
      <c r="N1854" s="47"/>
      <c r="O1854" s="47"/>
      <c r="P1854" s="47"/>
    </row>
    <row r="1855" spans="1:16" x14ac:dyDescent="0.3">
      <c r="A1855" s="1">
        <v>1854</v>
      </c>
      <c r="G1855" s="4"/>
      <c r="H1855" s="4"/>
      <c r="I1855" s="47"/>
      <c r="J1855" s="47" t="str">
        <f t="shared" si="41"/>
        <v/>
      </c>
      <c r="K1855" s="47"/>
      <c r="L1855" s="47"/>
      <c r="N1855" s="47"/>
      <c r="O1855" s="47"/>
      <c r="P1855" s="47"/>
    </row>
    <row r="1856" spans="1:16" x14ac:dyDescent="0.3">
      <c r="A1856" s="1">
        <v>1855</v>
      </c>
      <c r="G1856" s="4"/>
      <c r="H1856" s="4"/>
      <c r="I1856" s="47"/>
      <c r="J1856" s="47" t="str">
        <f t="shared" si="41"/>
        <v/>
      </c>
      <c r="K1856" s="47"/>
      <c r="L1856" s="47"/>
      <c r="N1856" s="47"/>
      <c r="O1856" s="47"/>
      <c r="P1856" s="47"/>
    </row>
    <row r="1857" spans="1:16" x14ac:dyDescent="0.3">
      <c r="A1857" s="1">
        <v>1856</v>
      </c>
      <c r="G1857" s="4"/>
      <c r="H1857" s="4"/>
      <c r="I1857" s="47"/>
      <c r="J1857" s="47" t="str">
        <f t="shared" si="41"/>
        <v/>
      </c>
      <c r="K1857" s="47"/>
      <c r="L1857" s="47"/>
      <c r="N1857" s="47"/>
      <c r="O1857" s="47"/>
      <c r="P1857" s="47"/>
    </row>
    <row r="1858" spans="1:16" x14ac:dyDescent="0.3">
      <c r="A1858" s="1">
        <v>1857</v>
      </c>
      <c r="G1858" s="4"/>
      <c r="H1858" s="4"/>
      <c r="I1858" s="47"/>
      <c r="J1858" s="47" t="str">
        <f t="shared" si="41"/>
        <v/>
      </c>
      <c r="K1858" s="47"/>
      <c r="L1858" s="47"/>
      <c r="N1858" s="47"/>
      <c r="O1858" s="47"/>
      <c r="P1858" s="47"/>
    </row>
    <row r="1859" spans="1:16" x14ac:dyDescent="0.3">
      <c r="A1859" s="1">
        <v>1858</v>
      </c>
      <c r="G1859" s="4"/>
      <c r="H1859" s="4"/>
      <c r="I1859" s="47"/>
      <c r="J1859" s="47" t="str">
        <f t="shared" ref="J1859:J1922" si="42">+E1859&amp;I1859</f>
        <v/>
      </c>
      <c r="K1859" s="47"/>
      <c r="L1859" s="47"/>
      <c r="N1859" s="47"/>
      <c r="O1859" s="47"/>
      <c r="P1859" s="47"/>
    </row>
    <row r="1860" spans="1:16" x14ac:dyDescent="0.3">
      <c r="A1860" s="1">
        <v>1859</v>
      </c>
      <c r="G1860" s="4"/>
      <c r="H1860" s="4"/>
      <c r="I1860" s="47"/>
      <c r="J1860" s="47" t="str">
        <f t="shared" si="42"/>
        <v/>
      </c>
      <c r="K1860" s="47"/>
      <c r="L1860" s="47"/>
      <c r="N1860" s="47"/>
      <c r="O1860" s="47"/>
      <c r="P1860" s="47"/>
    </row>
    <row r="1861" spans="1:16" x14ac:dyDescent="0.3">
      <c r="A1861" s="1">
        <v>1860</v>
      </c>
      <c r="G1861" s="4"/>
      <c r="H1861" s="4"/>
      <c r="I1861" s="47"/>
      <c r="J1861" s="47" t="str">
        <f t="shared" si="42"/>
        <v/>
      </c>
      <c r="K1861" s="47"/>
      <c r="L1861" s="47"/>
      <c r="N1861" s="47"/>
      <c r="O1861" s="47"/>
      <c r="P1861" s="47"/>
    </row>
    <row r="1862" spans="1:16" x14ac:dyDescent="0.3">
      <c r="A1862" s="1">
        <v>1861</v>
      </c>
      <c r="G1862" s="4"/>
      <c r="H1862" s="4"/>
      <c r="I1862" s="47"/>
      <c r="J1862" s="47" t="str">
        <f t="shared" si="42"/>
        <v/>
      </c>
      <c r="K1862" s="47"/>
      <c r="L1862" s="47"/>
      <c r="N1862" s="47"/>
      <c r="O1862" s="47"/>
      <c r="P1862" s="47"/>
    </row>
    <row r="1863" spans="1:16" x14ac:dyDescent="0.3">
      <c r="A1863" s="1">
        <v>1862</v>
      </c>
      <c r="G1863" s="4"/>
      <c r="H1863" s="4"/>
      <c r="I1863" s="47"/>
      <c r="J1863" s="47" t="str">
        <f t="shared" si="42"/>
        <v/>
      </c>
      <c r="K1863" s="47"/>
      <c r="L1863" s="47"/>
      <c r="N1863" s="47"/>
      <c r="O1863" s="47"/>
      <c r="P1863" s="47"/>
    </row>
    <row r="1864" spans="1:16" x14ac:dyDescent="0.3">
      <c r="A1864" s="1">
        <v>1863</v>
      </c>
      <c r="G1864" s="4"/>
      <c r="H1864" s="4"/>
      <c r="I1864" s="47"/>
      <c r="J1864" s="47" t="str">
        <f t="shared" si="42"/>
        <v/>
      </c>
      <c r="K1864" s="47"/>
      <c r="L1864" s="47"/>
      <c r="N1864" s="47"/>
      <c r="O1864" s="47"/>
      <c r="P1864" s="47"/>
    </row>
    <row r="1865" spans="1:16" x14ac:dyDescent="0.3">
      <c r="A1865" s="1">
        <v>1864</v>
      </c>
      <c r="G1865" s="4"/>
      <c r="H1865" s="4"/>
      <c r="I1865" s="47"/>
      <c r="J1865" s="47" t="str">
        <f t="shared" si="42"/>
        <v/>
      </c>
      <c r="K1865" s="47"/>
      <c r="L1865" s="47"/>
      <c r="N1865" s="47"/>
      <c r="O1865" s="47"/>
      <c r="P1865" s="47"/>
    </row>
    <row r="1866" spans="1:16" x14ac:dyDescent="0.3">
      <c r="A1866" s="1">
        <v>1865</v>
      </c>
      <c r="G1866" s="4"/>
      <c r="H1866" s="4"/>
      <c r="I1866" s="47"/>
      <c r="J1866" s="47" t="str">
        <f t="shared" si="42"/>
        <v/>
      </c>
      <c r="K1866" s="47"/>
      <c r="L1866" s="47"/>
      <c r="N1866" s="47"/>
      <c r="O1866" s="47"/>
      <c r="P1866" s="47"/>
    </row>
    <row r="1867" spans="1:16" x14ac:dyDescent="0.3">
      <c r="A1867" s="1">
        <v>1866</v>
      </c>
      <c r="G1867" s="4"/>
      <c r="H1867" s="4"/>
      <c r="I1867" s="47"/>
      <c r="J1867" s="47" t="str">
        <f t="shared" si="42"/>
        <v/>
      </c>
      <c r="K1867" s="47"/>
      <c r="L1867" s="47"/>
      <c r="N1867" s="47"/>
      <c r="O1867" s="47"/>
      <c r="P1867" s="47"/>
    </row>
    <row r="1868" spans="1:16" x14ac:dyDescent="0.3">
      <c r="A1868" s="1">
        <v>1867</v>
      </c>
      <c r="G1868" s="4"/>
      <c r="H1868" s="4"/>
      <c r="I1868" s="47"/>
      <c r="J1868" s="47" t="str">
        <f t="shared" si="42"/>
        <v/>
      </c>
      <c r="K1868" s="47"/>
      <c r="L1868" s="47"/>
      <c r="N1868" s="47"/>
      <c r="O1868" s="47"/>
      <c r="P1868" s="47"/>
    </row>
    <row r="1869" spans="1:16" x14ac:dyDescent="0.3">
      <c r="A1869" s="1">
        <v>1868</v>
      </c>
      <c r="G1869" s="4"/>
      <c r="H1869" s="4"/>
      <c r="I1869" s="47"/>
      <c r="J1869" s="47" t="str">
        <f t="shared" si="42"/>
        <v/>
      </c>
      <c r="K1869" s="47"/>
      <c r="L1869" s="47"/>
      <c r="N1869" s="47"/>
      <c r="O1869" s="47"/>
      <c r="P1869" s="47"/>
    </row>
    <row r="1870" spans="1:16" x14ac:dyDescent="0.3">
      <c r="A1870" s="1">
        <v>1869</v>
      </c>
      <c r="G1870" s="4"/>
      <c r="H1870" s="4"/>
      <c r="I1870" s="47"/>
      <c r="J1870" s="47" t="str">
        <f t="shared" si="42"/>
        <v/>
      </c>
      <c r="K1870" s="47"/>
      <c r="L1870" s="47"/>
      <c r="N1870" s="47"/>
      <c r="O1870" s="47"/>
      <c r="P1870" s="47"/>
    </row>
    <row r="1871" spans="1:16" x14ac:dyDescent="0.3">
      <c r="A1871" s="1">
        <v>1870</v>
      </c>
      <c r="G1871" s="4"/>
      <c r="H1871" s="4"/>
      <c r="I1871" s="47"/>
      <c r="J1871" s="47" t="str">
        <f t="shared" si="42"/>
        <v/>
      </c>
      <c r="K1871" s="47"/>
      <c r="L1871" s="47"/>
      <c r="N1871" s="47"/>
      <c r="O1871" s="47"/>
      <c r="P1871" s="47"/>
    </row>
    <row r="1872" spans="1:16" x14ac:dyDescent="0.3">
      <c r="A1872" s="1">
        <v>1871</v>
      </c>
      <c r="G1872" s="4"/>
      <c r="H1872" s="4"/>
      <c r="I1872" s="47"/>
      <c r="J1872" s="47" t="str">
        <f t="shared" si="42"/>
        <v/>
      </c>
      <c r="K1872" s="47"/>
      <c r="L1872" s="47"/>
      <c r="N1872" s="47"/>
      <c r="O1872" s="47"/>
      <c r="P1872" s="47"/>
    </row>
    <row r="1873" spans="1:16" x14ac:dyDescent="0.3">
      <c r="A1873" s="1">
        <v>1872</v>
      </c>
      <c r="G1873" s="4"/>
      <c r="H1873" s="4"/>
      <c r="I1873" s="47"/>
      <c r="J1873" s="47" t="str">
        <f t="shared" si="42"/>
        <v/>
      </c>
      <c r="K1873" s="47"/>
      <c r="L1873" s="47"/>
      <c r="N1873" s="47"/>
      <c r="O1873" s="47"/>
      <c r="P1873" s="47"/>
    </row>
    <row r="1874" spans="1:16" x14ac:dyDescent="0.3">
      <c r="A1874" s="1">
        <v>1873</v>
      </c>
      <c r="G1874" s="4"/>
      <c r="H1874" s="4"/>
      <c r="I1874" s="47"/>
      <c r="J1874" s="47" t="str">
        <f t="shared" si="42"/>
        <v/>
      </c>
      <c r="K1874" s="47"/>
      <c r="L1874" s="47"/>
      <c r="N1874" s="47"/>
      <c r="O1874" s="47"/>
      <c r="P1874" s="47"/>
    </row>
    <row r="1875" spans="1:16" x14ac:dyDescent="0.3">
      <c r="A1875" s="1">
        <v>1874</v>
      </c>
      <c r="G1875" s="4"/>
      <c r="H1875" s="4"/>
      <c r="I1875" s="47"/>
      <c r="J1875" s="47" t="str">
        <f t="shared" si="42"/>
        <v/>
      </c>
      <c r="K1875" s="47"/>
      <c r="L1875" s="47"/>
      <c r="N1875" s="47"/>
      <c r="O1875" s="47"/>
      <c r="P1875" s="47"/>
    </row>
    <row r="1876" spans="1:16" x14ac:dyDescent="0.3">
      <c r="A1876" s="1">
        <v>1875</v>
      </c>
      <c r="G1876" s="4"/>
      <c r="H1876" s="4"/>
      <c r="I1876" s="47"/>
      <c r="J1876" s="47" t="str">
        <f t="shared" si="42"/>
        <v/>
      </c>
      <c r="K1876" s="47"/>
      <c r="L1876" s="47"/>
      <c r="N1876" s="47"/>
      <c r="O1876" s="47"/>
      <c r="P1876" s="47"/>
    </row>
    <row r="1877" spans="1:16" x14ac:dyDescent="0.3">
      <c r="A1877" s="1">
        <v>1876</v>
      </c>
      <c r="G1877" s="4"/>
      <c r="H1877" s="4"/>
      <c r="I1877" s="47"/>
      <c r="J1877" s="47" t="str">
        <f t="shared" si="42"/>
        <v/>
      </c>
      <c r="K1877" s="47"/>
      <c r="L1877" s="47"/>
      <c r="N1877" s="47"/>
      <c r="O1877" s="47"/>
      <c r="P1877" s="47"/>
    </row>
    <row r="1878" spans="1:16" x14ac:dyDescent="0.3">
      <c r="A1878" s="1">
        <v>1877</v>
      </c>
      <c r="G1878" s="4"/>
      <c r="H1878" s="4"/>
      <c r="I1878" s="47"/>
      <c r="J1878" s="47" t="str">
        <f t="shared" si="42"/>
        <v/>
      </c>
      <c r="K1878" s="47"/>
      <c r="L1878" s="47"/>
      <c r="N1878" s="47"/>
      <c r="O1878" s="47"/>
      <c r="P1878" s="47"/>
    </row>
    <row r="1879" spans="1:16" x14ac:dyDescent="0.3">
      <c r="A1879" s="1">
        <v>1878</v>
      </c>
      <c r="G1879" s="4"/>
      <c r="H1879" s="4"/>
      <c r="I1879" s="47"/>
      <c r="J1879" s="47" t="str">
        <f t="shared" si="42"/>
        <v/>
      </c>
      <c r="K1879" s="47"/>
      <c r="L1879" s="47"/>
      <c r="N1879" s="47"/>
      <c r="O1879" s="47"/>
      <c r="P1879" s="47"/>
    </row>
    <row r="1880" spans="1:16" x14ac:dyDescent="0.3">
      <c r="A1880" s="1">
        <v>1879</v>
      </c>
      <c r="G1880" s="4"/>
      <c r="H1880" s="4"/>
      <c r="I1880" s="47"/>
      <c r="J1880" s="47" t="str">
        <f t="shared" si="42"/>
        <v/>
      </c>
      <c r="K1880" s="47"/>
      <c r="L1880" s="47"/>
      <c r="N1880" s="47"/>
      <c r="O1880" s="47"/>
      <c r="P1880" s="47"/>
    </row>
    <row r="1881" spans="1:16" x14ac:dyDescent="0.3">
      <c r="A1881" s="1">
        <v>1880</v>
      </c>
      <c r="G1881" s="4"/>
      <c r="H1881" s="4"/>
      <c r="I1881" s="47"/>
      <c r="J1881" s="47" t="str">
        <f t="shared" si="42"/>
        <v/>
      </c>
      <c r="K1881" s="47"/>
      <c r="L1881" s="47"/>
      <c r="N1881" s="47"/>
      <c r="O1881" s="47"/>
      <c r="P1881" s="47"/>
    </row>
    <row r="1882" spans="1:16" x14ac:dyDescent="0.3">
      <c r="A1882" s="1">
        <v>1881</v>
      </c>
      <c r="G1882" s="4"/>
      <c r="H1882" s="4"/>
      <c r="I1882" s="47"/>
      <c r="J1882" s="47" t="str">
        <f t="shared" si="42"/>
        <v/>
      </c>
      <c r="K1882" s="47"/>
      <c r="L1882" s="47"/>
      <c r="N1882" s="47"/>
      <c r="O1882" s="47"/>
      <c r="P1882" s="47"/>
    </row>
    <row r="1883" spans="1:16" x14ac:dyDescent="0.3">
      <c r="A1883" s="1">
        <v>1882</v>
      </c>
      <c r="G1883" s="4"/>
      <c r="H1883" s="4"/>
      <c r="I1883" s="47"/>
      <c r="J1883" s="47" t="str">
        <f t="shared" si="42"/>
        <v/>
      </c>
      <c r="K1883" s="47"/>
      <c r="L1883" s="47"/>
      <c r="N1883" s="47"/>
      <c r="O1883" s="47"/>
      <c r="P1883" s="47"/>
    </row>
    <row r="1884" spans="1:16" x14ac:dyDescent="0.3">
      <c r="A1884" s="1">
        <v>1883</v>
      </c>
      <c r="G1884" s="4"/>
      <c r="H1884" s="4"/>
      <c r="I1884" s="47"/>
      <c r="J1884" s="47" t="str">
        <f t="shared" si="42"/>
        <v/>
      </c>
      <c r="K1884" s="47"/>
      <c r="L1884" s="47"/>
      <c r="N1884" s="47"/>
      <c r="O1884" s="47"/>
      <c r="P1884" s="47"/>
    </row>
    <row r="1885" spans="1:16" x14ac:dyDescent="0.3">
      <c r="A1885" s="1">
        <v>1884</v>
      </c>
      <c r="G1885" s="4"/>
      <c r="H1885" s="4"/>
      <c r="I1885" s="47"/>
      <c r="J1885" s="47" t="str">
        <f t="shared" si="42"/>
        <v/>
      </c>
      <c r="K1885" s="47"/>
      <c r="L1885" s="47"/>
      <c r="N1885" s="47"/>
      <c r="O1885" s="47"/>
      <c r="P1885" s="47"/>
    </row>
    <row r="1886" spans="1:16" x14ac:dyDescent="0.3">
      <c r="A1886" s="1">
        <v>1885</v>
      </c>
      <c r="G1886" s="4"/>
      <c r="H1886" s="4"/>
      <c r="I1886" s="47"/>
      <c r="J1886" s="47" t="str">
        <f t="shared" si="42"/>
        <v/>
      </c>
      <c r="K1886" s="47"/>
      <c r="L1886" s="47"/>
      <c r="N1886" s="47"/>
      <c r="O1886" s="47"/>
      <c r="P1886" s="47"/>
    </row>
    <row r="1887" spans="1:16" x14ac:dyDescent="0.3">
      <c r="A1887" s="1">
        <v>1886</v>
      </c>
      <c r="G1887" s="4"/>
      <c r="H1887" s="4"/>
      <c r="I1887" s="47"/>
      <c r="J1887" s="47" t="str">
        <f t="shared" si="42"/>
        <v/>
      </c>
      <c r="K1887" s="47"/>
      <c r="L1887" s="47"/>
      <c r="N1887" s="47"/>
      <c r="O1887" s="47"/>
      <c r="P1887" s="47"/>
    </row>
    <row r="1888" spans="1:16" x14ac:dyDescent="0.3">
      <c r="A1888" s="1">
        <v>1887</v>
      </c>
      <c r="G1888" s="4"/>
      <c r="H1888" s="4"/>
      <c r="I1888" s="47"/>
      <c r="J1888" s="47" t="str">
        <f t="shared" si="42"/>
        <v/>
      </c>
      <c r="K1888" s="47"/>
      <c r="L1888" s="47"/>
      <c r="N1888" s="47"/>
      <c r="O1888" s="47"/>
      <c r="P1888" s="47"/>
    </row>
    <row r="1889" spans="1:16" x14ac:dyDescent="0.3">
      <c r="A1889" s="1">
        <v>1888</v>
      </c>
      <c r="G1889" s="4"/>
      <c r="H1889" s="4"/>
      <c r="I1889" s="47"/>
      <c r="J1889" s="47" t="str">
        <f t="shared" si="42"/>
        <v/>
      </c>
      <c r="K1889" s="47"/>
      <c r="L1889" s="47"/>
      <c r="N1889" s="47"/>
      <c r="O1889" s="47"/>
      <c r="P1889" s="47"/>
    </row>
    <row r="1890" spans="1:16" x14ac:dyDescent="0.3">
      <c r="A1890" s="1">
        <v>1889</v>
      </c>
      <c r="G1890" s="4"/>
      <c r="H1890" s="4"/>
      <c r="I1890" s="47"/>
      <c r="J1890" s="47" t="str">
        <f t="shared" si="42"/>
        <v/>
      </c>
      <c r="K1890" s="47"/>
      <c r="L1890" s="47"/>
      <c r="N1890" s="47"/>
      <c r="O1890" s="47"/>
      <c r="P1890" s="47"/>
    </row>
    <row r="1891" spans="1:16" x14ac:dyDescent="0.3">
      <c r="A1891" s="1">
        <v>1890</v>
      </c>
      <c r="G1891" s="4"/>
      <c r="H1891" s="4"/>
      <c r="I1891" s="47"/>
      <c r="J1891" s="47" t="str">
        <f t="shared" si="42"/>
        <v/>
      </c>
      <c r="K1891" s="47"/>
      <c r="L1891" s="47"/>
      <c r="N1891" s="47"/>
      <c r="O1891" s="47"/>
      <c r="P1891" s="47"/>
    </row>
    <row r="1892" spans="1:16" x14ac:dyDescent="0.3">
      <c r="A1892" s="1">
        <v>1891</v>
      </c>
      <c r="G1892" s="4"/>
      <c r="H1892" s="4"/>
      <c r="I1892" s="47"/>
      <c r="J1892" s="47" t="str">
        <f t="shared" si="42"/>
        <v/>
      </c>
      <c r="K1892" s="47"/>
      <c r="L1892" s="47"/>
      <c r="N1892" s="47"/>
      <c r="O1892" s="47"/>
      <c r="P1892" s="47"/>
    </row>
    <row r="1893" spans="1:16" x14ac:dyDescent="0.3">
      <c r="A1893" s="1">
        <v>1892</v>
      </c>
      <c r="G1893" s="4"/>
      <c r="H1893" s="4"/>
      <c r="I1893" s="47"/>
      <c r="J1893" s="47" t="str">
        <f t="shared" si="42"/>
        <v/>
      </c>
      <c r="K1893" s="47"/>
      <c r="L1893" s="47"/>
      <c r="N1893" s="47"/>
      <c r="O1893" s="47"/>
      <c r="P1893" s="47"/>
    </row>
    <row r="1894" spans="1:16" x14ac:dyDescent="0.3">
      <c r="A1894" s="1">
        <v>1893</v>
      </c>
      <c r="G1894" s="4"/>
      <c r="H1894" s="4"/>
      <c r="I1894" s="47"/>
      <c r="J1894" s="47" t="str">
        <f t="shared" si="42"/>
        <v/>
      </c>
      <c r="K1894" s="47"/>
      <c r="L1894" s="47"/>
      <c r="N1894" s="47"/>
      <c r="O1894" s="47"/>
      <c r="P1894" s="47"/>
    </row>
    <row r="1895" spans="1:16" x14ac:dyDescent="0.3">
      <c r="A1895" s="1">
        <v>1894</v>
      </c>
      <c r="G1895" s="4"/>
      <c r="H1895" s="4"/>
      <c r="I1895" s="47"/>
      <c r="J1895" s="47" t="str">
        <f t="shared" si="42"/>
        <v/>
      </c>
      <c r="K1895" s="47"/>
      <c r="L1895" s="47"/>
      <c r="N1895" s="47"/>
      <c r="O1895" s="47"/>
      <c r="P1895" s="47"/>
    </row>
    <row r="1896" spans="1:16" x14ac:dyDescent="0.3">
      <c r="A1896" s="1">
        <v>1895</v>
      </c>
      <c r="G1896" s="4"/>
      <c r="H1896" s="4"/>
      <c r="I1896" s="47"/>
      <c r="J1896" s="47" t="str">
        <f t="shared" si="42"/>
        <v/>
      </c>
      <c r="K1896" s="47"/>
      <c r="L1896" s="47"/>
      <c r="N1896" s="47"/>
      <c r="O1896" s="47"/>
      <c r="P1896" s="47"/>
    </row>
    <row r="1897" spans="1:16" x14ac:dyDescent="0.3">
      <c r="A1897" s="1">
        <v>1896</v>
      </c>
      <c r="G1897" s="4"/>
      <c r="H1897" s="4"/>
      <c r="I1897" s="47"/>
      <c r="J1897" s="47" t="str">
        <f t="shared" si="42"/>
        <v/>
      </c>
      <c r="K1897" s="47"/>
      <c r="L1897" s="47"/>
      <c r="N1897" s="47"/>
      <c r="O1897" s="47"/>
      <c r="P1897" s="47"/>
    </row>
    <row r="1898" spans="1:16" x14ac:dyDescent="0.3">
      <c r="A1898" s="1">
        <v>1897</v>
      </c>
      <c r="G1898" s="4"/>
      <c r="H1898" s="4"/>
      <c r="I1898" s="47"/>
      <c r="J1898" s="47" t="str">
        <f t="shared" si="42"/>
        <v/>
      </c>
      <c r="K1898" s="47"/>
      <c r="L1898" s="47"/>
      <c r="N1898" s="47"/>
      <c r="O1898" s="47"/>
      <c r="P1898" s="47"/>
    </row>
    <row r="1899" spans="1:16" x14ac:dyDescent="0.3">
      <c r="A1899" s="1">
        <v>1898</v>
      </c>
      <c r="G1899" s="4"/>
      <c r="H1899" s="4"/>
      <c r="I1899" s="47"/>
      <c r="J1899" s="47" t="str">
        <f t="shared" si="42"/>
        <v/>
      </c>
      <c r="K1899" s="47"/>
      <c r="L1899" s="47"/>
      <c r="N1899" s="47"/>
      <c r="O1899" s="47"/>
      <c r="P1899" s="47"/>
    </row>
    <row r="1900" spans="1:16" x14ac:dyDescent="0.3">
      <c r="A1900" s="1">
        <v>1899</v>
      </c>
      <c r="G1900" s="4"/>
      <c r="H1900" s="4"/>
      <c r="I1900" s="47"/>
      <c r="J1900" s="47" t="str">
        <f t="shared" si="42"/>
        <v/>
      </c>
      <c r="K1900" s="47"/>
      <c r="L1900" s="47"/>
      <c r="N1900" s="47"/>
      <c r="O1900" s="47"/>
      <c r="P1900" s="47"/>
    </row>
    <row r="1901" spans="1:16" x14ac:dyDescent="0.3">
      <c r="A1901" s="1">
        <v>1900</v>
      </c>
      <c r="G1901" s="4"/>
      <c r="H1901" s="4"/>
      <c r="I1901" s="47"/>
      <c r="J1901" s="47" t="str">
        <f t="shared" si="42"/>
        <v/>
      </c>
      <c r="K1901" s="47"/>
      <c r="L1901" s="47"/>
      <c r="N1901" s="47"/>
      <c r="O1901" s="47"/>
      <c r="P1901" s="47"/>
    </row>
    <row r="1902" spans="1:16" x14ac:dyDescent="0.3">
      <c r="A1902" s="1">
        <v>1901</v>
      </c>
      <c r="G1902" s="4"/>
      <c r="H1902" s="4"/>
      <c r="I1902" s="47"/>
      <c r="J1902" s="47" t="str">
        <f t="shared" si="42"/>
        <v/>
      </c>
      <c r="K1902" s="47"/>
      <c r="L1902" s="47"/>
      <c r="N1902" s="47"/>
      <c r="O1902" s="47"/>
      <c r="P1902" s="47"/>
    </row>
    <row r="1903" spans="1:16" x14ac:dyDescent="0.3">
      <c r="A1903" s="1">
        <v>1902</v>
      </c>
      <c r="G1903" s="4"/>
      <c r="H1903" s="4"/>
      <c r="I1903" s="47"/>
      <c r="J1903" s="47" t="str">
        <f t="shared" si="42"/>
        <v/>
      </c>
      <c r="K1903" s="47"/>
      <c r="L1903" s="47"/>
      <c r="N1903" s="47"/>
      <c r="O1903" s="47"/>
      <c r="P1903" s="47"/>
    </row>
    <row r="1904" spans="1:16" x14ac:dyDescent="0.3">
      <c r="A1904" s="1">
        <v>1903</v>
      </c>
      <c r="G1904" s="4"/>
      <c r="H1904" s="4"/>
      <c r="I1904" s="47"/>
      <c r="J1904" s="47" t="str">
        <f t="shared" si="42"/>
        <v/>
      </c>
      <c r="K1904" s="47"/>
      <c r="L1904" s="47"/>
      <c r="N1904" s="47"/>
      <c r="O1904" s="47"/>
      <c r="P1904" s="47"/>
    </row>
    <row r="1905" spans="1:16" x14ac:dyDescent="0.3">
      <c r="A1905" s="1">
        <v>1904</v>
      </c>
      <c r="G1905" s="4"/>
      <c r="H1905" s="4"/>
      <c r="I1905" s="47"/>
      <c r="J1905" s="47" t="str">
        <f t="shared" si="42"/>
        <v/>
      </c>
      <c r="K1905" s="47"/>
      <c r="L1905" s="47"/>
      <c r="N1905" s="47"/>
      <c r="O1905" s="47"/>
      <c r="P1905" s="47"/>
    </row>
    <row r="1906" spans="1:16" x14ac:dyDescent="0.3">
      <c r="A1906" s="1">
        <v>1905</v>
      </c>
      <c r="G1906" s="4"/>
      <c r="H1906" s="4"/>
      <c r="I1906" s="47"/>
      <c r="J1906" s="47" t="str">
        <f t="shared" si="42"/>
        <v/>
      </c>
      <c r="K1906" s="47"/>
      <c r="L1906" s="47"/>
      <c r="N1906" s="47"/>
      <c r="O1906" s="47"/>
      <c r="P1906" s="47"/>
    </row>
    <row r="1907" spans="1:16" x14ac:dyDescent="0.3">
      <c r="A1907" s="1">
        <v>1906</v>
      </c>
      <c r="G1907" s="4"/>
      <c r="H1907" s="4"/>
      <c r="I1907" s="47"/>
      <c r="J1907" s="47" t="str">
        <f t="shared" si="42"/>
        <v/>
      </c>
      <c r="K1907" s="47"/>
      <c r="L1907" s="47"/>
      <c r="N1907" s="47"/>
      <c r="O1907" s="47"/>
      <c r="P1907" s="47"/>
    </row>
    <row r="1908" spans="1:16" x14ac:dyDescent="0.3">
      <c r="A1908" s="1">
        <v>1907</v>
      </c>
      <c r="G1908" s="4"/>
      <c r="H1908" s="4"/>
      <c r="I1908" s="47"/>
      <c r="J1908" s="47" t="str">
        <f t="shared" si="42"/>
        <v/>
      </c>
      <c r="K1908" s="47"/>
      <c r="L1908" s="47"/>
      <c r="N1908" s="47"/>
      <c r="O1908" s="47"/>
      <c r="P1908" s="47"/>
    </row>
    <row r="1909" spans="1:16" x14ac:dyDescent="0.3">
      <c r="A1909" s="1">
        <v>1908</v>
      </c>
      <c r="G1909" s="4"/>
      <c r="H1909" s="4"/>
      <c r="I1909" s="47"/>
      <c r="J1909" s="47" t="str">
        <f t="shared" si="42"/>
        <v/>
      </c>
      <c r="K1909" s="47"/>
      <c r="L1909" s="47"/>
      <c r="N1909" s="47"/>
      <c r="O1909" s="47"/>
      <c r="P1909" s="47"/>
    </row>
    <row r="1910" spans="1:16" x14ac:dyDescent="0.3">
      <c r="A1910" s="1">
        <v>1909</v>
      </c>
      <c r="G1910" s="4"/>
      <c r="H1910" s="4"/>
      <c r="I1910" s="47"/>
      <c r="J1910" s="47" t="str">
        <f t="shared" si="42"/>
        <v/>
      </c>
      <c r="K1910" s="47"/>
      <c r="L1910" s="47"/>
      <c r="N1910" s="47"/>
      <c r="O1910" s="47"/>
      <c r="P1910" s="47"/>
    </row>
    <row r="1911" spans="1:16" x14ac:dyDescent="0.3">
      <c r="A1911" s="1">
        <v>1910</v>
      </c>
      <c r="G1911" s="4"/>
      <c r="H1911" s="4"/>
      <c r="I1911" s="47"/>
      <c r="J1911" s="47" t="str">
        <f t="shared" si="42"/>
        <v/>
      </c>
      <c r="K1911" s="47"/>
      <c r="L1911" s="47"/>
      <c r="N1911" s="47"/>
      <c r="O1911" s="47"/>
      <c r="P1911" s="47"/>
    </row>
    <row r="1912" spans="1:16" x14ac:dyDescent="0.3">
      <c r="A1912" s="1">
        <v>1911</v>
      </c>
      <c r="G1912" s="4"/>
      <c r="H1912" s="4"/>
      <c r="I1912" s="47"/>
      <c r="J1912" s="47" t="str">
        <f t="shared" si="42"/>
        <v/>
      </c>
      <c r="K1912" s="47"/>
      <c r="L1912" s="47"/>
      <c r="N1912" s="47"/>
      <c r="O1912" s="47"/>
      <c r="P1912" s="47"/>
    </row>
    <row r="1913" spans="1:16" x14ac:dyDescent="0.3">
      <c r="A1913" s="1">
        <v>1912</v>
      </c>
      <c r="G1913" s="4"/>
      <c r="H1913" s="4"/>
      <c r="I1913" s="47"/>
      <c r="J1913" s="47" t="str">
        <f t="shared" si="42"/>
        <v/>
      </c>
      <c r="K1913" s="47"/>
      <c r="L1913" s="47"/>
      <c r="N1913" s="47"/>
      <c r="O1913" s="47"/>
      <c r="P1913" s="47"/>
    </row>
    <row r="1914" spans="1:16" x14ac:dyDescent="0.3">
      <c r="A1914" s="1">
        <v>1913</v>
      </c>
      <c r="G1914" s="4"/>
      <c r="H1914" s="4"/>
      <c r="I1914" s="47"/>
      <c r="J1914" s="47" t="str">
        <f t="shared" si="42"/>
        <v/>
      </c>
      <c r="K1914" s="47"/>
      <c r="L1914" s="47"/>
      <c r="N1914" s="47"/>
      <c r="O1914" s="47"/>
      <c r="P1914" s="47"/>
    </row>
    <row r="1915" spans="1:16" x14ac:dyDescent="0.3">
      <c r="A1915" s="1">
        <v>1914</v>
      </c>
      <c r="G1915" s="4"/>
      <c r="H1915" s="4"/>
      <c r="I1915" s="47"/>
      <c r="J1915" s="47" t="str">
        <f t="shared" si="42"/>
        <v/>
      </c>
      <c r="K1915" s="47"/>
      <c r="L1915" s="47"/>
      <c r="N1915" s="47"/>
      <c r="O1915" s="47"/>
      <c r="P1915" s="47"/>
    </row>
    <row r="1916" spans="1:16" x14ac:dyDescent="0.3">
      <c r="A1916" s="1">
        <v>1915</v>
      </c>
      <c r="G1916" s="4"/>
      <c r="H1916" s="4"/>
      <c r="I1916" s="47"/>
      <c r="J1916" s="47" t="str">
        <f t="shared" si="42"/>
        <v/>
      </c>
      <c r="K1916" s="47"/>
      <c r="L1916" s="47"/>
      <c r="N1916" s="47"/>
      <c r="O1916" s="47"/>
      <c r="P1916" s="47"/>
    </row>
    <row r="1917" spans="1:16" x14ac:dyDescent="0.3">
      <c r="A1917" s="1">
        <v>1916</v>
      </c>
      <c r="G1917" s="4"/>
      <c r="H1917" s="4"/>
      <c r="I1917" s="47"/>
      <c r="J1917" s="47" t="str">
        <f t="shared" si="42"/>
        <v/>
      </c>
      <c r="K1917" s="47"/>
      <c r="L1917" s="47"/>
      <c r="N1917" s="47"/>
      <c r="O1917" s="47"/>
      <c r="P1917" s="47"/>
    </row>
    <row r="1918" spans="1:16" x14ac:dyDescent="0.3">
      <c r="A1918" s="1">
        <v>1917</v>
      </c>
      <c r="G1918" s="4"/>
      <c r="H1918" s="4"/>
      <c r="I1918" s="47"/>
      <c r="J1918" s="47" t="str">
        <f t="shared" si="42"/>
        <v/>
      </c>
      <c r="K1918" s="47"/>
      <c r="L1918" s="47"/>
      <c r="N1918" s="47"/>
      <c r="O1918" s="47"/>
      <c r="P1918" s="47"/>
    </row>
    <row r="1919" spans="1:16" x14ac:dyDescent="0.3">
      <c r="A1919" s="1">
        <v>1918</v>
      </c>
      <c r="G1919" s="4"/>
      <c r="H1919" s="4"/>
      <c r="I1919" s="47"/>
      <c r="J1919" s="47" t="str">
        <f t="shared" si="42"/>
        <v/>
      </c>
      <c r="K1919" s="47"/>
      <c r="L1919" s="47"/>
      <c r="N1919" s="47"/>
      <c r="O1919" s="47"/>
      <c r="P1919" s="47"/>
    </row>
    <row r="1920" spans="1:16" x14ac:dyDescent="0.3">
      <c r="A1920" s="1">
        <v>1919</v>
      </c>
      <c r="G1920" s="4"/>
      <c r="H1920" s="4"/>
      <c r="I1920" s="47"/>
      <c r="J1920" s="47" t="str">
        <f t="shared" si="42"/>
        <v/>
      </c>
      <c r="K1920" s="47"/>
      <c r="L1920" s="47"/>
      <c r="N1920" s="47"/>
      <c r="O1920" s="47"/>
      <c r="P1920" s="47"/>
    </row>
    <row r="1921" spans="1:16" x14ac:dyDescent="0.3">
      <c r="A1921" s="1">
        <v>1920</v>
      </c>
      <c r="G1921" s="4"/>
      <c r="H1921" s="4"/>
      <c r="I1921" s="47"/>
      <c r="J1921" s="47" t="str">
        <f t="shared" si="42"/>
        <v/>
      </c>
      <c r="K1921" s="47"/>
      <c r="L1921" s="47"/>
      <c r="N1921" s="47"/>
      <c r="O1921" s="47"/>
      <c r="P1921" s="47"/>
    </row>
    <row r="1922" spans="1:16" x14ac:dyDescent="0.3">
      <c r="A1922" s="1">
        <v>1921</v>
      </c>
      <c r="G1922" s="4"/>
      <c r="H1922" s="4"/>
      <c r="I1922" s="47"/>
      <c r="J1922" s="47" t="str">
        <f t="shared" si="42"/>
        <v/>
      </c>
      <c r="K1922" s="47"/>
      <c r="L1922" s="47"/>
      <c r="N1922" s="47"/>
      <c r="O1922" s="47"/>
      <c r="P1922" s="47"/>
    </row>
    <row r="1923" spans="1:16" x14ac:dyDescent="0.3">
      <c r="A1923" s="1">
        <v>1922</v>
      </c>
      <c r="G1923" s="4"/>
      <c r="H1923" s="4"/>
      <c r="I1923" s="47"/>
      <c r="J1923" s="47" t="str">
        <f t="shared" ref="J1923:J1986" si="43">+E1923&amp;I1923</f>
        <v/>
      </c>
      <c r="K1923" s="47"/>
      <c r="L1923" s="47"/>
      <c r="N1923" s="47"/>
      <c r="O1923" s="47"/>
      <c r="P1923" s="47"/>
    </row>
    <row r="1924" spans="1:16" x14ac:dyDescent="0.3">
      <c r="A1924" s="1">
        <v>1923</v>
      </c>
      <c r="G1924" s="4"/>
      <c r="H1924" s="4"/>
      <c r="I1924" s="47"/>
      <c r="J1924" s="47" t="str">
        <f t="shared" si="43"/>
        <v/>
      </c>
      <c r="K1924" s="47"/>
      <c r="L1924" s="47"/>
      <c r="N1924" s="47"/>
      <c r="O1924" s="47"/>
      <c r="P1924" s="47"/>
    </row>
    <row r="1925" spans="1:16" x14ac:dyDescent="0.3">
      <c r="A1925" s="1">
        <v>1924</v>
      </c>
      <c r="G1925" s="4"/>
      <c r="H1925" s="4"/>
      <c r="I1925" s="47"/>
      <c r="J1925" s="47" t="str">
        <f t="shared" si="43"/>
        <v/>
      </c>
      <c r="K1925" s="47"/>
      <c r="L1925" s="47"/>
      <c r="N1925" s="47"/>
      <c r="O1925" s="47"/>
      <c r="P1925" s="47"/>
    </row>
    <row r="1926" spans="1:16" x14ac:dyDescent="0.3">
      <c r="A1926" s="1">
        <v>1925</v>
      </c>
      <c r="G1926" s="4"/>
      <c r="H1926" s="4"/>
      <c r="I1926" s="47"/>
      <c r="J1926" s="47" t="str">
        <f t="shared" si="43"/>
        <v/>
      </c>
      <c r="K1926" s="47"/>
      <c r="L1926" s="47"/>
      <c r="N1926" s="47"/>
      <c r="O1926" s="47"/>
      <c r="P1926" s="47"/>
    </row>
    <row r="1927" spans="1:16" x14ac:dyDescent="0.3">
      <c r="A1927" s="1">
        <v>1926</v>
      </c>
      <c r="G1927" s="4"/>
      <c r="H1927" s="4"/>
      <c r="I1927" s="47"/>
      <c r="J1927" s="47" t="str">
        <f t="shared" si="43"/>
        <v/>
      </c>
      <c r="K1927" s="47"/>
      <c r="L1927" s="47"/>
      <c r="N1927" s="47"/>
      <c r="O1927" s="47"/>
      <c r="P1927" s="47"/>
    </row>
    <row r="1928" spans="1:16" x14ac:dyDescent="0.3">
      <c r="A1928" s="1">
        <v>1927</v>
      </c>
      <c r="G1928" s="4"/>
      <c r="H1928" s="4"/>
      <c r="I1928" s="47"/>
      <c r="J1928" s="47" t="str">
        <f t="shared" si="43"/>
        <v/>
      </c>
      <c r="K1928" s="47"/>
      <c r="L1928" s="47"/>
      <c r="N1928" s="47"/>
      <c r="O1928" s="47"/>
      <c r="P1928" s="47"/>
    </row>
    <row r="1929" spans="1:16" x14ac:dyDescent="0.3">
      <c r="A1929" s="1">
        <v>1928</v>
      </c>
      <c r="G1929" s="4"/>
      <c r="H1929" s="4"/>
      <c r="I1929" s="47"/>
      <c r="J1929" s="47" t="str">
        <f t="shared" si="43"/>
        <v/>
      </c>
      <c r="K1929" s="47"/>
      <c r="L1929" s="47"/>
      <c r="N1929" s="47"/>
      <c r="O1929" s="47"/>
      <c r="P1929" s="47"/>
    </row>
    <row r="1930" spans="1:16" x14ac:dyDescent="0.3">
      <c r="A1930" s="1">
        <v>1929</v>
      </c>
      <c r="G1930" s="4"/>
      <c r="H1930" s="4"/>
      <c r="I1930" s="47"/>
      <c r="J1930" s="47" t="str">
        <f t="shared" si="43"/>
        <v/>
      </c>
      <c r="K1930" s="47"/>
      <c r="L1930" s="47"/>
      <c r="N1930" s="47"/>
      <c r="O1930" s="47"/>
      <c r="P1930" s="47"/>
    </row>
    <row r="1931" spans="1:16" x14ac:dyDescent="0.3">
      <c r="A1931" s="1">
        <v>1930</v>
      </c>
      <c r="G1931" s="4"/>
      <c r="H1931" s="4"/>
      <c r="I1931" s="47"/>
      <c r="J1931" s="47" t="str">
        <f t="shared" si="43"/>
        <v/>
      </c>
      <c r="K1931" s="47"/>
      <c r="L1931" s="47"/>
      <c r="N1931" s="47"/>
      <c r="O1931" s="47"/>
      <c r="P1931" s="47"/>
    </row>
    <row r="1932" spans="1:16" x14ac:dyDescent="0.3">
      <c r="A1932" s="1">
        <v>1931</v>
      </c>
      <c r="G1932" s="4"/>
      <c r="H1932" s="4"/>
      <c r="I1932" s="47"/>
      <c r="J1932" s="47" t="str">
        <f t="shared" si="43"/>
        <v/>
      </c>
      <c r="K1932" s="47"/>
      <c r="L1932" s="47"/>
      <c r="N1932" s="47"/>
      <c r="O1932" s="47"/>
      <c r="P1932" s="47"/>
    </row>
    <row r="1933" spans="1:16" x14ac:dyDescent="0.3">
      <c r="A1933" s="1">
        <v>1932</v>
      </c>
      <c r="G1933" s="4"/>
      <c r="H1933" s="4"/>
      <c r="I1933" s="47"/>
      <c r="J1933" s="47" t="str">
        <f t="shared" si="43"/>
        <v/>
      </c>
      <c r="K1933" s="47"/>
      <c r="L1933" s="47"/>
      <c r="N1933" s="47"/>
      <c r="O1933" s="47"/>
      <c r="P1933" s="47"/>
    </row>
    <row r="1934" spans="1:16" x14ac:dyDescent="0.3">
      <c r="A1934" s="1">
        <v>1933</v>
      </c>
      <c r="G1934" s="4"/>
      <c r="H1934" s="4"/>
      <c r="I1934" s="47"/>
      <c r="J1934" s="47" t="str">
        <f t="shared" si="43"/>
        <v/>
      </c>
      <c r="K1934" s="47"/>
      <c r="L1934" s="47"/>
      <c r="N1934" s="47"/>
      <c r="O1934" s="47"/>
      <c r="P1934" s="47"/>
    </row>
    <row r="1935" spans="1:16" x14ac:dyDescent="0.3">
      <c r="A1935" s="1">
        <v>1934</v>
      </c>
      <c r="G1935" s="4"/>
      <c r="H1935" s="4"/>
      <c r="I1935" s="47"/>
      <c r="J1935" s="47" t="str">
        <f t="shared" si="43"/>
        <v/>
      </c>
      <c r="K1935" s="47"/>
      <c r="L1935" s="47"/>
      <c r="N1935" s="47"/>
      <c r="O1935" s="47"/>
      <c r="P1935" s="47"/>
    </row>
    <row r="1936" spans="1:16" x14ac:dyDescent="0.3">
      <c r="A1936" s="1">
        <v>1935</v>
      </c>
      <c r="G1936" s="4"/>
      <c r="H1936" s="4"/>
      <c r="I1936" s="47"/>
      <c r="J1936" s="47" t="str">
        <f t="shared" si="43"/>
        <v/>
      </c>
      <c r="K1936" s="47"/>
      <c r="L1936" s="47"/>
      <c r="N1936" s="47"/>
      <c r="O1936" s="47"/>
      <c r="P1936" s="47"/>
    </row>
    <row r="1937" spans="1:16" x14ac:dyDescent="0.3">
      <c r="A1937" s="1">
        <v>1936</v>
      </c>
      <c r="G1937" s="4"/>
      <c r="H1937" s="4"/>
      <c r="I1937" s="47"/>
      <c r="J1937" s="47" t="str">
        <f t="shared" si="43"/>
        <v/>
      </c>
      <c r="K1937" s="47"/>
      <c r="L1937" s="47"/>
      <c r="N1937" s="47"/>
      <c r="O1937" s="47"/>
      <c r="P1937" s="47"/>
    </row>
    <row r="1938" spans="1:16" x14ac:dyDescent="0.3">
      <c r="A1938" s="1">
        <v>1937</v>
      </c>
      <c r="G1938" s="4"/>
      <c r="H1938" s="4"/>
      <c r="I1938" s="47"/>
      <c r="J1938" s="47" t="str">
        <f t="shared" si="43"/>
        <v/>
      </c>
      <c r="K1938" s="47"/>
      <c r="L1938" s="47"/>
      <c r="N1938" s="47"/>
      <c r="O1938" s="47"/>
      <c r="P1938" s="47"/>
    </row>
    <row r="1939" spans="1:16" x14ac:dyDescent="0.3">
      <c r="A1939" s="1">
        <v>1938</v>
      </c>
      <c r="G1939" s="4"/>
      <c r="H1939" s="4"/>
      <c r="I1939" s="47"/>
      <c r="J1939" s="47" t="str">
        <f t="shared" si="43"/>
        <v/>
      </c>
      <c r="K1939" s="47"/>
      <c r="L1939" s="47"/>
      <c r="N1939" s="47"/>
      <c r="O1939" s="47"/>
      <c r="P1939" s="47"/>
    </row>
    <row r="1940" spans="1:16" x14ac:dyDescent="0.3">
      <c r="A1940" s="1">
        <v>1939</v>
      </c>
      <c r="G1940" s="4"/>
      <c r="H1940" s="4"/>
      <c r="I1940" s="47"/>
      <c r="J1940" s="47" t="str">
        <f t="shared" si="43"/>
        <v/>
      </c>
      <c r="K1940" s="47"/>
      <c r="L1940" s="47"/>
      <c r="N1940" s="47"/>
      <c r="O1940" s="47"/>
      <c r="P1940" s="47"/>
    </row>
    <row r="1941" spans="1:16" x14ac:dyDescent="0.3">
      <c r="A1941" s="1">
        <v>1940</v>
      </c>
      <c r="G1941" s="4"/>
      <c r="H1941" s="4"/>
      <c r="I1941" s="47"/>
      <c r="J1941" s="47" t="str">
        <f t="shared" si="43"/>
        <v/>
      </c>
      <c r="K1941" s="47"/>
      <c r="L1941" s="47"/>
      <c r="N1941" s="47"/>
      <c r="O1941" s="47"/>
      <c r="P1941" s="47"/>
    </row>
    <row r="1942" spans="1:16" x14ac:dyDescent="0.3">
      <c r="A1942" s="1">
        <v>1941</v>
      </c>
      <c r="G1942" s="4"/>
      <c r="H1942" s="4"/>
      <c r="I1942" s="47"/>
      <c r="J1942" s="47" t="str">
        <f t="shared" si="43"/>
        <v/>
      </c>
      <c r="K1942" s="47"/>
      <c r="L1942" s="47"/>
      <c r="N1942" s="47"/>
      <c r="O1942" s="47"/>
      <c r="P1942" s="47"/>
    </row>
    <row r="1943" spans="1:16" x14ac:dyDescent="0.3">
      <c r="A1943" s="1">
        <v>1942</v>
      </c>
      <c r="G1943" s="4"/>
      <c r="H1943" s="4"/>
      <c r="I1943" s="47"/>
      <c r="J1943" s="47" t="str">
        <f t="shared" si="43"/>
        <v/>
      </c>
      <c r="K1943" s="47"/>
      <c r="L1943" s="47"/>
      <c r="N1943" s="47"/>
      <c r="O1943" s="47"/>
      <c r="P1943" s="47"/>
    </row>
    <row r="1944" spans="1:16" x14ac:dyDescent="0.3">
      <c r="A1944" s="1">
        <v>1943</v>
      </c>
      <c r="G1944" s="4"/>
      <c r="H1944" s="4"/>
      <c r="I1944" s="47"/>
      <c r="J1944" s="47" t="str">
        <f t="shared" si="43"/>
        <v/>
      </c>
      <c r="K1944" s="47"/>
      <c r="L1944" s="47"/>
      <c r="N1944" s="47"/>
      <c r="O1944" s="47"/>
      <c r="P1944" s="47"/>
    </row>
    <row r="1945" spans="1:16" x14ac:dyDescent="0.3">
      <c r="A1945" s="1">
        <v>1944</v>
      </c>
      <c r="G1945" s="4"/>
      <c r="H1945" s="4"/>
      <c r="I1945" s="47"/>
      <c r="J1945" s="47" t="str">
        <f t="shared" si="43"/>
        <v/>
      </c>
      <c r="K1945" s="47"/>
      <c r="L1945" s="47"/>
      <c r="N1945" s="47"/>
      <c r="O1945" s="47"/>
      <c r="P1945" s="47"/>
    </row>
    <row r="1946" spans="1:16" x14ac:dyDescent="0.3">
      <c r="A1946" s="1">
        <v>1945</v>
      </c>
      <c r="G1946" s="4"/>
      <c r="H1946" s="4"/>
      <c r="I1946" s="47"/>
      <c r="J1946" s="47" t="str">
        <f t="shared" si="43"/>
        <v/>
      </c>
      <c r="K1946" s="47"/>
      <c r="L1946" s="47"/>
      <c r="N1946" s="47"/>
      <c r="O1946" s="47"/>
      <c r="P1946" s="47"/>
    </row>
    <row r="1947" spans="1:16" x14ac:dyDescent="0.3">
      <c r="A1947" s="1">
        <v>1946</v>
      </c>
      <c r="G1947" s="4"/>
      <c r="H1947" s="4"/>
      <c r="I1947" s="47"/>
      <c r="J1947" s="47" t="str">
        <f t="shared" si="43"/>
        <v/>
      </c>
      <c r="K1947" s="47"/>
      <c r="L1947" s="47"/>
      <c r="N1947" s="47"/>
      <c r="O1947" s="47"/>
      <c r="P1947" s="47"/>
    </row>
    <row r="1948" spans="1:16" x14ac:dyDescent="0.3">
      <c r="A1948" s="1">
        <v>1947</v>
      </c>
      <c r="G1948" s="4"/>
      <c r="H1948" s="4"/>
      <c r="I1948" s="47"/>
      <c r="J1948" s="47" t="str">
        <f t="shared" si="43"/>
        <v/>
      </c>
      <c r="K1948" s="47"/>
      <c r="L1948" s="47"/>
      <c r="N1948" s="47"/>
      <c r="O1948" s="47"/>
      <c r="P1948" s="47"/>
    </row>
    <row r="1949" spans="1:16" x14ac:dyDescent="0.3">
      <c r="A1949" s="1">
        <v>1948</v>
      </c>
      <c r="G1949" s="4"/>
      <c r="H1949" s="4"/>
      <c r="I1949" s="47"/>
      <c r="J1949" s="47" t="str">
        <f t="shared" si="43"/>
        <v/>
      </c>
      <c r="K1949" s="47"/>
      <c r="L1949" s="47"/>
      <c r="N1949" s="47"/>
      <c r="O1949" s="47"/>
      <c r="P1949" s="47"/>
    </row>
    <row r="1950" spans="1:16" x14ac:dyDescent="0.3">
      <c r="A1950" s="1">
        <v>1949</v>
      </c>
      <c r="G1950" s="4"/>
      <c r="H1950" s="4"/>
      <c r="I1950" s="47"/>
      <c r="J1950" s="47" t="str">
        <f t="shared" si="43"/>
        <v/>
      </c>
      <c r="K1950" s="47"/>
      <c r="L1950" s="47"/>
      <c r="N1950" s="47"/>
      <c r="O1950" s="47"/>
      <c r="P1950" s="47"/>
    </row>
    <row r="1951" spans="1:16" x14ac:dyDescent="0.3">
      <c r="A1951" s="1">
        <v>1950</v>
      </c>
      <c r="G1951" s="4"/>
      <c r="H1951" s="4"/>
      <c r="I1951" s="47"/>
      <c r="J1951" s="47" t="str">
        <f t="shared" si="43"/>
        <v/>
      </c>
      <c r="K1951" s="47"/>
      <c r="L1951" s="47"/>
      <c r="N1951" s="47"/>
      <c r="O1951" s="47"/>
      <c r="P1951" s="47"/>
    </row>
    <row r="1952" spans="1:16" x14ac:dyDescent="0.3">
      <c r="A1952" s="1">
        <v>1951</v>
      </c>
      <c r="G1952" s="4"/>
      <c r="H1952" s="4"/>
      <c r="I1952" s="47"/>
      <c r="J1952" s="47" t="str">
        <f t="shared" si="43"/>
        <v/>
      </c>
      <c r="K1952" s="47"/>
      <c r="L1952" s="47"/>
      <c r="N1952" s="47"/>
      <c r="O1952" s="47"/>
      <c r="P1952" s="47"/>
    </row>
    <row r="1953" spans="1:16" x14ac:dyDescent="0.3">
      <c r="A1953" s="1">
        <v>1952</v>
      </c>
      <c r="G1953" s="4"/>
      <c r="H1953" s="4"/>
      <c r="I1953" s="47"/>
      <c r="J1953" s="47" t="str">
        <f t="shared" si="43"/>
        <v/>
      </c>
      <c r="K1953" s="47"/>
      <c r="L1953" s="47"/>
      <c r="N1953" s="47"/>
      <c r="O1953" s="47"/>
      <c r="P1953" s="47"/>
    </row>
    <row r="1954" spans="1:16" x14ac:dyDescent="0.3">
      <c r="A1954" s="1">
        <v>1953</v>
      </c>
      <c r="G1954" s="4"/>
      <c r="H1954" s="4"/>
      <c r="I1954" s="47"/>
      <c r="J1954" s="47" t="str">
        <f t="shared" si="43"/>
        <v/>
      </c>
      <c r="K1954" s="47"/>
      <c r="L1954" s="47"/>
      <c r="N1954" s="47"/>
      <c r="O1954" s="47"/>
      <c r="P1954" s="47"/>
    </row>
    <row r="1955" spans="1:16" x14ac:dyDescent="0.3">
      <c r="A1955" s="1">
        <v>1954</v>
      </c>
      <c r="G1955" s="4"/>
      <c r="H1955" s="4"/>
      <c r="I1955" s="47"/>
      <c r="J1955" s="47" t="str">
        <f t="shared" si="43"/>
        <v/>
      </c>
      <c r="K1955" s="47"/>
      <c r="L1955" s="47"/>
      <c r="N1955" s="47"/>
      <c r="O1955" s="47"/>
      <c r="P1955" s="47"/>
    </row>
    <row r="1956" spans="1:16" x14ac:dyDescent="0.3">
      <c r="A1956" s="1">
        <v>1955</v>
      </c>
      <c r="G1956" s="4"/>
      <c r="H1956" s="4"/>
      <c r="I1956" s="47"/>
      <c r="J1956" s="47" t="str">
        <f t="shared" si="43"/>
        <v/>
      </c>
      <c r="K1956" s="47"/>
      <c r="L1956" s="47"/>
      <c r="N1956" s="47"/>
      <c r="O1956" s="47"/>
      <c r="P1956" s="47"/>
    </row>
    <row r="1957" spans="1:16" x14ac:dyDescent="0.3">
      <c r="A1957" s="1">
        <v>1956</v>
      </c>
      <c r="G1957" s="4"/>
      <c r="H1957" s="4"/>
      <c r="I1957" s="47"/>
      <c r="J1957" s="47" t="str">
        <f t="shared" si="43"/>
        <v/>
      </c>
      <c r="K1957" s="47"/>
      <c r="L1957" s="47"/>
      <c r="N1957" s="47"/>
      <c r="O1957" s="47"/>
      <c r="P1957" s="47"/>
    </row>
    <row r="1958" spans="1:16" x14ac:dyDescent="0.3">
      <c r="A1958" s="1">
        <v>1957</v>
      </c>
      <c r="G1958" s="4"/>
      <c r="H1958" s="4"/>
      <c r="I1958" s="47"/>
      <c r="J1958" s="47" t="str">
        <f t="shared" si="43"/>
        <v/>
      </c>
      <c r="K1958" s="47"/>
      <c r="L1958" s="47"/>
      <c r="N1958" s="47"/>
      <c r="O1958" s="47"/>
      <c r="P1958" s="47"/>
    </row>
    <row r="1959" spans="1:16" x14ac:dyDescent="0.3">
      <c r="A1959" s="1">
        <v>1958</v>
      </c>
      <c r="G1959" s="4"/>
      <c r="H1959" s="4"/>
      <c r="I1959" s="47"/>
      <c r="J1959" s="47" t="str">
        <f t="shared" si="43"/>
        <v/>
      </c>
      <c r="K1959" s="47"/>
      <c r="L1959" s="47"/>
      <c r="N1959" s="47"/>
      <c r="O1959" s="47"/>
      <c r="P1959" s="47"/>
    </row>
    <row r="1960" spans="1:16" x14ac:dyDescent="0.3">
      <c r="A1960" s="1">
        <v>1959</v>
      </c>
      <c r="G1960" s="4"/>
      <c r="H1960" s="4"/>
      <c r="I1960" s="47"/>
      <c r="J1960" s="47" t="str">
        <f t="shared" si="43"/>
        <v/>
      </c>
      <c r="K1960" s="47"/>
      <c r="L1960" s="47"/>
      <c r="N1960" s="47"/>
      <c r="O1960" s="47"/>
      <c r="P1960" s="47"/>
    </row>
    <row r="1961" spans="1:16" x14ac:dyDescent="0.3">
      <c r="A1961" s="1">
        <v>1960</v>
      </c>
      <c r="G1961" s="4"/>
      <c r="H1961" s="4"/>
      <c r="I1961" s="47"/>
      <c r="J1961" s="47" t="str">
        <f t="shared" si="43"/>
        <v/>
      </c>
      <c r="K1961" s="47"/>
      <c r="L1961" s="47"/>
      <c r="N1961" s="47"/>
      <c r="O1961" s="47"/>
      <c r="P1961" s="47"/>
    </row>
    <row r="1962" spans="1:16" x14ac:dyDescent="0.3">
      <c r="A1962" s="1">
        <v>1961</v>
      </c>
      <c r="G1962" s="4"/>
      <c r="H1962" s="4"/>
      <c r="I1962" s="47"/>
      <c r="J1962" s="47" t="str">
        <f t="shared" si="43"/>
        <v/>
      </c>
      <c r="K1962" s="47"/>
      <c r="L1962" s="47"/>
      <c r="N1962" s="47"/>
      <c r="O1962" s="47"/>
      <c r="P1962" s="47"/>
    </row>
    <row r="1963" spans="1:16" x14ac:dyDescent="0.3">
      <c r="A1963" s="1">
        <v>1962</v>
      </c>
      <c r="G1963" s="4"/>
      <c r="H1963" s="4"/>
      <c r="I1963" s="47"/>
      <c r="J1963" s="47" t="str">
        <f t="shared" si="43"/>
        <v/>
      </c>
      <c r="K1963" s="47"/>
      <c r="L1963" s="47"/>
      <c r="N1963" s="47"/>
      <c r="O1963" s="47"/>
      <c r="P1963" s="47"/>
    </row>
    <row r="1964" spans="1:16" x14ac:dyDescent="0.3">
      <c r="A1964" s="1">
        <v>1963</v>
      </c>
      <c r="G1964" s="4"/>
      <c r="H1964" s="4"/>
      <c r="I1964" s="47"/>
      <c r="J1964" s="47" t="str">
        <f t="shared" si="43"/>
        <v/>
      </c>
      <c r="K1964" s="47"/>
      <c r="L1964" s="47"/>
      <c r="N1964" s="47"/>
      <c r="O1964" s="47"/>
      <c r="P1964" s="47"/>
    </row>
    <row r="1965" spans="1:16" x14ac:dyDescent="0.3">
      <c r="A1965" s="1">
        <v>1964</v>
      </c>
      <c r="G1965" s="4"/>
      <c r="H1965" s="4"/>
      <c r="I1965" s="47"/>
      <c r="J1965" s="47" t="str">
        <f t="shared" si="43"/>
        <v/>
      </c>
      <c r="K1965" s="47"/>
      <c r="L1965" s="47"/>
      <c r="N1965" s="47"/>
      <c r="O1965" s="47"/>
      <c r="P1965" s="47"/>
    </row>
    <row r="1966" spans="1:16" x14ac:dyDescent="0.3">
      <c r="A1966" s="1">
        <v>1965</v>
      </c>
      <c r="G1966" s="4"/>
      <c r="H1966" s="4"/>
      <c r="I1966" s="47"/>
      <c r="J1966" s="47" t="str">
        <f t="shared" si="43"/>
        <v/>
      </c>
      <c r="K1966" s="47"/>
      <c r="L1966" s="47"/>
      <c r="N1966" s="47"/>
      <c r="O1966" s="47"/>
      <c r="P1966" s="47"/>
    </row>
    <row r="1967" spans="1:16" x14ac:dyDescent="0.3">
      <c r="A1967" s="1">
        <v>1966</v>
      </c>
      <c r="G1967" s="4"/>
      <c r="H1967" s="4"/>
      <c r="I1967" s="47"/>
      <c r="J1967" s="47" t="str">
        <f t="shared" si="43"/>
        <v/>
      </c>
      <c r="K1967" s="47"/>
      <c r="L1967" s="47"/>
      <c r="N1967" s="47"/>
      <c r="O1967" s="47"/>
      <c r="P1967" s="47"/>
    </row>
    <row r="1968" spans="1:16" x14ac:dyDescent="0.3">
      <c r="A1968" s="1">
        <v>1967</v>
      </c>
      <c r="G1968" s="4"/>
      <c r="H1968" s="4"/>
      <c r="I1968" s="47"/>
      <c r="J1968" s="47" t="str">
        <f t="shared" si="43"/>
        <v/>
      </c>
      <c r="K1968" s="47"/>
      <c r="L1968" s="47"/>
      <c r="N1968" s="47"/>
      <c r="O1968" s="47"/>
      <c r="P1968" s="47"/>
    </row>
    <row r="1969" spans="1:16" x14ac:dyDescent="0.3">
      <c r="A1969" s="1">
        <v>1968</v>
      </c>
      <c r="G1969" s="4"/>
      <c r="H1969" s="4"/>
      <c r="I1969" s="47"/>
      <c r="J1969" s="47" t="str">
        <f t="shared" si="43"/>
        <v/>
      </c>
      <c r="K1969" s="47"/>
      <c r="L1969" s="47"/>
      <c r="N1969" s="47"/>
      <c r="O1969" s="47"/>
      <c r="P1969" s="47"/>
    </row>
    <row r="1970" spans="1:16" x14ac:dyDescent="0.3">
      <c r="A1970" s="1">
        <v>1969</v>
      </c>
      <c r="G1970" s="4"/>
      <c r="H1970" s="4"/>
      <c r="I1970" s="47"/>
      <c r="J1970" s="47" t="str">
        <f t="shared" si="43"/>
        <v/>
      </c>
      <c r="K1970" s="47"/>
      <c r="L1970" s="47"/>
      <c r="N1970" s="47"/>
      <c r="O1970" s="47"/>
      <c r="P1970" s="47"/>
    </row>
    <row r="1971" spans="1:16" x14ac:dyDescent="0.3">
      <c r="A1971" s="1">
        <v>1970</v>
      </c>
      <c r="G1971" s="4"/>
      <c r="H1971" s="4"/>
      <c r="I1971" s="47"/>
      <c r="J1971" s="47" t="str">
        <f t="shared" si="43"/>
        <v/>
      </c>
      <c r="K1971" s="47"/>
      <c r="L1971" s="47"/>
      <c r="N1971" s="47"/>
      <c r="O1971" s="47"/>
      <c r="P1971" s="47"/>
    </row>
    <row r="1972" spans="1:16" x14ac:dyDescent="0.3">
      <c r="A1972" s="1">
        <v>1971</v>
      </c>
      <c r="G1972" s="4"/>
      <c r="H1972" s="4"/>
      <c r="I1972" s="47"/>
      <c r="J1972" s="47" t="str">
        <f t="shared" si="43"/>
        <v/>
      </c>
      <c r="K1972" s="47"/>
      <c r="L1972" s="47"/>
      <c r="N1972" s="47"/>
      <c r="O1972" s="47"/>
      <c r="P1972" s="47"/>
    </row>
    <row r="1973" spans="1:16" x14ac:dyDescent="0.3">
      <c r="A1973" s="1">
        <v>1972</v>
      </c>
      <c r="G1973" s="4"/>
      <c r="H1973" s="4"/>
      <c r="I1973" s="47"/>
      <c r="J1973" s="47" t="str">
        <f t="shared" si="43"/>
        <v/>
      </c>
      <c r="K1973" s="47"/>
      <c r="L1973" s="47"/>
      <c r="N1973" s="47"/>
      <c r="O1973" s="47"/>
      <c r="P1973" s="47"/>
    </row>
    <row r="1974" spans="1:16" x14ac:dyDescent="0.3">
      <c r="A1974" s="1">
        <v>1973</v>
      </c>
      <c r="G1974" s="4"/>
      <c r="H1974" s="4"/>
      <c r="I1974" s="47"/>
      <c r="J1974" s="47" t="str">
        <f t="shared" si="43"/>
        <v/>
      </c>
      <c r="K1974" s="47"/>
      <c r="L1974" s="47"/>
      <c r="N1974" s="47"/>
      <c r="O1974" s="47"/>
      <c r="P1974" s="47"/>
    </row>
    <row r="1975" spans="1:16" x14ac:dyDescent="0.3">
      <c r="A1975" s="1">
        <v>1974</v>
      </c>
      <c r="G1975" s="4"/>
      <c r="H1975" s="4"/>
      <c r="I1975" s="47"/>
      <c r="J1975" s="47" t="str">
        <f t="shared" si="43"/>
        <v/>
      </c>
      <c r="K1975" s="47"/>
      <c r="L1975" s="47"/>
      <c r="N1975" s="47"/>
      <c r="O1975" s="47"/>
      <c r="P1975" s="47"/>
    </row>
    <row r="1976" spans="1:16" x14ac:dyDescent="0.3">
      <c r="A1976" s="1">
        <v>1975</v>
      </c>
      <c r="G1976" s="4"/>
      <c r="H1976" s="4"/>
      <c r="I1976" s="47"/>
      <c r="J1976" s="47" t="str">
        <f t="shared" si="43"/>
        <v/>
      </c>
      <c r="K1976" s="47"/>
      <c r="L1976" s="47"/>
      <c r="N1976" s="47"/>
      <c r="O1976" s="47"/>
      <c r="P1976" s="47"/>
    </row>
    <row r="1977" spans="1:16" x14ac:dyDescent="0.3">
      <c r="A1977" s="1">
        <v>1976</v>
      </c>
      <c r="G1977" s="4"/>
      <c r="H1977" s="4"/>
      <c r="I1977" s="47"/>
      <c r="J1977" s="47" t="str">
        <f t="shared" si="43"/>
        <v/>
      </c>
      <c r="K1977" s="47"/>
      <c r="L1977" s="47"/>
      <c r="N1977" s="47"/>
      <c r="O1977" s="47"/>
      <c r="P1977" s="47"/>
    </row>
    <row r="1978" spans="1:16" x14ac:dyDescent="0.3">
      <c r="A1978" s="1">
        <v>1977</v>
      </c>
      <c r="G1978" s="4"/>
      <c r="H1978" s="4"/>
      <c r="I1978" s="47"/>
      <c r="J1978" s="47" t="str">
        <f t="shared" si="43"/>
        <v/>
      </c>
      <c r="K1978" s="47"/>
      <c r="L1978" s="47"/>
      <c r="N1978" s="47"/>
      <c r="O1978" s="47"/>
      <c r="P1978" s="47"/>
    </row>
    <row r="1979" spans="1:16" x14ac:dyDescent="0.3">
      <c r="A1979" s="1">
        <v>1978</v>
      </c>
      <c r="G1979" s="4"/>
      <c r="H1979" s="4"/>
      <c r="I1979" s="47"/>
      <c r="J1979" s="47" t="str">
        <f t="shared" si="43"/>
        <v/>
      </c>
      <c r="K1979" s="47"/>
      <c r="L1979" s="47"/>
      <c r="N1979" s="47"/>
      <c r="O1979" s="47"/>
      <c r="P1979" s="47"/>
    </row>
    <row r="1980" spans="1:16" x14ac:dyDescent="0.3">
      <c r="A1980" s="1">
        <v>1979</v>
      </c>
      <c r="G1980" s="4"/>
      <c r="H1980" s="4"/>
      <c r="I1980" s="47"/>
      <c r="J1980" s="47" t="str">
        <f t="shared" si="43"/>
        <v/>
      </c>
      <c r="K1980" s="47"/>
      <c r="L1980" s="47"/>
      <c r="N1980" s="47"/>
      <c r="O1980" s="47"/>
      <c r="P1980" s="47"/>
    </row>
    <row r="1981" spans="1:16" x14ac:dyDescent="0.3">
      <c r="A1981" s="1">
        <v>1980</v>
      </c>
      <c r="G1981" s="4"/>
      <c r="H1981" s="4"/>
      <c r="I1981" s="47"/>
      <c r="J1981" s="47" t="str">
        <f t="shared" si="43"/>
        <v/>
      </c>
      <c r="K1981" s="47"/>
      <c r="L1981" s="47"/>
      <c r="N1981" s="47"/>
      <c r="O1981" s="47"/>
      <c r="P1981" s="47"/>
    </row>
    <row r="1982" spans="1:16" x14ac:dyDescent="0.3">
      <c r="A1982" s="1">
        <v>1981</v>
      </c>
      <c r="G1982" s="4"/>
      <c r="H1982" s="4"/>
      <c r="I1982" s="47"/>
      <c r="J1982" s="47" t="str">
        <f t="shared" si="43"/>
        <v/>
      </c>
      <c r="K1982" s="47"/>
      <c r="L1982" s="47"/>
      <c r="N1982" s="47"/>
      <c r="O1982" s="47"/>
      <c r="P1982" s="47"/>
    </row>
    <row r="1983" spans="1:16" x14ac:dyDescent="0.3">
      <c r="A1983" s="1">
        <v>1982</v>
      </c>
      <c r="G1983" s="4"/>
      <c r="H1983" s="4"/>
      <c r="I1983" s="47"/>
      <c r="J1983" s="47" t="str">
        <f t="shared" si="43"/>
        <v/>
      </c>
      <c r="K1983" s="47"/>
      <c r="L1983" s="47"/>
      <c r="N1983" s="47"/>
      <c r="O1983" s="47"/>
      <c r="P1983" s="47"/>
    </row>
    <row r="1984" spans="1:16" x14ac:dyDescent="0.3">
      <c r="A1984" s="1">
        <v>1983</v>
      </c>
      <c r="G1984" s="4"/>
      <c r="H1984" s="4"/>
      <c r="I1984" s="47"/>
      <c r="J1984" s="47" t="str">
        <f t="shared" si="43"/>
        <v/>
      </c>
      <c r="K1984" s="47"/>
      <c r="L1984" s="47"/>
      <c r="N1984" s="47"/>
      <c r="O1984" s="47"/>
      <c r="P1984" s="47"/>
    </row>
    <row r="1985" spans="1:16" x14ac:dyDescent="0.3">
      <c r="A1985" s="1">
        <v>1984</v>
      </c>
      <c r="G1985" s="4"/>
      <c r="H1985" s="4"/>
      <c r="I1985" s="47"/>
      <c r="J1985" s="47" t="str">
        <f t="shared" si="43"/>
        <v/>
      </c>
      <c r="K1985" s="47"/>
      <c r="L1985" s="47"/>
      <c r="N1985" s="47"/>
      <c r="O1985" s="47"/>
      <c r="P1985" s="47"/>
    </row>
    <row r="1986" spans="1:16" x14ac:dyDescent="0.3">
      <c r="A1986" s="1">
        <v>1985</v>
      </c>
      <c r="G1986" s="4"/>
      <c r="H1986" s="4"/>
      <c r="I1986" s="47"/>
      <c r="J1986" s="47" t="str">
        <f t="shared" si="43"/>
        <v/>
      </c>
      <c r="K1986" s="47"/>
      <c r="L1986" s="47"/>
      <c r="N1986" s="47"/>
      <c r="O1986" s="47"/>
      <c r="P1986" s="47"/>
    </row>
    <row r="1987" spans="1:16" x14ac:dyDescent="0.3">
      <c r="A1987" s="1">
        <v>1986</v>
      </c>
      <c r="G1987" s="4"/>
      <c r="H1987" s="4"/>
      <c r="I1987" s="47"/>
      <c r="J1987" s="47" t="str">
        <f t="shared" ref="J1987:J2050" si="44">+E1987&amp;I1987</f>
        <v/>
      </c>
      <c r="K1987" s="47"/>
      <c r="L1987" s="47"/>
      <c r="N1987" s="47"/>
      <c r="O1987" s="47"/>
      <c r="P1987" s="47"/>
    </row>
    <row r="1988" spans="1:16" x14ac:dyDescent="0.3">
      <c r="A1988" s="1">
        <v>1987</v>
      </c>
      <c r="G1988" s="4"/>
      <c r="H1988" s="4"/>
      <c r="I1988" s="47"/>
      <c r="J1988" s="47" t="str">
        <f t="shared" si="44"/>
        <v/>
      </c>
      <c r="K1988" s="47"/>
      <c r="L1988" s="47"/>
      <c r="N1988" s="47"/>
      <c r="O1988" s="47"/>
      <c r="P1988" s="47"/>
    </row>
    <row r="1989" spans="1:16" x14ac:dyDescent="0.3">
      <c r="A1989" s="1">
        <v>1988</v>
      </c>
      <c r="G1989" s="4"/>
      <c r="H1989" s="4"/>
      <c r="I1989" s="47"/>
      <c r="J1989" s="47" t="str">
        <f t="shared" si="44"/>
        <v/>
      </c>
      <c r="K1989" s="47"/>
      <c r="L1989" s="47"/>
      <c r="N1989" s="47"/>
      <c r="O1989" s="47"/>
      <c r="P1989" s="47"/>
    </row>
    <row r="1990" spans="1:16" x14ac:dyDescent="0.3">
      <c r="A1990" s="1">
        <v>1989</v>
      </c>
      <c r="G1990" s="4"/>
      <c r="H1990" s="4"/>
      <c r="I1990" s="47"/>
      <c r="J1990" s="47" t="str">
        <f t="shared" si="44"/>
        <v/>
      </c>
      <c r="K1990" s="47"/>
      <c r="L1990" s="47"/>
      <c r="N1990" s="47"/>
      <c r="O1990" s="47"/>
      <c r="P1990" s="47"/>
    </row>
    <row r="1991" spans="1:16" x14ac:dyDescent="0.3">
      <c r="A1991" s="1">
        <v>1990</v>
      </c>
      <c r="G1991" s="4"/>
      <c r="H1991" s="4"/>
      <c r="I1991" s="47"/>
      <c r="J1991" s="47" t="str">
        <f t="shared" si="44"/>
        <v/>
      </c>
      <c r="K1991" s="47"/>
      <c r="L1991" s="47"/>
      <c r="N1991" s="47"/>
      <c r="O1991" s="47"/>
      <c r="P1991" s="47"/>
    </row>
    <row r="1992" spans="1:16" x14ac:dyDescent="0.3">
      <c r="A1992" s="1">
        <v>1991</v>
      </c>
      <c r="G1992" s="4"/>
      <c r="H1992" s="4"/>
      <c r="I1992" s="47"/>
      <c r="J1992" s="47" t="str">
        <f t="shared" si="44"/>
        <v/>
      </c>
      <c r="K1992" s="47"/>
      <c r="L1992" s="47"/>
      <c r="N1992" s="47"/>
      <c r="O1992" s="47"/>
      <c r="P1992" s="47"/>
    </row>
    <row r="1993" spans="1:16" x14ac:dyDescent="0.3">
      <c r="A1993" s="1">
        <v>1992</v>
      </c>
      <c r="G1993" s="4"/>
      <c r="H1993" s="4"/>
      <c r="I1993" s="47"/>
      <c r="J1993" s="47" t="str">
        <f t="shared" si="44"/>
        <v/>
      </c>
      <c r="K1993" s="47"/>
      <c r="L1993" s="47"/>
      <c r="N1993" s="47"/>
      <c r="O1993" s="47"/>
      <c r="P1993" s="47"/>
    </row>
    <row r="1994" spans="1:16" x14ac:dyDescent="0.3">
      <c r="A1994" s="1">
        <v>1993</v>
      </c>
      <c r="G1994" s="4"/>
      <c r="H1994" s="4"/>
      <c r="I1994" s="47"/>
      <c r="J1994" s="47" t="str">
        <f t="shared" si="44"/>
        <v/>
      </c>
      <c r="K1994" s="47"/>
      <c r="L1994" s="47"/>
      <c r="N1994" s="47"/>
      <c r="O1994" s="47"/>
      <c r="P1994" s="47"/>
    </row>
    <row r="1995" spans="1:16" x14ac:dyDescent="0.3">
      <c r="A1995" s="1">
        <v>1994</v>
      </c>
      <c r="G1995" s="4"/>
      <c r="H1995" s="4"/>
      <c r="I1995" s="47"/>
      <c r="J1995" s="47" t="str">
        <f t="shared" si="44"/>
        <v/>
      </c>
      <c r="K1995" s="47"/>
      <c r="L1995" s="47"/>
      <c r="N1995" s="47"/>
      <c r="O1995" s="47"/>
      <c r="P1995" s="47"/>
    </row>
    <row r="1996" spans="1:16" x14ac:dyDescent="0.3">
      <c r="A1996" s="1">
        <v>1995</v>
      </c>
      <c r="G1996" s="4"/>
      <c r="H1996" s="4"/>
      <c r="I1996" s="47"/>
      <c r="J1996" s="47" t="str">
        <f t="shared" si="44"/>
        <v/>
      </c>
      <c r="K1996" s="47"/>
      <c r="L1996" s="47"/>
      <c r="N1996" s="47"/>
      <c r="O1996" s="47"/>
      <c r="P1996" s="47"/>
    </row>
    <row r="1997" spans="1:16" x14ac:dyDescent="0.3">
      <c r="A1997" s="1">
        <v>1996</v>
      </c>
      <c r="G1997" s="4"/>
      <c r="H1997" s="4"/>
      <c r="I1997" s="47"/>
      <c r="J1997" s="47" t="str">
        <f t="shared" si="44"/>
        <v/>
      </c>
      <c r="K1997" s="47"/>
      <c r="L1997" s="47"/>
      <c r="N1997" s="47"/>
      <c r="O1997" s="47"/>
      <c r="P1997" s="47"/>
    </row>
    <row r="1998" spans="1:16" x14ac:dyDescent="0.3">
      <c r="A1998" s="1">
        <v>1997</v>
      </c>
      <c r="G1998" s="4"/>
      <c r="H1998" s="4"/>
      <c r="I1998" s="47"/>
      <c r="J1998" s="47" t="str">
        <f t="shared" si="44"/>
        <v/>
      </c>
      <c r="K1998" s="47"/>
      <c r="L1998" s="47"/>
      <c r="N1998" s="47"/>
      <c r="O1998" s="47"/>
      <c r="P1998" s="47"/>
    </row>
    <row r="1999" spans="1:16" x14ac:dyDescent="0.3">
      <c r="A1999" s="1">
        <v>1998</v>
      </c>
      <c r="G1999" s="4"/>
      <c r="H1999" s="4"/>
      <c r="I1999" s="47"/>
      <c r="J1999" s="47" t="str">
        <f t="shared" si="44"/>
        <v/>
      </c>
      <c r="K1999" s="47"/>
      <c r="L1999" s="47"/>
      <c r="N1999" s="47"/>
      <c r="O1999" s="47"/>
      <c r="P1999" s="47"/>
    </row>
    <row r="2000" spans="1:16" x14ac:dyDescent="0.3">
      <c r="A2000" s="1">
        <v>1999</v>
      </c>
      <c r="G2000" s="4"/>
      <c r="H2000" s="4"/>
      <c r="I2000" s="47"/>
      <c r="J2000" s="47" t="str">
        <f t="shared" si="44"/>
        <v/>
      </c>
      <c r="K2000" s="47"/>
      <c r="L2000" s="47"/>
      <c r="N2000" s="47"/>
      <c r="O2000" s="47"/>
      <c r="P2000" s="47"/>
    </row>
    <row r="2001" spans="1:16" x14ac:dyDescent="0.3">
      <c r="A2001" s="1">
        <v>2000</v>
      </c>
      <c r="G2001" s="4"/>
      <c r="H2001" s="4"/>
      <c r="I2001" s="47"/>
      <c r="J2001" s="47" t="str">
        <f t="shared" si="44"/>
        <v/>
      </c>
      <c r="K2001" s="47"/>
      <c r="L2001" s="47"/>
      <c r="N2001" s="47"/>
      <c r="O2001" s="47"/>
      <c r="P2001" s="47"/>
    </row>
    <row r="2002" spans="1:16" x14ac:dyDescent="0.3">
      <c r="A2002" s="1">
        <v>2001</v>
      </c>
      <c r="G2002" s="4"/>
      <c r="H2002" s="4"/>
      <c r="I2002" s="47"/>
      <c r="J2002" s="47" t="str">
        <f t="shared" si="44"/>
        <v/>
      </c>
      <c r="K2002" s="47"/>
      <c r="L2002" s="47"/>
      <c r="N2002" s="47"/>
      <c r="O2002" s="47"/>
      <c r="P2002" s="47"/>
    </row>
    <row r="2003" spans="1:16" x14ac:dyDescent="0.3">
      <c r="A2003" s="1">
        <v>2002</v>
      </c>
      <c r="G2003" s="4"/>
      <c r="H2003" s="4"/>
      <c r="I2003" s="47"/>
      <c r="J2003" s="47" t="str">
        <f t="shared" si="44"/>
        <v/>
      </c>
      <c r="K2003" s="47"/>
      <c r="L2003" s="47"/>
      <c r="N2003" s="47"/>
      <c r="O2003" s="47"/>
      <c r="P2003" s="47"/>
    </row>
    <row r="2004" spans="1:16" x14ac:dyDescent="0.3">
      <c r="A2004" s="1">
        <v>2003</v>
      </c>
      <c r="G2004" s="4"/>
      <c r="H2004" s="4"/>
      <c r="I2004" s="47"/>
      <c r="J2004" s="47" t="str">
        <f t="shared" si="44"/>
        <v/>
      </c>
      <c r="K2004" s="47"/>
      <c r="L2004" s="47"/>
      <c r="N2004" s="47"/>
      <c r="O2004" s="47"/>
      <c r="P2004" s="47"/>
    </row>
    <row r="2005" spans="1:16" x14ac:dyDescent="0.3">
      <c r="A2005" s="1">
        <v>2004</v>
      </c>
      <c r="G2005" s="4"/>
      <c r="H2005" s="4"/>
      <c r="I2005" s="47"/>
      <c r="J2005" s="47" t="str">
        <f t="shared" si="44"/>
        <v/>
      </c>
      <c r="K2005" s="47"/>
      <c r="L2005" s="47"/>
      <c r="N2005" s="47"/>
      <c r="O2005" s="47"/>
      <c r="P2005" s="47"/>
    </row>
    <row r="2006" spans="1:16" x14ac:dyDescent="0.3">
      <c r="A2006" s="1">
        <v>2005</v>
      </c>
      <c r="G2006" s="4"/>
      <c r="H2006" s="4"/>
      <c r="I2006" s="47"/>
      <c r="J2006" s="47" t="str">
        <f t="shared" si="44"/>
        <v/>
      </c>
      <c r="K2006" s="47"/>
      <c r="L2006" s="47"/>
      <c r="N2006" s="47"/>
      <c r="O2006" s="47"/>
      <c r="P2006" s="47"/>
    </row>
    <row r="2007" spans="1:16" x14ac:dyDescent="0.3">
      <c r="A2007" s="1">
        <v>2006</v>
      </c>
      <c r="G2007" s="4"/>
      <c r="H2007" s="4"/>
      <c r="I2007" s="47"/>
      <c r="J2007" s="47" t="str">
        <f t="shared" si="44"/>
        <v/>
      </c>
      <c r="K2007" s="47"/>
      <c r="L2007" s="47"/>
      <c r="N2007" s="47"/>
      <c r="O2007" s="47"/>
      <c r="P2007" s="47"/>
    </row>
    <row r="2008" spans="1:16" x14ac:dyDescent="0.3">
      <c r="A2008" s="1">
        <v>2007</v>
      </c>
      <c r="G2008" s="4"/>
      <c r="H2008" s="4"/>
      <c r="I2008" s="47"/>
      <c r="J2008" s="47" t="str">
        <f t="shared" si="44"/>
        <v/>
      </c>
      <c r="K2008" s="47"/>
      <c r="L2008" s="47"/>
      <c r="N2008" s="47"/>
      <c r="O2008" s="47"/>
      <c r="P2008" s="47"/>
    </row>
    <row r="2009" spans="1:16" x14ac:dyDescent="0.3">
      <c r="A2009" s="1">
        <v>2008</v>
      </c>
      <c r="G2009" s="4"/>
      <c r="H2009" s="4"/>
      <c r="I2009" s="47"/>
      <c r="J2009" s="47" t="str">
        <f t="shared" si="44"/>
        <v/>
      </c>
      <c r="K2009" s="47"/>
      <c r="L2009" s="47"/>
      <c r="N2009" s="47"/>
      <c r="O2009" s="47"/>
      <c r="P2009" s="47"/>
    </row>
    <row r="2010" spans="1:16" x14ac:dyDescent="0.3">
      <c r="A2010" s="1">
        <v>2009</v>
      </c>
      <c r="G2010" s="4"/>
      <c r="H2010" s="4"/>
      <c r="I2010" s="47"/>
      <c r="J2010" s="47" t="str">
        <f t="shared" si="44"/>
        <v/>
      </c>
      <c r="K2010" s="47"/>
      <c r="L2010" s="47"/>
      <c r="N2010" s="47"/>
      <c r="O2010" s="47"/>
      <c r="P2010" s="47"/>
    </row>
    <row r="2011" spans="1:16" x14ac:dyDescent="0.3">
      <c r="A2011" s="1">
        <v>2010</v>
      </c>
      <c r="G2011" s="4"/>
      <c r="H2011" s="4"/>
      <c r="I2011" s="47"/>
      <c r="J2011" s="47" t="str">
        <f t="shared" si="44"/>
        <v/>
      </c>
      <c r="K2011" s="47"/>
      <c r="L2011" s="47"/>
      <c r="N2011" s="47"/>
      <c r="O2011" s="47"/>
      <c r="P2011" s="47"/>
    </row>
    <row r="2012" spans="1:16" x14ac:dyDescent="0.3">
      <c r="A2012" s="1">
        <v>2011</v>
      </c>
      <c r="G2012" s="4"/>
      <c r="H2012" s="4"/>
      <c r="I2012" s="47"/>
      <c r="J2012" s="47" t="str">
        <f t="shared" si="44"/>
        <v/>
      </c>
      <c r="K2012" s="47"/>
      <c r="L2012" s="47"/>
      <c r="N2012" s="47"/>
      <c r="O2012" s="47"/>
      <c r="P2012" s="47"/>
    </row>
    <row r="2013" spans="1:16" x14ac:dyDescent="0.3">
      <c r="A2013" s="1">
        <v>2012</v>
      </c>
      <c r="G2013" s="4"/>
      <c r="H2013" s="4"/>
      <c r="I2013" s="47"/>
      <c r="J2013" s="47" t="str">
        <f t="shared" si="44"/>
        <v/>
      </c>
      <c r="K2013" s="47"/>
      <c r="L2013" s="47"/>
      <c r="N2013" s="47"/>
      <c r="O2013" s="47"/>
      <c r="P2013" s="47"/>
    </row>
    <row r="2014" spans="1:16" x14ac:dyDescent="0.3">
      <c r="A2014" s="1">
        <v>2013</v>
      </c>
      <c r="G2014" s="4"/>
      <c r="H2014" s="4"/>
      <c r="I2014" s="47"/>
      <c r="J2014" s="47" t="str">
        <f t="shared" si="44"/>
        <v/>
      </c>
      <c r="K2014" s="47"/>
      <c r="L2014" s="47"/>
      <c r="N2014" s="47"/>
      <c r="O2014" s="47"/>
      <c r="P2014" s="47"/>
    </row>
    <row r="2015" spans="1:16" x14ac:dyDescent="0.3">
      <c r="A2015" s="1">
        <v>2014</v>
      </c>
      <c r="G2015" s="4"/>
      <c r="H2015" s="4"/>
      <c r="I2015" s="47"/>
      <c r="J2015" s="47" t="str">
        <f t="shared" si="44"/>
        <v/>
      </c>
      <c r="K2015" s="47"/>
      <c r="L2015" s="47"/>
      <c r="N2015" s="47"/>
      <c r="O2015" s="47"/>
      <c r="P2015" s="47"/>
    </row>
    <row r="2016" spans="1:16" x14ac:dyDescent="0.3">
      <c r="A2016" s="1">
        <v>2015</v>
      </c>
      <c r="G2016" s="4"/>
      <c r="H2016" s="4"/>
      <c r="I2016" s="47"/>
      <c r="J2016" s="47" t="str">
        <f t="shared" si="44"/>
        <v/>
      </c>
      <c r="K2016" s="47"/>
      <c r="L2016" s="47"/>
      <c r="N2016" s="47"/>
      <c r="O2016" s="47"/>
      <c r="P2016" s="47"/>
    </row>
    <row r="2017" spans="1:16" x14ac:dyDescent="0.3">
      <c r="A2017" s="1">
        <v>2016</v>
      </c>
      <c r="G2017" s="4"/>
      <c r="H2017" s="4"/>
      <c r="I2017" s="47"/>
      <c r="J2017" s="47" t="str">
        <f t="shared" si="44"/>
        <v/>
      </c>
      <c r="K2017" s="47"/>
      <c r="L2017" s="47"/>
      <c r="N2017" s="47"/>
      <c r="O2017" s="47"/>
      <c r="P2017" s="47"/>
    </row>
    <row r="2018" spans="1:16" x14ac:dyDescent="0.3">
      <c r="A2018" s="1">
        <v>2017</v>
      </c>
      <c r="G2018" s="4"/>
      <c r="H2018" s="4"/>
      <c r="I2018" s="47"/>
      <c r="J2018" s="47" t="str">
        <f t="shared" si="44"/>
        <v/>
      </c>
      <c r="K2018" s="47"/>
      <c r="L2018" s="47"/>
      <c r="N2018" s="47"/>
      <c r="O2018" s="47"/>
      <c r="P2018" s="47"/>
    </row>
    <row r="2019" spans="1:16" x14ac:dyDescent="0.3">
      <c r="A2019" s="1">
        <v>2018</v>
      </c>
      <c r="G2019" s="4"/>
      <c r="H2019" s="4"/>
      <c r="I2019" s="47"/>
      <c r="J2019" s="47" t="str">
        <f t="shared" si="44"/>
        <v/>
      </c>
      <c r="K2019" s="47"/>
      <c r="L2019" s="47"/>
      <c r="N2019" s="47"/>
      <c r="O2019" s="47"/>
      <c r="P2019" s="47"/>
    </row>
    <row r="2020" spans="1:16" x14ac:dyDescent="0.3">
      <c r="A2020" s="1">
        <v>2019</v>
      </c>
      <c r="G2020" s="4"/>
      <c r="H2020" s="4"/>
      <c r="I2020" s="47"/>
      <c r="J2020" s="47" t="str">
        <f t="shared" si="44"/>
        <v/>
      </c>
      <c r="K2020" s="47"/>
      <c r="L2020" s="47"/>
      <c r="N2020" s="47"/>
      <c r="O2020" s="47"/>
      <c r="P2020" s="47"/>
    </row>
    <row r="2021" spans="1:16" x14ac:dyDescent="0.3">
      <c r="A2021" s="1">
        <v>2020</v>
      </c>
      <c r="G2021" s="4"/>
      <c r="H2021" s="4"/>
      <c r="I2021" s="47"/>
      <c r="J2021" s="47" t="str">
        <f t="shared" si="44"/>
        <v/>
      </c>
      <c r="K2021" s="47"/>
      <c r="L2021" s="47"/>
      <c r="N2021" s="47"/>
      <c r="O2021" s="47"/>
      <c r="P2021" s="47"/>
    </row>
    <row r="2022" spans="1:16" x14ac:dyDescent="0.3">
      <c r="A2022" s="1">
        <v>2021</v>
      </c>
      <c r="G2022" s="4"/>
      <c r="H2022" s="4"/>
      <c r="I2022" s="47"/>
      <c r="J2022" s="47" t="str">
        <f t="shared" si="44"/>
        <v/>
      </c>
      <c r="K2022" s="47"/>
      <c r="L2022" s="47"/>
      <c r="N2022" s="47"/>
      <c r="O2022" s="47"/>
      <c r="P2022" s="47"/>
    </row>
    <row r="2023" spans="1:16" x14ac:dyDescent="0.3">
      <c r="A2023" s="1">
        <v>2022</v>
      </c>
      <c r="G2023" s="4"/>
      <c r="H2023" s="4"/>
      <c r="I2023" s="47"/>
      <c r="J2023" s="47" t="str">
        <f t="shared" si="44"/>
        <v/>
      </c>
      <c r="K2023" s="47"/>
      <c r="L2023" s="47"/>
      <c r="N2023" s="47"/>
      <c r="O2023" s="47"/>
      <c r="P2023" s="47"/>
    </row>
    <row r="2024" spans="1:16" x14ac:dyDescent="0.3">
      <c r="A2024" s="1">
        <v>2023</v>
      </c>
      <c r="G2024" s="4"/>
      <c r="H2024" s="4"/>
      <c r="I2024" s="47"/>
      <c r="J2024" s="47" t="str">
        <f t="shared" si="44"/>
        <v/>
      </c>
      <c r="K2024" s="47"/>
      <c r="L2024" s="47"/>
      <c r="N2024" s="47"/>
      <c r="O2024" s="47"/>
      <c r="P2024" s="47"/>
    </row>
    <row r="2025" spans="1:16" x14ac:dyDescent="0.3">
      <c r="A2025" s="1">
        <v>2024</v>
      </c>
      <c r="G2025" s="4"/>
      <c r="H2025" s="4"/>
      <c r="I2025" s="47"/>
      <c r="J2025" s="47" t="str">
        <f t="shared" si="44"/>
        <v/>
      </c>
      <c r="K2025" s="47"/>
      <c r="L2025" s="47"/>
      <c r="N2025" s="47"/>
      <c r="O2025" s="47"/>
      <c r="P2025" s="47"/>
    </row>
    <row r="2026" spans="1:16" x14ac:dyDescent="0.3">
      <c r="A2026" s="1">
        <v>2025</v>
      </c>
      <c r="G2026" s="4"/>
      <c r="H2026" s="4"/>
      <c r="I2026" s="47"/>
      <c r="J2026" s="47" t="str">
        <f t="shared" si="44"/>
        <v/>
      </c>
      <c r="K2026" s="47"/>
      <c r="L2026" s="47"/>
      <c r="N2026" s="47"/>
      <c r="O2026" s="47"/>
      <c r="P2026" s="47"/>
    </row>
    <row r="2027" spans="1:16" x14ac:dyDescent="0.3">
      <c r="A2027" s="1">
        <v>2026</v>
      </c>
      <c r="G2027" s="4"/>
      <c r="H2027" s="4"/>
      <c r="I2027" s="47"/>
      <c r="J2027" s="47" t="str">
        <f t="shared" si="44"/>
        <v/>
      </c>
      <c r="K2027" s="47"/>
      <c r="L2027" s="47"/>
      <c r="N2027" s="47"/>
      <c r="O2027" s="47"/>
      <c r="P2027" s="47"/>
    </row>
    <row r="2028" spans="1:16" x14ac:dyDescent="0.3">
      <c r="A2028" s="1">
        <v>2027</v>
      </c>
      <c r="G2028" s="4"/>
      <c r="H2028" s="4"/>
      <c r="I2028" s="47"/>
      <c r="J2028" s="47" t="str">
        <f t="shared" si="44"/>
        <v/>
      </c>
      <c r="K2028" s="47"/>
      <c r="L2028" s="47"/>
      <c r="N2028" s="47"/>
      <c r="O2028" s="47"/>
      <c r="P2028" s="47"/>
    </row>
    <row r="2029" spans="1:16" x14ac:dyDescent="0.3">
      <c r="A2029" s="1">
        <v>2028</v>
      </c>
      <c r="G2029" s="4"/>
      <c r="H2029" s="4"/>
      <c r="I2029" s="47"/>
      <c r="J2029" s="47" t="str">
        <f t="shared" si="44"/>
        <v/>
      </c>
      <c r="K2029" s="47"/>
      <c r="L2029" s="47"/>
      <c r="N2029" s="47"/>
      <c r="O2029" s="47"/>
      <c r="P2029" s="47"/>
    </row>
    <row r="2030" spans="1:16" x14ac:dyDescent="0.3">
      <c r="A2030" s="1">
        <v>2029</v>
      </c>
      <c r="G2030" s="4"/>
      <c r="H2030" s="4"/>
      <c r="I2030" s="47"/>
      <c r="J2030" s="47" t="str">
        <f t="shared" si="44"/>
        <v/>
      </c>
      <c r="K2030" s="47"/>
      <c r="L2030" s="47"/>
      <c r="N2030" s="47"/>
      <c r="O2030" s="47"/>
      <c r="P2030" s="47"/>
    </row>
    <row r="2031" spans="1:16" x14ac:dyDescent="0.3">
      <c r="A2031" s="1">
        <v>2030</v>
      </c>
      <c r="G2031" s="4"/>
      <c r="H2031" s="4"/>
      <c r="I2031" s="47"/>
      <c r="J2031" s="47" t="str">
        <f t="shared" si="44"/>
        <v/>
      </c>
      <c r="K2031" s="47"/>
      <c r="L2031" s="47"/>
      <c r="N2031" s="47"/>
      <c r="O2031" s="47"/>
      <c r="P2031" s="47"/>
    </row>
    <row r="2032" spans="1:16" x14ac:dyDescent="0.3">
      <c r="A2032" s="1">
        <v>2031</v>
      </c>
      <c r="G2032" s="4"/>
      <c r="H2032" s="4"/>
      <c r="I2032" s="47"/>
      <c r="J2032" s="47" t="str">
        <f t="shared" si="44"/>
        <v/>
      </c>
      <c r="K2032" s="47"/>
      <c r="L2032" s="47"/>
      <c r="N2032" s="47"/>
      <c r="O2032" s="47"/>
      <c r="P2032" s="47"/>
    </row>
    <row r="2033" spans="1:16" x14ac:dyDescent="0.3">
      <c r="A2033" s="1">
        <v>2032</v>
      </c>
      <c r="G2033" s="4"/>
      <c r="H2033" s="4"/>
      <c r="I2033" s="47"/>
      <c r="J2033" s="47" t="str">
        <f t="shared" si="44"/>
        <v/>
      </c>
      <c r="K2033" s="47"/>
      <c r="L2033" s="47"/>
      <c r="N2033" s="47"/>
      <c r="O2033" s="47"/>
      <c r="P2033" s="47"/>
    </row>
    <row r="2034" spans="1:16" x14ac:dyDescent="0.3">
      <c r="A2034" s="1">
        <v>2033</v>
      </c>
      <c r="G2034" s="4"/>
      <c r="H2034" s="4"/>
      <c r="I2034" s="47"/>
      <c r="J2034" s="47" t="str">
        <f t="shared" si="44"/>
        <v/>
      </c>
      <c r="K2034" s="47"/>
      <c r="L2034" s="47"/>
      <c r="N2034" s="47"/>
      <c r="O2034" s="47"/>
      <c r="P2034" s="47"/>
    </row>
    <row r="2035" spans="1:16" x14ac:dyDescent="0.3">
      <c r="A2035" s="1">
        <v>2034</v>
      </c>
      <c r="G2035" s="4"/>
      <c r="H2035" s="4"/>
      <c r="I2035" s="47"/>
      <c r="J2035" s="47" t="str">
        <f t="shared" si="44"/>
        <v/>
      </c>
      <c r="K2035" s="47"/>
      <c r="L2035" s="47"/>
      <c r="N2035" s="47"/>
      <c r="O2035" s="47"/>
      <c r="P2035" s="47"/>
    </row>
    <row r="2036" spans="1:16" x14ac:dyDescent="0.3">
      <c r="A2036" s="1">
        <v>2035</v>
      </c>
      <c r="G2036" s="4"/>
      <c r="H2036" s="4"/>
      <c r="I2036" s="47"/>
      <c r="J2036" s="47" t="str">
        <f t="shared" si="44"/>
        <v/>
      </c>
      <c r="K2036" s="47"/>
      <c r="L2036" s="47"/>
      <c r="N2036" s="47"/>
      <c r="O2036" s="47"/>
      <c r="P2036" s="47"/>
    </row>
    <row r="2037" spans="1:16" x14ac:dyDescent="0.3">
      <c r="A2037" s="1">
        <v>2036</v>
      </c>
      <c r="G2037" s="4"/>
      <c r="H2037" s="4"/>
      <c r="I2037" s="47"/>
      <c r="J2037" s="47" t="str">
        <f t="shared" si="44"/>
        <v/>
      </c>
      <c r="K2037" s="47"/>
      <c r="L2037" s="47"/>
      <c r="N2037" s="47"/>
      <c r="O2037" s="47"/>
      <c r="P2037" s="47"/>
    </row>
    <row r="2038" spans="1:16" x14ac:dyDescent="0.3">
      <c r="A2038" s="1">
        <v>2037</v>
      </c>
      <c r="G2038" s="4"/>
      <c r="H2038" s="4"/>
      <c r="I2038" s="47"/>
      <c r="J2038" s="47" t="str">
        <f t="shared" si="44"/>
        <v/>
      </c>
      <c r="K2038" s="47"/>
      <c r="L2038" s="47"/>
      <c r="N2038" s="47"/>
      <c r="O2038" s="47"/>
      <c r="P2038" s="47"/>
    </row>
    <row r="2039" spans="1:16" x14ac:dyDescent="0.3">
      <c r="A2039" s="1">
        <v>2038</v>
      </c>
      <c r="G2039" s="4"/>
      <c r="H2039" s="4"/>
      <c r="I2039" s="47"/>
      <c r="J2039" s="47" t="str">
        <f t="shared" si="44"/>
        <v/>
      </c>
      <c r="K2039" s="47"/>
      <c r="L2039" s="47"/>
      <c r="N2039" s="47"/>
      <c r="O2039" s="47"/>
      <c r="P2039" s="47"/>
    </row>
    <row r="2040" spans="1:16" x14ac:dyDescent="0.3">
      <c r="A2040" s="1">
        <v>2039</v>
      </c>
      <c r="G2040" s="4"/>
      <c r="H2040" s="4"/>
      <c r="I2040" s="47"/>
      <c r="J2040" s="47" t="str">
        <f t="shared" si="44"/>
        <v/>
      </c>
      <c r="K2040" s="47"/>
      <c r="L2040" s="47"/>
      <c r="N2040" s="47"/>
      <c r="O2040" s="47"/>
      <c r="P2040" s="47"/>
    </row>
    <row r="2041" spans="1:16" x14ac:dyDescent="0.3">
      <c r="A2041" s="1">
        <v>2040</v>
      </c>
      <c r="G2041" s="4"/>
      <c r="H2041" s="4"/>
      <c r="I2041" s="47"/>
      <c r="J2041" s="47" t="str">
        <f t="shared" si="44"/>
        <v/>
      </c>
      <c r="K2041" s="47"/>
      <c r="L2041" s="47"/>
      <c r="N2041" s="47"/>
      <c r="O2041" s="47"/>
      <c r="P2041" s="47"/>
    </row>
    <row r="2042" spans="1:16" x14ac:dyDescent="0.3">
      <c r="A2042" s="1">
        <v>2041</v>
      </c>
      <c r="G2042" s="4"/>
      <c r="H2042" s="4"/>
      <c r="I2042" s="47"/>
      <c r="J2042" s="47" t="str">
        <f t="shared" si="44"/>
        <v/>
      </c>
      <c r="K2042" s="47"/>
      <c r="L2042" s="47"/>
      <c r="N2042" s="47"/>
      <c r="O2042" s="47"/>
      <c r="P2042" s="47"/>
    </row>
    <row r="2043" spans="1:16" x14ac:dyDescent="0.3">
      <c r="A2043" s="1">
        <v>2042</v>
      </c>
      <c r="G2043" s="4"/>
      <c r="H2043" s="4"/>
      <c r="I2043" s="47"/>
      <c r="J2043" s="47" t="str">
        <f t="shared" si="44"/>
        <v/>
      </c>
      <c r="K2043" s="47"/>
      <c r="L2043" s="47"/>
      <c r="N2043" s="47"/>
      <c r="O2043" s="47"/>
      <c r="P2043" s="47"/>
    </row>
    <row r="2044" spans="1:16" x14ac:dyDescent="0.3">
      <c r="A2044" s="1">
        <v>2043</v>
      </c>
      <c r="G2044" s="4"/>
      <c r="H2044" s="4"/>
      <c r="I2044" s="47"/>
      <c r="J2044" s="47" t="str">
        <f t="shared" si="44"/>
        <v/>
      </c>
      <c r="K2044" s="47"/>
      <c r="L2044" s="47"/>
      <c r="N2044" s="47"/>
      <c r="O2044" s="47"/>
      <c r="P2044" s="47"/>
    </row>
    <row r="2045" spans="1:16" x14ac:dyDescent="0.3">
      <c r="A2045" s="1">
        <v>2044</v>
      </c>
      <c r="G2045" s="4"/>
      <c r="H2045" s="4"/>
      <c r="I2045" s="47"/>
      <c r="J2045" s="47" t="str">
        <f t="shared" si="44"/>
        <v/>
      </c>
      <c r="K2045" s="47"/>
      <c r="L2045" s="47"/>
      <c r="N2045" s="47"/>
      <c r="O2045" s="47"/>
      <c r="P2045" s="47"/>
    </row>
    <row r="2046" spans="1:16" x14ac:dyDescent="0.3">
      <c r="A2046" s="1">
        <v>2045</v>
      </c>
      <c r="G2046" s="4"/>
      <c r="H2046" s="4"/>
      <c r="I2046" s="47"/>
      <c r="J2046" s="47" t="str">
        <f t="shared" si="44"/>
        <v/>
      </c>
      <c r="K2046" s="47"/>
      <c r="L2046" s="47"/>
      <c r="N2046" s="47"/>
      <c r="O2046" s="47"/>
      <c r="P2046" s="47"/>
    </row>
    <row r="2047" spans="1:16" x14ac:dyDescent="0.3">
      <c r="A2047" s="1">
        <v>2046</v>
      </c>
      <c r="G2047" s="4"/>
      <c r="H2047" s="4"/>
      <c r="I2047" s="47"/>
      <c r="J2047" s="47" t="str">
        <f t="shared" si="44"/>
        <v/>
      </c>
      <c r="K2047" s="47"/>
      <c r="L2047" s="47"/>
      <c r="N2047" s="47"/>
      <c r="O2047" s="47"/>
      <c r="P2047" s="47"/>
    </row>
    <row r="2048" spans="1:16" x14ac:dyDescent="0.3">
      <c r="A2048" s="1">
        <v>2047</v>
      </c>
      <c r="G2048" s="4"/>
      <c r="H2048" s="4"/>
      <c r="I2048" s="47"/>
      <c r="J2048" s="47" t="str">
        <f t="shared" si="44"/>
        <v/>
      </c>
      <c r="K2048" s="47"/>
      <c r="L2048" s="47"/>
      <c r="N2048" s="47"/>
      <c r="O2048" s="47"/>
      <c r="P2048" s="47"/>
    </row>
    <row r="2049" spans="1:16" x14ac:dyDescent="0.3">
      <c r="A2049" s="1">
        <v>2048</v>
      </c>
      <c r="G2049" s="4"/>
      <c r="H2049" s="4"/>
      <c r="I2049" s="47"/>
      <c r="J2049" s="47" t="str">
        <f t="shared" si="44"/>
        <v/>
      </c>
      <c r="K2049" s="47"/>
      <c r="L2049" s="47"/>
      <c r="N2049" s="47"/>
      <c r="O2049" s="47"/>
      <c r="P2049" s="47"/>
    </row>
    <row r="2050" spans="1:16" x14ac:dyDescent="0.3">
      <c r="A2050" s="1">
        <v>2049</v>
      </c>
      <c r="G2050" s="4"/>
      <c r="H2050" s="4"/>
      <c r="I2050" s="47"/>
      <c r="J2050" s="47" t="str">
        <f t="shared" si="44"/>
        <v/>
      </c>
      <c r="K2050" s="47"/>
      <c r="L2050" s="47"/>
      <c r="N2050" s="47"/>
      <c r="O2050" s="47"/>
      <c r="P2050" s="47"/>
    </row>
    <row r="2051" spans="1:16" x14ac:dyDescent="0.3">
      <c r="A2051" s="1">
        <v>2050</v>
      </c>
      <c r="G2051" s="4"/>
      <c r="H2051" s="4"/>
      <c r="I2051" s="47"/>
      <c r="J2051" s="47" t="str">
        <f t="shared" ref="J2051:J2114" si="45">+E2051&amp;I2051</f>
        <v/>
      </c>
      <c r="K2051" s="47"/>
      <c r="L2051" s="47"/>
      <c r="N2051" s="47"/>
      <c r="O2051" s="47"/>
      <c r="P2051" s="47"/>
    </row>
    <row r="2052" spans="1:16" x14ac:dyDescent="0.3">
      <c r="A2052" s="1">
        <v>2051</v>
      </c>
      <c r="G2052" s="4"/>
      <c r="H2052" s="4"/>
      <c r="I2052" s="47"/>
      <c r="J2052" s="47" t="str">
        <f t="shared" si="45"/>
        <v/>
      </c>
      <c r="K2052" s="47"/>
      <c r="L2052" s="47"/>
      <c r="N2052" s="47"/>
      <c r="O2052" s="47"/>
      <c r="P2052" s="47"/>
    </row>
    <row r="2053" spans="1:16" x14ac:dyDescent="0.3">
      <c r="A2053" s="1">
        <v>2052</v>
      </c>
      <c r="G2053" s="4"/>
      <c r="H2053" s="4"/>
      <c r="I2053" s="47"/>
      <c r="J2053" s="47" t="str">
        <f t="shared" si="45"/>
        <v/>
      </c>
      <c r="K2053" s="47"/>
      <c r="L2053" s="47"/>
      <c r="N2053" s="47"/>
      <c r="O2053" s="47"/>
      <c r="P2053" s="47"/>
    </row>
    <row r="2054" spans="1:16" x14ac:dyDescent="0.3">
      <c r="A2054" s="1">
        <v>2053</v>
      </c>
      <c r="G2054" s="4"/>
      <c r="H2054" s="4"/>
      <c r="I2054" s="47"/>
      <c r="J2054" s="47" t="str">
        <f t="shared" si="45"/>
        <v/>
      </c>
      <c r="K2054" s="47"/>
      <c r="L2054" s="47"/>
      <c r="N2054" s="47"/>
      <c r="O2054" s="47"/>
      <c r="P2054" s="47"/>
    </row>
    <row r="2055" spans="1:16" x14ac:dyDescent="0.3">
      <c r="A2055" s="1">
        <v>2054</v>
      </c>
      <c r="G2055" s="4"/>
      <c r="H2055" s="4"/>
      <c r="I2055" s="47"/>
      <c r="J2055" s="47" t="str">
        <f t="shared" si="45"/>
        <v/>
      </c>
      <c r="K2055" s="47"/>
      <c r="L2055" s="47"/>
      <c r="N2055" s="47"/>
      <c r="O2055" s="47"/>
      <c r="P2055" s="47"/>
    </row>
    <row r="2056" spans="1:16" x14ac:dyDescent="0.3">
      <c r="A2056" s="1">
        <v>2055</v>
      </c>
      <c r="G2056" s="4"/>
      <c r="H2056" s="4"/>
      <c r="I2056" s="47"/>
      <c r="J2056" s="47" t="str">
        <f t="shared" si="45"/>
        <v/>
      </c>
      <c r="K2056" s="47"/>
      <c r="L2056" s="47"/>
      <c r="N2056" s="47"/>
      <c r="O2056" s="47"/>
      <c r="P2056" s="47"/>
    </row>
    <row r="2057" spans="1:16" x14ac:dyDescent="0.3">
      <c r="A2057" s="1">
        <v>2056</v>
      </c>
      <c r="G2057" s="4"/>
      <c r="H2057" s="4"/>
      <c r="I2057" s="47"/>
      <c r="J2057" s="47" t="str">
        <f t="shared" si="45"/>
        <v/>
      </c>
      <c r="K2057" s="47"/>
      <c r="L2057" s="47"/>
      <c r="N2057" s="47"/>
      <c r="O2057" s="47"/>
      <c r="P2057" s="47"/>
    </row>
    <row r="2058" spans="1:16" x14ac:dyDescent="0.3">
      <c r="A2058" s="1">
        <v>2057</v>
      </c>
      <c r="G2058" s="4"/>
      <c r="H2058" s="4"/>
      <c r="I2058" s="47"/>
      <c r="J2058" s="47" t="str">
        <f t="shared" si="45"/>
        <v/>
      </c>
      <c r="K2058" s="47"/>
      <c r="L2058" s="47"/>
      <c r="N2058" s="47"/>
      <c r="O2058" s="47"/>
      <c r="P2058" s="47"/>
    </row>
    <row r="2059" spans="1:16" x14ac:dyDescent="0.3">
      <c r="A2059" s="1">
        <v>2058</v>
      </c>
      <c r="G2059" s="4"/>
      <c r="H2059" s="4"/>
      <c r="I2059" s="47"/>
      <c r="J2059" s="47" t="str">
        <f t="shared" si="45"/>
        <v/>
      </c>
      <c r="K2059" s="47"/>
      <c r="L2059" s="47"/>
      <c r="N2059" s="47"/>
      <c r="O2059" s="47"/>
      <c r="P2059" s="47"/>
    </row>
    <row r="2060" spans="1:16" x14ac:dyDescent="0.3">
      <c r="A2060" s="1">
        <v>2059</v>
      </c>
      <c r="G2060" s="4"/>
      <c r="H2060" s="4"/>
      <c r="I2060" s="47"/>
      <c r="J2060" s="47" t="str">
        <f t="shared" si="45"/>
        <v/>
      </c>
      <c r="K2060" s="47"/>
      <c r="L2060" s="47"/>
      <c r="N2060" s="47"/>
      <c r="O2060" s="47"/>
      <c r="P2060" s="47"/>
    </row>
    <row r="2061" spans="1:16" x14ac:dyDescent="0.3">
      <c r="A2061" s="1">
        <v>2060</v>
      </c>
      <c r="G2061" s="4"/>
      <c r="H2061" s="4"/>
      <c r="I2061" s="47"/>
      <c r="J2061" s="47" t="str">
        <f t="shared" si="45"/>
        <v/>
      </c>
      <c r="K2061" s="47"/>
      <c r="L2061" s="47"/>
      <c r="N2061" s="47"/>
      <c r="O2061" s="47"/>
      <c r="P2061" s="47"/>
    </row>
    <row r="2062" spans="1:16" x14ac:dyDescent="0.3">
      <c r="A2062" s="1">
        <v>2061</v>
      </c>
      <c r="G2062" s="4"/>
      <c r="H2062" s="4"/>
      <c r="I2062" s="47"/>
      <c r="J2062" s="47" t="str">
        <f t="shared" si="45"/>
        <v/>
      </c>
      <c r="K2062" s="47"/>
      <c r="L2062" s="47"/>
      <c r="N2062" s="47"/>
      <c r="O2062" s="47"/>
      <c r="P2062" s="47"/>
    </row>
    <row r="2063" spans="1:16" x14ac:dyDescent="0.3">
      <c r="A2063" s="1">
        <v>2062</v>
      </c>
      <c r="G2063" s="4"/>
      <c r="H2063" s="4"/>
      <c r="I2063" s="47"/>
      <c r="J2063" s="47" t="str">
        <f t="shared" si="45"/>
        <v/>
      </c>
      <c r="K2063" s="47"/>
      <c r="L2063" s="47"/>
      <c r="N2063" s="47"/>
      <c r="O2063" s="47"/>
      <c r="P2063" s="47"/>
    </row>
    <row r="2064" spans="1:16" x14ac:dyDescent="0.3">
      <c r="A2064" s="1">
        <v>2063</v>
      </c>
      <c r="G2064" s="4"/>
      <c r="H2064" s="4"/>
      <c r="I2064" s="47"/>
      <c r="J2064" s="47" t="str">
        <f t="shared" si="45"/>
        <v/>
      </c>
      <c r="K2064" s="47"/>
      <c r="L2064" s="47"/>
      <c r="N2064" s="47"/>
      <c r="O2064" s="47"/>
      <c r="P2064" s="47"/>
    </row>
    <row r="2065" spans="1:16" x14ac:dyDescent="0.3">
      <c r="A2065" s="1">
        <v>2064</v>
      </c>
      <c r="G2065" s="4"/>
      <c r="H2065" s="4"/>
      <c r="I2065" s="47"/>
      <c r="J2065" s="47" t="str">
        <f t="shared" si="45"/>
        <v/>
      </c>
      <c r="K2065" s="47"/>
      <c r="L2065" s="47"/>
      <c r="N2065" s="47"/>
      <c r="O2065" s="47"/>
      <c r="P2065" s="47"/>
    </row>
    <row r="2066" spans="1:16" x14ac:dyDescent="0.3">
      <c r="A2066" s="1">
        <v>2065</v>
      </c>
      <c r="G2066" s="4"/>
      <c r="H2066" s="4"/>
      <c r="I2066" s="47"/>
      <c r="J2066" s="47" t="str">
        <f t="shared" si="45"/>
        <v/>
      </c>
      <c r="K2066" s="47"/>
      <c r="L2066" s="47"/>
      <c r="N2066" s="47"/>
      <c r="O2066" s="47"/>
      <c r="P2066" s="47"/>
    </row>
    <row r="2067" spans="1:16" x14ac:dyDescent="0.3">
      <c r="A2067" s="1">
        <v>2066</v>
      </c>
      <c r="G2067" s="4"/>
      <c r="H2067" s="4"/>
      <c r="I2067" s="47"/>
      <c r="J2067" s="47" t="str">
        <f t="shared" si="45"/>
        <v/>
      </c>
      <c r="K2067" s="47"/>
      <c r="L2067" s="47"/>
      <c r="N2067" s="47"/>
      <c r="O2067" s="47"/>
      <c r="P2067" s="47"/>
    </row>
    <row r="2068" spans="1:16" x14ac:dyDescent="0.3">
      <c r="A2068" s="1">
        <v>2067</v>
      </c>
      <c r="G2068" s="4"/>
      <c r="H2068" s="4"/>
      <c r="I2068" s="47"/>
      <c r="J2068" s="47" t="str">
        <f t="shared" si="45"/>
        <v/>
      </c>
      <c r="K2068" s="47"/>
      <c r="L2068" s="47"/>
      <c r="N2068" s="47"/>
      <c r="O2068" s="47"/>
      <c r="P2068" s="47"/>
    </row>
    <row r="2069" spans="1:16" x14ac:dyDescent="0.3">
      <c r="A2069" s="1">
        <v>2068</v>
      </c>
      <c r="G2069" s="4"/>
      <c r="H2069" s="4"/>
      <c r="I2069" s="47"/>
      <c r="J2069" s="47" t="str">
        <f t="shared" si="45"/>
        <v/>
      </c>
      <c r="K2069" s="47"/>
      <c r="L2069" s="47"/>
      <c r="N2069" s="47"/>
      <c r="O2069" s="47"/>
      <c r="P2069" s="47"/>
    </row>
    <row r="2070" spans="1:16" x14ac:dyDescent="0.3">
      <c r="A2070" s="1">
        <v>2069</v>
      </c>
      <c r="G2070" s="4"/>
      <c r="H2070" s="4"/>
      <c r="I2070" s="47"/>
      <c r="J2070" s="47" t="str">
        <f t="shared" si="45"/>
        <v/>
      </c>
      <c r="K2070" s="47"/>
      <c r="L2070" s="47"/>
      <c r="N2070" s="47"/>
      <c r="O2070" s="47"/>
      <c r="P2070" s="47"/>
    </row>
    <row r="2071" spans="1:16" x14ac:dyDescent="0.3">
      <c r="A2071" s="1">
        <v>2070</v>
      </c>
      <c r="G2071" s="4"/>
      <c r="H2071" s="4"/>
      <c r="I2071" s="47"/>
      <c r="J2071" s="47" t="str">
        <f t="shared" si="45"/>
        <v/>
      </c>
      <c r="K2071" s="47"/>
      <c r="L2071" s="47"/>
      <c r="N2071" s="47"/>
      <c r="O2071" s="47"/>
      <c r="P2071" s="47"/>
    </row>
    <row r="2072" spans="1:16" x14ac:dyDescent="0.3">
      <c r="A2072" s="1">
        <v>2071</v>
      </c>
      <c r="G2072" s="4"/>
      <c r="H2072" s="4"/>
      <c r="I2072" s="47"/>
      <c r="J2072" s="47" t="str">
        <f t="shared" si="45"/>
        <v/>
      </c>
      <c r="K2072" s="47"/>
      <c r="L2072" s="47"/>
      <c r="N2072" s="47"/>
      <c r="O2072" s="47"/>
      <c r="P2072" s="47"/>
    </row>
    <row r="2073" spans="1:16" x14ac:dyDescent="0.3">
      <c r="A2073" s="1">
        <v>2072</v>
      </c>
      <c r="G2073" s="4"/>
      <c r="H2073" s="4"/>
      <c r="I2073" s="47"/>
      <c r="J2073" s="47" t="str">
        <f t="shared" si="45"/>
        <v/>
      </c>
      <c r="K2073" s="47"/>
      <c r="L2073" s="47"/>
      <c r="N2073" s="47"/>
      <c r="O2073" s="47"/>
      <c r="P2073" s="47"/>
    </row>
    <row r="2074" spans="1:16" x14ac:dyDescent="0.3">
      <c r="A2074" s="1">
        <v>2073</v>
      </c>
      <c r="G2074" s="4"/>
      <c r="H2074" s="4"/>
      <c r="I2074" s="47"/>
      <c r="J2074" s="47" t="str">
        <f t="shared" si="45"/>
        <v/>
      </c>
      <c r="K2074" s="47"/>
      <c r="L2074" s="47"/>
      <c r="N2074" s="47"/>
      <c r="O2074" s="47"/>
      <c r="P2074" s="47"/>
    </row>
    <row r="2075" spans="1:16" x14ac:dyDescent="0.3">
      <c r="A2075" s="1">
        <v>2074</v>
      </c>
      <c r="G2075" s="4"/>
      <c r="H2075" s="4"/>
      <c r="I2075" s="47"/>
      <c r="J2075" s="47" t="str">
        <f t="shared" si="45"/>
        <v/>
      </c>
      <c r="K2075" s="47"/>
      <c r="L2075" s="47"/>
      <c r="N2075" s="47"/>
      <c r="O2075" s="47"/>
      <c r="P2075" s="47"/>
    </row>
    <row r="2076" spans="1:16" x14ac:dyDescent="0.3">
      <c r="A2076" s="1">
        <v>2075</v>
      </c>
      <c r="G2076" s="4"/>
      <c r="H2076" s="4"/>
      <c r="I2076" s="47"/>
      <c r="J2076" s="47" t="str">
        <f t="shared" si="45"/>
        <v/>
      </c>
      <c r="K2076" s="47"/>
      <c r="L2076" s="47"/>
      <c r="N2076" s="47"/>
      <c r="O2076" s="47"/>
      <c r="P2076" s="47"/>
    </row>
    <row r="2077" spans="1:16" x14ac:dyDescent="0.3">
      <c r="A2077" s="1">
        <v>2076</v>
      </c>
      <c r="G2077" s="4"/>
      <c r="H2077" s="4"/>
      <c r="I2077" s="47"/>
      <c r="J2077" s="47" t="str">
        <f t="shared" si="45"/>
        <v/>
      </c>
      <c r="K2077" s="47"/>
      <c r="L2077" s="47"/>
      <c r="N2077" s="47"/>
      <c r="O2077" s="47"/>
      <c r="P2077" s="47"/>
    </row>
    <row r="2078" spans="1:16" x14ac:dyDescent="0.3">
      <c r="A2078" s="1">
        <v>2077</v>
      </c>
      <c r="G2078" s="4"/>
      <c r="H2078" s="4"/>
      <c r="I2078" s="47"/>
      <c r="J2078" s="47" t="str">
        <f t="shared" si="45"/>
        <v/>
      </c>
      <c r="K2078" s="47"/>
      <c r="L2078" s="47"/>
      <c r="N2078" s="47"/>
      <c r="O2078" s="47"/>
      <c r="P2078" s="47"/>
    </row>
    <row r="2079" spans="1:16" x14ac:dyDescent="0.3">
      <c r="A2079" s="1">
        <v>2078</v>
      </c>
      <c r="G2079" s="4"/>
      <c r="H2079" s="4"/>
      <c r="I2079" s="47"/>
      <c r="J2079" s="47" t="str">
        <f t="shared" si="45"/>
        <v/>
      </c>
      <c r="K2079" s="47"/>
      <c r="L2079" s="47"/>
      <c r="N2079" s="47"/>
      <c r="O2079" s="47"/>
      <c r="P2079" s="47"/>
    </row>
    <row r="2080" spans="1:16" x14ac:dyDescent="0.3">
      <c r="A2080" s="1">
        <v>2079</v>
      </c>
      <c r="G2080" s="4"/>
      <c r="H2080" s="4"/>
      <c r="I2080" s="47"/>
      <c r="J2080" s="47" t="str">
        <f t="shared" si="45"/>
        <v/>
      </c>
      <c r="K2080" s="47"/>
      <c r="L2080" s="47"/>
      <c r="N2080" s="47"/>
      <c r="O2080" s="47"/>
      <c r="P2080" s="47"/>
    </row>
    <row r="2081" spans="1:16" x14ac:dyDescent="0.3">
      <c r="A2081" s="1">
        <v>2080</v>
      </c>
      <c r="G2081" s="4"/>
      <c r="H2081" s="4"/>
      <c r="I2081" s="47"/>
      <c r="J2081" s="47" t="str">
        <f t="shared" si="45"/>
        <v/>
      </c>
      <c r="K2081" s="47"/>
      <c r="L2081" s="47"/>
      <c r="N2081" s="47"/>
      <c r="O2081" s="47"/>
      <c r="P2081" s="47"/>
    </row>
    <row r="2082" spans="1:16" x14ac:dyDescent="0.3">
      <c r="A2082" s="1">
        <v>2081</v>
      </c>
      <c r="G2082" s="4"/>
      <c r="H2082" s="4"/>
      <c r="I2082" s="47"/>
      <c r="J2082" s="47" t="str">
        <f t="shared" si="45"/>
        <v/>
      </c>
      <c r="K2082" s="47"/>
      <c r="L2082" s="47"/>
      <c r="N2082" s="47"/>
      <c r="O2082" s="47"/>
      <c r="P2082" s="47"/>
    </row>
    <row r="2083" spans="1:16" x14ac:dyDescent="0.3">
      <c r="A2083" s="1">
        <v>2082</v>
      </c>
      <c r="G2083" s="4"/>
      <c r="H2083" s="4"/>
      <c r="I2083" s="47"/>
      <c r="J2083" s="47" t="str">
        <f t="shared" si="45"/>
        <v/>
      </c>
      <c r="K2083" s="47"/>
      <c r="L2083" s="47"/>
      <c r="N2083" s="47"/>
      <c r="O2083" s="47"/>
      <c r="P2083" s="47"/>
    </row>
    <row r="2084" spans="1:16" x14ac:dyDescent="0.3">
      <c r="A2084" s="1">
        <v>2083</v>
      </c>
      <c r="G2084" s="4"/>
      <c r="H2084" s="4"/>
      <c r="I2084" s="47"/>
      <c r="J2084" s="47" t="str">
        <f t="shared" si="45"/>
        <v/>
      </c>
      <c r="K2084" s="47"/>
      <c r="L2084" s="47"/>
      <c r="N2084" s="47"/>
      <c r="O2084" s="47"/>
      <c r="P2084" s="47"/>
    </row>
    <row r="2085" spans="1:16" x14ac:dyDescent="0.3">
      <c r="A2085" s="1">
        <v>2084</v>
      </c>
      <c r="G2085" s="4"/>
      <c r="H2085" s="4"/>
      <c r="I2085" s="47"/>
      <c r="J2085" s="47" t="str">
        <f t="shared" si="45"/>
        <v/>
      </c>
      <c r="K2085" s="47"/>
      <c r="L2085" s="47"/>
      <c r="N2085" s="47"/>
      <c r="O2085" s="47"/>
      <c r="P2085" s="47"/>
    </row>
    <row r="2086" spans="1:16" x14ac:dyDescent="0.3">
      <c r="A2086" s="1">
        <v>2085</v>
      </c>
      <c r="G2086" s="4"/>
      <c r="H2086" s="4"/>
      <c r="I2086" s="47"/>
      <c r="J2086" s="47" t="str">
        <f t="shared" si="45"/>
        <v/>
      </c>
      <c r="K2086" s="47"/>
      <c r="L2086" s="47"/>
      <c r="N2086" s="47"/>
      <c r="O2086" s="47"/>
      <c r="P2086" s="47"/>
    </row>
    <row r="2087" spans="1:16" x14ac:dyDescent="0.3">
      <c r="A2087" s="1">
        <v>2086</v>
      </c>
      <c r="G2087" s="4"/>
      <c r="H2087" s="4"/>
      <c r="I2087" s="47"/>
      <c r="J2087" s="47" t="str">
        <f t="shared" si="45"/>
        <v/>
      </c>
      <c r="K2087" s="47"/>
      <c r="L2087" s="47"/>
      <c r="N2087" s="47"/>
      <c r="O2087" s="47"/>
      <c r="P2087" s="47"/>
    </row>
    <row r="2088" spans="1:16" x14ac:dyDescent="0.3">
      <c r="A2088" s="1">
        <v>2087</v>
      </c>
      <c r="G2088" s="4"/>
      <c r="H2088" s="4"/>
      <c r="I2088" s="47"/>
      <c r="J2088" s="47" t="str">
        <f t="shared" si="45"/>
        <v/>
      </c>
      <c r="K2088" s="47"/>
      <c r="L2088" s="47"/>
      <c r="N2088" s="47"/>
      <c r="O2088" s="47"/>
      <c r="P2088" s="47"/>
    </row>
    <row r="2089" spans="1:16" x14ac:dyDescent="0.3">
      <c r="A2089" s="1">
        <v>2088</v>
      </c>
      <c r="G2089" s="4"/>
      <c r="H2089" s="4"/>
      <c r="I2089" s="47"/>
      <c r="J2089" s="47" t="str">
        <f t="shared" si="45"/>
        <v/>
      </c>
      <c r="K2089" s="47"/>
      <c r="L2089" s="47"/>
      <c r="N2089" s="47"/>
      <c r="O2089" s="47"/>
      <c r="P2089" s="47"/>
    </row>
    <row r="2090" spans="1:16" x14ac:dyDescent="0.3">
      <c r="A2090" s="1">
        <v>2089</v>
      </c>
      <c r="G2090" s="4"/>
      <c r="H2090" s="4"/>
      <c r="I2090" s="47"/>
      <c r="J2090" s="47" t="str">
        <f t="shared" si="45"/>
        <v/>
      </c>
      <c r="K2090" s="47"/>
      <c r="L2090" s="47"/>
      <c r="N2090" s="47"/>
      <c r="O2090" s="47"/>
      <c r="P2090" s="47"/>
    </row>
    <row r="2091" spans="1:16" x14ac:dyDescent="0.3">
      <c r="A2091" s="1">
        <v>2090</v>
      </c>
      <c r="G2091" s="4"/>
      <c r="H2091" s="4"/>
      <c r="I2091" s="47"/>
      <c r="J2091" s="47" t="str">
        <f t="shared" si="45"/>
        <v/>
      </c>
      <c r="K2091" s="47"/>
      <c r="L2091" s="47"/>
      <c r="N2091" s="47"/>
      <c r="O2091" s="47"/>
      <c r="P2091" s="47"/>
    </row>
    <row r="2092" spans="1:16" x14ac:dyDescent="0.3">
      <c r="A2092" s="1">
        <v>2091</v>
      </c>
      <c r="G2092" s="4"/>
      <c r="H2092" s="4"/>
      <c r="I2092" s="47"/>
      <c r="J2092" s="47" t="str">
        <f t="shared" si="45"/>
        <v/>
      </c>
      <c r="K2092" s="47"/>
      <c r="L2092" s="47"/>
      <c r="N2092" s="47"/>
      <c r="O2092" s="47"/>
      <c r="P2092" s="47"/>
    </row>
    <row r="2093" spans="1:16" x14ac:dyDescent="0.3">
      <c r="A2093" s="1">
        <v>2092</v>
      </c>
      <c r="G2093" s="4"/>
      <c r="H2093" s="4"/>
      <c r="I2093" s="47"/>
      <c r="J2093" s="47" t="str">
        <f t="shared" si="45"/>
        <v/>
      </c>
      <c r="K2093" s="47"/>
      <c r="L2093" s="47"/>
      <c r="N2093" s="47"/>
      <c r="O2093" s="47"/>
      <c r="P2093" s="47"/>
    </row>
    <row r="2094" spans="1:16" x14ac:dyDescent="0.3">
      <c r="A2094" s="1">
        <v>2093</v>
      </c>
      <c r="G2094" s="4"/>
      <c r="H2094" s="4"/>
      <c r="I2094" s="47"/>
      <c r="J2094" s="47" t="str">
        <f t="shared" si="45"/>
        <v/>
      </c>
      <c r="K2094" s="47"/>
      <c r="L2094" s="47"/>
      <c r="N2094" s="47"/>
      <c r="O2094" s="47"/>
      <c r="P2094" s="47"/>
    </row>
    <row r="2095" spans="1:16" x14ac:dyDescent="0.3">
      <c r="A2095" s="1">
        <v>2094</v>
      </c>
      <c r="G2095" s="4"/>
      <c r="H2095" s="4"/>
      <c r="I2095" s="47"/>
      <c r="J2095" s="47" t="str">
        <f t="shared" si="45"/>
        <v/>
      </c>
      <c r="K2095" s="47"/>
      <c r="L2095" s="47"/>
      <c r="N2095" s="47"/>
      <c r="O2095" s="47"/>
      <c r="P2095" s="47"/>
    </row>
    <row r="2096" spans="1:16" x14ac:dyDescent="0.3">
      <c r="A2096" s="1">
        <v>2095</v>
      </c>
      <c r="G2096" s="4"/>
      <c r="H2096" s="4"/>
      <c r="I2096" s="47"/>
      <c r="J2096" s="47" t="str">
        <f t="shared" si="45"/>
        <v/>
      </c>
      <c r="K2096" s="47"/>
      <c r="L2096" s="47"/>
      <c r="N2096" s="47"/>
      <c r="O2096" s="47"/>
      <c r="P2096" s="47"/>
    </row>
    <row r="2097" spans="1:16" x14ac:dyDescent="0.3">
      <c r="A2097" s="1">
        <v>2096</v>
      </c>
      <c r="G2097" s="4"/>
      <c r="H2097" s="4"/>
      <c r="I2097" s="47"/>
      <c r="J2097" s="47" t="str">
        <f t="shared" si="45"/>
        <v/>
      </c>
      <c r="K2097" s="47"/>
      <c r="L2097" s="47"/>
      <c r="N2097" s="47"/>
      <c r="O2097" s="47"/>
      <c r="P2097" s="47"/>
    </row>
    <row r="2098" spans="1:16" x14ac:dyDescent="0.3">
      <c r="A2098" s="1">
        <v>2097</v>
      </c>
      <c r="G2098" s="4"/>
      <c r="H2098" s="4"/>
      <c r="I2098" s="47"/>
      <c r="J2098" s="47" t="str">
        <f t="shared" si="45"/>
        <v/>
      </c>
      <c r="K2098" s="47"/>
      <c r="L2098" s="47"/>
      <c r="N2098" s="47"/>
      <c r="O2098" s="47"/>
      <c r="P2098" s="47"/>
    </row>
    <row r="2099" spans="1:16" x14ac:dyDescent="0.3">
      <c r="A2099" s="1">
        <v>2098</v>
      </c>
      <c r="G2099" s="4"/>
      <c r="H2099" s="4"/>
      <c r="I2099" s="47"/>
      <c r="J2099" s="47" t="str">
        <f t="shared" si="45"/>
        <v/>
      </c>
      <c r="K2099" s="47"/>
      <c r="L2099" s="47"/>
      <c r="N2099" s="47"/>
      <c r="O2099" s="47"/>
      <c r="P2099" s="47"/>
    </row>
    <row r="2100" spans="1:16" x14ac:dyDescent="0.3">
      <c r="A2100" s="1">
        <v>2099</v>
      </c>
      <c r="G2100" s="4"/>
      <c r="H2100" s="4"/>
      <c r="I2100" s="47"/>
      <c r="J2100" s="47" t="str">
        <f t="shared" si="45"/>
        <v/>
      </c>
      <c r="K2100" s="47"/>
      <c r="L2100" s="47"/>
      <c r="N2100" s="47"/>
      <c r="O2100" s="47"/>
      <c r="P2100" s="47"/>
    </row>
    <row r="2101" spans="1:16" x14ac:dyDescent="0.3">
      <c r="A2101" s="1">
        <v>2100</v>
      </c>
      <c r="G2101" s="4"/>
      <c r="H2101" s="4"/>
      <c r="I2101" s="47"/>
      <c r="J2101" s="47" t="str">
        <f t="shared" si="45"/>
        <v/>
      </c>
      <c r="K2101" s="47"/>
      <c r="L2101" s="47"/>
      <c r="N2101" s="47"/>
      <c r="O2101" s="47"/>
      <c r="P2101" s="47"/>
    </row>
    <row r="2102" spans="1:16" x14ac:dyDescent="0.3">
      <c r="A2102" s="1">
        <v>2101</v>
      </c>
      <c r="G2102" s="4"/>
      <c r="H2102" s="4"/>
      <c r="I2102" s="47"/>
      <c r="J2102" s="47" t="str">
        <f t="shared" si="45"/>
        <v/>
      </c>
      <c r="K2102" s="47"/>
      <c r="L2102" s="47"/>
      <c r="N2102" s="47"/>
      <c r="O2102" s="47"/>
      <c r="P2102" s="47"/>
    </row>
    <row r="2103" spans="1:16" x14ac:dyDescent="0.3">
      <c r="A2103" s="1">
        <v>2102</v>
      </c>
      <c r="G2103" s="4"/>
      <c r="H2103" s="4"/>
      <c r="I2103" s="47"/>
      <c r="J2103" s="47" t="str">
        <f t="shared" si="45"/>
        <v/>
      </c>
      <c r="K2103" s="47"/>
      <c r="L2103" s="47"/>
      <c r="N2103" s="47"/>
      <c r="O2103" s="47"/>
      <c r="P2103" s="47"/>
    </row>
    <row r="2104" spans="1:16" x14ac:dyDescent="0.3">
      <c r="A2104" s="1">
        <v>2103</v>
      </c>
      <c r="G2104" s="4"/>
      <c r="H2104" s="4"/>
      <c r="I2104" s="47"/>
      <c r="J2104" s="47" t="str">
        <f t="shared" si="45"/>
        <v/>
      </c>
      <c r="K2104" s="47"/>
      <c r="L2104" s="47"/>
      <c r="N2104" s="47"/>
      <c r="O2104" s="47"/>
      <c r="P2104" s="47"/>
    </row>
    <row r="2105" spans="1:16" x14ac:dyDescent="0.3">
      <c r="A2105" s="1">
        <v>2104</v>
      </c>
      <c r="G2105" s="4"/>
      <c r="H2105" s="4"/>
      <c r="I2105" s="47"/>
      <c r="J2105" s="47" t="str">
        <f t="shared" si="45"/>
        <v/>
      </c>
      <c r="K2105" s="47"/>
      <c r="L2105" s="47"/>
      <c r="N2105" s="47"/>
      <c r="O2105" s="47"/>
      <c r="P2105" s="47"/>
    </row>
    <row r="2106" spans="1:16" x14ac:dyDescent="0.3">
      <c r="A2106" s="1">
        <v>2105</v>
      </c>
      <c r="G2106" s="4"/>
      <c r="H2106" s="4"/>
      <c r="I2106" s="47"/>
      <c r="J2106" s="47" t="str">
        <f t="shared" si="45"/>
        <v/>
      </c>
      <c r="K2106" s="47"/>
      <c r="L2106" s="47"/>
      <c r="N2106" s="47"/>
      <c r="O2106" s="47"/>
      <c r="P2106" s="47"/>
    </row>
    <row r="2107" spans="1:16" x14ac:dyDescent="0.3">
      <c r="A2107" s="1">
        <v>2106</v>
      </c>
      <c r="G2107" s="4"/>
      <c r="H2107" s="4"/>
      <c r="I2107" s="47"/>
      <c r="J2107" s="47" t="str">
        <f t="shared" si="45"/>
        <v/>
      </c>
      <c r="K2107" s="47"/>
      <c r="L2107" s="47"/>
      <c r="N2107" s="47"/>
      <c r="O2107" s="47"/>
      <c r="P2107" s="47"/>
    </row>
    <row r="2108" spans="1:16" x14ac:dyDescent="0.3">
      <c r="A2108" s="1">
        <v>2107</v>
      </c>
      <c r="G2108" s="4"/>
      <c r="H2108" s="4"/>
      <c r="I2108" s="47"/>
      <c r="J2108" s="47" t="str">
        <f t="shared" si="45"/>
        <v/>
      </c>
      <c r="K2108" s="47"/>
      <c r="L2108" s="47"/>
      <c r="N2108" s="47"/>
      <c r="O2108" s="47"/>
      <c r="P2108" s="47"/>
    </row>
    <row r="2109" spans="1:16" x14ac:dyDescent="0.3">
      <c r="A2109" s="1">
        <v>2108</v>
      </c>
      <c r="G2109" s="4"/>
      <c r="H2109" s="4"/>
      <c r="I2109" s="47"/>
      <c r="J2109" s="47" t="str">
        <f t="shared" si="45"/>
        <v/>
      </c>
      <c r="K2109" s="47"/>
      <c r="L2109" s="47"/>
      <c r="N2109" s="47"/>
      <c r="O2109" s="47"/>
      <c r="P2109" s="47"/>
    </row>
    <row r="2110" spans="1:16" x14ac:dyDescent="0.3">
      <c r="A2110" s="1">
        <v>2109</v>
      </c>
      <c r="G2110" s="4"/>
      <c r="H2110" s="4"/>
      <c r="I2110" s="47"/>
      <c r="J2110" s="47" t="str">
        <f t="shared" si="45"/>
        <v/>
      </c>
      <c r="K2110" s="47"/>
      <c r="L2110" s="47"/>
      <c r="N2110" s="47"/>
      <c r="O2110" s="47"/>
      <c r="P2110" s="47"/>
    </row>
    <row r="2111" spans="1:16" x14ac:dyDescent="0.3">
      <c r="A2111" s="1">
        <v>2110</v>
      </c>
      <c r="G2111" s="4"/>
      <c r="H2111" s="4"/>
      <c r="I2111" s="47"/>
      <c r="J2111" s="47" t="str">
        <f t="shared" si="45"/>
        <v/>
      </c>
      <c r="K2111" s="47"/>
      <c r="L2111" s="47"/>
      <c r="N2111" s="47"/>
      <c r="O2111" s="47"/>
      <c r="P2111" s="47"/>
    </row>
    <row r="2112" spans="1:16" x14ac:dyDescent="0.3">
      <c r="A2112" s="1">
        <v>2111</v>
      </c>
      <c r="G2112" s="4"/>
      <c r="H2112" s="4"/>
      <c r="I2112" s="47"/>
      <c r="J2112" s="47" t="str">
        <f t="shared" si="45"/>
        <v/>
      </c>
      <c r="K2112" s="47"/>
      <c r="L2112" s="47"/>
      <c r="N2112" s="47"/>
      <c r="O2112" s="47"/>
      <c r="P2112" s="47"/>
    </row>
    <row r="2113" spans="1:16" x14ac:dyDescent="0.3">
      <c r="A2113" s="1">
        <v>2112</v>
      </c>
      <c r="G2113" s="4"/>
      <c r="H2113" s="4"/>
      <c r="I2113" s="47"/>
      <c r="J2113" s="47" t="str">
        <f t="shared" si="45"/>
        <v/>
      </c>
      <c r="K2113" s="47"/>
      <c r="L2113" s="47"/>
      <c r="N2113" s="47"/>
      <c r="O2113" s="47"/>
      <c r="P2113" s="47"/>
    </row>
    <row r="2114" spans="1:16" x14ac:dyDescent="0.3">
      <c r="A2114" s="1">
        <v>2113</v>
      </c>
      <c r="G2114" s="4"/>
      <c r="H2114" s="4"/>
      <c r="I2114" s="47"/>
      <c r="J2114" s="47" t="str">
        <f t="shared" si="45"/>
        <v/>
      </c>
      <c r="K2114" s="47"/>
      <c r="L2114" s="47"/>
      <c r="N2114" s="47"/>
      <c r="O2114" s="47"/>
      <c r="P2114" s="47"/>
    </row>
    <row r="2115" spans="1:16" x14ac:dyDescent="0.3">
      <c r="A2115" s="1">
        <v>2114</v>
      </c>
      <c r="G2115" s="4"/>
      <c r="H2115" s="4"/>
      <c r="I2115" s="47"/>
      <c r="J2115" s="47" t="str">
        <f t="shared" ref="J2115:J2125" si="46">+E2115&amp;I2115</f>
        <v/>
      </c>
      <c r="K2115" s="47"/>
      <c r="L2115" s="47"/>
      <c r="N2115" s="47"/>
      <c r="O2115" s="47"/>
      <c r="P2115" s="47"/>
    </row>
    <row r="2116" spans="1:16" x14ac:dyDescent="0.3">
      <c r="A2116" s="1">
        <v>2115</v>
      </c>
      <c r="G2116" s="4"/>
      <c r="H2116" s="4"/>
      <c r="I2116" s="47"/>
      <c r="J2116" s="47" t="str">
        <f t="shared" si="46"/>
        <v/>
      </c>
      <c r="K2116" s="47"/>
      <c r="L2116" s="47"/>
      <c r="N2116" s="47"/>
      <c r="O2116" s="47"/>
      <c r="P2116" s="47"/>
    </row>
    <row r="2117" spans="1:16" x14ac:dyDescent="0.3">
      <c r="A2117" s="1">
        <v>2116</v>
      </c>
      <c r="G2117" s="4"/>
      <c r="H2117" s="4"/>
      <c r="I2117" s="47"/>
      <c r="J2117" s="47" t="str">
        <f t="shared" si="46"/>
        <v/>
      </c>
      <c r="K2117" s="47"/>
      <c r="L2117" s="47"/>
      <c r="N2117" s="47"/>
      <c r="O2117" s="47"/>
      <c r="P2117" s="47"/>
    </row>
    <row r="2118" spans="1:16" x14ac:dyDescent="0.3">
      <c r="A2118" s="1">
        <v>2117</v>
      </c>
      <c r="G2118" s="4"/>
      <c r="H2118" s="4"/>
      <c r="I2118" s="47"/>
      <c r="J2118" s="47" t="str">
        <f t="shared" si="46"/>
        <v/>
      </c>
      <c r="K2118" s="47"/>
      <c r="L2118" s="47"/>
      <c r="N2118" s="47"/>
      <c r="O2118" s="47"/>
      <c r="P2118" s="47"/>
    </row>
    <row r="2119" spans="1:16" x14ac:dyDescent="0.3">
      <c r="A2119" s="1">
        <v>2118</v>
      </c>
      <c r="G2119" s="4"/>
      <c r="H2119" s="4"/>
      <c r="I2119" s="47"/>
      <c r="J2119" s="47" t="str">
        <f t="shared" si="46"/>
        <v/>
      </c>
      <c r="K2119" s="47"/>
      <c r="L2119" s="47"/>
      <c r="N2119" s="47"/>
      <c r="O2119" s="47"/>
      <c r="P2119" s="47"/>
    </row>
    <row r="2120" spans="1:16" x14ac:dyDescent="0.3">
      <c r="A2120" s="1">
        <v>2119</v>
      </c>
      <c r="G2120" s="4"/>
      <c r="H2120" s="4"/>
      <c r="I2120" s="47"/>
      <c r="J2120" s="47" t="str">
        <f t="shared" si="46"/>
        <v/>
      </c>
      <c r="K2120" s="47"/>
      <c r="L2120" s="47"/>
      <c r="N2120" s="47"/>
      <c r="O2120" s="47"/>
      <c r="P2120" s="47"/>
    </row>
    <row r="2121" spans="1:16" x14ac:dyDescent="0.3">
      <c r="A2121" s="1">
        <v>2120</v>
      </c>
      <c r="G2121" s="4"/>
      <c r="H2121" s="4"/>
      <c r="I2121" s="47"/>
      <c r="J2121" s="47" t="str">
        <f t="shared" si="46"/>
        <v/>
      </c>
      <c r="K2121" s="47"/>
      <c r="L2121" s="47"/>
      <c r="N2121" s="47"/>
      <c r="O2121" s="47"/>
      <c r="P2121" s="47"/>
    </row>
    <row r="2122" spans="1:16" x14ac:dyDescent="0.3">
      <c r="A2122" s="1">
        <v>2121</v>
      </c>
      <c r="G2122" s="4"/>
      <c r="H2122" s="4"/>
      <c r="I2122" s="47"/>
      <c r="J2122" s="47" t="str">
        <f t="shared" si="46"/>
        <v/>
      </c>
      <c r="K2122" s="47"/>
      <c r="L2122" s="47"/>
      <c r="N2122" s="47"/>
      <c r="O2122" s="47"/>
      <c r="P2122" s="47"/>
    </row>
    <row r="2123" spans="1:16" x14ac:dyDescent="0.3">
      <c r="A2123" s="1">
        <v>2122</v>
      </c>
      <c r="G2123" s="4"/>
      <c r="H2123" s="4"/>
      <c r="I2123" s="47"/>
      <c r="J2123" s="47" t="str">
        <f t="shared" si="46"/>
        <v/>
      </c>
      <c r="K2123" s="47"/>
      <c r="L2123" s="47"/>
      <c r="N2123" s="47"/>
      <c r="O2123" s="47"/>
      <c r="P2123" s="47"/>
    </row>
    <row r="2124" spans="1:16" x14ac:dyDescent="0.3">
      <c r="A2124" s="1">
        <v>2123</v>
      </c>
      <c r="G2124" s="4"/>
      <c r="H2124" s="4"/>
      <c r="I2124" s="47"/>
      <c r="J2124" s="47" t="str">
        <f t="shared" si="46"/>
        <v/>
      </c>
      <c r="K2124" s="47"/>
      <c r="L2124" s="47"/>
      <c r="N2124" s="47"/>
      <c r="O2124" s="47"/>
      <c r="P2124" s="47"/>
    </row>
    <row r="2125" spans="1:16" x14ac:dyDescent="0.3">
      <c r="A2125" s="1">
        <v>2124</v>
      </c>
      <c r="G2125" s="4"/>
      <c r="H2125" s="4"/>
      <c r="I2125" s="47"/>
      <c r="J2125" s="47" t="str">
        <f t="shared" si="46"/>
        <v/>
      </c>
      <c r="K2125" s="47"/>
      <c r="L2125" s="47"/>
      <c r="N2125" s="47"/>
      <c r="O2125" s="47"/>
      <c r="P2125" s="47"/>
    </row>
    <row r="2126" spans="1:16" x14ac:dyDescent="0.3">
      <c r="A2126" s="1"/>
      <c r="G2126" s="4"/>
      <c r="H2126" s="4"/>
    </row>
    <row r="2127" spans="1:16" x14ac:dyDescent="0.3">
      <c r="A2127" s="1"/>
      <c r="G2127" s="4"/>
      <c r="H2127" s="4"/>
    </row>
    <row r="2128" spans="1:16" x14ac:dyDescent="0.3">
      <c r="A2128" s="1"/>
      <c r="G2128" s="4"/>
      <c r="H2128" s="4"/>
    </row>
    <row r="2129" spans="1:8" x14ac:dyDescent="0.3">
      <c r="A2129" s="1"/>
      <c r="G2129" s="4"/>
      <c r="H2129" s="4"/>
    </row>
    <row r="2130" spans="1:8" x14ac:dyDescent="0.3">
      <c r="A2130" s="1"/>
      <c r="G2130" s="4"/>
      <c r="H2130" s="4"/>
    </row>
    <row r="2131" spans="1:8" x14ac:dyDescent="0.3">
      <c r="A2131" s="1"/>
      <c r="G2131" s="4"/>
      <c r="H2131" s="4"/>
    </row>
    <row r="2132" spans="1:8" x14ac:dyDescent="0.3">
      <c r="A2132" s="1"/>
      <c r="G2132" s="4"/>
      <c r="H2132" s="4"/>
    </row>
    <row r="2133" spans="1:8" x14ac:dyDescent="0.3">
      <c r="A2133" s="1"/>
      <c r="G2133" s="4"/>
      <c r="H2133" s="4"/>
    </row>
    <row r="2134" spans="1:8" x14ac:dyDescent="0.3">
      <c r="A2134" s="1"/>
      <c r="G2134" s="4"/>
      <c r="H2134" s="4"/>
    </row>
    <row r="2135" spans="1:8" x14ac:dyDescent="0.3">
      <c r="A2135" s="1"/>
      <c r="G2135" s="4"/>
      <c r="H2135" s="4"/>
    </row>
    <row r="2136" spans="1:8" x14ac:dyDescent="0.3">
      <c r="A2136" s="1"/>
      <c r="G2136" s="4"/>
      <c r="H2136" s="4"/>
    </row>
    <row r="2137" spans="1:8" x14ac:dyDescent="0.3">
      <c r="A2137" s="1"/>
      <c r="G2137" s="4"/>
      <c r="H2137" s="4"/>
    </row>
    <row r="2138" spans="1:8" x14ac:dyDescent="0.3">
      <c r="A2138" s="1"/>
      <c r="G2138" s="4"/>
      <c r="H2138" s="4"/>
    </row>
    <row r="2139" spans="1:8" x14ac:dyDescent="0.3">
      <c r="A2139" s="1"/>
      <c r="G2139" s="4"/>
      <c r="H2139" s="4"/>
    </row>
    <row r="2140" spans="1:8" x14ac:dyDescent="0.3">
      <c r="A2140" s="1"/>
      <c r="G2140" s="4"/>
      <c r="H2140" s="4"/>
    </row>
    <row r="2141" spans="1:8" x14ac:dyDescent="0.3">
      <c r="A2141" s="1"/>
      <c r="G2141" s="4"/>
      <c r="H2141" s="4"/>
    </row>
    <row r="2142" spans="1:8" x14ac:dyDescent="0.3">
      <c r="A2142" s="1"/>
      <c r="G2142" s="4"/>
      <c r="H2142" s="4"/>
    </row>
    <row r="2143" spans="1:8" x14ac:dyDescent="0.3">
      <c r="A2143" s="1"/>
      <c r="G2143" s="4"/>
      <c r="H2143" s="4"/>
    </row>
    <row r="2144" spans="1:8" x14ac:dyDescent="0.3">
      <c r="A2144" s="1"/>
      <c r="G2144" s="4"/>
      <c r="H2144" s="4"/>
    </row>
    <row r="2145" spans="1:8" x14ac:dyDescent="0.3">
      <c r="A2145" s="1"/>
      <c r="G2145" s="4"/>
      <c r="H2145" s="4"/>
    </row>
    <row r="2146" spans="1:8" x14ac:dyDescent="0.3">
      <c r="A2146" s="1"/>
      <c r="G2146" s="4"/>
      <c r="H2146" s="4"/>
    </row>
    <row r="2147" spans="1:8" x14ac:dyDescent="0.3">
      <c r="A2147" s="1"/>
      <c r="G2147" s="4"/>
      <c r="H2147" s="4"/>
    </row>
    <row r="2148" spans="1:8" x14ac:dyDescent="0.3">
      <c r="A2148" s="1"/>
      <c r="G2148" s="4"/>
      <c r="H2148" s="4"/>
    </row>
    <row r="2149" spans="1:8" x14ac:dyDescent="0.3">
      <c r="A2149" s="1"/>
      <c r="G2149" s="4"/>
      <c r="H2149" s="4"/>
    </row>
    <row r="2150" spans="1:8" x14ac:dyDescent="0.3">
      <c r="A2150" s="1"/>
      <c r="G2150" s="4"/>
      <c r="H2150" s="4"/>
    </row>
    <row r="2151" spans="1:8" x14ac:dyDescent="0.3">
      <c r="A2151" s="1"/>
      <c r="G2151" s="4"/>
      <c r="H2151" s="4"/>
    </row>
    <row r="2152" spans="1:8" x14ac:dyDescent="0.3">
      <c r="A2152" s="1"/>
      <c r="G2152" s="4"/>
      <c r="H2152" s="4"/>
    </row>
    <row r="2153" spans="1:8" x14ac:dyDescent="0.3">
      <c r="A2153" s="1"/>
      <c r="G2153" s="4"/>
      <c r="H2153" s="4"/>
    </row>
    <row r="2154" spans="1:8" x14ac:dyDescent="0.3">
      <c r="A2154" s="1"/>
      <c r="G2154" s="4"/>
      <c r="H2154" s="4"/>
    </row>
    <row r="2155" spans="1:8" x14ac:dyDescent="0.3">
      <c r="A2155" s="1"/>
      <c r="G2155" s="4"/>
      <c r="H2155" s="4"/>
    </row>
    <row r="2156" spans="1:8" x14ac:dyDescent="0.3">
      <c r="A2156" s="1"/>
      <c r="G2156" s="4"/>
      <c r="H2156" s="4"/>
    </row>
    <row r="2157" spans="1:8" x14ac:dyDescent="0.3">
      <c r="A2157" s="1"/>
      <c r="G2157" s="4"/>
      <c r="H2157" s="4"/>
    </row>
    <row r="2158" spans="1:8" x14ac:dyDescent="0.3">
      <c r="A2158" s="1"/>
      <c r="G2158" s="4"/>
      <c r="H2158" s="4"/>
    </row>
    <row r="2159" spans="1:8" x14ac:dyDescent="0.3">
      <c r="A2159" s="1"/>
      <c r="G2159" s="4"/>
      <c r="H2159" s="4"/>
    </row>
    <row r="2160" spans="1:8" x14ac:dyDescent="0.3">
      <c r="A2160" s="1"/>
      <c r="G2160" s="4"/>
      <c r="H2160" s="4"/>
    </row>
    <row r="2161" spans="1:8" x14ac:dyDescent="0.3">
      <c r="A2161" s="1"/>
      <c r="G2161" s="4"/>
      <c r="H2161" s="4"/>
    </row>
    <row r="2162" spans="1:8" x14ac:dyDescent="0.3">
      <c r="A2162" s="1"/>
      <c r="G2162" s="4"/>
      <c r="H2162" s="4"/>
    </row>
    <row r="2163" spans="1:8" x14ac:dyDescent="0.3">
      <c r="A2163" s="1"/>
      <c r="G2163" s="4"/>
      <c r="H2163" s="4"/>
    </row>
    <row r="2164" spans="1:8" x14ac:dyDescent="0.3">
      <c r="A2164" s="1"/>
      <c r="G2164" s="4"/>
      <c r="H2164" s="4"/>
    </row>
    <row r="2165" spans="1:8" x14ac:dyDescent="0.3">
      <c r="A2165" s="1"/>
      <c r="G2165" s="4"/>
      <c r="H2165" s="4"/>
    </row>
    <row r="2166" spans="1:8" x14ac:dyDescent="0.3">
      <c r="A2166" s="1"/>
      <c r="G2166" s="4"/>
      <c r="H2166" s="4"/>
    </row>
    <row r="2167" spans="1:8" x14ac:dyDescent="0.3">
      <c r="A2167" s="1"/>
      <c r="G2167" s="4"/>
      <c r="H2167" s="4"/>
    </row>
    <row r="2168" spans="1:8" x14ac:dyDescent="0.3">
      <c r="A2168" s="1"/>
      <c r="G2168" s="4"/>
      <c r="H2168" s="4"/>
    </row>
    <row r="2169" spans="1:8" x14ac:dyDescent="0.3">
      <c r="A2169" s="1"/>
      <c r="G2169" s="4"/>
      <c r="H2169" s="4"/>
    </row>
    <row r="2170" spans="1:8" x14ac:dyDescent="0.3">
      <c r="A2170" s="1"/>
      <c r="G2170" s="4"/>
      <c r="H2170" s="4"/>
    </row>
    <row r="2171" spans="1:8" x14ac:dyDescent="0.3">
      <c r="A2171" s="1"/>
      <c r="G2171" s="4"/>
      <c r="H2171" s="4"/>
    </row>
    <row r="2172" spans="1:8" x14ac:dyDescent="0.3">
      <c r="A2172" s="1"/>
      <c r="G2172" s="4"/>
      <c r="H2172" s="4"/>
    </row>
    <row r="2173" spans="1:8" x14ac:dyDescent="0.3">
      <c r="A2173" s="1"/>
      <c r="G2173" s="4"/>
      <c r="H2173" s="4"/>
    </row>
    <row r="2174" spans="1:8" x14ac:dyDescent="0.3">
      <c r="A2174" s="1"/>
      <c r="G2174" s="4"/>
      <c r="H2174" s="4"/>
    </row>
    <row r="2175" spans="1:8" x14ac:dyDescent="0.3">
      <c r="A2175" s="1"/>
      <c r="G2175" s="4"/>
      <c r="H2175" s="4"/>
    </row>
    <row r="2176" spans="1:8" x14ac:dyDescent="0.3">
      <c r="A2176" s="1"/>
      <c r="G2176" s="4"/>
      <c r="H2176" s="4"/>
    </row>
    <row r="2177" spans="1:8" x14ac:dyDescent="0.3">
      <c r="A2177" s="1"/>
      <c r="G2177" s="4"/>
      <c r="H2177" s="4"/>
    </row>
    <row r="2178" spans="1:8" x14ac:dyDescent="0.3">
      <c r="A2178" s="1"/>
      <c r="G2178" s="4"/>
      <c r="H2178" s="4"/>
    </row>
    <row r="2179" spans="1:8" x14ac:dyDescent="0.3">
      <c r="A2179" s="1"/>
      <c r="G2179" s="4"/>
      <c r="H2179" s="4"/>
    </row>
    <row r="2180" spans="1:8" x14ac:dyDescent="0.3">
      <c r="A2180" s="1"/>
      <c r="G2180" s="4"/>
      <c r="H2180" s="4"/>
    </row>
    <row r="2181" spans="1:8" x14ac:dyDescent="0.3">
      <c r="A2181" s="1"/>
      <c r="G2181" s="4"/>
      <c r="H2181" s="4"/>
    </row>
    <row r="2182" spans="1:8" x14ac:dyDescent="0.3">
      <c r="A2182" s="1"/>
      <c r="G2182" s="4"/>
      <c r="H2182" s="4"/>
    </row>
    <row r="2183" spans="1:8" x14ac:dyDescent="0.3">
      <c r="A2183" s="1"/>
      <c r="G2183" s="4"/>
      <c r="H2183" s="4"/>
    </row>
    <row r="2184" spans="1:8" x14ac:dyDescent="0.3">
      <c r="A2184" s="1"/>
      <c r="G2184" s="4"/>
      <c r="H2184" s="4"/>
    </row>
    <row r="2185" spans="1:8" x14ac:dyDescent="0.3">
      <c r="A2185" s="1"/>
      <c r="G2185" s="4"/>
      <c r="H2185" s="4"/>
    </row>
    <row r="2186" spans="1:8" x14ac:dyDescent="0.3">
      <c r="A2186" s="1"/>
      <c r="G2186" s="4"/>
      <c r="H2186" s="4"/>
    </row>
    <row r="2187" spans="1:8" x14ac:dyDescent="0.3">
      <c r="A2187" s="1"/>
      <c r="G2187" s="4"/>
      <c r="H2187" s="4"/>
    </row>
    <row r="2188" spans="1:8" x14ac:dyDescent="0.3">
      <c r="A2188" s="1"/>
      <c r="G2188" s="4"/>
      <c r="H2188" s="4"/>
    </row>
    <row r="2189" spans="1:8" x14ac:dyDescent="0.3">
      <c r="A2189" s="1"/>
      <c r="G2189" s="4"/>
      <c r="H2189" s="4"/>
    </row>
    <row r="2190" spans="1:8" x14ac:dyDescent="0.3">
      <c r="A2190" s="1"/>
      <c r="G2190" s="4"/>
      <c r="H2190" s="4"/>
    </row>
    <row r="2191" spans="1:8" x14ac:dyDescent="0.3">
      <c r="A2191" s="1"/>
      <c r="G2191" s="4"/>
      <c r="H2191" s="4"/>
    </row>
    <row r="2192" spans="1:8" x14ac:dyDescent="0.3">
      <c r="A2192" s="1"/>
      <c r="G2192" s="4"/>
      <c r="H2192" s="4"/>
    </row>
    <row r="2193" spans="1:8" x14ac:dyDescent="0.3">
      <c r="A2193" s="1"/>
      <c r="G2193" s="4"/>
      <c r="H2193" s="4"/>
    </row>
    <row r="2194" spans="1:8" x14ac:dyDescent="0.3">
      <c r="A2194" s="1"/>
      <c r="G2194" s="4"/>
      <c r="H2194" s="4"/>
    </row>
    <row r="2195" spans="1:8" x14ac:dyDescent="0.3">
      <c r="A2195" s="1"/>
      <c r="G2195" s="4"/>
      <c r="H2195" s="4"/>
    </row>
    <row r="2196" spans="1:8" x14ac:dyDescent="0.3">
      <c r="A2196" s="1"/>
      <c r="G2196" s="4"/>
      <c r="H2196" s="4"/>
    </row>
    <row r="2197" spans="1:8" x14ac:dyDescent="0.3">
      <c r="A2197" s="1"/>
      <c r="G2197" s="4"/>
      <c r="H2197" s="4"/>
    </row>
    <row r="2198" spans="1:8" x14ac:dyDescent="0.3">
      <c r="A2198" s="1"/>
      <c r="G2198" s="4"/>
      <c r="H2198" s="4"/>
    </row>
    <row r="2199" spans="1:8" x14ac:dyDescent="0.3">
      <c r="A2199" s="1"/>
      <c r="G2199" s="4"/>
      <c r="H2199" s="4"/>
    </row>
    <row r="2200" spans="1:8" x14ac:dyDescent="0.3">
      <c r="A2200" s="1"/>
      <c r="G2200" s="4"/>
      <c r="H2200" s="4"/>
    </row>
    <row r="2201" spans="1:8" x14ac:dyDescent="0.3">
      <c r="A2201" s="1"/>
      <c r="G2201" s="4"/>
      <c r="H2201" s="4"/>
    </row>
    <row r="2202" spans="1:8" x14ac:dyDescent="0.3">
      <c r="A2202" s="1"/>
      <c r="G2202" s="4"/>
      <c r="H2202" s="4"/>
    </row>
    <row r="2203" spans="1:8" x14ac:dyDescent="0.3">
      <c r="A2203" s="1"/>
      <c r="G2203" s="4"/>
      <c r="H2203" s="4"/>
    </row>
    <row r="2204" spans="1:8" x14ac:dyDescent="0.3">
      <c r="A2204" s="1"/>
      <c r="G2204" s="4"/>
      <c r="H2204" s="4"/>
    </row>
    <row r="2205" spans="1:8" x14ac:dyDescent="0.3">
      <c r="A2205" s="1"/>
      <c r="G2205" s="4"/>
      <c r="H2205" s="4"/>
    </row>
    <row r="2206" spans="1:8" x14ac:dyDescent="0.3">
      <c r="A2206" s="1"/>
      <c r="G2206" s="4"/>
      <c r="H2206" s="4"/>
    </row>
    <row r="2207" spans="1:8" x14ac:dyDescent="0.3">
      <c r="A2207" s="1"/>
      <c r="G2207" s="4"/>
      <c r="H2207" s="4"/>
    </row>
    <row r="2208" spans="1:8" x14ac:dyDescent="0.3">
      <c r="A2208" s="1"/>
      <c r="G2208" s="4"/>
      <c r="H2208" s="4"/>
    </row>
    <row r="2209" spans="1:8" x14ac:dyDescent="0.3">
      <c r="A2209" s="1"/>
      <c r="G2209" s="4"/>
      <c r="H2209" s="4"/>
    </row>
    <row r="2210" spans="1:8" x14ac:dyDescent="0.3">
      <c r="A2210" s="1"/>
      <c r="G2210" s="4"/>
      <c r="H2210" s="4"/>
    </row>
    <row r="2211" spans="1:8" x14ac:dyDescent="0.3">
      <c r="A2211" s="1"/>
      <c r="G2211" s="4"/>
      <c r="H2211" s="4"/>
    </row>
    <row r="2212" spans="1:8" x14ac:dyDescent="0.3">
      <c r="A2212" s="1"/>
      <c r="G2212" s="4"/>
      <c r="H2212" s="4"/>
    </row>
    <row r="2213" spans="1:8" x14ac:dyDescent="0.3">
      <c r="A2213" s="1"/>
      <c r="G2213" s="4"/>
      <c r="H2213" s="4"/>
    </row>
    <row r="2214" spans="1:8" x14ac:dyDescent="0.3">
      <c r="A2214" s="1"/>
      <c r="G2214" s="4"/>
      <c r="H2214" s="4"/>
    </row>
    <row r="2215" spans="1:8" x14ac:dyDescent="0.3">
      <c r="A2215" s="1"/>
      <c r="G2215" s="4"/>
      <c r="H2215" s="4"/>
    </row>
    <row r="2216" spans="1:8" x14ac:dyDescent="0.3">
      <c r="A2216" s="1"/>
      <c r="G2216" s="4"/>
      <c r="H2216" s="4"/>
    </row>
    <row r="2217" spans="1:8" x14ac:dyDescent="0.3">
      <c r="A2217" s="1"/>
      <c r="G2217" s="4"/>
      <c r="H2217" s="4"/>
    </row>
    <row r="2218" spans="1:8" x14ac:dyDescent="0.3">
      <c r="A2218" s="1"/>
      <c r="G2218" s="4"/>
      <c r="H2218" s="4"/>
    </row>
    <row r="2219" spans="1:8" x14ac:dyDescent="0.3">
      <c r="A2219" s="1"/>
      <c r="G2219" s="4"/>
      <c r="H2219" s="4"/>
    </row>
    <row r="2220" spans="1:8" x14ac:dyDescent="0.3">
      <c r="A2220" s="1"/>
      <c r="G2220" s="4"/>
      <c r="H2220" s="4"/>
    </row>
    <row r="2221" spans="1:8" x14ac:dyDescent="0.3">
      <c r="A2221" s="1"/>
      <c r="G2221" s="4"/>
      <c r="H2221" s="4"/>
    </row>
    <row r="2222" spans="1:8" x14ac:dyDescent="0.3">
      <c r="A2222" s="1"/>
      <c r="G2222" s="4"/>
      <c r="H2222" s="4"/>
    </row>
    <row r="2223" spans="1:8" x14ac:dyDescent="0.3">
      <c r="A2223" s="1"/>
      <c r="G2223" s="4"/>
      <c r="H2223" s="4"/>
    </row>
    <row r="2224" spans="1:8" x14ac:dyDescent="0.3">
      <c r="A2224" s="1"/>
      <c r="G2224" s="4"/>
      <c r="H2224" s="4"/>
    </row>
    <row r="2225" spans="1:8" x14ac:dyDescent="0.3">
      <c r="A2225" s="1"/>
      <c r="G2225" s="4"/>
      <c r="H2225" s="4"/>
    </row>
    <row r="2226" spans="1:8" x14ac:dyDescent="0.3">
      <c r="A2226" s="1"/>
      <c r="G2226" s="4"/>
      <c r="H2226" s="4"/>
    </row>
    <row r="2227" spans="1:8" x14ac:dyDescent="0.3">
      <c r="A2227" s="1"/>
      <c r="G2227" s="4"/>
      <c r="H2227" s="4"/>
    </row>
    <row r="2228" spans="1:8" x14ac:dyDescent="0.3">
      <c r="A2228" s="1"/>
      <c r="G2228" s="4"/>
      <c r="H2228" s="4"/>
    </row>
    <row r="2229" spans="1:8" x14ac:dyDescent="0.3">
      <c r="A2229" s="1"/>
      <c r="G2229" s="4"/>
      <c r="H2229" s="4"/>
    </row>
    <row r="2230" spans="1:8" x14ac:dyDescent="0.3">
      <c r="A2230" s="1"/>
      <c r="G2230" s="4"/>
      <c r="H2230" s="4"/>
    </row>
    <row r="2231" spans="1:8" x14ac:dyDescent="0.3">
      <c r="A2231" s="1"/>
      <c r="G2231" s="4"/>
      <c r="H2231" s="4"/>
    </row>
    <row r="2232" spans="1:8" x14ac:dyDescent="0.3">
      <c r="A2232" s="1"/>
      <c r="G2232" s="4"/>
      <c r="H2232" s="4"/>
    </row>
    <row r="2233" spans="1:8" x14ac:dyDescent="0.3">
      <c r="A2233" s="1"/>
      <c r="G2233" s="4"/>
      <c r="H2233" s="4"/>
    </row>
    <row r="2234" spans="1:8" x14ac:dyDescent="0.3">
      <c r="A2234" s="1"/>
      <c r="G2234" s="4"/>
      <c r="H2234" s="4"/>
    </row>
    <row r="2235" spans="1:8" x14ac:dyDescent="0.3">
      <c r="A2235" s="1"/>
      <c r="G2235" s="4"/>
      <c r="H2235" s="4"/>
    </row>
    <row r="2236" spans="1:8" x14ac:dyDescent="0.3">
      <c r="A2236" s="1"/>
      <c r="G2236" s="4"/>
      <c r="H2236" s="4"/>
    </row>
    <row r="2237" spans="1:8" x14ac:dyDescent="0.3">
      <c r="A2237" s="1"/>
      <c r="G2237" s="4"/>
      <c r="H2237" s="4"/>
    </row>
    <row r="2238" spans="1:8" x14ac:dyDescent="0.3">
      <c r="A2238" s="1"/>
      <c r="G2238" s="4"/>
      <c r="H2238" s="4"/>
    </row>
    <row r="2239" spans="1:8" x14ac:dyDescent="0.3">
      <c r="A2239" s="1"/>
      <c r="G2239" s="4"/>
      <c r="H2239" s="4"/>
    </row>
    <row r="2240" spans="1:8" x14ac:dyDescent="0.3">
      <c r="A2240" s="1"/>
      <c r="G2240" s="4"/>
      <c r="H2240" s="4"/>
    </row>
    <row r="2241" spans="1:8" x14ac:dyDescent="0.3">
      <c r="A2241" s="1"/>
      <c r="G2241" s="4"/>
      <c r="H2241" s="4"/>
    </row>
    <row r="2242" spans="1:8" x14ac:dyDescent="0.3">
      <c r="A2242" s="1"/>
      <c r="G2242" s="4"/>
      <c r="H2242" s="4"/>
    </row>
    <row r="2243" spans="1:8" x14ac:dyDescent="0.3">
      <c r="A2243" s="1"/>
      <c r="G2243" s="4"/>
      <c r="H2243" s="4"/>
    </row>
    <row r="2244" spans="1:8" x14ac:dyDescent="0.3">
      <c r="A2244" s="1"/>
      <c r="G2244" s="4"/>
      <c r="H2244" s="4"/>
    </row>
    <row r="2245" spans="1:8" x14ac:dyDescent="0.3">
      <c r="A2245" s="1"/>
      <c r="G2245" s="4"/>
      <c r="H2245" s="4"/>
    </row>
    <row r="2246" spans="1:8" x14ac:dyDescent="0.3">
      <c r="A2246" s="1"/>
      <c r="G2246" s="4"/>
      <c r="H2246" s="4"/>
    </row>
    <row r="2247" spans="1:8" x14ac:dyDescent="0.3">
      <c r="A2247" s="1"/>
      <c r="G2247" s="4"/>
      <c r="H2247" s="4"/>
    </row>
    <row r="2248" spans="1:8" x14ac:dyDescent="0.3">
      <c r="A2248" s="1"/>
      <c r="G2248" s="4"/>
      <c r="H2248" s="4"/>
    </row>
    <row r="2249" spans="1:8" x14ac:dyDescent="0.3">
      <c r="A2249" s="1"/>
      <c r="G2249" s="4"/>
      <c r="H2249" s="4"/>
    </row>
    <row r="2250" spans="1:8" x14ac:dyDescent="0.3">
      <c r="A2250" s="1"/>
      <c r="G2250" s="4"/>
      <c r="H2250" s="4"/>
    </row>
    <row r="2251" spans="1:8" x14ac:dyDescent="0.3">
      <c r="A2251" s="1"/>
      <c r="G2251" s="4"/>
      <c r="H2251" s="4"/>
    </row>
    <row r="2252" spans="1:8" x14ac:dyDescent="0.3">
      <c r="A2252" s="1"/>
      <c r="G2252" s="4"/>
      <c r="H2252" s="4"/>
    </row>
    <row r="2253" spans="1:8" x14ac:dyDescent="0.3">
      <c r="A2253" s="1"/>
      <c r="G2253" s="4"/>
      <c r="H2253" s="4"/>
    </row>
    <row r="2254" spans="1:8" x14ac:dyDescent="0.3">
      <c r="A2254" s="1"/>
      <c r="G2254" s="4"/>
      <c r="H2254" s="4"/>
    </row>
    <row r="2255" spans="1:8" x14ac:dyDescent="0.3">
      <c r="A2255" s="1"/>
      <c r="G2255" s="4"/>
      <c r="H2255" s="4"/>
    </row>
    <row r="2256" spans="1:8" x14ac:dyDescent="0.3">
      <c r="A2256" s="1"/>
      <c r="G2256" s="4"/>
      <c r="H2256" s="4"/>
    </row>
    <row r="2257" spans="1:8" x14ac:dyDescent="0.3">
      <c r="A2257" s="1"/>
      <c r="G2257" s="4"/>
      <c r="H2257" s="4"/>
    </row>
    <row r="2258" spans="1:8" x14ac:dyDescent="0.3">
      <c r="A2258" s="1"/>
      <c r="G2258" s="4"/>
      <c r="H2258" s="4"/>
    </row>
    <row r="2259" spans="1:8" x14ac:dyDescent="0.3">
      <c r="A2259" s="1"/>
      <c r="G2259" s="4"/>
      <c r="H2259" s="4"/>
    </row>
    <row r="2260" spans="1:8" x14ac:dyDescent="0.3">
      <c r="A2260" s="1"/>
      <c r="G2260" s="4"/>
      <c r="H2260" s="4"/>
    </row>
    <row r="2261" spans="1:8" x14ac:dyDescent="0.3">
      <c r="A2261" s="1"/>
      <c r="G2261" s="4"/>
      <c r="H2261" s="4"/>
    </row>
    <row r="2262" spans="1:8" x14ac:dyDescent="0.3">
      <c r="A2262" s="1"/>
      <c r="G2262" s="4"/>
      <c r="H2262" s="4"/>
    </row>
    <row r="2263" spans="1:8" x14ac:dyDescent="0.3">
      <c r="A2263" s="1"/>
      <c r="G2263" s="4"/>
      <c r="H2263" s="4"/>
    </row>
    <row r="2264" spans="1:8" x14ac:dyDescent="0.3">
      <c r="A2264" s="1"/>
      <c r="G2264" s="4"/>
      <c r="H2264" s="4"/>
    </row>
    <row r="2265" spans="1:8" x14ac:dyDescent="0.3">
      <c r="A2265" s="1"/>
      <c r="G2265" s="4"/>
      <c r="H2265" s="4"/>
    </row>
    <row r="2266" spans="1:8" x14ac:dyDescent="0.3">
      <c r="A2266" s="1"/>
      <c r="G2266" s="4"/>
      <c r="H2266" s="4"/>
    </row>
    <row r="2267" spans="1:8" x14ac:dyDescent="0.3">
      <c r="A2267" s="1"/>
      <c r="G2267" s="4"/>
      <c r="H2267" s="4"/>
    </row>
    <row r="2268" spans="1:8" x14ac:dyDescent="0.3">
      <c r="A2268" s="1"/>
      <c r="G2268" s="4"/>
      <c r="H2268" s="4"/>
    </row>
    <row r="2269" spans="1:8" x14ac:dyDescent="0.3">
      <c r="A2269" s="1"/>
      <c r="G2269" s="4"/>
      <c r="H2269" s="4"/>
    </row>
    <row r="2270" spans="1:8" x14ac:dyDescent="0.3">
      <c r="A2270" s="1"/>
      <c r="G2270" s="4"/>
      <c r="H2270" s="4"/>
    </row>
    <row r="2271" spans="1:8" x14ac:dyDescent="0.3">
      <c r="A2271" s="1"/>
      <c r="G2271" s="4"/>
      <c r="H2271" s="4"/>
    </row>
    <row r="2272" spans="1:8" x14ac:dyDescent="0.3">
      <c r="A2272" s="1"/>
      <c r="G2272" s="4"/>
      <c r="H2272" s="4"/>
    </row>
    <row r="2273" spans="1:8" x14ac:dyDescent="0.3">
      <c r="A2273" s="1"/>
      <c r="G2273" s="4"/>
      <c r="H2273" s="4"/>
    </row>
    <row r="2274" spans="1:8" x14ac:dyDescent="0.3">
      <c r="A2274" s="1"/>
      <c r="G2274" s="4"/>
      <c r="H2274" s="4"/>
    </row>
    <row r="2275" spans="1:8" x14ac:dyDescent="0.3">
      <c r="A2275" s="1"/>
      <c r="G2275" s="4"/>
      <c r="H2275" s="4"/>
    </row>
    <row r="2276" spans="1:8" x14ac:dyDescent="0.3">
      <c r="A2276" s="1"/>
      <c r="G2276" s="4"/>
      <c r="H2276" s="4"/>
    </row>
    <row r="2277" spans="1:8" x14ac:dyDescent="0.3">
      <c r="A2277" s="1"/>
      <c r="G2277" s="4"/>
      <c r="H2277" s="4"/>
    </row>
    <row r="2278" spans="1:8" x14ac:dyDescent="0.3">
      <c r="A2278" s="1"/>
      <c r="G2278" s="4"/>
      <c r="H2278" s="4"/>
    </row>
    <row r="2279" spans="1:8" x14ac:dyDescent="0.3">
      <c r="A2279" s="1"/>
      <c r="G2279" s="4"/>
      <c r="H2279" s="4"/>
    </row>
    <row r="2280" spans="1:8" x14ac:dyDescent="0.3">
      <c r="A2280" s="1"/>
      <c r="G2280" s="4"/>
      <c r="H2280" s="4"/>
    </row>
    <row r="2281" spans="1:8" x14ac:dyDescent="0.3">
      <c r="A2281" s="1"/>
      <c r="G2281" s="4"/>
      <c r="H2281" s="4"/>
    </row>
    <row r="2282" spans="1:8" x14ac:dyDescent="0.3">
      <c r="A2282" s="1"/>
      <c r="G2282" s="4"/>
      <c r="H2282" s="4"/>
    </row>
    <row r="2283" spans="1:8" x14ac:dyDescent="0.3">
      <c r="A2283" s="1"/>
      <c r="G2283" s="4"/>
      <c r="H2283" s="4"/>
    </row>
    <row r="2284" spans="1:8" x14ac:dyDescent="0.3">
      <c r="A2284" s="1"/>
      <c r="G2284" s="4"/>
      <c r="H2284" s="4"/>
    </row>
    <row r="2285" spans="1:8" x14ac:dyDescent="0.3">
      <c r="A2285" s="1"/>
      <c r="G2285" s="4"/>
      <c r="H2285" s="4"/>
    </row>
    <row r="2286" spans="1:8" x14ac:dyDescent="0.3">
      <c r="A2286" s="1"/>
      <c r="G2286" s="4"/>
      <c r="H2286" s="4"/>
    </row>
    <row r="2287" spans="1:8" x14ac:dyDescent="0.3">
      <c r="A2287" s="1"/>
      <c r="G2287" s="4"/>
      <c r="H2287" s="4"/>
    </row>
    <row r="2288" spans="1:8" x14ac:dyDescent="0.3">
      <c r="A2288" s="1"/>
      <c r="G2288" s="4"/>
      <c r="H2288" s="4"/>
    </row>
    <row r="2289" spans="1:8" x14ac:dyDescent="0.3">
      <c r="A2289" s="1"/>
      <c r="G2289" s="4"/>
      <c r="H2289" s="4"/>
    </row>
    <row r="2290" spans="1:8" x14ac:dyDescent="0.3">
      <c r="A2290" s="1"/>
      <c r="G2290" s="4"/>
      <c r="H2290" s="4"/>
    </row>
    <row r="2291" spans="1:8" x14ac:dyDescent="0.3">
      <c r="A2291" s="1"/>
      <c r="G2291" s="4"/>
      <c r="H2291" s="4"/>
    </row>
    <row r="2292" spans="1:8" x14ac:dyDescent="0.3">
      <c r="A2292" s="1"/>
      <c r="G2292" s="4"/>
      <c r="H2292" s="4"/>
    </row>
    <row r="2293" spans="1:8" x14ac:dyDescent="0.3">
      <c r="A2293" s="1"/>
      <c r="G2293" s="4"/>
      <c r="H2293" s="4"/>
    </row>
    <row r="2294" spans="1:8" x14ac:dyDescent="0.3">
      <c r="A2294" s="1"/>
      <c r="G2294" s="4"/>
      <c r="H2294" s="4"/>
    </row>
    <row r="2295" spans="1:8" x14ac:dyDescent="0.3">
      <c r="A2295" s="1"/>
      <c r="G2295" s="4"/>
      <c r="H2295" s="4"/>
    </row>
    <row r="2296" spans="1:8" x14ac:dyDescent="0.3">
      <c r="A2296" s="1"/>
      <c r="G2296" s="4"/>
      <c r="H2296" s="4"/>
    </row>
    <row r="2297" spans="1:8" x14ac:dyDescent="0.3">
      <c r="A2297" s="1"/>
      <c r="G2297" s="4"/>
      <c r="H2297" s="4"/>
    </row>
    <row r="2298" spans="1:8" x14ac:dyDescent="0.3">
      <c r="A2298" s="1"/>
      <c r="G2298" s="4"/>
      <c r="H2298" s="4"/>
    </row>
    <row r="2299" spans="1:8" x14ac:dyDescent="0.3">
      <c r="A2299" s="1"/>
      <c r="G2299" s="4"/>
      <c r="H2299" s="4"/>
    </row>
    <row r="2300" spans="1:8" x14ac:dyDescent="0.3">
      <c r="A2300" s="1"/>
      <c r="G2300" s="4"/>
      <c r="H2300" s="4"/>
    </row>
    <row r="2301" spans="1:8" x14ac:dyDescent="0.3">
      <c r="A2301" s="1"/>
      <c r="G2301" s="4"/>
      <c r="H2301" s="4"/>
    </row>
    <row r="2302" spans="1:8" x14ac:dyDescent="0.3">
      <c r="A2302" s="1"/>
      <c r="G2302" s="4"/>
      <c r="H2302" s="4"/>
    </row>
    <row r="2303" spans="1:8" x14ac:dyDescent="0.3">
      <c r="A2303" s="1"/>
      <c r="G2303" s="4"/>
      <c r="H2303" s="4"/>
    </row>
    <row r="2304" spans="1:8" x14ac:dyDescent="0.3">
      <c r="A2304" s="1"/>
      <c r="G2304" s="4"/>
      <c r="H2304" s="4"/>
    </row>
    <row r="2305" spans="1:8" x14ac:dyDescent="0.3">
      <c r="A2305" s="1"/>
      <c r="G2305" s="4"/>
      <c r="H2305" s="4"/>
    </row>
    <row r="2306" spans="1:8" x14ac:dyDescent="0.3">
      <c r="A2306" s="1"/>
      <c r="G2306" s="4"/>
      <c r="H2306" s="4"/>
    </row>
    <row r="2307" spans="1:8" x14ac:dyDescent="0.3">
      <c r="A2307" s="1"/>
      <c r="G2307" s="4"/>
      <c r="H2307" s="4"/>
    </row>
    <row r="2308" spans="1:8" x14ac:dyDescent="0.3">
      <c r="A2308" s="1"/>
      <c r="G2308" s="4"/>
      <c r="H2308" s="4"/>
    </row>
    <row r="2309" spans="1:8" x14ac:dyDescent="0.3">
      <c r="A2309" s="1"/>
      <c r="G2309" s="4"/>
      <c r="H2309" s="4"/>
    </row>
    <row r="2310" spans="1:8" x14ac:dyDescent="0.3">
      <c r="A2310" s="1"/>
      <c r="G2310" s="4"/>
      <c r="H2310" s="4"/>
    </row>
    <row r="2311" spans="1:8" x14ac:dyDescent="0.3">
      <c r="A2311" s="1"/>
      <c r="G2311" s="4"/>
      <c r="H2311" s="4"/>
    </row>
    <row r="2312" spans="1:8" x14ac:dyDescent="0.3">
      <c r="A2312" s="1"/>
      <c r="G2312" s="4"/>
      <c r="H2312" s="4"/>
    </row>
    <row r="2313" spans="1:8" x14ac:dyDescent="0.3">
      <c r="A2313" s="1"/>
      <c r="G2313" s="4"/>
      <c r="H2313" s="4"/>
    </row>
    <row r="2314" spans="1:8" x14ac:dyDescent="0.3">
      <c r="A2314" s="1"/>
      <c r="G2314" s="4"/>
      <c r="H2314" s="4"/>
    </row>
    <row r="2315" spans="1:8" x14ac:dyDescent="0.3">
      <c r="A2315" s="1"/>
      <c r="G2315" s="4"/>
      <c r="H2315" s="4"/>
    </row>
    <row r="2316" spans="1:8" x14ac:dyDescent="0.3">
      <c r="A2316" s="1"/>
      <c r="G2316" s="4"/>
      <c r="H2316" s="4"/>
    </row>
    <row r="2317" spans="1:8" x14ac:dyDescent="0.3">
      <c r="A2317" s="1"/>
      <c r="G2317" s="4"/>
      <c r="H2317" s="4"/>
    </row>
    <row r="2318" spans="1:8" x14ac:dyDescent="0.3">
      <c r="A2318" s="1"/>
      <c r="G2318" s="4"/>
      <c r="H2318" s="4"/>
    </row>
    <row r="2319" spans="1:8" x14ac:dyDescent="0.3">
      <c r="A2319" s="1"/>
      <c r="G2319" s="4"/>
      <c r="H2319" s="4"/>
    </row>
    <row r="2320" spans="1:8" x14ac:dyDescent="0.3">
      <c r="A2320" s="1"/>
      <c r="G2320" s="4"/>
      <c r="H2320" s="4"/>
    </row>
    <row r="2321" spans="1:8" x14ac:dyDescent="0.3">
      <c r="A2321" s="1"/>
      <c r="G2321" s="4"/>
      <c r="H2321" s="4"/>
    </row>
    <row r="2322" spans="1:8" x14ac:dyDescent="0.3">
      <c r="A2322" s="1"/>
      <c r="G2322" s="4"/>
      <c r="H2322" s="4"/>
    </row>
    <row r="2323" spans="1:8" x14ac:dyDescent="0.3">
      <c r="A2323" s="1"/>
      <c r="G2323" s="4"/>
      <c r="H2323" s="4"/>
    </row>
    <row r="2324" spans="1:8" x14ac:dyDescent="0.3">
      <c r="A2324" s="1"/>
      <c r="G2324" s="4"/>
      <c r="H2324" s="4"/>
    </row>
    <row r="2325" spans="1:8" x14ac:dyDescent="0.3">
      <c r="A2325" s="1"/>
      <c r="G2325" s="4"/>
      <c r="H2325" s="4"/>
    </row>
    <row r="2326" spans="1:8" x14ac:dyDescent="0.3">
      <c r="A2326" s="1"/>
      <c r="G2326" s="4"/>
      <c r="H2326" s="4"/>
    </row>
    <row r="2327" spans="1:8" x14ac:dyDescent="0.3">
      <c r="A2327" s="1"/>
      <c r="G2327" s="4"/>
      <c r="H2327" s="4"/>
    </row>
    <row r="2328" spans="1:8" x14ac:dyDescent="0.3">
      <c r="A2328" s="1"/>
      <c r="G2328" s="4"/>
      <c r="H2328" s="4"/>
    </row>
    <row r="2329" spans="1:8" x14ac:dyDescent="0.3">
      <c r="A2329" s="1"/>
      <c r="G2329" s="4"/>
      <c r="H2329" s="4"/>
    </row>
    <row r="2330" spans="1:8" x14ac:dyDescent="0.3">
      <c r="A2330" s="1"/>
      <c r="G2330" s="4"/>
      <c r="H2330" s="4"/>
    </row>
    <row r="2331" spans="1:8" x14ac:dyDescent="0.3">
      <c r="A2331" s="1"/>
      <c r="G2331" s="4"/>
      <c r="H2331" s="4"/>
    </row>
    <row r="2332" spans="1:8" x14ac:dyDescent="0.3">
      <c r="A2332" s="1"/>
      <c r="G2332" s="4"/>
      <c r="H2332" s="4"/>
    </row>
    <row r="2333" spans="1:8" x14ac:dyDescent="0.3">
      <c r="A2333" s="1"/>
      <c r="G2333" s="4"/>
      <c r="H2333" s="4"/>
    </row>
    <row r="2334" spans="1:8" x14ac:dyDescent="0.3">
      <c r="A2334" s="1"/>
      <c r="G2334" s="4"/>
      <c r="H2334" s="4"/>
    </row>
    <row r="2335" spans="1:8" x14ac:dyDescent="0.3">
      <c r="A2335" s="1"/>
      <c r="G2335" s="4"/>
      <c r="H2335" s="4"/>
    </row>
    <row r="2336" spans="1:8" x14ac:dyDescent="0.3">
      <c r="A2336" s="1"/>
      <c r="G2336" s="4"/>
      <c r="H2336" s="4"/>
    </row>
    <row r="2337" spans="1:8" x14ac:dyDescent="0.3">
      <c r="A2337" s="1"/>
      <c r="G2337" s="4"/>
      <c r="H2337" s="4"/>
    </row>
    <row r="2338" spans="1:8" x14ac:dyDescent="0.3">
      <c r="A2338" s="1"/>
      <c r="G2338" s="4"/>
      <c r="H2338" s="4"/>
    </row>
    <row r="2339" spans="1:8" x14ac:dyDescent="0.3">
      <c r="A2339" s="1"/>
      <c r="G2339" s="4"/>
      <c r="H2339" s="4"/>
    </row>
    <row r="2340" spans="1:8" x14ac:dyDescent="0.3">
      <c r="A2340" s="1"/>
      <c r="G2340" s="4"/>
      <c r="H2340" s="4"/>
    </row>
    <row r="2341" spans="1:8" x14ac:dyDescent="0.3">
      <c r="A2341" s="1"/>
      <c r="G2341" s="4"/>
      <c r="H2341" s="4"/>
    </row>
    <row r="2342" spans="1:8" x14ac:dyDescent="0.3">
      <c r="A2342" s="1"/>
      <c r="G2342" s="4"/>
      <c r="H2342" s="4"/>
    </row>
    <row r="2343" spans="1:8" x14ac:dyDescent="0.3">
      <c r="A2343" s="1"/>
      <c r="G2343" s="4"/>
      <c r="H2343" s="4"/>
    </row>
    <row r="2344" spans="1:8" x14ac:dyDescent="0.3">
      <c r="A2344" s="1"/>
      <c r="G2344" s="4"/>
      <c r="H2344" s="4"/>
    </row>
    <row r="2345" spans="1:8" x14ac:dyDescent="0.3">
      <c r="A2345" s="1"/>
      <c r="G2345" s="4"/>
      <c r="H2345" s="4"/>
    </row>
    <row r="2346" spans="1:8" x14ac:dyDescent="0.3">
      <c r="A2346" s="1"/>
      <c r="G2346" s="4"/>
      <c r="H2346" s="4"/>
    </row>
    <row r="2347" spans="1:8" x14ac:dyDescent="0.3">
      <c r="A2347" s="1"/>
      <c r="G2347" s="4"/>
      <c r="H2347" s="4"/>
    </row>
    <row r="2348" spans="1:8" x14ac:dyDescent="0.3">
      <c r="A2348" s="1"/>
      <c r="G2348" s="4"/>
      <c r="H2348" s="4"/>
    </row>
    <row r="2349" spans="1:8" x14ac:dyDescent="0.3">
      <c r="A2349" s="1"/>
      <c r="G2349" s="4"/>
      <c r="H2349" s="4"/>
    </row>
    <row r="2350" spans="1:8" x14ac:dyDescent="0.3">
      <c r="A2350" s="1"/>
      <c r="G2350" s="4"/>
      <c r="H2350" s="4"/>
    </row>
    <row r="2351" spans="1:8" x14ac:dyDescent="0.3">
      <c r="A2351" s="1"/>
      <c r="G2351" s="4"/>
      <c r="H2351" s="4"/>
    </row>
    <row r="2352" spans="1:8" x14ac:dyDescent="0.3">
      <c r="A2352" s="1"/>
      <c r="G2352" s="4"/>
      <c r="H2352" s="4"/>
    </row>
    <row r="2353" spans="1:8" x14ac:dyDescent="0.3">
      <c r="A2353" s="1"/>
      <c r="G2353" s="4"/>
      <c r="H2353" s="4"/>
    </row>
    <row r="2354" spans="1:8" x14ac:dyDescent="0.3">
      <c r="A2354" s="1"/>
      <c r="G2354" s="4"/>
      <c r="H2354" s="4"/>
    </row>
    <row r="2355" spans="1:8" x14ac:dyDescent="0.3">
      <c r="A2355" s="1"/>
      <c r="G2355" s="4"/>
      <c r="H2355" s="4"/>
    </row>
    <row r="2356" spans="1:8" x14ac:dyDescent="0.3">
      <c r="A2356" s="1"/>
      <c r="G2356" s="4"/>
      <c r="H2356" s="4"/>
    </row>
    <row r="2357" spans="1:8" x14ac:dyDescent="0.3">
      <c r="A2357" s="1"/>
      <c r="G2357" s="4"/>
      <c r="H2357" s="4"/>
    </row>
    <row r="2358" spans="1:8" x14ac:dyDescent="0.3">
      <c r="A2358" s="1"/>
      <c r="G2358" s="4"/>
      <c r="H2358" s="4"/>
    </row>
    <row r="2359" spans="1:8" x14ac:dyDescent="0.3">
      <c r="A2359" s="1"/>
      <c r="G2359" s="4"/>
      <c r="H2359" s="4"/>
    </row>
    <row r="2360" spans="1:8" x14ac:dyDescent="0.3">
      <c r="A2360" s="1"/>
      <c r="G2360" s="4"/>
      <c r="H2360" s="4"/>
    </row>
    <row r="2361" spans="1:8" x14ac:dyDescent="0.3">
      <c r="A2361" s="1"/>
      <c r="G2361" s="4"/>
      <c r="H2361" s="4"/>
    </row>
    <row r="2362" spans="1:8" x14ac:dyDescent="0.3">
      <c r="A2362" s="1"/>
      <c r="G2362" s="4"/>
      <c r="H2362" s="4"/>
    </row>
    <row r="2363" spans="1:8" x14ac:dyDescent="0.3">
      <c r="A2363" s="1"/>
      <c r="G2363" s="4"/>
      <c r="H2363" s="4"/>
    </row>
    <row r="2364" spans="1:8" x14ac:dyDescent="0.3">
      <c r="A2364" s="1"/>
      <c r="G2364" s="4"/>
      <c r="H2364" s="4"/>
    </row>
    <row r="2365" spans="1:8" x14ac:dyDescent="0.3">
      <c r="A2365" s="1"/>
      <c r="G2365" s="4"/>
      <c r="H2365" s="4"/>
    </row>
    <row r="2366" spans="1:8" x14ac:dyDescent="0.3">
      <c r="A2366" s="1"/>
      <c r="G2366" s="4"/>
      <c r="H2366" s="4"/>
    </row>
    <row r="2367" spans="1:8" x14ac:dyDescent="0.3">
      <c r="A2367" s="1"/>
      <c r="G2367" s="4"/>
      <c r="H2367" s="4"/>
    </row>
    <row r="2368" spans="1:8" x14ac:dyDescent="0.3">
      <c r="A2368" s="1"/>
      <c r="G2368" s="4"/>
      <c r="H2368" s="4"/>
    </row>
    <row r="2369" spans="1:8" x14ac:dyDescent="0.3">
      <c r="A2369" s="1"/>
      <c r="G2369" s="4"/>
      <c r="H2369" s="4"/>
    </row>
    <row r="2370" spans="1:8" x14ac:dyDescent="0.3">
      <c r="A2370" s="1"/>
      <c r="G2370" s="4"/>
      <c r="H2370" s="4"/>
    </row>
    <row r="2371" spans="1:8" x14ac:dyDescent="0.3">
      <c r="A2371" s="1"/>
      <c r="G2371" s="4"/>
      <c r="H2371" s="4"/>
    </row>
    <row r="2372" spans="1:8" x14ac:dyDescent="0.3">
      <c r="A2372" s="1"/>
      <c r="G2372" s="4"/>
      <c r="H2372" s="4"/>
    </row>
    <row r="2373" spans="1:8" x14ac:dyDescent="0.3">
      <c r="A2373" s="1"/>
      <c r="G2373" s="4"/>
      <c r="H2373" s="4"/>
    </row>
    <row r="2374" spans="1:8" x14ac:dyDescent="0.3">
      <c r="A2374" s="1"/>
      <c r="G2374" s="4"/>
      <c r="H2374" s="4"/>
    </row>
    <row r="2375" spans="1:8" x14ac:dyDescent="0.3">
      <c r="A2375" s="1"/>
      <c r="G2375" s="4"/>
      <c r="H2375" s="4"/>
    </row>
    <row r="2376" spans="1:8" x14ac:dyDescent="0.3">
      <c r="A2376" s="1"/>
      <c r="G2376" s="4"/>
      <c r="H2376" s="4"/>
    </row>
    <row r="2377" spans="1:8" x14ac:dyDescent="0.3">
      <c r="A2377" s="1"/>
      <c r="G2377" s="4"/>
      <c r="H2377" s="4"/>
    </row>
    <row r="2378" spans="1:8" x14ac:dyDescent="0.3">
      <c r="A2378" s="1"/>
      <c r="G2378" s="4"/>
      <c r="H2378" s="4"/>
    </row>
    <row r="2379" spans="1:8" x14ac:dyDescent="0.3">
      <c r="A2379" s="1"/>
      <c r="G2379" s="4"/>
      <c r="H2379" s="4"/>
    </row>
    <row r="2380" spans="1:8" x14ac:dyDescent="0.3">
      <c r="A2380" s="1"/>
      <c r="G2380" s="4"/>
      <c r="H2380" s="4"/>
    </row>
    <row r="2381" spans="1:8" x14ac:dyDescent="0.3">
      <c r="A2381" s="1"/>
      <c r="G2381" s="4"/>
      <c r="H2381" s="4"/>
    </row>
    <row r="2382" spans="1:8" x14ac:dyDescent="0.3">
      <c r="A2382" s="1"/>
      <c r="G2382" s="4"/>
      <c r="H2382" s="4"/>
    </row>
    <row r="2383" spans="1:8" x14ac:dyDescent="0.3">
      <c r="A2383" s="1"/>
      <c r="G2383" s="4"/>
      <c r="H2383" s="4"/>
    </row>
    <row r="2384" spans="1:8" x14ac:dyDescent="0.3">
      <c r="A2384" s="1"/>
      <c r="G2384" s="4"/>
      <c r="H2384" s="4"/>
    </row>
    <row r="2385" spans="1:8" x14ac:dyDescent="0.3">
      <c r="A2385" s="1"/>
      <c r="G2385" s="4"/>
      <c r="H2385" s="4"/>
    </row>
    <row r="2386" spans="1:8" x14ac:dyDescent="0.3">
      <c r="A2386" s="1"/>
      <c r="G2386" s="4"/>
      <c r="H2386" s="4"/>
    </row>
    <row r="2387" spans="1:8" x14ac:dyDescent="0.3">
      <c r="A2387" s="1"/>
      <c r="G2387" s="4"/>
      <c r="H2387" s="4"/>
    </row>
    <row r="2388" spans="1:8" x14ac:dyDescent="0.3">
      <c r="A2388" s="1"/>
      <c r="G2388" s="4"/>
      <c r="H2388" s="4"/>
    </row>
    <row r="2389" spans="1:8" x14ac:dyDescent="0.3">
      <c r="A2389" s="1"/>
      <c r="G2389" s="4"/>
      <c r="H2389" s="4"/>
    </row>
    <row r="2390" spans="1:8" x14ac:dyDescent="0.3">
      <c r="A2390" s="1"/>
      <c r="G2390" s="4"/>
      <c r="H2390" s="4"/>
    </row>
    <row r="2391" spans="1:8" x14ac:dyDescent="0.3">
      <c r="A2391" s="1"/>
      <c r="G2391" s="4"/>
      <c r="H2391" s="4"/>
    </row>
    <row r="2392" spans="1:8" x14ac:dyDescent="0.3">
      <c r="A2392" s="1"/>
      <c r="G2392" s="4"/>
      <c r="H2392" s="4"/>
    </row>
    <row r="2393" spans="1:8" x14ac:dyDescent="0.3">
      <c r="A2393" s="1"/>
      <c r="G2393" s="4"/>
      <c r="H2393" s="4"/>
    </row>
    <row r="2394" spans="1:8" x14ac:dyDescent="0.3">
      <c r="A2394" s="1"/>
      <c r="G2394" s="4"/>
      <c r="H2394" s="4"/>
    </row>
    <row r="2395" spans="1:8" x14ac:dyDescent="0.3">
      <c r="A2395" s="1"/>
      <c r="G2395" s="4"/>
      <c r="H2395" s="4"/>
    </row>
    <row r="2396" spans="1:8" x14ac:dyDescent="0.3">
      <c r="A2396" s="1"/>
      <c r="G2396" s="4"/>
      <c r="H2396" s="4"/>
    </row>
    <row r="2397" spans="1:8" x14ac:dyDescent="0.3">
      <c r="A2397" s="1"/>
      <c r="G2397" s="4"/>
      <c r="H2397" s="4"/>
    </row>
    <row r="2398" spans="1:8" x14ac:dyDescent="0.3">
      <c r="A2398" s="1"/>
      <c r="G2398" s="4"/>
      <c r="H2398" s="4"/>
    </row>
    <row r="2399" spans="1:8" x14ac:dyDescent="0.3">
      <c r="A2399" s="1"/>
      <c r="G2399" s="4"/>
      <c r="H2399" s="4"/>
    </row>
    <row r="2400" spans="1:8" x14ac:dyDescent="0.3">
      <c r="A2400" s="1"/>
      <c r="G2400" s="4"/>
      <c r="H2400" s="4"/>
    </row>
    <row r="2401" spans="1:8" x14ac:dyDescent="0.3">
      <c r="A2401" s="1"/>
      <c r="G2401" s="4"/>
      <c r="H2401" s="4"/>
    </row>
    <row r="2402" spans="1:8" x14ac:dyDescent="0.3">
      <c r="A2402" s="1"/>
      <c r="G2402" s="4"/>
      <c r="H2402" s="4"/>
    </row>
    <row r="2403" spans="1:8" x14ac:dyDescent="0.3">
      <c r="A2403" s="1"/>
      <c r="G2403" s="4"/>
      <c r="H2403" s="4"/>
    </row>
    <row r="2404" spans="1:8" x14ac:dyDescent="0.3">
      <c r="A2404" s="1"/>
      <c r="G2404" s="4"/>
      <c r="H2404" s="4"/>
    </row>
    <row r="2405" spans="1:8" x14ac:dyDescent="0.3">
      <c r="A2405" s="1"/>
      <c r="G2405" s="4"/>
      <c r="H2405" s="4"/>
    </row>
    <row r="2406" spans="1:8" x14ac:dyDescent="0.3">
      <c r="A2406" s="1"/>
      <c r="G2406" s="4"/>
      <c r="H2406" s="4"/>
    </row>
    <row r="2407" spans="1:8" x14ac:dyDescent="0.3">
      <c r="A2407" s="1"/>
      <c r="G2407" s="4"/>
      <c r="H2407" s="4"/>
    </row>
    <row r="2408" spans="1:8" x14ac:dyDescent="0.3">
      <c r="A2408" s="1"/>
      <c r="G2408" s="4"/>
      <c r="H2408" s="4"/>
    </row>
    <row r="2409" spans="1:8" x14ac:dyDescent="0.3">
      <c r="A2409" s="1"/>
      <c r="G2409" s="4"/>
      <c r="H2409" s="4"/>
    </row>
    <row r="2410" spans="1:8" x14ac:dyDescent="0.3">
      <c r="A2410" s="1"/>
      <c r="G2410" s="4"/>
      <c r="H2410" s="4"/>
    </row>
    <row r="2411" spans="1:8" x14ac:dyDescent="0.3">
      <c r="A2411" s="1"/>
      <c r="G2411" s="4"/>
      <c r="H2411" s="4"/>
    </row>
    <row r="2412" spans="1:8" x14ac:dyDescent="0.3">
      <c r="A2412" s="1"/>
      <c r="G2412" s="4"/>
      <c r="H2412" s="4"/>
    </row>
    <row r="2413" spans="1:8" x14ac:dyDescent="0.3">
      <c r="A2413" s="1"/>
      <c r="G2413" s="4"/>
      <c r="H2413" s="4"/>
    </row>
    <row r="2414" spans="1:8" x14ac:dyDescent="0.3">
      <c r="A2414" s="1"/>
      <c r="G2414" s="4"/>
      <c r="H2414" s="4"/>
    </row>
    <row r="2415" spans="1:8" x14ac:dyDescent="0.3">
      <c r="A2415" s="1"/>
      <c r="G2415" s="4"/>
      <c r="H2415" s="4"/>
    </row>
    <row r="2416" spans="1:8" x14ac:dyDescent="0.3">
      <c r="A2416" s="1"/>
      <c r="G2416" s="4"/>
      <c r="H2416" s="4"/>
    </row>
    <row r="2417" spans="1:8" x14ac:dyDescent="0.3">
      <c r="A2417" s="1"/>
      <c r="G2417" s="4"/>
      <c r="H2417" s="4"/>
    </row>
    <row r="2418" spans="1:8" x14ac:dyDescent="0.3">
      <c r="A2418" s="1"/>
      <c r="G2418" s="4"/>
      <c r="H2418" s="4"/>
    </row>
    <row r="2419" spans="1:8" x14ac:dyDescent="0.3">
      <c r="A2419" s="1"/>
      <c r="G2419" s="4"/>
      <c r="H2419" s="4"/>
    </row>
    <row r="2420" spans="1:8" x14ac:dyDescent="0.3">
      <c r="A2420" s="1"/>
      <c r="G2420" s="4"/>
      <c r="H2420" s="4"/>
    </row>
    <row r="2421" spans="1:8" x14ac:dyDescent="0.3">
      <c r="A2421" s="1"/>
      <c r="G2421" s="4"/>
      <c r="H2421" s="4"/>
    </row>
    <row r="2422" spans="1:8" x14ac:dyDescent="0.3">
      <c r="A2422" s="1"/>
      <c r="G2422" s="4"/>
      <c r="H2422" s="4"/>
    </row>
    <row r="2423" spans="1:8" x14ac:dyDescent="0.3">
      <c r="A2423" s="1"/>
      <c r="G2423" s="4"/>
      <c r="H2423" s="4"/>
    </row>
    <row r="2424" spans="1:8" x14ac:dyDescent="0.3">
      <c r="A2424" s="1"/>
      <c r="G2424" s="4"/>
      <c r="H2424" s="4"/>
    </row>
    <row r="2425" spans="1:8" x14ac:dyDescent="0.3">
      <c r="A2425" s="1"/>
      <c r="G2425" s="4"/>
      <c r="H2425" s="4"/>
    </row>
    <row r="2426" spans="1:8" x14ac:dyDescent="0.3">
      <c r="A2426" s="1"/>
      <c r="G2426" s="4"/>
      <c r="H2426" s="4"/>
    </row>
    <row r="2427" spans="1:8" x14ac:dyDescent="0.3">
      <c r="A2427" s="1"/>
      <c r="G2427" s="4"/>
      <c r="H2427" s="4"/>
    </row>
    <row r="2428" spans="1:8" x14ac:dyDescent="0.3">
      <c r="A2428" s="1"/>
      <c r="G2428" s="4"/>
      <c r="H2428" s="4"/>
    </row>
    <row r="2429" spans="1:8" x14ac:dyDescent="0.3">
      <c r="A2429" s="1"/>
      <c r="G2429" s="4"/>
      <c r="H2429" s="4"/>
    </row>
    <row r="2430" spans="1:8" x14ac:dyDescent="0.3">
      <c r="A2430" s="1"/>
      <c r="G2430" s="4"/>
      <c r="H2430" s="4"/>
    </row>
    <row r="2431" spans="1:8" x14ac:dyDescent="0.3">
      <c r="A2431" s="1"/>
      <c r="G2431" s="4"/>
      <c r="H2431" s="4"/>
    </row>
    <row r="2432" spans="1:8" x14ac:dyDescent="0.3">
      <c r="A2432" s="1"/>
      <c r="G2432" s="4"/>
      <c r="H2432" s="4"/>
    </row>
    <row r="2433" spans="1:8" x14ac:dyDescent="0.3">
      <c r="A2433" s="1"/>
      <c r="G2433" s="4"/>
      <c r="H2433" s="4"/>
    </row>
    <row r="2434" spans="1:8" x14ac:dyDescent="0.3">
      <c r="A2434" s="1"/>
      <c r="G2434" s="4"/>
      <c r="H2434" s="4"/>
    </row>
    <row r="2435" spans="1:8" x14ac:dyDescent="0.3">
      <c r="A2435" s="1"/>
      <c r="G2435" s="4"/>
      <c r="H2435" s="4"/>
    </row>
    <row r="2436" spans="1:8" x14ac:dyDescent="0.3">
      <c r="A2436" s="1"/>
      <c r="G2436" s="4"/>
      <c r="H2436" s="4"/>
    </row>
    <row r="2437" spans="1:8" x14ac:dyDescent="0.3">
      <c r="A2437" s="1"/>
      <c r="G2437" s="4"/>
      <c r="H2437" s="4"/>
    </row>
    <row r="2438" spans="1:8" x14ac:dyDescent="0.3">
      <c r="A2438" s="1"/>
      <c r="G2438" s="4"/>
      <c r="H2438" s="4"/>
    </row>
    <row r="2439" spans="1:8" x14ac:dyDescent="0.3">
      <c r="A2439" s="1"/>
      <c r="G2439" s="4"/>
      <c r="H2439" s="4"/>
    </row>
    <row r="2440" spans="1:8" x14ac:dyDescent="0.3">
      <c r="A2440" s="1"/>
      <c r="G2440" s="4"/>
      <c r="H2440" s="4"/>
    </row>
    <row r="2441" spans="1:8" x14ac:dyDescent="0.3">
      <c r="A2441" s="1"/>
      <c r="G2441" s="4"/>
      <c r="H2441" s="4"/>
    </row>
    <row r="2442" spans="1:8" x14ac:dyDescent="0.3">
      <c r="A2442" s="1"/>
      <c r="G2442" s="4"/>
      <c r="H2442" s="4"/>
    </row>
    <row r="2443" spans="1:8" x14ac:dyDescent="0.3">
      <c r="A2443" s="1"/>
      <c r="G2443" s="4"/>
      <c r="H2443" s="4"/>
    </row>
    <row r="2444" spans="1:8" x14ac:dyDescent="0.3">
      <c r="A2444" s="1"/>
      <c r="G2444" s="4"/>
      <c r="H2444" s="4"/>
    </row>
    <row r="2445" spans="1:8" x14ac:dyDescent="0.3">
      <c r="A2445" s="1"/>
      <c r="G2445" s="4"/>
      <c r="H2445" s="4"/>
    </row>
    <row r="2446" spans="1:8" x14ac:dyDescent="0.3">
      <c r="A2446" s="1"/>
      <c r="G2446" s="4"/>
      <c r="H2446" s="4"/>
    </row>
    <row r="2447" spans="1:8" x14ac:dyDescent="0.3">
      <c r="A2447" s="1"/>
      <c r="G2447" s="4"/>
      <c r="H2447" s="4"/>
    </row>
    <row r="2448" spans="1:8" x14ac:dyDescent="0.3">
      <c r="A2448" s="1"/>
      <c r="G2448" s="4"/>
      <c r="H2448" s="4"/>
    </row>
    <row r="2449" spans="1:8" x14ac:dyDescent="0.3">
      <c r="A2449" s="1"/>
      <c r="G2449" s="4"/>
      <c r="H2449" s="4"/>
    </row>
    <row r="2450" spans="1:8" x14ac:dyDescent="0.3">
      <c r="A2450" s="1"/>
      <c r="G2450" s="4"/>
      <c r="H2450" s="4"/>
    </row>
    <row r="2451" spans="1:8" x14ac:dyDescent="0.3">
      <c r="A2451" s="1"/>
      <c r="G2451" s="4"/>
      <c r="H2451" s="4"/>
    </row>
    <row r="2452" spans="1:8" x14ac:dyDescent="0.3">
      <c r="A2452" s="1"/>
      <c r="G2452" s="4"/>
      <c r="H2452" s="4"/>
    </row>
    <row r="2453" spans="1:8" x14ac:dyDescent="0.3">
      <c r="A2453" s="1"/>
      <c r="G2453" s="4"/>
      <c r="H2453" s="4"/>
    </row>
    <row r="2454" spans="1:8" x14ac:dyDescent="0.3">
      <c r="A2454" s="1"/>
      <c r="G2454" s="4"/>
      <c r="H2454" s="4"/>
    </row>
    <row r="2455" spans="1:8" x14ac:dyDescent="0.3">
      <c r="A2455" s="1"/>
      <c r="G2455" s="4"/>
      <c r="H2455" s="4"/>
    </row>
    <row r="2456" spans="1:8" x14ac:dyDescent="0.3">
      <c r="A2456" s="1"/>
      <c r="G2456" s="4"/>
      <c r="H2456" s="4"/>
    </row>
    <row r="2457" spans="1:8" x14ac:dyDescent="0.3">
      <c r="A2457" s="1"/>
      <c r="G2457" s="4"/>
      <c r="H2457" s="4"/>
    </row>
    <row r="2458" spans="1:8" x14ac:dyDescent="0.3">
      <c r="A2458" s="1"/>
      <c r="G2458" s="4"/>
      <c r="H2458" s="4"/>
    </row>
    <row r="2459" spans="1:8" x14ac:dyDescent="0.3">
      <c r="A2459" s="1"/>
      <c r="G2459" s="4"/>
      <c r="H2459" s="4"/>
    </row>
    <row r="2460" spans="1:8" x14ac:dyDescent="0.3">
      <c r="A2460" s="1"/>
      <c r="G2460" s="4"/>
      <c r="H2460" s="4"/>
    </row>
    <row r="2461" spans="1:8" x14ac:dyDescent="0.3">
      <c r="A2461" s="1"/>
      <c r="G2461" s="4"/>
      <c r="H2461" s="4"/>
    </row>
    <row r="2462" spans="1:8" x14ac:dyDescent="0.3">
      <c r="A2462" s="1"/>
      <c r="G2462" s="4"/>
      <c r="H2462" s="4"/>
    </row>
    <row r="2463" spans="1:8" x14ac:dyDescent="0.3">
      <c r="A2463" s="1"/>
      <c r="G2463" s="4"/>
      <c r="H2463" s="4"/>
    </row>
    <row r="2464" spans="1:8" x14ac:dyDescent="0.3">
      <c r="A2464" s="1"/>
      <c r="G2464" s="4"/>
      <c r="H2464" s="4"/>
    </row>
    <row r="2465" spans="1:8" x14ac:dyDescent="0.3">
      <c r="A2465" s="1"/>
      <c r="G2465" s="4"/>
      <c r="H2465" s="4"/>
    </row>
    <row r="2466" spans="1:8" x14ac:dyDescent="0.3">
      <c r="A2466" s="1"/>
      <c r="G2466" s="4"/>
      <c r="H2466" s="4"/>
    </row>
    <row r="2467" spans="1:8" x14ac:dyDescent="0.3">
      <c r="A2467" s="1"/>
      <c r="G2467" s="4"/>
      <c r="H2467" s="4"/>
    </row>
    <row r="2468" spans="1:8" x14ac:dyDescent="0.3">
      <c r="A2468" s="1"/>
      <c r="G2468" s="4"/>
      <c r="H2468" s="4"/>
    </row>
    <row r="2469" spans="1:8" x14ac:dyDescent="0.3">
      <c r="A2469" s="1"/>
      <c r="G2469" s="4"/>
      <c r="H2469" s="4"/>
    </row>
    <row r="2470" spans="1:8" x14ac:dyDescent="0.3">
      <c r="A2470" s="1"/>
      <c r="G2470" s="4"/>
      <c r="H2470" s="4"/>
    </row>
    <row r="2471" spans="1:8" x14ac:dyDescent="0.3">
      <c r="A2471" s="1"/>
      <c r="G2471" s="4"/>
      <c r="H2471" s="4"/>
    </row>
    <row r="2472" spans="1:8" x14ac:dyDescent="0.3">
      <c r="A2472" s="1"/>
      <c r="G2472" s="4"/>
      <c r="H2472" s="4"/>
    </row>
    <row r="2473" spans="1:8" x14ac:dyDescent="0.3">
      <c r="A2473" s="1"/>
      <c r="G2473" s="4"/>
      <c r="H2473" s="4"/>
    </row>
    <row r="2474" spans="1:8" x14ac:dyDescent="0.3">
      <c r="A2474" s="1"/>
      <c r="G2474" s="4"/>
      <c r="H2474" s="4"/>
    </row>
    <row r="2475" spans="1:8" x14ac:dyDescent="0.3">
      <c r="A2475" s="1"/>
      <c r="G2475" s="4"/>
      <c r="H2475" s="4"/>
    </row>
    <row r="2476" spans="1:8" x14ac:dyDescent="0.3">
      <c r="A2476" s="1"/>
      <c r="G2476" s="4"/>
      <c r="H2476" s="4"/>
    </row>
    <row r="2477" spans="1:8" x14ac:dyDescent="0.3">
      <c r="A2477" s="1"/>
      <c r="G2477" s="4"/>
      <c r="H2477" s="4"/>
    </row>
    <row r="2478" spans="1:8" x14ac:dyDescent="0.3">
      <c r="A2478" s="1"/>
      <c r="G2478" s="4"/>
      <c r="H2478" s="4"/>
    </row>
    <row r="2479" spans="1:8" x14ac:dyDescent="0.3">
      <c r="A2479" s="1"/>
      <c r="G2479" s="4"/>
      <c r="H2479" s="4"/>
    </row>
    <row r="2480" spans="1:8" x14ac:dyDescent="0.3">
      <c r="A2480" s="1"/>
      <c r="G2480" s="4"/>
      <c r="H2480" s="4"/>
    </row>
    <row r="2481" spans="1:8" x14ac:dyDescent="0.3">
      <c r="A2481" s="1"/>
      <c r="G2481" s="4"/>
      <c r="H2481" s="4"/>
    </row>
    <row r="2482" spans="1:8" x14ac:dyDescent="0.3">
      <c r="A2482" s="1"/>
      <c r="G2482" s="4"/>
      <c r="H2482" s="4"/>
    </row>
    <row r="2483" spans="1:8" x14ac:dyDescent="0.3">
      <c r="A2483" s="1"/>
      <c r="G2483" s="4"/>
      <c r="H2483" s="4"/>
    </row>
    <row r="2484" spans="1:8" x14ac:dyDescent="0.3">
      <c r="A2484" s="1"/>
      <c r="G2484" s="4"/>
      <c r="H2484" s="4"/>
    </row>
    <row r="2485" spans="1:8" x14ac:dyDescent="0.3">
      <c r="A2485" s="1"/>
      <c r="G2485" s="4"/>
      <c r="H2485" s="4"/>
    </row>
    <row r="2486" spans="1:8" x14ac:dyDescent="0.3">
      <c r="A2486" s="1"/>
      <c r="G2486" s="4"/>
      <c r="H2486" s="4"/>
    </row>
    <row r="2487" spans="1:8" x14ac:dyDescent="0.3">
      <c r="A2487" s="1"/>
      <c r="G2487" s="4"/>
      <c r="H2487" s="4"/>
    </row>
    <row r="2488" spans="1:8" x14ac:dyDescent="0.3">
      <c r="A2488" s="1"/>
      <c r="G2488" s="4"/>
      <c r="H2488" s="4"/>
    </row>
    <row r="2489" spans="1:8" x14ac:dyDescent="0.3">
      <c r="A2489" s="1"/>
      <c r="G2489" s="4"/>
      <c r="H2489" s="4"/>
    </row>
    <row r="2490" spans="1:8" x14ac:dyDescent="0.3">
      <c r="A2490" s="1"/>
      <c r="G2490" s="4"/>
      <c r="H2490" s="4"/>
    </row>
    <row r="2491" spans="1:8" x14ac:dyDescent="0.3">
      <c r="A2491" s="1"/>
      <c r="G2491" s="4"/>
      <c r="H2491" s="4"/>
    </row>
    <row r="2492" spans="1:8" x14ac:dyDescent="0.3">
      <c r="A2492" s="1"/>
      <c r="G2492" s="4"/>
      <c r="H2492" s="4"/>
    </row>
    <row r="2493" spans="1:8" x14ac:dyDescent="0.3">
      <c r="A2493" s="1"/>
      <c r="G2493" s="4"/>
      <c r="H2493" s="4"/>
    </row>
    <row r="2494" spans="1:8" x14ac:dyDescent="0.3">
      <c r="A2494" s="1"/>
      <c r="G2494" s="4"/>
      <c r="H2494" s="4"/>
    </row>
    <row r="2495" spans="1:8" x14ac:dyDescent="0.3">
      <c r="A2495" s="1"/>
      <c r="G2495" s="4"/>
      <c r="H2495" s="4"/>
    </row>
    <row r="2496" spans="1:8" x14ac:dyDescent="0.3">
      <c r="A2496" s="1"/>
      <c r="G2496" s="4"/>
      <c r="H2496" s="4"/>
    </row>
    <row r="2497" spans="1:8" x14ac:dyDescent="0.3">
      <c r="A2497" s="1"/>
      <c r="G2497" s="4"/>
      <c r="H2497" s="4"/>
    </row>
    <row r="2498" spans="1:8" x14ac:dyDescent="0.3">
      <c r="A2498" s="1"/>
      <c r="G2498" s="4"/>
      <c r="H2498" s="4"/>
    </row>
    <row r="2499" spans="1:8" x14ac:dyDescent="0.3">
      <c r="A2499" s="1"/>
      <c r="G2499" s="4"/>
      <c r="H2499" s="4"/>
    </row>
    <row r="2500" spans="1:8" x14ac:dyDescent="0.3">
      <c r="A2500" s="1"/>
      <c r="G2500" s="4"/>
      <c r="H2500" s="4"/>
    </row>
    <row r="2501" spans="1:8" x14ac:dyDescent="0.3">
      <c r="A2501" s="1"/>
      <c r="G2501" s="4"/>
      <c r="H2501" s="4"/>
    </row>
    <row r="2502" spans="1:8" x14ac:dyDescent="0.3">
      <c r="A2502" s="1"/>
      <c r="G2502" s="4"/>
      <c r="H2502" s="4"/>
    </row>
    <row r="2503" spans="1:8" x14ac:dyDescent="0.3">
      <c r="A2503" s="1"/>
      <c r="G2503" s="4"/>
      <c r="H2503" s="4"/>
    </row>
    <row r="2504" spans="1:8" x14ac:dyDescent="0.3">
      <c r="A2504" s="1"/>
      <c r="G2504" s="4"/>
      <c r="H2504" s="4"/>
    </row>
    <row r="2505" spans="1:8" x14ac:dyDescent="0.3">
      <c r="A2505" s="1"/>
      <c r="G2505" s="4"/>
      <c r="H2505" s="4"/>
    </row>
    <row r="2506" spans="1:8" x14ac:dyDescent="0.3">
      <c r="A2506" s="1"/>
      <c r="G2506" s="4"/>
      <c r="H2506" s="4"/>
    </row>
    <row r="2507" spans="1:8" x14ac:dyDescent="0.3">
      <c r="A2507" s="1"/>
      <c r="G2507" s="4"/>
      <c r="H2507" s="4"/>
    </row>
    <row r="2508" spans="1:8" x14ac:dyDescent="0.3">
      <c r="A2508" s="1"/>
      <c r="G2508" s="4"/>
      <c r="H2508" s="4"/>
    </row>
    <row r="2509" spans="1:8" x14ac:dyDescent="0.3">
      <c r="A2509" s="1"/>
      <c r="G2509" s="4"/>
      <c r="H2509" s="4"/>
    </row>
    <row r="2510" spans="1:8" x14ac:dyDescent="0.3">
      <c r="A2510" s="1"/>
      <c r="G2510" s="4"/>
      <c r="H2510" s="4"/>
    </row>
    <row r="2511" spans="1:8" x14ac:dyDescent="0.3">
      <c r="A2511" s="1"/>
      <c r="G2511" s="4"/>
      <c r="H2511" s="4"/>
    </row>
    <row r="2512" spans="1:8" x14ac:dyDescent="0.3">
      <c r="A2512" s="1"/>
      <c r="G2512" s="4"/>
      <c r="H2512" s="4"/>
    </row>
    <row r="2513" spans="1:8" x14ac:dyDescent="0.3">
      <c r="A2513" s="1"/>
      <c r="G2513" s="4"/>
      <c r="H2513" s="4"/>
    </row>
    <row r="2514" spans="1:8" x14ac:dyDescent="0.3">
      <c r="A2514" s="1"/>
      <c r="G2514" s="4"/>
      <c r="H2514" s="4"/>
    </row>
    <row r="2515" spans="1:8" x14ac:dyDescent="0.3">
      <c r="A2515" s="1"/>
      <c r="G2515" s="4"/>
      <c r="H2515" s="4"/>
    </row>
    <row r="2516" spans="1:8" x14ac:dyDescent="0.3">
      <c r="A2516" s="1"/>
      <c r="G2516" s="4"/>
      <c r="H2516" s="4"/>
    </row>
    <row r="2517" spans="1:8" x14ac:dyDescent="0.3">
      <c r="A2517" s="1"/>
      <c r="G2517" s="4"/>
      <c r="H2517" s="4"/>
    </row>
    <row r="2518" spans="1:8" x14ac:dyDescent="0.3">
      <c r="A2518" s="1"/>
      <c r="G2518" s="4"/>
      <c r="H2518" s="4"/>
    </row>
    <row r="2519" spans="1:8" x14ac:dyDescent="0.3">
      <c r="A2519" s="1"/>
      <c r="G2519" s="4"/>
      <c r="H2519" s="4"/>
    </row>
    <row r="2520" spans="1:8" x14ac:dyDescent="0.3">
      <c r="A2520" s="1"/>
      <c r="G2520" s="4"/>
      <c r="H2520" s="4"/>
    </row>
    <row r="2521" spans="1:8" x14ac:dyDescent="0.3">
      <c r="A2521" s="1"/>
      <c r="G2521" s="4"/>
      <c r="H2521" s="4"/>
    </row>
    <row r="2522" spans="1:8" x14ac:dyDescent="0.3">
      <c r="A2522" s="1"/>
      <c r="G2522" s="4"/>
      <c r="H2522" s="4"/>
    </row>
    <row r="2523" spans="1:8" x14ac:dyDescent="0.3">
      <c r="A2523" s="1"/>
      <c r="G2523" s="4"/>
      <c r="H2523" s="4"/>
    </row>
    <row r="2524" spans="1:8" x14ac:dyDescent="0.3">
      <c r="A2524" s="1"/>
      <c r="G2524" s="4"/>
      <c r="H2524" s="4"/>
    </row>
    <row r="2525" spans="1:8" x14ac:dyDescent="0.3">
      <c r="A2525" s="1"/>
      <c r="G2525" s="4"/>
      <c r="H2525" s="4"/>
    </row>
    <row r="2526" spans="1:8" x14ac:dyDescent="0.3">
      <c r="A2526" s="1"/>
      <c r="G2526" s="4"/>
      <c r="H2526" s="4"/>
    </row>
    <row r="2527" spans="1:8" x14ac:dyDescent="0.3">
      <c r="A2527" s="1"/>
      <c r="G2527" s="4"/>
      <c r="H2527" s="4"/>
    </row>
    <row r="2528" spans="1:8" x14ac:dyDescent="0.3">
      <c r="A2528" s="1"/>
      <c r="G2528" s="4"/>
      <c r="H2528" s="4"/>
    </row>
    <row r="2529" spans="1:8" x14ac:dyDescent="0.3">
      <c r="A2529" s="1"/>
      <c r="G2529" s="4"/>
      <c r="H2529" s="4"/>
    </row>
    <row r="2530" spans="1:8" x14ac:dyDescent="0.3">
      <c r="A2530" s="1"/>
      <c r="G2530" s="4"/>
      <c r="H2530" s="4"/>
    </row>
    <row r="2531" spans="1:8" x14ac:dyDescent="0.3">
      <c r="A2531" s="1"/>
      <c r="G2531" s="4"/>
      <c r="H2531" s="4"/>
    </row>
    <row r="2532" spans="1:8" x14ac:dyDescent="0.3">
      <c r="A2532" s="1"/>
      <c r="G2532" s="4"/>
      <c r="H2532" s="4"/>
    </row>
    <row r="2533" spans="1:8" x14ac:dyDescent="0.3">
      <c r="A2533" s="1"/>
      <c r="G2533" s="4"/>
      <c r="H2533" s="4"/>
    </row>
    <row r="2534" spans="1:8" x14ac:dyDescent="0.3">
      <c r="A2534" s="1"/>
      <c r="G2534" s="4"/>
      <c r="H2534" s="4"/>
    </row>
    <row r="2535" spans="1:8" x14ac:dyDescent="0.3">
      <c r="A2535" s="1"/>
      <c r="G2535" s="4"/>
      <c r="H2535" s="4"/>
    </row>
    <row r="2536" spans="1:8" x14ac:dyDescent="0.3">
      <c r="A2536" s="1"/>
      <c r="G2536" s="4"/>
      <c r="H2536" s="4"/>
    </row>
    <row r="2537" spans="1:8" x14ac:dyDescent="0.3">
      <c r="A2537" s="1"/>
      <c r="G2537" s="4"/>
      <c r="H2537" s="4"/>
    </row>
    <row r="2538" spans="1:8" x14ac:dyDescent="0.3">
      <c r="A2538" s="1"/>
      <c r="G2538" s="4"/>
      <c r="H2538" s="4"/>
    </row>
    <row r="2539" spans="1:8" x14ac:dyDescent="0.3">
      <c r="A2539" s="1"/>
      <c r="G2539" s="4"/>
      <c r="H2539" s="4"/>
    </row>
    <row r="2540" spans="1:8" x14ac:dyDescent="0.3">
      <c r="A2540" s="1"/>
      <c r="G2540" s="4"/>
      <c r="H2540" s="4"/>
    </row>
    <row r="2541" spans="1:8" x14ac:dyDescent="0.3">
      <c r="A2541" s="1"/>
      <c r="G2541" s="4"/>
      <c r="H2541" s="4"/>
    </row>
    <row r="2542" spans="1:8" x14ac:dyDescent="0.3">
      <c r="A2542" s="1"/>
      <c r="G2542" s="4"/>
      <c r="H2542" s="4"/>
    </row>
    <row r="2543" spans="1:8" x14ac:dyDescent="0.3">
      <c r="A2543" s="1"/>
      <c r="G2543" s="4"/>
      <c r="H2543" s="4"/>
    </row>
    <row r="2544" spans="1:8" x14ac:dyDescent="0.3">
      <c r="A2544" s="1"/>
      <c r="G2544" s="4"/>
      <c r="H2544" s="4"/>
    </row>
    <row r="2545" spans="1:8" x14ac:dyDescent="0.3">
      <c r="A2545" s="1"/>
      <c r="G2545" s="4"/>
      <c r="H2545" s="4"/>
    </row>
    <row r="2546" spans="1:8" x14ac:dyDescent="0.3">
      <c r="A2546" s="1"/>
      <c r="G2546" s="4"/>
      <c r="H2546" s="4"/>
    </row>
    <row r="2547" spans="1:8" x14ac:dyDescent="0.3">
      <c r="A2547" s="1"/>
      <c r="G2547" s="4"/>
      <c r="H2547" s="4"/>
    </row>
    <row r="2548" spans="1:8" x14ac:dyDescent="0.3">
      <c r="A2548" s="1"/>
      <c r="G2548" s="4"/>
      <c r="H2548" s="4"/>
    </row>
    <row r="2549" spans="1:8" x14ac:dyDescent="0.3">
      <c r="A2549" s="1"/>
      <c r="G2549" s="4"/>
      <c r="H2549" s="4"/>
    </row>
    <row r="2550" spans="1:8" x14ac:dyDescent="0.3">
      <c r="A2550" s="1"/>
      <c r="G2550" s="4"/>
      <c r="H2550" s="4"/>
    </row>
    <row r="2551" spans="1:8" x14ac:dyDescent="0.3">
      <c r="A2551" s="1"/>
      <c r="G2551" s="4"/>
      <c r="H2551" s="4"/>
    </row>
    <row r="2552" spans="1:8" x14ac:dyDescent="0.3">
      <c r="A2552" s="1"/>
      <c r="G2552" s="4"/>
      <c r="H2552" s="4"/>
    </row>
    <row r="2553" spans="1:8" x14ac:dyDescent="0.3">
      <c r="A2553" s="1"/>
      <c r="G2553" s="4"/>
      <c r="H2553" s="4"/>
    </row>
    <row r="2554" spans="1:8" x14ac:dyDescent="0.3">
      <c r="A2554" s="1"/>
      <c r="G2554" s="4"/>
      <c r="H2554" s="4"/>
    </row>
    <row r="2555" spans="1:8" x14ac:dyDescent="0.3">
      <c r="A2555" s="1"/>
      <c r="G2555" s="4"/>
      <c r="H2555" s="4"/>
    </row>
    <row r="2556" spans="1:8" x14ac:dyDescent="0.3">
      <c r="A2556" s="1"/>
      <c r="G2556" s="4"/>
      <c r="H2556" s="4"/>
    </row>
    <row r="2557" spans="1:8" x14ac:dyDescent="0.3">
      <c r="A2557" s="1"/>
      <c r="G2557" s="4"/>
      <c r="H2557" s="4"/>
    </row>
    <row r="2558" spans="1:8" x14ac:dyDescent="0.3">
      <c r="A2558" s="1"/>
      <c r="G2558" s="4"/>
      <c r="H2558" s="4"/>
    </row>
    <row r="2559" spans="1:8" x14ac:dyDescent="0.3">
      <c r="A2559" s="1"/>
      <c r="G2559" s="4"/>
      <c r="H2559" s="4"/>
    </row>
    <row r="2560" spans="1:8" x14ac:dyDescent="0.3">
      <c r="A2560" s="1"/>
      <c r="G2560" s="4"/>
      <c r="H2560" s="4"/>
    </row>
    <row r="2561" spans="1:8" x14ac:dyDescent="0.3">
      <c r="A2561" s="1"/>
      <c r="G2561" s="4"/>
      <c r="H2561" s="4"/>
    </row>
    <row r="2562" spans="1:8" x14ac:dyDescent="0.3">
      <c r="A2562" s="1"/>
      <c r="G2562" s="4"/>
      <c r="H2562" s="4"/>
    </row>
    <row r="2563" spans="1:8" x14ac:dyDescent="0.3">
      <c r="A2563" s="1"/>
      <c r="G2563" s="4"/>
      <c r="H2563" s="4"/>
    </row>
    <row r="2564" spans="1:8" x14ac:dyDescent="0.3">
      <c r="A2564" s="1"/>
      <c r="G2564" s="4"/>
      <c r="H2564" s="4"/>
    </row>
    <row r="2565" spans="1:8" x14ac:dyDescent="0.3">
      <c r="A2565" s="1"/>
      <c r="G2565" s="4"/>
      <c r="H2565" s="4"/>
    </row>
    <row r="2566" spans="1:8" x14ac:dyDescent="0.3">
      <c r="A2566" s="1"/>
      <c r="G2566" s="4"/>
      <c r="H2566" s="4"/>
    </row>
    <row r="2567" spans="1:8" x14ac:dyDescent="0.3">
      <c r="A2567" s="1"/>
      <c r="G2567" s="4"/>
      <c r="H2567" s="4"/>
    </row>
    <row r="2568" spans="1:8" x14ac:dyDescent="0.3">
      <c r="A2568" s="1"/>
      <c r="G2568" s="4"/>
      <c r="H2568" s="4"/>
    </row>
    <row r="2569" spans="1:8" x14ac:dyDescent="0.3">
      <c r="A2569" s="1"/>
      <c r="G2569" s="4"/>
      <c r="H2569" s="4"/>
    </row>
    <row r="2570" spans="1:8" x14ac:dyDescent="0.3">
      <c r="A2570" s="1"/>
      <c r="G2570" s="4"/>
      <c r="H2570" s="4"/>
    </row>
    <row r="2571" spans="1:8" x14ac:dyDescent="0.3">
      <c r="A2571" s="1"/>
      <c r="G2571" s="4"/>
      <c r="H2571" s="4"/>
    </row>
    <row r="2572" spans="1:8" x14ac:dyDescent="0.3">
      <c r="A2572" s="1"/>
      <c r="G2572" s="4"/>
      <c r="H2572" s="4"/>
    </row>
    <row r="2573" spans="1:8" x14ac:dyDescent="0.3">
      <c r="A2573" s="1"/>
      <c r="G2573" s="4"/>
      <c r="H2573" s="4"/>
    </row>
    <row r="2574" spans="1:8" x14ac:dyDescent="0.3">
      <c r="A2574" s="1"/>
      <c r="G2574" s="4"/>
      <c r="H2574" s="4"/>
    </row>
    <row r="2575" spans="1:8" x14ac:dyDescent="0.3">
      <c r="A2575" s="1"/>
      <c r="G2575" s="4"/>
      <c r="H2575" s="4"/>
    </row>
    <row r="2576" spans="1:8" x14ac:dyDescent="0.3">
      <c r="A2576" s="1"/>
      <c r="G2576" s="4"/>
      <c r="H2576" s="4"/>
    </row>
    <row r="2577" spans="1:8" x14ac:dyDescent="0.3">
      <c r="A2577" s="1"/>
      <c r="G2577" s="4"/>
      <c r="H2577" s="4"/>
    </row>
    <row r="2578" spans="1:8" x14ac:dyDescent="0.3">
      <c r="A2578" s="1"/>
      <c r="G2578" s="4"/>
      <c r="H2578" s="4"/>
    </row>
    <row r="2579" spans="1:8" x14ac:dyDescent="0.3">
      <c r="A2579" s="1"/>
      <c r="G2579" s="4"/>
      <c r="H2579" s="4"/>
    </row>
    <row r="2580" spans="1:8" x14ac:dyDescent="0.3">
      <c r="A2580" s="1"/>
      <c r="G2580" s="4"/>
      <c r="H2580" s="4"/>
    </row>
    <row r="2581" spans="1:8" x14ac:dyDescent="0.3">
      <c r="A2581" s="1"/>
      <c r="G2581" s="4"/>
      <c r="H2581" s="4"/>
    </row>
    <row r="2582" spans="1:8" x14ac:dyDescent="0.3">
      <c r="A2582" s="1"/>
      <c r="G2582" s="4"/>
      <c r="H2582" s="4"/>
    </row>
    <row r="2583" spans="1:8" x14ac:dyDescent="0.3">
      <c r="A2583" s="1"/>
      <c r="G2583" s="4"/>
      <c r="H2583" s="4"/>
    </row>
    <row r="2584" spans="1:8" x14ac:dyDescent="0.3">
      <c r="A2584" s="1"/>
      <c r="G2584" s="4"/>
      <c r="H2584" s="4"/>
    </row>
    <row r="2585" spans="1:8" x14ac:dyDescent="0.3">
      <c r="A2585" s="1"/>
      <c r="G2585" s="4"/>
      <c r="H2585" s="4"/>
    </row>
    <row r="2586" spans="1:8" x14ac:dyDescent="0.3">
      <c r="A2586" s="1"/>
      <c r="G2586" s="4"/>
      <c r="H2586" s="4"/>
    </row>
    <row r="2587" spans="1:8" x14ac:dyDescent="0.3">
      <c r="A2587" s="1"/>
      <c r="G2587" s="4"/>
      <c r="H2587" s="4"/>
    </row>
    <row r="2588" spans="1:8" x14ac:dyDescent="0.3">
      <c r="A2588" s="1"/>
      <c r="G2588" s="4"/>
      <c r="H2588" s="4"/>
    </row>
    <row r="2589" spans="1:8" x14ac:dyDescent="0.3">
      <c r="A2589" s="1"/>
      <c r="G2589" s="4"/>
      <c r="H2589" s="4"/>
    </row>
    <row r="2590" spans="1:8" x14ac:dyDescent="0.3">
      <c r="A2590" s="1"/>
      <c r="G2590" s="4"/>
      <c r="H2590" s="4"/>
    </row>
    <row r="2591" spans="1:8" x14ac:dyDescent="0.3">
      <c r="A2591" s="1"/>
      <c r="G2591" s="4"/>
      <c r="H2591" s="4"/>
    </row>
    <row r="2592" spans="1:8" x14ac:dyDescent="0.3">
      <c r="A2592" s="1"/>
      <c r="G2592" s="4"/>
      <c r="H2592" s="4"/>
    </row>
    <row r="2593" spans="1:8" x14ac:dyDescent="0.3">
      <c r="A2593" s="1"/>
      <c r="G2593" s="4"/>
      <c r="H2593" s="4"/>
    </row>
    <row r="2594" spans="1:8" x14ac:dyDescent="0.3">
      <c r="A2594" s="1"/>
      <c r="G2594" s="4"/>
      <c r="H2594" s="4"/>
    </row>
    <row r="2595" spans="1:8" x14ac:dyDescent="0.3">
      <c r="A2595" s="1"/>
      <c r="G2595" s="4"/>
      <c r="H2595" s="4"/>
    </row>
    <row r="2596" spans="1:8" x14ac:dyDescent="0.3">
      <c r="A2596" s="1"/>
      <c r="G2596" s="4"/>
      <c r="H2596" s="4"/>
    </row>
    <row r="2597" spans="1:8" x14ac:dyDescent="0.3">
      <c r="A2597" s="1"/>
      <c r="G2597" s="4"/>
      <c r="H2597" s="4"/>
    </row>
    <row r="2598" spans="1:8" x14ac:dyDescent="0.3">
      <c r="A2598" s="1"/>
      <c r="G2598" s="4"/>
      <c r="H2598" s="4"/>
    </row>
    <row r="2599" spans="1:8" x14ac:dyDescent="0.3">
      <c r="A2599" s="1"/>
      <c r="G2599" s="4"/>
      <c r="H2599" s="4"/>
    </row>
    <row r="2600" spans="1:8" x14ac:dyDescent="0.3">
      <c r="A2600" s="1"/>
      <c r="G2600" s="4"/>
      <c r="H2600" s="4"/>
    </row>
    <row r="2601" spans="1:8" x14ac:dyDescent="0.3">
      <c r="A2601" s="1"/>
      <c r="G2601" s="4"/>
      <c r="H2601" s="4"/>
    </row>
    <row r="2602" spans="1:8" x14ac:dyDescent="0.3">
      <c r="A2602" s="1"/>
      <c r="G2602" s="4"/>
      <c r="H2602" s="4"/>
    </row>
    <row r="2603" spans="1:8" x14ac:dyDescent="0.3">
      <c r="A2603" s="1"/>
      <c r="G2603" s="4"/>
      <c r="H2603" s="4"/>
    </row>
    <row r="2604" spans="1:8" x14ac:dyDescent="0.3">
      <c r="A2604" s="1"/>
      <c r="G2604" s="4"/>
      <c r="H2604" s="4"/>
    </row>
    <row r="2605" spans="1:8" x14ac:dyDescent="0.3">
      <c r="A2605" s="1"/>
      <c r="G2605" s="4"/>
      <c r="H2605" s="4"/>
    </row>
    <row r="2606" spans="1:8" x14ac:dyDescent="0.3">
      <c r="A2606" s="1"/>
      <c r="G2606" s="4"/>
      <c r="H2606" s="4"/>
    </row>
    <row r="2607" spans="1:8" x14ac:dyDescent="0.3">
      <c r="A2607" s="1"/>
      <c r="G2607" s="4"/>
      <c r="H2607" s="4"/>
    </row>
    <row r="2608" spans="1:8" x14ac:dyDescent="0.3">
      <c r="A2608" s="1"/>
      <c r="G2608" s="4"/>
      <c r="H2608" s="4"/>
    </row>
    <row r="2609" spans="1:8" x14ac:dyDescent="0.3">
      <c r="A2609" s="1"/>
      <c r="G2609" s="4"/>
      <c r="H2609" s="4"/>
    </row>
    <row r="2610" spans="1:8" x14ac:dyDescent="0.3">
      <c r="A2610" s="1"/>
      <c r="G2610" s="4"/>
      <c r="H2610" s="4"/>
    </row>
    <row r="2611" spans="1:8" x14ac:dyDescent="0.3">
      <c r="A2611" s="1"/>
      <c r="G2611" s="4"/>
      <c r="H2611" s="4"/>
    </row>
    <row r="2612" spans="1:8" x14ac:dyDescent="0.3">
      <c r="A2612" s="1"/>
      <c r="G2612" s="4"/>
      <c r="H2612" s="4"/>
    </row>
    <row r="2613" spans="1:8" x14ac:dyDescent="0.3">
      <c r="A2613" s="1"/>
      <c r="G2613" s="4"/>
      <c r="H2613" s="4"/>
    </row>
    <row r="2614" spans="1:8" x14ac:dyDescent="0.3">
      <c r="A2614" s="1"/>
      <c r="G2614" s="4"/>
      <c r="H2614" s="4"/>
    </row>
    <row r="2615" spans="1:8" x14ac:dyDescent="0.3">
      <c r="A2615" s="1"/>
      <c r="G2615" s="4"/>
      <c r="H2615" s="4"/>
    </row>
    <row r="2616" spans="1:8" x14ac:dyDescent="0.3">
      <c r="A2616" s="1"/>
      <c r="G2616" s="4"/>
      <c r="H2616" s="4"/>
    </row>
    <row r="2617" spans="1:8" x14ac:dyDescent="0.3">
      <c r="A2617" s="1"/>
      <c r="G2617" s="4"/>
      <c r="H2617" s="4"/>
    </row>
    <row r="2618" spans="1:8" x14ac:dyDescent="0.3">
      <c r="A2618" s="1"/>
      <c r="G2618" s="4"/>
      <c r="H2618" s="4"/>
    </row>
    <row r="2619" spans="1:8" x14ac:dyDescent="0.3">
      <c r="A2619" s="1"/>
      <c r="G2619" s="4"/>
      <c r="H2619" s="4"/>
    </row>
    <row r="2620" spans="1:8" x14ac:dyDescent="0.3">
      <c r="A2620" s="1"/>
      <c r="G2620" s="4"/>
      <c r="H2620" s="4"/>
    </row>
    <row r="2621" spans="1:8" x14ac:dyDescent="0.3">
      <c r="A2621" s="1"/>
      <c r="G2621" s="4"/>
      <c r="H2621" s="4"/>
    </row>
    <row r="2622" spans="1:8" x14ac:dyDescent="0.3">
      <c r="A2622" s="1"/>
      <c r="G2622" s="4"/>
      <c r="H2622" s="4"/>
    </row>
    <row r="2623" spans="1:8" x14ac:dyDescent="0.3">
      <c r="A2623" s="1"/>
      <c r="G2623" s="4"/>
      <c r="H2623" s="4"/>
    </row>
    <row r="2624" spans="1:8" x14ac:dyDescent="0.3">
      <c r="A2624" s="1"/>
      <c r="G2624" s="4"/>
      <c r="H2624" s="4"/>
    </row>
    <row r="2625" spans="1:8" x14ac:dyDescent="0.3">
      <c r="A2625" s="1"/>
      <c r="G2625" s="4"/>
      <c r="H2625" s="4"/>
    </row>
    <row r="2626" spans="1:8" x14ac:dyDescent="0.3">
      <c r="A2626" s="1"/>
      <c r="G2626" s="4"/>
      <c r="H2626" s="4"/>
    </row>
    <row r="2627" spans="1:8" x14ac:dyDescent="0.3">
      <c r="A2627" s="1"/>
      <c r="G2627" s="4"/>
      <c r="H2627" s="4"/>
    </row>
    <row r="2628" spans="1:8" x14ac:dyDescent="0.3">
      <c r="A2628" s="1"/>
      <c r="G2628" s="4"/>
      <c r="H2628" s="4"/>
    </row>
    <row r="2629" spans="1:8" x14ac:dyDescent="0.3">
      <c r="A2629" s="1"/>
      <c r="G2629" s="4"/>
      <c r="H2629" s="4"/>
    </row>
    <row r="2630" spans="1:8" x14ac:dyDescent="0.3">
      <c r="A2630" s="1"/>
      <c r="G2630" s="4"/>
      <c r="H2630" s="4"/>
    </row>
    <row r="2631" spans="1:8" x14ac:dyDescent="0.3">
      <c r="A2631" s="1"/>
      <c r="G2631" s="4"/>
      <c r="H2631" s="4"/>
    </row>
    <row r="2632" spans="1:8" x14ac:dyDescent="0.3">
      <c r="A2632" s="1"/>
      <c r="G2632" s="4"/>
      <c r="H2632" s="4"/>
    </row>
    <row r="2633" spans="1:8" x14ac:dyDescent="0.3">
      <c r="A2633" s="1"/>
      <c r="G2633" s="4"/>
      <c r="H2633" s="4"/>
    </row>
    <row r="2634" spans="1:8" x14ac:dyDescent="0.3">
      <c r="A2634" s="1"/>
      <c r="G2634" s="4"/>
      <c r="H2634" s="4"/>
    </row>
    <row r="2635" spans="1:8" x14ac:dyDescent="0.3">
      <c r="A2635" s="1"/>
      <c r="G2635" s="4"/>
      <c r="H2635" s="4"/>
    </row>
    <row r="2636" spans="1:8" x14ac:dyDescent="0.3">
      <c r="A2636" s="1"/>
      <c r="G2636" s="4"/>
      <c r="H2636" s="4"/>
    </row>
    <row r="2637" spans="1:8" x14ac:dyDescent="0.3">
      <c r="A2637" s="1"/>
      <c r="G2637" s="4"/>
      <c r="H2637" s="4"/>
    </row>
    <row r="2638" spans="1:8" x14ac:dyDescent="0.3">
      <c r="A2638" s="1"/>
      <c r="G2638" s="4"/>
      <c r="H2638" s="4"/>
    </row>
    <row r="2639" spans="1:8" x14ac:dyDescent="0.3">
      <c r="A2639" s="1"/>
      <c r="G2639" s="4"/>
      <c r="H2639" s="4"/>
    </row>
    <row r="2640" spans="1:8" x14ac:dyDescent="0.3">
      <c r="A2640" s="1"/>
      <c r="G2640" s="4"/>
      <c r="H2640" s="4"/>
    </row>
    <row r="2641" spans="1:8" x14ac:dyDescent="0.3">
      <c r="A2641" s="1"/>
      <c r="G2641" s="4"/>
      <c r="H2641" s="4"/>
    </row>
    <row r="2642" spans="1:8" x14ac:dyDescent="0.3">
      <c r="A2642" s="1"/>
      <c r="G2642" s="4"/>
      <c r="H2642" s="4"/>
    </row>
    <row r="2643" spans="1:8" x14ac:dyDescent="0.3">
      <c r="A2643" s="1"/>
      <c r="G2643" s="4"/>
      <c r="H2643" s="4"/>
    </row>
    <row r="2644" spans="1:8" x14ac:dyDescent="0.3">
      <c r="A2644" s="1"/>
      <c r="G2644" s="4"/>
      <c r="H2644" s="4"/>
    </row>
    <row r="2645" spans="1:8" x14ac:dyDescent="0.3">
      <c r="A2645" s="1"/>
      <c r="G2645" s="4"/>
      <c r="H2645" s="4"/>
    </row>
    <row r="2646" spans="1:8" x14ac:dyDescent="0.3">
      <c r="A2646" s="1"/>
      <c r="G2646" s="4"/>
      <c r="H2646" s="4"/>
    </row>
    <row r="2647" spans="1:8" x14ac:dyDescent="0.3">
      <c r="A2647" s="1"/>
      <c r="G2647" s="4"/>
      <c r="H2647" s="4"/>
    </row>
    <row r="2648" spans="1:8" x14ac:dyDescent="0.3">
      <c r="A2648" s="1"/>
      <c r="G2648" s="4"/>
      <c r="H2648" s="4"/>
    </row>
    <row r="2649" spans="1:8" x14ac:dyDescent="0.3">
      <c r="A2649" s="1"/>
      <c r="G2649" s="4"/>
      <c r="H2649" s="4"/>
    </row>
    <row r="2650" spans="1:8" x14ac:dyDescent="0.3">
      <c r="A2650" s="1"/>
      <c r="G2650" s="4"/>
      <c r="H2650" s="4"/>
    </row>
    <row r="2651" spans="1:8" x14ac:dyDescent="0.3">
      <c r="A2651" s="1"/>
      <c r="G2651" s="4"/>
      <c r="H2651" s="4"/>
    </row>
    <row r="2652" spans="1:8" x14ac:dyDescent="0.3">
      <c r="A2652" s="1"/>
      <c r="G2652" s="4"/>
      <c r="H2652" s="4"/>
    </row>
    <row r="2653" spans="1:8" x14ac:dyDescent="0.3">
      <c r="A2653" s="1"/>
      <c r="G2653" s="4"/>
      <c r="H2653" s="4"/>
    </row>
    <row r="2654" spans="1:8" x14ac:dyDescent="0.3">
      <c r="A2654" s="1"/>
      <c r="G2654" s="4"/>
      <c r="H2654" s="4"/>
    </row>
    <row r="2655" spans="1:8" x14ac:dyDescent="0.3">
      <c r="A2655" s="1"/>
      <c r="G2655" s="4"/>
      <c r="H2655" s="4"/>
    </row>
    <row r="2656" spans="1:8" x14ac:dyDescent="0.3">
      <c r="A2656" s="1"/>
      <c r="G2656" s="4"/>
      <c r="H2656" s="4"/>
    </row>
    <row r="2657" spans="1:8" x14ac:dyDescent="0.3">
      <c r="A2657" s="1"/>
      <c r="G2657" s="4"/>
      <c r="H2657" s="4"/>
    </row>
    <row r="2658" spans="1:8" x14ac:dyDescent="0.3">
      <c r="A2658" s="1"/>
      <c r="G2658" s="4"/>
      <c r="H2658" s="4"/>
    </row>
    <row r="2659" spans="1:8" x14ac:dyDescent="0.3">
      <c r="A2659" s="1"/>
      <c r="G2659" s="4"/>
      <c r="H2659" s="4"/>
    </row>
    <row r="2660" spans="1:8" x14ac:dyDescent="0.3">
      <c r="A2660" s="1"/>
      <c r="G2660" s="4"/>
      <c r="H2660" s="4"/>
    </row>
    <row r="2661" spans="1:8" x14ac:dyDescent="0.3">
      <c r="A2661" s="1"/>
      <c r="G2661" s="4"/>
      <c r="H2661" s="4"/>
    </row>
    <row r="2662" spans="1:8" x14ac:dyDescent="0.3">
      <c r="A2662" s="1"/>
      <c r="G2662" s="4"/>
      <c r="H2662" s="4"/>
    </row>
    <row r="2663" spans="1:8" x14ac:dyDescent="0.3">
      <c r="A2663" s="1"/>
      <c r="G2663" s="4"/>
      <c r="H2663" s="4"/>
    </row>
    <row r="2664" spans="1:8" x14ac:dyDescent="0.3">
      <c r="A2664" s="1"/>
      <c r="G2664" s="4"/>
      <c r="H2664" s="4"/>
    </row>
    <row r="2665" spans="1:8" x14ac:dyDescent="0.3">
      <c r="A2665" s="1"/>
      <c r="G2665" s="4"/>
      <c r="H2665" s="4"/>
    </row>
    <row r="2666" spans="1:8" x14ac:dyDescent="0.3">
      <c r="A2666" s="1"/>
      <c r="G2666" s="4"/>
      <c r="H2666" s="4"/>
    </row>
    <row r="2667" spans="1:8" x14ac:dyDescent="0.3">
      <c r="A2667" s="1"/>
      <c r="G2667" s="4"/>
      <c r="H2667" s="4"/>
    </row>
    <row r="2668" spans="1:8" x14ac:dyDescent="0.3">
      <c r="A2668" s="1"/>
      <c r="G2668" s="4"/>
      <c r="H2668" s="4"/>
    </row>
    <row r="2669" spans="1:8" x14ac:dyDescent="0.3">
      <c r="A2669" s="1"/>
      <c r="G2669" s="4"/>
      <c r="H2669" s="4"/>
    </row>
    <row r="2670" spans="1:8" x14ac:dyDescent="0.3">
      <c r="A2670" s="1"/>
      <c r="G2670" s="4"/>
      <c r="H2670" s="4"/>
    </row>
    <row r="2671" spans="1:8" x14ac:dyDescent="0.3">
      <c r="A2671" s="1"/>
      <c r="G2671" s="4"/>
      <c r="H2671" s="4"/>
    </row>
    <row r="2672" spans="1:8" x14ac:dyDescent="0.3">
      <c r="A2672" s="1"/>
      <c r="G2672" s="4"/>
      <c r="H2672" s="4"/>
    </row>
    <row r="2673" spans="1:8" x14ac:dyDescent="0.3">
      <c r="A2673" s="1"/>
      <c r="G2673" s="4"/>
      <c r="H2673" s="4"/>
    </row>
    <row r="2674" spans="1:8" x14ac:dyDescent="0.3">
      <c r="A2674" s="1"/>
      <c r="G2674" s="4"/>
      <c r="H2674" s="4"/>
    </row>
    <row r="2675" spans="1:8" x14ac:dyDescent="0.3">
      <c r="A2675" s="1"/>
      <c r="G2675" s="4"/>
      <c r="H2675" s="4"/>
    </row>
    <row r="2676" spans="1:8" x14ac:dyDescent="0.3">
      <c r="A2676" s="1"/>
      <c r="G2676" s="4"/>
      <c r="H2676" s="4"/>
    </row>
    <row r="2677" spans="1:8" x14ac:dyDescent="0.3">
      <c r="A2677" s="1"/>
      <c r="G2677" s="4"/>
      <c r="H2677" s="4"/>
    </row>
    <row r="2678" spans="1:8" x14ac:dyDescent="0.3">
      <c r="A2678" s="1"/>
      <c r="G2678" s="4"/>
      <c r="H2678" s="4"/>
    </row>
    <row r="2679" spans="1:8" x14ac:dyDescent="0.3">
      <c r="A2679" s="1"/>
      <c r="G2679" s="4"/>
      <c r="H2679" s="4"/>
    </row>
    <row r="2680" spans="1:8" x14ac:dyDescent="0.3">
      <c r="A2680" s="1"/>
      <c r="G2680" s="4"/>
      <c r="H2680" s="4"/>
    </row>
    <row r="2681" spans="1:8" x14ac:dyDescent="0.3">
      <c r="A2681" s="1"/>
      <c r="G2681" s="4"/>
      <c r="H2681" s="4"/>
    </row>
    <row r="2682" spans="1:8" x14ac:dyDescent="0.3">
      <c r="A2682" s="1"/>
      <c r="G2682" s="4"/>
      <c r="H2682" s="4"/>
    </row>
    <row r="2683" spans="1:8" x14ac:dyDescent="0.3">
      <c r="A2683" s="1"/>
      <c r="G2683" s="4"/>
      <c r="H2683" s="4"/>
    </row>
    <row r="2684" spans="1:8" x14ac:dyDescent="0.3">
      <c r="A2684" s="1"/>
      <c r="G2684" s="4"/>
      <c r="H2684" s="4"/>
    </row>
    <row r="2685" spans="1:8" x14ac:dyDescent="0.3">
      <c r="A2685" s="1"/>
      <c r="G2685" s="4"/>
      <c r="H2685" s="4"/>
    </row>
    <row r="2686" spans="1:8" x14ac:dyDescent="0.3">
      <c r="A2686" s="1"/>
      <c r="G2686" s="4"/>
      <c r="H2686" s="4"/>
    </row>
    <row r="2687" spans="1:8" x14ac:dyDescent="0.3">
      <c r="A2687" s="1"/>
      <c r="G2687" s="4"/>
      <c r="H2687" s="4"/>
    </row>
    <row r="2688" spans="1:8" x14ac:dyDescent="0.3">
      <c r="A2688" s="1"/>
      <c r="G2688" s="4"/>
      <c r="H2688" s="4"/>
    </row>
    <row r="2689" spans="1:8" x14ac:dyDescent="0.3">
      <c r="A2689" s="1"/>
      <c r="G2689" s="4"/>
      <c r="H2689" s="4"/>
    </row>
    <row r="2690" spans="1:8" x14ac:dyDescent="0.3">
      <c r="A2690" s="1"/>
      <c r="G2690" s="4"/>
      <c r="H2690" s="4"/>
    </row>
    <row r="2691" spans="1:8" x14ac:dyDescent="0.3">
      <c r="A2691" s="1"/>
      <c r="G2691" s="4"/>
      <c r="H2691" s="4"/>
    </row>
    <row r="2692" spans="1:8" x14ac:dyDescent="0.3">
      <c r="A2692" s="1"/>
      <c r="G2692" s="4"/>
      <c r="H2692" s="4"/>
    </row>
    <row r="2693" spans="1:8" x14ac:dyDescent="0.3">
      <c r="A2693" s="1"/>
      <c r="G2693" s="4"/>
      <c r="H2693" s="4"/>
    </row>
    <row r="2694" spans="1:8" x14ac:dyDescent="0.3">
      <c r="A2694" s="1"/>
      <c r="G2694" s="4"/>
      <c r="H2694" s="4"/>
    </row>
    <row r="2695" spans="1:8" x14ac:dyDescent="0.3">
      <c r="A2695" s="1"/>
      <c r="G2695" s="4"/>
      <c r="H2695" s="4"/>
    </row>
    <row r="2696" spans="1:8" x14ac:dyDescent="0.3">
      <c r="A2696" s="1"/>
      <c r="G2696" s="4"/>
      <c r="H2696" s="4"/>
    </row>
    <row r="2697" spans="1:8" x14ac:dyDescent="0.3">
      <c r="A2697" s="1"/>
      <c r="G2697" s="4"/>
      <c r="H2697" s="4"/>
    </row>
    <row r="2698" spans="1:8" x14ac:dyDescent="0.3">
      <c r="A2698" s="1"/>
      <c r="G2698" s="4"/>
      <c r="H2698" s="4"/>
    </row>
    <row r="2699" spans="1:8" x14ac:dyDescent="0.3">
      <c r="A2699" s="1"/>
      <c r="G2699" s="4"/>
      <c r="H2699" s="4"/>
    </row>
    <row r="2700" spans="1:8" x14ac:dyDescent="0.3">
      <c r="A2700" s="1"/>
      <c r="G2700" s="4"/>
      <c r="H2700" s="4"/>
    </row>
    <row r="2701" spans="1:8" x14ac:dyDescent="0.3">
      <c r="A2701" s="1"/>
      <c r="G2701" s="4"/>
      <c r="H2701" s="4"/>
    </row>
    <row r="2702" spans="1:8" x14ac:dyDescent="0.3">
      <c r="A2702" s="1"/>
      <c r="G2702" s="4"/>
      <c r="H2702" s="4"/>
    </row>
    <row r="2703" spans="1:8" x14ac:dyDescent="0.3">
      <c r="A2703" s="1"/>
      <c r="G2703" s="4"/>
      <c r="H2703" s="4"/>
    </row>
    <row r="2704" spans="1:8" x14ac:dyDescent="0.3">
      <c r="A2704" s="1"/>
      <c r="G2704" s="4"/>
      <c r="H2704" s="4"/>
    </row>
    <row r="2705" spans="1:8" x14ac:dyDescent="0.3">
      <c r="A2705" s="1"/>
      <c r="G2705" s="4"/>
      <c r="H2705" s="4"/>
    </row>
    <row r="2706" spans="1:8" x14ac:dyDescent="0.3">
      <c r="A2706" s="1"/>
      <c r="G2706" s="4"/>
      <c r="H2706" s="4"/>
    </row>
    <row r="2707" spans="1:8" x14ac:dyDescent="0.3">
      <c r="A2707" s="1"/>
      <c r="G2707" s="4"/>
      <c r="H2707" s="4"/>
    </row>
    <row r="2708" spans="1:8" x14ac:dyDescent="0.3">
      <c r="A2708" s="1"/>
      <c r="G2708" s="4"/>
      <c r="H2708" s="4"/>
    </row>
    <row r="2709" spans="1:8" x14ac:dyDescent="0.3">
      <c r="A2709" s="1"/>
      <c r="G2709" s="4"/>
      <c r="H2709" s="4"/>
    </row>
    <row r="2710" spans="1:8" x14ac:dyDescent="0.3">
      <c r="A2710" s="1"/>
      <c r="G2710" s="4"/>
      <c r="H2710" s="4"/>
    </row>
    <row r="2711" spans="1:8" x14ac:dyDescent="0.3">
      <c r="A2711" s="1"/>
      <c r="G2711" s="4"/>
      <c r="H2711" s="4"/>
    </row>
    <row r="2712" spans="1:8" x14ac:dyDescent="0.3">
      <c r="A2712" s="1"/>
      <c r="G2712" s="4"/>
      <c r="H2712" s="4"/>
    </row>
    <row r="2713" spans="1:8" x14ac:dyDescent="0.3">
      <c r="A2713" s="1"/>
      <c r="G2713" s="4"/>
      <c r="H2713" s="4"/>
    </row>
    <row r="2714" spans="1:8" x14ac:dyDescent="0.3">
      <c r="A2714" s="1"/>
      <c r="G2714" s="4"/>
      <c r="H2714" s="4"/>
    </row>
    <row r="2715" spans="1:8" x14ac:dyDescent="0.3">
      <c r="A2715" s="1"/>
      <c r="G2715" s="4"/>
      <c r="H2715" s="4"/>
    </row>
    <row r="2716" spans="1:8" x14ac:dyDescent="0.3">
      <c r="A2716" s="1"/>
      <c r="G2716" s="4"/>
      <c r="H2716" s="4"/>
    </row>
    <row r="2717" spans="1:8" x14ac:dyDescent="0.3">
      <c r="A2717" s="1"/>
      <c r="G2717" s="4"/>
      <c r="H2717" s="4"/>
    </row>
    <row r="2718" spans="1:8" x14ac:dyDescent="0.3">
      <c r="A2718" s="1"/>
      <c r="G2718" s="4"/>
      <c r="H2718" s="4"/>
    </row>
    <row r="2719" spans="1:8" x14ac:dyDescent="0.3">
      <c r="A2719" s="1"/>
      <c r="G2719" s="4"/>
      <c r="H2719" s="4"/>
    </row>
    <row r="2720" spans="1:8" x14ac:dyDescent="0.3">
      <c r="A2720" s="1"/>
      <c r="G2720" s="4"/>
      <c r="H2720" s="4"/>
    </row>
    <row r="2721" spans="1:8" x14ac:dyDescent="0.3">
      <c r="A2721" s="1"/>
      <c r="G2721" s="4"/>
      <c r="H2721" s="4"/>
    </row>
    <row r="2722" spans="1:8" x14ac:dyDescent="0.3">
      <c r="A2722" s="1"/>
      <c r="G2722" s="4"/>
      <c r="H2722" s="4"/>
    </row>
    <row r="2723" spans="1:8" x14ac:dyDescent="0.3">
      <c r="A2723" s="1"/>
      <c r="G2723" s="4"/>
      <c r="H2723" s="4"/>
    </row>
    <row r="2724" spans="1:8" x14ac:dyDescent="0.3">
      <c r="A2724" s="1"/>
      <c r="G2724" s="4"/>
      <c r="H2724" s="4"/>
    </row>
    <row r="2725" spans="1:8" x14ac:dyDescent="0.3">
      <c r="A2725" s="1"/>
      <c r="G2725" s="4"/>
      <c r="H2725" s="4"/>
    </row>
    <row r="2726" spans="1:8" x14ac:dyDescent="0.3">
      <c r="A2726" s="1"/>
      <c r="G2726" s="4"/>
      <c r="H2726" s="4"/>
    </row>
    <row r="2727" spans="1:8" x14ac:dyDescent="0.3">
      <c r="A2727" s="1"/>
      <c r="G2727" s="4"/>
      <c r="H2727" s="4"/>
    </row>
    <row r="2728" spans="1:8" x14ac:dyDescent="0.3">
      <c r="A2728" s="1"/>
      <c r="G2728" s="4"/>
      <c r="H2728" s="4"/>
    </row>
    <row r="2729" spans="1:8" x14ac:dyDescent="0.3">
      <c r="A2729" s="1"/>
      <c r="G2729" s="4"/>
      <c r="H2729" s="4"/>
    </row>
    <row r="2730" spans="1:8" x14ac:dyDescent="0.3">
      <c r="A2730" s="1"/>
      <c r="G2730" s="4"/>
      <c r="H2730" s="4"/>
    </row>
    <row r="2731" spans="1:8" x14ac:dyDescent="0.3">
      <c r="A2731" s="1"/>
      <c r="G2731" s="4"/>
      <c r="H2731" s="4"/>
    </row>
    <row r="2732" spans="1:8" x14ac:dyDescent="0.3">
      <c r="A2732" s="1"/>
      <c r="G2732" s="4"/>
      <c r="H2732" s="4"/>
    </row>
    <row r="2733" spans="1:8" x14ac:dyDescent="0.3">
      <c r="A2733" s="1"/>
      <c r="G2733" s="4"/>
      <c r="H2733" s="4"/>
    </row>
    <row r="2734" spans="1:8" x14ac:dyDescent="0.3">
      <c r="A2734" s="1"/>
      <c r="G2734" s="4"/>
      <c r="H2734" s="4"/>
    </row>
    <row r="2735" spans="1:8" x14ac:dyDescent="0.3">
      <c r="A2735" s="1"/>
      <c r="G2735" s="4"/>
      <c r="H2735" s="4"/>
    </row>
    <row r="2736" spans="1:8" x14ac:dyDescent="0.3">
      <c r="A2736" s="1"/>
      <c r="G2736" s="4"/>
      <c r="H2736" s="4"/>
    </row>
    <row r="2737" spans="1:8" x14ac:dyDescent="0.3">
      <c r="A2737" s="1"/>
      <c r="G2737" s="4"/>
      <c r="H2737" s="4"/>
    </row>
    <row r="2738" spans="1:8" x14ac:dyDescent="0.3">
      <c r="A2738" s="1"/>
      <c r="G2738" s="4"/>
      <c r="H2738" s="4"/>
    </row>
    <row r="2739" spans="1:8" x14ac:dyDescent="0.3">
      <c r="A2739" s="1"/>
      <c r="G2739" s="4"/>
      <c r="H2739" s="4"/>
    </row>
    <row r="2740" spans="1:8" x14ac:dyDescent="0.3">
      <c r="A2740" s="1"/>
      <c r="G2740" s="4"/>
      <c r="H2740" s="4"/>
    </row>
    <row r="2741" spans="1:8" x14ac:dyDescent="0.3">
      <c r="A2741" s="1"/>
      <c r="G2741" s="4"/>
      <c r="H2741" s="4"/>
    </row>
    <row r="2742" spans="1:8" x14ac:dyDescent="0.3">
      <c r="A2742" s="1"/>
      <c r="G2742" s="4"/>
      <c r="H2742" s="4"/>
    </row>
    <row r="2743" spans="1:8" x14ac:dyDescent="0.3">
      <c r="A2743" s="1"/>
      <c r="G2743" s="4"/>
      <c r="H2743" s="4"/>
    </row>
    <row r="2744" spans="1:8" x14ac:dyDescent="0.3">
      <c r="A2744" s="1"/>
      <c r="G2744" s="4"/>
      <c r="H2744" s="4"/>
    </row>
    <row r="2745" spans="1:8" x14ac:dyDescent="0.3">
      <c r="A2745" s="1"/>
      <c r="G2745" s="4"/>
      <c r="H2745" s="4"/>
    </row>
    <row r="2746" spans="1:8" x14ac:dyDescent="0.3">
      <c r="A2746" s="1"/>
      <c r="G2746" s="4"/>
      <c r="H2746" s="4"/>
    </row>
    <row r="2747" spans="1:8" x14ac:dyDescent="0.3">
      <c r="A2747" s="1"/>
      <c r="G2747" s="4"/>
      <c r="H2747" s="4"/>
    </row>
    <row r="2748" spans="1:8" x14ac:dyDescent="0.3">
      <c r="A2748" s="1"/>
      <c r="G2748" s="4"/>
      <c r="H2748" s="4"/>
    </row>
    <row r="2749" spans="1:8" x14ac:dyDescent="0.3">
      <c r="A2749" s="1"/>
      <c r="G2749" s="4"/>
      <c r="H2749" s="4"/>
    </row>
    <row r="2750" spans="1:8" x14ac:dyDescent="0.3">
      <c r="A2750" s="1"/>
      <c r="G2750" s="4"/>
      <c r="H2750" s="4"/>
    </row>
    <row r="2751" spans="1:8" x14ac:dyDescent="0.3">
      <c r="A2751" s="1"/>
      <c r="G2751" s="4"/>
      <c r="H2751" s="4"/>
    </row>
    <row r="2752" spans="1:8" x14ac:dyDescent="0.3">
      <c r="A2752" s="1"/>
      <c r="G2752" s="4"/>
      <c r="H2752" s="4"/>
    </row>
    <row r="2753" spans="1:8" x14ac:dyDescent="0.3">
      <c r="A2753" s="1"/>
      <c r="G2753" s="4"/>
      <c r="H2753" s="4"/>
    </row>
    <row r="2754" spans="1:8" x14ac:dyDescent="0.3">
      <c r="A2754" s="1"/>
      <c r="G2754" s="4"/>
      <c r="H2754" s="4"/>
    </row>
    <row r="2755" spans="1:8" x14ac:dyDescent="0.3">
      <c r="A2755" s="1"/>
      <c r="G2755" s="4"/>
      <c r="H2755" s="4"/>
    </row>
    <row r="2756" spans="1:8" x14ac:dyDescent="0.3">
      <c r="A2756" s="1"/>
      <c r="G2756" s="4"/>
      <c r="H2756" s="4"/>
    </row>
    <row r="2757" spans="1:8" x14ac:dyDescent="0.3">
      <c r="A2757" s="1"/>
      <c r="G2757" s="4"/>
      <c r="H2757" s="4"/>
    </row>
    <row r="2758" spans="1:8" x14ac:dyDescent="0.3">
      <c r="A2758" s="1"/>
      <c r="G2758" s="4"/>
      <c r="H2758" s="4"/>
    </row>
    <row r="2759" spans="1:8" x14ac:dyDescent="0.3">
      <c r="A2759" s="1"/>
      <c r="G2759" s="4"/>
      <c r="H2759" s="4"/>
    </row>
    <row r="2760" spans="1:8" x14ac:dyDescent="0.3">
      <c r="A2760" s="1"/>
      <c r="G2760" s="4"/>
      <c r="H2760" s="4"/>
    </row>
    <row r="2761" spans="1:8" x14ac:dyDescent="0.3">
      <c r="A2761" s="1"/>
      <c r="G2761" s="4"/>
      <c r="H2761" s="4"/>
    </row>
    <row r="2762" spans="1:8" x14ac:dyDescent="0.3">
      <c r="A2762" s="1"/>
      <c r="G2762" s="4"/>
      <c r="H2762" s="4"/>
    </row>
    <row r="2763" spans="1:8" x14ac:dyDescent="0.3">
      <c r="A2763" s="1"/>
      <c r="G2763" s="4"/>
      <c r="H2763" s="4"/>
    </row>
    <row r="2764" spans="1:8" x14ac:dyDescent="0.3">
      <c r="A2764" s="1"/>
      <c r="G2764" s="4"/>
      <c r="H2764" s="4"/>
    </row>
    <row r="2765" spans="1:8" x14ac:dyDescent="0.3">
      <c r="A2765" s="1"/>
      <c r="G2765" s="4"/>
      <c r="H2765" s="4"/>
    </row>
    <row r="2766" spans="1:8" x14ac:dyDescent="0.3">
      <c r="A2766" s="1"/>
      <c r="G2766" s="4"/>
      <c r="H2766" s="4"/>
    </row>
    <row r="2767" spans="1:8" x14ac:dyDescent="0.3">
      <c r="A2767" s="1"/>
      <c r="G2767" s="4"/>
      <c r="H2767" s="4"/>
    </row>
    <row r="2768" spans="1:8" x14ac:dyDescent="0.3">
      <c r="A2768" s="1"/>
      <c r="G2768" s="4"/>
      <c r="H2768" s="4"/>
    </row>
    <row r="2769" spans="1:8" x14ac:dyDescent="0.3">
      <c r="A2769" s="1"/>
      <c r="G2769" s="4"/>
      <c r="H2769" s="4"/>
    </row>
    <row r="2770" spans="1:8" x14ac:dyDescent="0.3">
      <c r="A2770" s="1"/>
      <c r="G2770" s="4"/>
      <c r="H2770" s="4"/>
    </row>
    <row r="2771" spans="1:8" x14ac:dyDescent="0.3">
      <c r="A2771" s="1"/>
      <c r="G2771" s="4"/>
      <c r="H2771" s="4"/>
    </row>
    <row r="2772" spans="1:8" x14ac:dyDescent="0.3">
      <c r="A2772" s="1"/>
      <c r="G2772" s="4"/>
      <c r="H2772" s="4"/>
    </row>
    <row r="2773" spans="1:8" x14ac:dyDescent="0.3">
      <c r="A2773" s="1"/>
      <c r="G2773" s="4"/>
      <c r="H2773" s="4"/>
    </row>
    <row r="2774" spans="1:8" x14ac:dyDescent="0.3">
      <c r="A2774" s="1"/>
      <c r="G2774" s="4"/>
      <c r="H2774" s="4"/>
    </row>
    <row r="2775" spans="1:8" x14ac:dyDescent="0.3">
      <c r="A2775" s="1"/>
      <c r="G2775" s="4"/>
      <c r="H2775" s="4"/>
    </row>
    <row r="2776" spans="1:8" x14ac:dyDescent="0.3">
      <c r="A2776" s="1"/>
      <c r="G2776" s="4"/>
      <c r="H2776" s="4"/>
    </row>
    <row r="2777" spans="1:8" x14ac:dyDescent="0.3">
      <c r="A2777" s="1"/>
      <c r="G2777" s="4"/>
      <c r="H2777" s="4"/>
    </row>
    <row r="2778" spans="1:8" x14ac:dyDescent="0.3">
      <c r="A2778" s="1"/>
      <c r="G2778" s="4"/>
      <c r="H2778" s="4"/>
    </row>
    <row r="2779" spans="1:8" x14ac:dyDescent="0.3">
      <c r="A2779" s="1"/>
      <c r="G2779" s="4"/>
      <c r="H2779" s="4"/>
    </row>
    <row r="2780" spans="1:8" x14ac:dyDescent="0.3">
      <c r="A2780" s="1"/>
      <c r="G2780" s="4"/>
      <c r="H2780" s="4"/>
    </row>
    <row r="2781" spans="1:8" x14ac:dyDescent="0.3">
      <c r="A2781" s="1"/>
      <c r="G2781" s="4"/>
      <c r="H2781" s="4"/>
    </row>
    <row r="2782" spans="1:8" x14ac:dyDescent="0.3">
      <c r="A2782" s="1"/>
      <c r="G2782" s="4"/>
      <c r="H2782" s="4"/>
    </row>
    <row r="2783" spans="1:8" x14ac:dyDescent="0.3">
      <c r="A2783" s="1"/>
      <c r="G2783" s="4"/>
      <c r="H2783" s="4"/>
    </row>
    <row r="2784" spans="1:8" x14ac:dyDescent="0.3">
      <c r="A2784" s="1"/>
      <c r="G2784" s="4"/>
      <c r="H2784" s="4"/>
    </row>
    <row r="2785" spans="1:8" x14ac:dyDescent="0.3">
      <c r="A2785" s="1"/>
      <c r="G2785" s="4"/>
      <c r="H2785" s="4"/>
    </row>
    <row r="2786" spans="1:8" x14ac:dyDescent="0.3">
      <c r="A2786" s="1"/>
      <c r="G2786" s="4"/>
      <c r="H2786" s="4"/>
    </row>
    <row r="2787" spans="1:8" x14ac:dyDescent="0.3">
      <c r="A2787" s="1"/>
      <c r="G2787" s="4"/>
      <c r="H2787" s="4"/>
    </row>
    <row r="2788" spans="1:8" x14ac:dyDescent="0.3">
      <c r="A2788" s="1"/>
      <c r="G2788" s="4"/>
      <c r="H2788" s="4"/>
    </row>
    <row r="2789" spans="1:8" x14ac:dyDescent="0.3">
      <c r="A2789" s="1"/>
      <c r="G2789" s="4"/>
      <c r="H2789" s="4"/>
    </row>
    <row r="2790" spans="1:8" x14ac:dyDescent="0.3">
      <c r="A2790" s="1"/>
      <c r="G2790" s="4"/>
      <c r="H2790" s="4"/>
    </row>
    <row r="2791" spans="1:8" x14ac:dyDescent="0.3">
      <c r="A2791" s="1"/>
      <c r="G2791" s="4"/>
      <c r="H2791" s="4"/>
    </row>
    <row r="2792" spans="1:8" x14ac:dyDescent="0.3">
      <c r="A2792" s="1"/>
      <c r="G2792" s="4"/>
      <c r="H2792" s="4"/>
    </row>
    <row r="2793" spans="1:8" x14ac:dyDescent="0.3">
      <c r="A2793" s="1"/>
      <c r="G2793" s="4"/>
      <c r="H2793" s="4"/>
    </row>
    <row r="2794" spans="1:8" x14ac:dyDescent="0.3">
      <c r="A2794" s="1"/>
      <c r="G2794" s="4"/>
      <c r="H2794" s="4"/>
    </row>
    <row r="2795" spans="1:8" x14ac:dyDescent="0.3">
      <c r="A2795" s="1"/>
      <c r="G2795" s="4"/>
      <c r="H2795" s="4"/>
    </row>
    <row r="2796" spans="1:8" x14ac:dyDescent="0.3">
      <c r="A2796" s="1"/>
      <c r="G2796" s="4"/>
      <c r="H2796" s="4"/>
    </row>
    <row r="2797" spans="1:8" x14ac:dyDescent="0.3">
      <c r="A2797" s="1"/>
      <c r="G2797" s="4"/>
      <c r="H2797" s="4"/>
    </row>
    <row r="2798" spans="1:8" x14ac:dyDescent="0.3">
      <c r="A2798" s="1"/>
      <c r="G2798" s="4"/>
      <c r="H2798" s="4"/>
    </row>
    <row r="2799" spans="1:8" x14ac:dyDescent="0.3">
      <c r="A2799" s="1"/>
      <c r="G2799" s="4"/>
      <c r="H2799" s="4"/>
    </row>
    <row r="2800" spans="1:8" x14ac:dyDescent="0.3">
      <c r="A2800" s="1"/>
      <c r="G2800" s="4"/>
      <c r="H2800" s="4"/>
    </row>
    <row r="2801" spans="1:8" x14ac:dyDescent="0.3">
      <c r="A2801" s="1"/>
      <c r="G2801" s="4"/>
      <c r="H2801" s="4"/>
    </row>
    <row r="2802" spans="1:8" x14ac:dyDescent="0.3">
      <c r="A2802" s="1"/>
      <c r="G2802" s="4"/>
      <c r="H2802" s="4"/>
    </row>
    <row r="2803" spans="1:8" x14ac:dyDescent="0.3">
      <c r="A2803" s="1"/>
      <c r="G2803" s="4"/>
      <c r="H2803" s="4"/>
    </row>
    <row r="2804" spans="1:8" x14ac:dyDescent="0.3">
      <c r="A2804" s="1"/>
      <c r="G2804" s="4"/>
      <c r="H2804" s="4"/>
    </row>
    <row r="2805" spans="1:8" x14ac:dyDescent="0.3">
      <c r="A2805" s="1"/>
      <c r="G2805" s="4"/>
      <c r="H2805" s="4"/>
    </row>
    <row r="2806" spans="1:8" x14ac:dyDescent="0.3">
      <c r="A2806" s="1"/>
      <c r="G2806" s="4"/>
      <c r="H2806" s="4"/>
    </row>
    <row r="2807" spans="1:8" x14ac:dyDescent="0.3">
      <c r="A2807" s="1"/>
      <c r="G2807" s="4"/>
      <c r="H2807" s="4"/>
    </row>
    <row r="2808" spans="1:8" x14ac:dyDescent="0.3">
      <c r="A2808" s="1"/>
      <c r="G2808" s="4"/>
      <c r="H2808" s="4"/>
    </row>
    <row r="2809" spans="1:8" x14ac:dyDescent="0.3">
      <c r="A2809" s="1"/>
      <c r="G2809" s="4"/>
      <c r="H2809" s="4"/>
    </row>
    <row r="2810" spans="1:8" x14ac:dyDescent="0.3">
      <c r="A2810" s="1"/>
      <c r="G2810" s="4"/>
      <c r="H2810" s="4"/>
    </row>
    <row r="2811" spans="1:8" x14ac:dyDescent="0.3">
      <c r="A2811" s="1"/>
      <c r="G2811" s="4"/>
      <c r="H2811" s="4"/>
    </row>
    <row r="2812" spans="1:8" x14ac:dyDescent="0.3">
      <c r="A2812" s="1"/>
      <c r="G2812" s="4"/>
      <c r="H2812" s="4"/>
    </row>
    <row r="2813" spans="1:8" x14ac:dyDescent="0.3">
      <c r="A2813" s="1"/>
      <c r="G2813" s="4"/>
      <c r="H2813" s="4"/>
    </row>
    <row r="2814" spans="1:8" x14ac:dyDescent="0.3">
      <c r="A2814" s="1"/>
      <c r="G2814" s="4"/>
      <c r="H2814" s="4"/>
    </row>
    <row r="2815" spans="1:8" x14ac:dyDescent="0.3">
      <c r="A2815" s="1"/>
      <c r="G2815" s="4"/>
      <c r="H2815" s="4"/>
    </row>
    <row r="2816" spans="1:8" x14ac:dyDescent="0.3">
      <c r="A2816" s="1"/>
      <c r="G2816" s="4"/>
      <c r="H2816" s="4"/>
    </row>
    <row r="2817" spans="1:8" x14ac:dyDescent="0.3">
      <c r="A2817" s="1"/>
      <c r="G2817" s="4"/>
      <c r="H2817" s="4"/>
    </row>
    <row r="2818" spans="1:8" x14ac:dyDescent="0.3">
      <c r="A2818" s="1"/>
      <c r="G2818" s="4"/>
      <c r="H2818" s="4"/>
    </row>
    <row r="2819" spans="1:8" x14ac:dyDescent="0.3">
      <c r="A2819" s="1"/>
      <c r="G2819" s="4"/>
      <c r="H2819" s="4"/>
    </row>
    <row r="2820" spans="1:8" x14ac:dyDescent="0.3">
      <c r="A2820" s="1"/>
      <c r="G2820" s="4"/>
      <c r="H2820" s="4"/>
    </row>
    <row r="2821" spans="1:8" x14ac:dyDescent="0.3">
      <c r="A2821" s="1"/>
      <c r="G2821" s="4"/>
      <c r="H2821" s="4"/>
    </row>
    <row r="2822" spans="1:8" x14ac:dyDescent="0.3">
      <c r="A2822" s="1"/>
      <c r="G2822" s="4"/>
      <c r="H2822" s="4"/>
    </row>
    <row r="2823" spans="1:8" x14ac:dyDescent="0.3">
      <c r="A2823" s="1"/>
      <c r="G2823" s="4"/>
      <c r="H2823" s="4"/>
    </row>
    <row r="2824" spans="1:8" x14ac:dyDescent="0.3">
      <c r="A2824" s="1"/>
      <c r="G2824" s="4"/>
      <c r="H2824" s="4"/>
    </row>
    <row r="2825" spans="1:8" x14ac:dyDescent="0.3">
      <c r="A2825" s="1"/>
      <c r="G2825" s="4"/>
      <c r="H2825" s="4"/>
    </row>
    <row r="2826" spans="1:8" x14ac:dyDescent="0.3">
      <c r="A2826" s="1"/>
      <c r="G2826" s="4"/>
      <c r="H2826" s="4"/>
    </row>
    <row r="2827" spans="1:8" x14ac:dyDescent="0.3">
      <c r="A2827" s="1"/>
      <c r="G2827" s="4"/>
      <c r="H2827" s="4"/>
    </row>
    <row r="2828" spans="1:8" x14ac:dyDescent="0.3">
      <c r="A2828" s="1"/>
      <c r="G2828" s="4"/>
      <c r="H2828" s="4"/>
    </row>
    <row r="2829" spans="1:8" x14ac:dyDescent="0.3">
      <c r="A2829" s="1"/>
      <c r="G2829" s="4"/>
      <c r="H2829" s="4"/>
    </row>
    <row r="2830" spans="1:8" x14ac:dyDescent="0.3">
      <c r="A2830" s="1"/>
      <c r="G2830" s="4"/>
      <c r="H2830" s="4"/>
    </row>
    <row r="2831" spans="1:8" x14ac:dyDescent="0.3">
      <c r="A2831" s="1"/>
      <c r="G2831" s="4"/>
      <c r="H2831" s="4"/>
    </row>
    <row r="2832" spans="1:8" x14ac:dyDescent="0.3">
      <c r="A2832" s="1"/>
      <c r="G2832" s="4"/>
      <c r="H2832" s="4"/>
    </row>
    <row r="2833" spans="1:8" x14ac:dyDescent="0.3">
      <c r="A2833" s="1"/>
      <c r="G2833" s="4"/>
      <c r="H2833" s="4"/>
    </row>
    <row r="2834" spans="1:8" x14ac:dyDescent="0.3">
      <c r="A2834" s="1"/>
      <c r="G2834" s="4"/>
      <c r="H2834" s="4"/>
    </row>
    <row r="2835" spans="1:8" x14ac:dyDescent="0.3">
      <c r="A2835" s="1"/>
      <c r="G2835" s="4"/>
      <c r="H2835" s="4"/>
    </row>
    <row r="2836" spans="1:8" x14ac:dyDescent="0.3">
      <c r="A2836" s="1"/>
      <c r="G2836" s="4"/>
      <c r="H2836" s="4"/>
    </row>
    <row r="2837" spans="1:8" x14ac:dyDescent="0.3">
      <c r="A2837" s="1"/>
      <c r="G2837" s="4"/>
      <c r="H2837" s="4"/>
    </row>
    <row r="2838" spans="1:8" x14ac:dyDescent="0.3">
      <c r="A2838" s="1"/>
      <c r="G2838" s="4"/>
      <c r="H2838" s="4"/>
    </row>
    <row r="2839" spans="1:8" x14ac:dyDescent="0.3">
      <c r="A2839" s="1"/>
      <c r="G2839" s="4"/>
      <c r="H2839" s="4"/>
    </row>
    <row r="2840" spans="1:8" x14ac:dyDescent="0.3">
      <c r="A2840" s="1"/>
      <c r="G2840" s="4"/>
      <c r="H2840" s="4"/>
    </row>
    <row r="2841" spans="1:8" x14ac:dyDescent="0.3">
      <c r="A2841" s="1"/>
      <c r="G2841" s="4"/>
      <c r="H2841" s="4"/>
    </row>
    <row r="2842" spans="1:8" x14ac:dyDescent="0.3">
      <c r="A2842" s="1"/>
      <c r="G2842" s="4"/>
      <c r="H2842" s="4"/>
    </row>
    <row r="2843" spans="1:8" x14ac:dyDescent="0.3">
      <c r="A2843" s="1"/>
      <c r="G2843" s="4"/>
      <c r="H2843" s="4"/>
    </row>
    <row r="2844" spans="1:8" x14ac:dyDescent="0.3">
      <c r="A2844" s="1"/>
      <c r="G2844" s="4"/>
      <c r="H2844" s="4"/>
    </row>
    <row r="2845" spans="1:8" x14ac:dyDescent="0.3">
      <c r="A2845" s="1"/>
      <c r="G2845" s="4"/>
      <c r="H2845" s="4"/>
    </row>
    <row r="2846" spans="1:8" x14ac:dyDescent="0.3">
      <c r="A2846" s="1"/>
      <c r="G2846" s="4"/>
      <c r="H2846" s="4"/>
    </row>
    <row r="2847" spans="1:8" x14ac:dyDescent="0.3">
      <c r="A2847" s="1"/>
      <c r="G2847" s="4"/>
      <c r="H2847" s="4"/>
    </row>
    <row r="2848" spans="1:8" x14ac:dyDescent="0.3">
      <c r="A2848" s="1"/>
      <c r="G2848" s="4"/>
      <c r="H2848" s="4"/>
    </row>
    <row r="2849" spans="1:8" x14ac:dyDescent="0.3">
      <c r="A2849" s="1"/>
      <c r="G2849" s="4"/>
      <c r="H2849" s="4"/>
    </row>
    <row r="2850" spans="1:8" x14ac:dyDescent="0.3">
      <c r="A2850" s="1"/>
      <c r="G2850" s="4"/>
      <c r="H2850" s="4"/>
    </row>
    <row r="2851" spans="1:8" x14ac:dyDescent="0.3">
      <c r="A2851" s="1"/>
      <c r="G2851" s="4"/>
      <c r="H2851" s="4"/>
    </row>
    <row r="2852" spans="1:8" x14ac:dyDescent="0.3">
      <c r="A2852" s="1"/>
      <c r="G2852" s="4"/>
      <c r="H2852" s="4"/>
    </row>
    <row r="2853" spans="1:8" x14ac:dyDescent="0.3">
      <c r="A2853" s="1"/>
      <c r="G2853" s="4"/>
      <c r="H2853" s="4"/>
    </row>
    <row r="2854" spans="1:8" x14ac:dyDescent="0.3">
      <c r="A2854" s="1"/>
      <c r="G2854" s="4"/>
      <c r="H2854" s="4"/>
    </row>
    <row r="2855" spans="1:8" x14ac:dyDescent="0.3">
      <c r="A2855" s="1"/>
      <c r="G2855" s="4"/>
      <c r="H2855" s="4"/>
    </row>
    <row r="2856" spans="1:8" x14ac:dyDescent="0.3">
      <c r="A2856" s="1"/>
      <c r="G2856" s="4"/>
      <c r="H2856" s="4"/>
    </row>
    <row r="2857" spans="1:8" x14ac:dyDescent="0.3">
      <c r="A2857" s="1"/>
      <c r="G2857" s="4"/>
      <c r="H2857" s="4"/>
    </row>
    <row r="2858" spans="1:8" x14ac:dyDescent="0.3">
      <c r="A2858" s="1"/>
      <c r="G2858" s="4"/>
      <c r="H2858" s="4"/>
    </row>
    <row r="2859" spans="1:8" x14ac:dyDescent="0.3">
      <c r="A2859" s="1"/>
      <c r="G2859" s="4"/>
      <c r="H2859" s="4"/>
    </row>
    <row r="2860" spans="1:8" x14ac:dyDescent="0.3">
      <c r="A2860" s="1"/>
      <c r="G2860" s="4"/>
      <c r="H2860" s="4"/>
    </row>
    <row r="2861" spans="1:8" x14ac:dyDescent="0.3">
      <c r="A2861" s="1"/>
      <c r="G2861" s="4"/>
      <c r="H2861" s="4"/>
    </row>
    <row r="2862" spans="1:8" x14ac:dyDescent="0.3">
      <c r="A2862" s="1"/>
      <c r="G2862" s="4"/>
      <c r="H2862" s="4"/>
    </row>
    <row r="2863" spans="1:8" x14ac:dyDescent="0.3">
      <c r="A2863" s="1"/>
      <c r="G2863" s="4"/>
      <c r="H2863" s="4"/>
    </row>
    <row r="2864" spans="1:8" x14ac:dyDescent="0.3">
      <c r="A2864" s="1"/>
      <c r="G2864" s="4"/>
      <c r="H2864" s="4"/>
    </row>
    <row r="2865" spans="1:8" x14ac:dyDescent="0.3">
      <c r="A2865" s="1"/>
      <c r="G2865" s="4"/>
      <c r="H2865" s="4"/>
    </row>
    <row r="2866" spans="1:8" x14ac:dyDescent="0.3">
      <c r="A2866" s="1"/>
      <c r="G2866" s="4"/>
      <c r="H2866" s="4"/>
    </row>
    <row r="2867" spans="1:8" x14ac:dyDescent="0.3">
      <c r="A2867" s="1"/>
      <c r="G2867" s="4"/>
      <c r="H2867" s="4"/>
    </row>
    <row r="2868" spans="1:8" x14ac:dyDescent="0.3">
      <c r="A2868" s="1"/>
      <c r="G2868" s="4"/>
      <c r="H2868" s="4"/>
    </row>
    <row r="2869" spans="1:8" x14ac:dyDescent="0.3">
      <c r="A2869" s="1"/>
      <c r="G2869" s="4"/>
      <c r="H2869" s="4"/>
    </row>
    <row r="2870" spans="1:8" x14ac:dyDescent="0.3">
      <c r="A2870" s="1"/>
      <c r="G2870" s="4"/>
      <c r="H2870" s="4"/>
    </row>
    <row r="2871" spans="1:8" x14ac:dyDescent="0.3">
      <c r="A2871" s="1"/>
      <c r="G2871" s="4"/>
      <c r="H2871" s="4"/>
    </row>
    <row r="2872" spans="1:8" x14ac:dyDescent="0.3">
      <c r="A2872" s="1"/>
      <c r="G2872" s="4"/>
      <c r="H2872" s="4"/>
    </row>
    <row r="2873" spans="1:8" x14ac:dyDescent="0.3">
      <c r="A2873" s="1"/>
      <c r="G2873" s="4"/>
      <c r="H2873" s="4"/>
    </row>
    <row r="2874" spans="1:8" x14ac:dyDescent="0.3">
      <c r="A2874" s="1"/>
      <c r="G2874" s="4"/>
      <c r="H2874" s="4"/>
    </row>
    <row r="2875" spans="1:8" x14ac:dyDescent="0.3">
      <c r="A2875" s="1"/>
      <c r="G2875" s="4"/>
      <c r="H2875" s="4"/>
    </row>
    <row r="2876" spans="1:8" x14ac:dyDescent="0.3">
      <c r="A2876" s="1"/>
      <c r="G2876" s="4"/>
      <c r="H2876" s="4"/>
    </row>
    <row r="2877" spans="1:8" x14ac:dyDescent="0.3">
      <c r="A2877" s="1"/>
      <c r="G2877" s="4"/>
      <c r="H2877" s="4"/>
    </row>
    <row r="2878" spans="1:8" x14ac:dyDescent="0.3">
      <c r="A2878" s="1"/>
      <c r="G2878" s="4"/>
      <c r="H2878" s="4"/>
    </row>
    <row r="2879" spans="1:8" x14ac:dyDescent="0.3">
      <c r="A2879" s="1"/>
      <c r="G2879" s="4"/>
      <c r="H2879" s="4"/>
    </row>
    <row r="2880" spans="1:8" x14ac:dyDescent="0.3">
      <c r="A2880" s="1"/>
      <c r="G2880" s="4"/>
      <c r="H2880" s="4"/>
    </row>
    <row r="2881" spans="1:8" x14ac:dyDescent="0.3">
      <c r="A2881" s="1"/>
      <c r="G2881" s="4"/>
      <c r="H2881" s="4"/>
    </row>
    <row r="2882" spans="1:8" x14ac:dyDescent="0.3">
      <c r="A2882" s="1"/>
      <c r="G2882" s="4"/>
      <c r="H2882" s="4"/>
    </row>
    <row r="2883" spans="1:8" x14ac:dyDescent="0.3">
      <c r="A2883" s="1"/>
      <c r="G2883" s="4"/>
      <c r="H2883" s="4"/>
    </row>
    <row r="2884" spans="1:8" x14ac:dyDescent="0.3">
      <c r="A2884" s="1"/>
      <c r="G2884" s="4"/>
      <c r="H2884" s="4"/>
    </row>
    <row r="2885" spans="1:8" x14ac:dyDescent="0.3">
      <c r="A2885" s="1"/>
      <c r="G2885" s="4"/>
      <c r="H2885" s="4"/>
    </row>
    <row r="2886" spans="1:8" x14ac:dyDescent="0.3">
      <c r="A2886" s="1"/>
      <c r="G2886" s="4"/>
      <c r="H2886" s="4"/>
    </row>
    <row r="2887" spans="1:8" x14ac:dyDescent="0.3">
      <c r="A2887" s="1"/>
      <c r="G2887" s="4"/>
      <c r="H2887" s="4"/>
    </row>
    <row r="2888" spans="1:8" x14ac:dyDescent="0.3">
      <c r="A2888" s="1"/>
      <c r="G2888" s="4"/>
      <c r="H2888" s="4"/>
    </row>
    <row r="2889" spans="1:8" x14ac:dyDescent="0.3">
      <c r="A2889" s="1"/>
      <c r="G2889" s="4"/>
      <c r="H2889" s="4"/>
    </row>
    <row r="2890" spans="1:8" x14ac:dyDescent="0.3">
      <c r="A2890" s="1"/>
      <c r="G2890" s="4"/>
      <c r="H2890" s="4"/>
    </row>
    <row r="2891" spans="1:8" x14ac:dyDescent="0.3">
      <c r="A2891" s="1"/>
      <c r="G2891" s="4"/>
      <c r="H2891" s="4"/>
    </row>
    <row r="2892" spans="1:8" x14ac:dyDescent="0.3">
      <c r="A2892" s="1"/>
      <c r="G2892" s="4"/>
      <c r="H2892" s="4"/>
    </row>
    <row r="2893" spans="1:8" x14ac:dyDescent="0.3">
      <c r="A2893" s="1"/>
      <c r="G2893" s="4"/>
      <c r="H2893" s="4"/>
    </row>
    <row r="2894" spans="1:8" x14ac:dyDescent="0.3">
      <c r="A2894" s="1"/>
      <c r="G2894" s="4"/>
      <c r="H2894" s="4"/>
    </row>
    <row r="2895" spans="1:8" x14ac:dyDescent="0.3">
      <c r="A2895" s="1"/>
      <c r="G2895" s="4"/>
      <c r="H2895" s="4"/>
    </row>
    <row r="2896" spans="1:8" x14ac:dyDescent="0.3">
      <c r="A2896" s="1"/>
      <c r="G2896" s="4"/>
      <c r="H2896" s="4"/>
    </row>
    <row r="2897" spans="1:8" x14ac:dyDescent="0.3">
      <c r="A2897" s="1"/>
      <c r="G2897" s="4"/>
      <c r="H2897" s="4"/>
    </row>
    <row r="2898" spans="1:8" x14ac:dyDescent="0.3">
      <c r="A2898" s="1"/>
      <c r="G2898" s="4"/>
      <c r="H2898" s="4"/>
    </row>
    <row r="2899" spans="1:8" x14ac:dyDescent="0.3">
      <c r="A2899" s="1"/>
      <c r="G2899" s="4"/>
      <c r="H2899" s="4"/>
    </row>
    <row r="2900" spans="1:8" x14ac:dyDescent="0.3">
      <c r="A2900" s="1"/>
      <c r="G2900" s="4"/>
      <c r="H2900" s="4"/>
    </row>
    <row r="2901" spans="1:8" x14ac:dyDescent="0.3">
      <c r="A2901" s="1"/>
      <c r="G2901" s="4"/>
      <c r="H2901" s="4"/>
    </row>
    <row r="2902" spans="1:8" x14ac:dyDescent="0.3">
      <c r="A2902" s="1"/>
      <c r="G2902" s="4"/>
      <c r="H2902" s="4"/>
    </row>
    <row r="2903" spans="1:8" x14ac:dyDescent="0.3">
      <c r="A2903" s="1"/>
      <c r="G2903" s="4"/>
      <c r="H2903" s="4"/>
    </row>
    <row r="2904" spans="1:8" x14ac:dyDescent="0.3">
      <c r="A2904" s="1"/>
      <c r="G2904" s="4"/>
      <c r="H2904" s="4"/>
    </row>
    <row r="2905" spans="1:8" x14ac:dyDescent="0.3">
      <c r="A2905" s="1"/>
      <c r="G2905" s="4"/>
      <c r="H2905" s="4"/>
    </row>
    <row r="2906" spans="1:8" x14ac:dyDescent="0.3">
      <c r="A2906" s="1"/>
      <c r="G2906" s="4"/>
      <c r="H2906" s="4"/>
    </row>
    <row r="2907" spans="1:8" x14ac:dyDescent="0.3">
      <c r="A2907" s="1"/>
      <c r="G2907" s="4"/>
      <c r="H2907" s="4"/>
    </row>
    <row r="2908" spans="1:8" x14ac:dyDescent="0.3">
      <c r="A2908" s="1"/>
      <c r="G2908" s="4"/>
      <c r="H2908" s="4"/>
    </row>
    <row r="2909" spans="1:8" x14ac:dyDescent="0.3">
      <c r="A2909" s="1"/>
      <c r="G2909" s="4"/>
      <c r="H2909" s="4"/>
    </row>
    <row r="2910" spans="1:8" x14ac:dyDescent="0.3">
      <c r="A2910" s="1"/>
      <c r="G2910" s="4"/>
      <c r="H2910" s="4"/>
    </row>
    <row r="2911" spans="1:8" x14ac:dyDescent="0.3">
      <c r="A2911" s="1"/>
      <c r="G2911" s="4"/>
      <c r="H2911" s="4"/>
    </row>
    <row r="2912" spans="1:8" x14ac:dyDescent="0.3">
      <c r="A2912" s="1"/>
      <c r="G2912" s="4"/>
      <c r="H2912" s="4"/>
    </row>
    <row r="2913" spans="1:8" x14ac:dyDescent="0.3">
      <c r="A2913" s="1"/>
      <c r="G2913" s="4"/>
      <c r="H2913" s="4"/>
    </row>
    <row r="2914" spans="1:8" x14ac:dyDescent="0.3">
      <c r="A2914" s="1"/>
      <c r="G2914" s="4"/>
      <c r="H2914" s="4"/>
    </row>
    <row r="2915" spans="1:8" x14ac:dyDescent="0.3">
      <c r="A2915" s="1"/>
      <c r="G2915" s="4"/>
      <c r="H2915" s="4"/>
    </row>
    <row r="2916" spans="1:8" x14ac:dyDescent="0.3">
      <c r="A2916" s="1"/>
      <c r="G2916" s="4"/>
      <c r="H2916" s="4"/>
    </row>
    <row r="2917" spans="1:8" x14ac:dyDescent="0.3">
      <c r="A2917" s="1"/>
      <c r="G2917" s="4"/>
      <c r="H2917" s="4"/>
    </row>
    <row r="2918" spans="1:8" x14ac:dyDescent="0.3">
      <c r="A2918" s="1"/>
      <c r="G2918" s="4"/>
      <c r="H2918" s="4"/>
    </row>
    <row r="2919" spans="1:8" x14ac:dyDescent="0.3">
      <c r="A2919" s="1"/>
      <c r="G2919" s="4"/>
      <c r="H2919" s="4"/>
    </row>
    <row r="2920" spans="1:8" x14ac:dyDescent="0.3">
      <c r="A2920" s="1"/>
      <c r="G2920" s="4"/>
      <c r="H2920" s="4"/>
    </row>
    <row r="2921" spans="1:8" x14ac:dyDescent="0.3">
      <c r="A2921" s="1"/>
      <c r="G2921" s="4"/>
      <c r="H2921" s="4"/>
    </row>
    <row r="2922" spans="1:8" x14ac:dyDescent="0.3">
      <c r="A2922" s="1"/>
      <c r="G2922" s="4"/>
      <c r="H2922" s="4"/>
    </row>
    <row r="2923" spans="1:8" x14ac:dyDescent="0.3">
      <c r="A2923" s="1"/>
      <c r="G2923" s="4"/>
      <c r="H2923" s="4"/>
    </row>
    <row r="2924" spans="1:8" x14ac:dyDescent="0.3">
      <c r="A2924" s="1"/>
      <c r="G2924" s="4"/>
      <c r="H2924" s="4"/>
    </row>
    <row r="2925" spans="1:8" x14ac:dyDescent="0.3">
      <c r="A2925" s="1"/>
      <c r="G2925" s="4"/>
      <c r="H2925" s="4"/>
    </row>
    <row r="2926" spans="1:8" x14ac:dyDescent="0.3">
      <c r="A2926" s="1"/>
      <c r="G2926" s="4"/>
      <c r="H2926" s="4"/>
    </row>
    <row r="2927" spans="1:8" x14ac:dyDescent="0.3">
      <c r="A2927" s="1"/>
      <c r="G2927" s="4"/>
      <c r="H2927" s="4"/>
    </row>
    <row r="2928" spans="1:8" x14ac:dyDescent="0.3">
      <c r="A2928" s="1"/>
      <c r="G2928" s="4"/>
      <c r="H2928" s="4"/>
    </row>
    <row r="2929" spans="1:8" x14ac:dyDescent="0.3">
      <c r="A2929" s="1"/>
      <c r="G2929" s="4"/>
      <c r="H2929" s="4"/>
    </row>
    <row r="2930" spans="1:8" x14ac:dyDescent="0.3">
      <c r="A2930" s="1"/>
      <c r="G2930" s="4"/>
      <c r="H2930" s="4"/>
    </row>
    <row r="2931" spans="1:8" x14ac:dyDescent="0.3">
      <c r="A2931" s="1"/>
      <c r="G2931" s="4"/>
      <c r="H2931" s="4"/>
    </row>
    <row r="2932" spans="1:8" x14ac:dyDescent="0.3">
      <c r="A2932" s="1"/>
      <c r="G2932" s="4"/>
      <c r="H2932" s="4"/>
    </row>
    <row r="2933" spans="1:8" x14ac:dyDescent="0.3">
      <c r="A2933" s="1"/>
      <c r="G2933" s="4"/>
      <c r="H2933" s="4"/>
    </row>
    <row r="2934" spans="1:8" x14ac:dyDescent="0.3">
      <c r="A2934" s="1"/>
      <c r="G2934" s="4"/>
      <c r="H2934" s="4"/>
    </row>
    <row r="2935" spans="1:8" x14ac:dyDescent="0.3">
      <c r="A2935" s="1"/>
      <c r="G2935" s="4"/>
      <c r="H2935" s="4"/>
    </row>
    <row r="2936" spans="1:8" x14ac:dyDescent="0.3">
      <c r="A2936" s="1"/>
      <c r="G2936" s="4"/>
      <c r="H2936" s="4"/>
    </row>
    <row r="2937" spans="1:8" x14ac:dyDescent="0.3">
      <c r="A2937" s="1"/>
      <c r="G2937" s="4"/>
      <c r="H2937" s="4"/>
    </row>
    <row r="2938" spans="1:8" x14ac:dyDescent="0.3">
      <c r="A2938" s="1"/>
      <c r="G2938" s="4"/>
      <c r="H2938" s="4"/>
    </row>
    <row r="2939" spans="1:8" x14ac:dyDescent="0.3">
      <c r="A2939" s="1"/>
      <c r="G2939" s="4"/>
      <c r="H2939" s="4"/>
    </row>
    <row r="2940" spans="1:8" x14ac:dyDescent="0.3">
      <c r="A2940" s="1"/>
      <c r="G2940" s="4"/>
      <c r="H2940" s="4"/>
    </row>
    <row r="2941" spans="1:8" x14ac:dyDescent="0.3">
      <c r="A2941" s="1"/>
      <c r="G2941" s="4"/>
      <c r="H2941" s="4"/>
    </row>
    <row r="2942" spans="1:8" x14ac:dyDescent="0.3">
      <c r="A2942" s="1"/>
      <c r="G2942" s="4"/>
      <c r="H2942" s="4"/>
    </row>
    <row r="2943" spans="1:8" x14ac:dyDescent="0.3">
      <c r="A2943" s="1"/>
      <c r="G2943" s="4"/>
      <c r="H2943" s="4"/>
    </row>
    <row r="2944" spans="1:8" x14ac:dyDescent="0.3">
      <c r="A2944" s="1"/>
      <c r="G2944" s="4"/>
      <c r="H2944" s="4"/>
    </row>
    <row r="2945" spans="1:8" x14ac:dyDescent="0.3">
      <c r="A2945" s="1"/>
      <c r="G2945" s="4"/>
      <c r="H2945" s="4"/>
    </row>
    <row r="2946" spans="1:8" x14ac:dyDescent="0.3">
      <c r="A2946" s="1"/>
      <c r="G2946" s="4"/>
      <c r="H2946" s="4"/>
    </row>
    <row r="2947" spans="1:8" x14ac:dyDescent="0.3">
      <c r="A2947" s="1"/>
      <c r="G2947" s="4"/>
      <c r="H2947" s="4"/>
    </row>
    <row r="2948" spans="1:8" x14ac:dyDescent="0.3">
      <c r="A2948" s="1"/>
      <c r="G2948" s="4"/>
      <c r="H2948" s="4"/>
    </row>
    <row r="2949" spans="1:8" x14ac:dyDescent="0.3">
      <c r="A2949" s="1"/>
      <c r="G2949" s="4"/>
      <c r="H2949" s="4"/>
    </row>
    <row r="2950" spans="1:8" x14ac:dyDescent="0.3">
      <c r="A2950" s="1"/>
      <c r="G2950" s="4"/>
      <c r="H2950" s="4"/>
    </row>
    <row r="2951" spans="1:8" x14ac:dyDescent="0.3">
      <c r="A2951" s="1"/>
      <c r="G2951" s="4"/>
      <c r="H2951" s="4"/>
    </row>
    <row r="2952" spans="1:8" x14ac:dyDescent="0.3">
      <c r="A2952" s="1"/>
      <c r="G2952" s="4"/>
      <c r="H2952" s="4"/>
    </row>
    <row r="2953" spans="1:8" x14ac:dyDescent="0.3">
      <c r="A2953" s="1"/>
      <c r="G2953" s="4"/>
      <c r="H2953" s="4"/>
    </row>
    <row r="2954" spans="1:8" x14ac:dyDescent="0.3">
      <c r="A2954" s="1"/>
      <c r="G2954" s="4"/>
      <c r="H2954" s="4"/>
    </row>
    <row r="2955" spans="1:8" x14ac:dyDescent="0.3">
      <c r="A2955" s="1"/>
      <c r="G2955" s="4"/>
      <c r="H2955" s="4"/>
    </row>
    <row r="2956" spans="1:8" x14ac:dyDescent="0.3">
      <c r="A2956" s="1"/>
      <c r="G2956" s="4"/>
      <c r="H2956" s="4"/>
    </row>
    <row r="2957" spans="1:8" x14ac:dyDescent="0.3">
      <c r="A2957" s="1"/>
      <c r="G2957" s="4"/>
      <c r="H2957" s="4"/>
    </row>
    <row r="2958" spans="1:8" x14ac:dyDescent="0.3">
      <c r="A2958" s="1"/>
      <c r="G2958" s="4"/>
      <c r="H2958" s="4"/>
    </row>
    <row r="2959" spans="1:8" x14ac:dyDescent="0.3">
      <c r="A2959" s="1"/>
      <c r="G2959" s="4"/>
      <c r="H2959" s="4"/>
    </row>
    <row r="2960" spans="1:8" x14ac:dyDescent="0.3">
      <c r="A2960" s="1"/>
      <c r="G2960" s="4"/>
      <c r="H2960" s="4"/>
    </row>
    <row r="2961" spans="1:8" x14ac:dyDescent="0.3">
      <c r="A2961" s="1"/>
      <c r="G2961" s="4"/>
      <c r="H2961" s="4"/>
    </row>
    <row r="2962" spans="1:8" x14ac:dyDescent="0.3">
      <c r="A2962" s="1"/>
      <c r="G2962" s="4"/>
      <c r="H2962" s="4"/>
    </row>
    <row r="2963" spans="1:8" x14ac:dyDescent="0.3">
      <c r="A2963" s="1"/>
      <c r="G2963" s="4"/>
      <c r="H2963" s="4"/>
    </row>
    <row r="2964" spans="1:8" x14ac:dyDescent="0.3">
      <c r="A2964" s="1"/>
      <c r="G2964" s="4"/>
      <c r="H2964" s="4"/>
    </row>
    <row r="2965" spans="1:8" x14ac:dyDescent="0.3">
      <c r="A2965" s="1"/>
      <c r="G2965" s="4"/>
      <c r="H2965" s="4"/>
    </row>
    <row r="2966" spans="1:8" x14ac:dyDescent="0.3">
      <c r="A2966" s="1"/>
      <c r="G2966" s="4"/>
      <c r="H2966" s="4"/>
    </row>
    <row r="2967" spans="1:8" x14ac:dyDescent="0.3">
      <c r="A2967" s="1"/>
      <c r="G2967" s="4"/>
      <c r="H2967" s="4"/>
    </row>
    <row r="2968" spans="1:8" x14ac:dyDescent="0.3">
      <c r="A2968" s="1"/>
      <c r="G2968" s="4"/>
      <c r="H2968" s="4"/>
    </row>
    <row r="2969" spans="1:8" x14ac:dyDescent="0.3">
      <c r="A2969" s="1"/>
      <c r="G2969" s="4"/>
      <c r="H2969" s="4"/>
    </row>
    <row r="2970" spans="1:8" x14ac:dyDescent="0.3">
      <c r="A2970" s="1"/>
      <c r="G2970" s="4"/>
      <c r="H2970" s="4"/>
    </row>
    <row r="2971" spans="1:8" x14ac:dyDescent="0.3">
      <c r="A2971" s="1"/>
      <c r="G2971" s="4"/>
      <c r="H2971" s="4"/>
    </row>
    <row r="2972" spans="1:8" x14ac:dyDescent="0.3">
      <c r="A2972" s="1"/>
      <c r="G2972" s="4"/>
      <c r="H2972" s="4"/>
    </row>
    <row r="2973" spans="1:8" x14ac:dyDescent="0.3">
      <c r="A2973" s="1"/>
      <c r="G2973" s="4"/>
      <c r="H2973" s="4"/>
    </row>
    <row r="2974" spans="1:8" x14ac:dyDescent="0.3">
      <c r="A2974" s="1"/>
      <c r="G2974" s="4"/>
      <c r="H2974" s="4"/>
    </row>
    <row r="2975" spans="1:8" x14ac:dyDescent="0.3">
      <c r="A2975" s="1"/>
      <c r="G2975" s="4"/>
      <c r="H2975" s="4"/>
    </row>
    <row r="2976" spans="1:8" x14ac:dyDescent="0.3">
      <c r="A2976" s="1"/>
      <c r="G2976" s="4"/>
      <c r="H2976" s="4"/>
    </row>
    <row r="2977" spans="1:8" x14ac:dyDescent="0.3">
      <c r="A2977" s="1"/>
      <c r="G2977" s="4"/>
      <c r="H2977" s="4"/>
    </row>
    <row r="2978" spans="1:8" x14ac:dyDescent="0.3">
      <c r="A2978" s="1"/>
      <c r="G2978" s="4"/>
      <c r="H2978" s="4"/>
    </row>
    <row r="2979" spans="1:8" x14ac:dyDescent="0.3">
      <c r="A2979" s="1"/>
      <c r="G2979" s="4"/>
      <c r="H2979" s="4"/>
    </row>
    <row r="2980" spans="1:8" x14ac:dyDescent="0.3">
      <c r="A2980" s="1"/>
      <c r="G2980" s="4"/>
      <c r="H2980" s="4"/>
    </row>
    <row r="2981" spans="1:8" x14ac:dyDescent="0.3">
      <c r="A2981" s="1"/>
      <c r="G2981" s="4"/>
      <c r="H2981" s="4"/>
    </row>
    <row r="2982" spans="1:8" x14ac:dyDescent="0.3">
      <c r="A2982" s="1"/>
      <c r="G2982" s="4"/>
      <c r="H2982" s="4"/>
    </row>
    <row r="2983" spans="1:8" x14ac:dyDescent="0.3">
      <c r="A2983" s="1"/>
      <c r="G2983" s="4"/>
      <c r="H2983" s="4"/>
    </row>
    <row r="2984" spans="1:8" x14ac:dyDescent="0.3">
      <c r="A2984" s="1"/>
      <c r="G2984" s="4"/>
      <c r="H2984" s="4"/>
    </row>
    <row r="2985" spans="1:8" x14ac:dyDescent="0.3">
      <c r="A2985" s="1"/>
      <c r="G2985" s="4"/>
      <c r="H2985" s="4"/>
    </row>
    <row r="2986" spans="1:8" x14ac:dyDescent="0.3">
      <c r="A2986" s="1"/>
      <c r="G2986" s="4"/>
      <c r="H2986" s="4"/>
    </row>
    <row r="2987" spans="1:8" x14ac:dyDescent="0.3">
      <c r="A2987" s="1"/>
      <c r="G2987" s="4"/>
      <c r="H2987" s="4"/>
    </row>
    <row r="2988" spans="1:8" x14ac:dyDescent="0.3">
      <c r="A2988" s="1"/>
      <c r="G2988" s="4"/>
      <c r="H2988" s="4"/>
    </row>
    <row r="2989" spans="1:8" x14ac:dyDescent="0.3">
      <c r="A2989" s="1"/>
      <c r="G2989" s="4"/>
      <c r="H2989" s="4"/>
    </row>
    <row r="2990" spans="1:8" x14ac:dyDescent="0.3">
      <c r="A2990" s="1"/>
      <c r="G2990" s="4"/>
      <c r="H2990" s="4"/>
    </row>
    <row r="2991" spans="1:8" x14ac:dyDescent="0.3">
      <c r="A2991" s="1"/>
      <c r="G2991" s="4"/>
      <c r="H2991" s="4"/>
    </row>
    <row r="2992" spans="1:8" x14ac:dyDescent="0.3">
      <c r="A2992" s="1"/>
      <c r="G2992" s="4"/>
      <c r="H2992" s="4"/>
    </row>
    <row r="2993" spans="1:8" x14ac:dyDescent="0.3">
      <c r="A2993" s="1"/>
      <c r="G2993" s="4"/>
      <c r="H2993" s="4"/>
    </row>
    <row r="2994" spans="1:8" x14ac:dyDescent="0.3">
      <c r="A2994" s="1"/>
      <c r="G2994" s="4"/>
      <c r="H2994" s="4"/>
    </row>
    <row r="2995" spans="1:8" x14ac:dyDescent="0.3">
      <c r="A2995" s="1"/>
      <c r="G2995" s="4"/>
      <c r="H2995" s="4"/>
    </row>
    <row r="2996" spans="1:8" x14ac:dyDescent="0.3">
      <c r="A2996" s="1"/>
      <c r="G2996" s="4"/>
      <c r="H2996" s="4"/>
    </row>
    <row r="2997" spans="1:8" x14ac:dyDescent="0.3">
      <c r="A2997" s="1"/>
      <c r="G2997" s="4"/>
      <c r="H2997" s="4"/>
    </row>
    <row r="2998" spans="1:8" x14ac:dyDescent="0.3">
      <c r="A2998" s="1"/>
      <c r="G2998" s="4"/>
      <c r="H2998" s="4"/>
    </row>
    <row r="2999" spans="1:8" x14ac:dyDescent="0.3">
      <c r="A2999" s="1"/>
      <c r="G2999" s="4"/>
      <c r="H2999" s="4"/>
    </row>
    <row r="3000" spans="1:8" x14ac:dyDescent="0.3">
      <c r="A3000" s="1"/>
      <c r="G3000" s="4"/>
      <c r="H3000" s="4"/>
    </row>
    <row r="3001" spans="1:8" x14ac:dyDescent="0.3">
      <c r="A3001" s="1"/>
      <c r="G3001" s="4"/>
      <c r="H3001" s="4"/>
    </row>
    <row r="3002" spans="1:8" x14ac:dyDescent="0.3">
      <c r="A3002" s="1"/>
      <c r="G3002" s="4"/>
      <c r="H3002" s="4"/>
    </row>
    <row r="3003" spans="1:8" x14ac:dyDescent="0.3">
      <c r="A3003" s="1"/>
      <c r="G3003" s="4"/>
      <c r="H3003" s="4"/>
    </row>
    <row r="3004" spans="1:8" x14ac:dyDescent="0.3">
      <c r="A3004" s="1"/>
      <c r="G3004" s="4"/>
      <c r="H3004" s="4"/>
    </row>
    <row r="3005" spans="1:8" x14ac:dyDescent="0.3">
      <c r="A3005" s="1"/>
      <c r="G3005" s="4"/>
      <c r="H3005" s="4"/>
    </row>
    <row r="3006" spans="1:8" x14ac:dyDescent="0.3">
      <c r="A3006" s="1"/>
      <c r="G3006" s="4"/>
      <c r="H3006" s="4"/>
    </row>
    <row r="3007" spans="1:8" x14ac:dyDescent="0.3">
      <c r="A3007" s="1"/>
      <c r="G3007" s="4"/>
      <c r="H3007" s="4"/>
    </row>
    <row r="3008" spans="1:8" x14ac:dyDescent="0.3">
      <c r="A3008" s="1"/>
      <c r="G3008" s="4"/>
      <c r="H3008" s="4"/>
    </row>
    <row r="3009" spans="1:8" x14ac:dyDescent="0.3">
      <c r="A3009" s="1"/>
      <c r="G3009" s="4"/>
      <c r="H3009" s="4"/>
    </row>
    <row r="3010" spans="1:8" x14ac:dyDescent="0.3">
      <c r="A3010" s="1"/>
      <c r="G3010" s="4"/>
      <c r="H3010" s="4"/>
    </row>
    <row r="3011" spans="1:8" x14ac:dyDescent="0.3">
      <c r="A3011" s="1"/>
      <c r="G3011" s="4"/>
      <c r="H3011" s="4"/>
    </row>
    <row r="3012" spans="1:8" x14ac:dyDescent="0.3">
      <c r="A3012" s="1"/>
      <c r="G3012" s="4"/>
      <c r="H3012" s="4"/>
    </row>
    <row r="3013" spans="1:8" x14ac:dyDescent="0.3">
      <c r="A3013" s="1"/>
      <c r="G3013" s="4"/>
      <c r="H3013" s="4"/>
    </row>
    <row r="3014" spans="1:8" x14ac:dyDescent="0.3">
      <c r="A3014" s="1"/>
      <c r="G3014" s="4"/>
      <c r="H3014" s="4"/>
    </row>
    <row r="3015" spans="1:8" x14ac:dyDescent="0.3">
      <c r="A3015" s="1"/>
      <c r="G3015" s="4"/>
      <c r="H3015" s="4"/>
    </row>
    <row r="3016" spans="1:8" x14ac:dyDescent="0.3">
      <c r="A3016" s="1"/>
      <c r="G3016" s="4"/>
      <c r="H3016" s="4"/>
    </row>
    <row r="3017" spans="1:8" x14ac:dyDescent="0.3">
      <c r="A3017" s="1"/>
      <c r="G3017" s="4"/>
      <c r="H3017" s="4"/>
    </row>
    <row r="3018" spans="1:8" x14ac:dyDescent="0.3">
      <c r="A3018" s="1"/>
      <c r="G3018" s="4"/>
      <c r="H3018" s="4"/>
    </row>
    <row r="3019" spans="1:8" x14ac:dyDescent="0.3">
      <c r="A3019" s="1"/>
      <c r="G3019" s="4"/>
      <c r="H3019" s="4"/>
    </row>
    <row r="3020" spans="1:8" x14ac:dyDescent="0.3">
      <c r="A3020" s="1"/>
      <c r="G3020" s="4"/>
      <c r="H3020" s="4"/>
    </row>
    <row r="3021" spans="1:8" x14ac:dyDescent="0.3">
      <c r="A3021" s="1"/>
      <c r="G3021" s="4"/>
      <c r="H3021" s="4"/>
    </row>
    <row r="3022" spans="1:8" x14ac:dyDescent="0.3">
      <c r="A3022" s="1"/>
      <c r="G3022" s="4"/>
      <c r="H3022" s="4"/>
    </row>
    <row r="3023" spans="1:8" x14ac:dyDescent="0.3">
      <c r="A3023" s="1"/>
      <c r="G3023" s="4"/>
      <c r="H3023" s="4"/>
    </row>
    <row r="3024" spans="1:8" x14ac:dyDescent="0.3">
      <c r="A3024" s="1"/>
      <c r="G3024" s="4"/>
      <c r="H3024" s="4"/>
    </row>
    <row r="3025" spans="1:8" x14ac:dyDescent="0.3">
      <c r="A3025" s="1"/>
      <c r="G3025" s="4"/>
      <c r="H3025" s="4"/>
    </row>
    <row r="3026" spans="1:8" x14ac:dyDescent="0.3">
      <c r="A3026" s="1"/>
      <c r="G3026" s="4"/>
      <c r="H3026" s="4"/>
    </row>
    <row r="3027" spans="1:8" x14ac:dyDescent="0.3">
      <c r="A3027" s="1"/>
      <c r="G3027" s="4"/>
      <c r="H3027" s="4"/>
    </row>
    <row r="3028" spans="1:8" x14ac:dyDescent="0.3">
      <c r="A3028" s="1"/>
      <c r="G3028" s="4"/>
      <c r="H3028" s="4"/>
    </row>
    <row r="3029" spans="1:8" x14ac:dyDescent="0.3">
      <c r="A3029" s="1"/>
      <c r="G3029" s="4"/>
      <c r="H3029" s="4"/>
    </row>
    <row r="3030" spans="1:8" x14ac:dyDescent="0.3">
      <c r="A3030" s="1"/>
      <c r="G3030" s="4"/>
      <c r="H3030" s="4"/>
    </row>
    <row r="3031" spans="1:8" x14ac:dyDescent="0.3">
      <c r="A3031" s="1"/>
      <c r="G3031" s="4"/>
      <c r="H3031" s="4"/>
    </row>
    <row r="3032" spans="1:8" x14ac:dyDescent="0.3">
      <c r="A3032" s="1"/>
      <c r="G3032" s="4"/>
      <c r="H3032" s="4"/>
    </row>
    <row r="3033" spans="1:8" x14ac:dyDescent="0.3">
      <c r="A3033" s="1"/>
      <c r="G3033" s="4"/>
      <c r="H3033" s="4"/>
    </row>
    <row r="3034" spans="1:8" x14ac:dyDescent="0.3">
      <c r="A3034" s="1"/>
      <c r="G3034" s="4"/>
      <c r="H3034" s="4"/>
    </row>
    <row r="3035" spans="1:8" x14ac:dyDescent="0.3">
      <c r="A3035" s="1"/>
      <c r="G3035" s="4"/>
      <c r="H3035" s="4"/>
    </row>
    <row r="3036" spans="1:8" x14ac:dyDescent="0.3">
      <c r="A3036" s="1"/>
      <c r="G3036" s="4"/>
      <c r="H3036" s="4"/>
    </row>
    <row r="3037" spans="1:8" x14ac:dyDescent="0.3">
      <c r="A3037" s="1"/>
      <c r="G3037" s="4"/>
      <c r="H3037" s="4"/>
    </row>
    <row r="3038" spans="1:8" x14ac:dyDescent="0.3">
      <c r="A3038" s="1"/>
      <c r="G3038" s="4"/>
      <c r="H3038" s="4"/>
    </row>
    <row r="3039" spans="1:8" x14ac:dyDescent="0.3">
      <c r="A3039" s="1"/>
      <c r="G3039" s="4"/>
      <c r="H3039" s="4"/>
    </row>
    <row r="3040" spans="1:8" x14ac:dyDescent="0.3">
      <c r="A3040" s="1"/>
      <c r="G3040" s="4"/>
      <c r="H3040" s="4"/>
    </row>
    <row r="3041" spans="1:8" x14ac:dyDescent="0.3">
      <c r="A3041" s="1"/>
      <c r="G3041" s="4"/>
      <c r="H3041" s="4"/>
    </row>
    <row r="3042" spans="1:8" x14ac:dyDescent="0.3">
      <c r="A3042" s="1"/>
      <c r="G3042" s="4"/>
      <c r="H3042" s="4"/>
    </row>
    <row r="3043" spans="1:8" x14ac:dyDescent="0.3">
      <c r="A3043" s="1"/>
      <c r="G3043" s="4"/>
      <c r="H3043" s="4"/>
    </row>
    <row r="3044" spans="1:8" x14ac:dyDescent="0.3">
      <c r="A3044" s="1"/>
      <c r="G3044" s="4"/>
      <c r="H3044" s="4"/>
    </row>
    <row r="3045" spans="1:8" x14ac:dyDescent="0.3">
      <c r="A3045" s="1"/>
      <c r="G3045" s="4"/>
      <c r="H3045" s="4"/>
    </row>
    <row r="3046" spans="1:8" x14ac:dyDescent="0.3">
      <c r="A3046" s="1"/>
      <c r="G3046" s="4"/>
      <c r="H3046" s="4"/>
    </row>
    <row r="3047" spans="1:8" x14ac:dyDescent="0.3">
      <c r="A3047" s="1"/>
      <c r="G3047" s="4"/>
      <c r="H3047" s="4"/>
    </row>
    <row r="3048" spans="1:8" x14ac:dyDescent="0.3">
      <c r="A3048" s="1"/>
      <c r="G3048" s="4"/>
      <c r="H3048" s="4"/>
    </row>
    <row r="3049" spans="1:8" x14ac:dyDescent="0.3">
      <c r="A3049" s="1"/>
      <c r="G3049" s="4"/>
      <c r="H3049" s="4"/>
    </row>
    <row r="3050" spans="1:8" x14ac:dyDescent="0.3">
      <c r="A3050" s="1"/>
      <c r="G3050" s="4"/>
      <c r="H3050" s="4"/>
    </row>
    <row r="3051" spans="1:8" x14ac:dyDescent="0.3">
      <c r="A3051" s="1"/>
      <c r="G3051" s="4"/>
      <c r="H3051" s="4"/>
    </row>
    <row r="3052" spans="1:8" x14ac:dyDescent="0.3">
      <c r="A3052" s="1"/>
      <c r="G3052" s="4"/>
      <c r="H3052" s="4"/>
    </row>
    <row r="3053" spans="1:8" x14ac:dyDescent="0.3">
      <c r="A3053" s="1"/>
      <c r="G3053" s="4"/>
      <c r="H3053" s="4"/>
    </row>
    <row r="3054" spans="1:8" x14ac:dyDescent="0.3">
      <c r="A3054" s="1"/>
      <c r="G3054" s="4"/>
      <c r="H3054" s="4"/>
    </row>
    <row r="3055" spans="1:8" x14ac:dyDescent="0.3">
      <c r="A3055" s="1"/>
      <c r="G3055" s="4"/>
      <c r="H3055" s="4"/>
    </row>
    <row r="3056" spans="1:8" x14ac:dyDescent="0.3">
      <c r="A3056" s="1"/>
      <c r="G3056" s="4"/>
      <c r="H3056" s="4"/>
    </row>
    <row r="3057" spans="1:8" x14ac:dyDescent="0.3">
      <c r="A3057" s="1"/>
      <c r="G3057" s="4"/>
      <c r="H3057" s="4"/>
    </row>
    <row r="3058" spans="1:8" x14ac:dyDescent="0.3">
      <c r="A3058" s="1"/>
      <c r="G3058" s="4"/>
      <c r="H3058" s="4"/>
    </row>
    <row r="3059" spans="1:8" x14ac:dyDescent="0.3">
      <c r="A3059" s="1"/>
      <c r="G3059" s="4"/>
      <c r="H3059" s="4"/>
    </row>
    <row r="3060" spans="1:8" x14ac:dyDescent="0.3">
      <c r="A3060" s="1"/>
      <c r="G3060" s="4"/>
      <c r="H3060" s="4"/>
    </row>
    <row r="3061" spans="1:8" x14ac:dyDescent="0.3">
      <c r="A3061" s="1"/>
      <c r="G3061" s="4"/>
      <c r="H3061" s="4"/>
    </row>
    <row r="3062" spans="1:8" x14ac:dyDescent="0.3">
      <c r="A3062" s="1"/>
      <c r="G3062" s="4"/>
      <c r="H3062" s="4"/>
    </row>
    <row r="3063" spans="1:8" x14ac:dyDescent="0.3">
      <c r="A3063" s="1"/>
      <c r="G3063" s="4"/>
      <c r="H3063" s="4"/>
    </row>
    <row r="3064" spans="1:8" x14ac:dyDescent="0.3">
      <c r="A3064" s="1"/>
      <c r="G3064" s="4"/>
      <c r="H3064" s="4"/>
    </row>
    <row r="3065" spans="1:8" x14ac:dyDescent="0.3">
      <c r="A3065" s="1"/>
      <c r="G3065" s="4"/>
      <c r="H3065" s="4"/>
    </row>
    <row r="3066" spans="1:8" x14ac:dyDescent="0.3">
      <c r="A3066" s="1"/>
      <c r="G3066" s="4"/>
      <c r="H3066" s="4"/>
    </row>
    <row r="3067" spans="1:8" x14ac:dyDescent="0.3">
      <c r="A3067" s="1"/>
      <c r="G3067" s="4"/>
      <c r="H3067" s="4"/>
    </row>
    <row r="3068" spans="1:8" x14ac:dyDescent="0.3">
      <c r="A3068" s="1"/>
      <c r="G3068" s="4"/>
      <c r="H3068" s="4"/>
    </row>
    <row r="3069" spans="1:8" x14ac:dyDescent="0.3">
      <c r="A3069" s="1"/>
      <c r="G3069" s="4"/>
      <c r="H3069" s="4"/>
    </row>
    <row r="3070" spans="1:8" x14ac:dyDescent="0.3">
      <c r="A3070" s="1"/>
      <c r="G3070" s="4"/>
      <c r="H3070" s="4"/>
    </row>
    <row r="3071" spans="1:8" x14ac:dyDescent="0.3">
      <c r="A3071" s="1"/>
      <c r="G3071" s="4"/>
      <c r="H3071" s="4"/>
    </row>
    <row r="3072" spans="1:8" x14ac:dyDescent="0.3">
      <c r="A3072" s="1"/>
      <c r="G3072" s="4"/>
      <c r="H3072" s="4"/>
    </row>
    <row r="3073" spans="1:8" x14ac:dyDescent="0.3">
      <c r="A3073" s="1"/>
      <c r="G3073" s="4"/>
      <c r="H3073" s="4"/>
    </row>
    <row r="3074" spans="1:8" x14ac:dyDescent="0.3">
      <c r="A3074" s="1"/>
      <c r="G3074" s="4"/>
      <c r="H3074" s="4"/>
    </row>
    <row r="3075" spans="1:8" x14ac:dyDescent="0.3">
      <c r="A3075" s="1"/>
      <c r="G3075" s="4"/>
      <c r="H3075" s="4"/>
    </row>
    <row r="3076" spans="1:8" x14ac:dyDescent="0.3">
      <c r="A3076" s="1"/>
      <c r="G3076" s="4"/>
      <c r="H3076" s="4"/>
    </row>
    <row r="3077" spans="1:8" x14ac:dyDescent="0.3">
      <c r="A3077" s="1"/>
      <c r="G3077" s="4"/>
      <c r="H3077" s="4"/>
    </row>
    <row r="3078" spans="1:8" x14ac:dyDescent="0.3">
      <c r="A3078" s="1"/>
      <c r="G3078" s="4"/>
      <c r="H3078" s="4"/>
    </row>
    <row r="3079" spans="1:8" x14ac:dyDescent="0.3">
      <c r="A3079" s="1"/>
      <c r="G3079" s="4"/>
      <c r="H3079" s="4"/>
    </row>
    <row r="3080" spans="1:8" x14ac:dyDescent="0.3">
      <c r="A3080" s="1"/>
      <c r="G3080" s="4"/>
      <c r="H3080" s="4"/>
    </row>
    <row r="3081" spans="1:8" x14ac:dyDescent="0.3">
      <c r="A3081" s="1"/>
      <c r="G3081" s="4"/>
      <c r="H3081" s="4"/>
    </row>
    <row r="3082" spans="1:8" x14ac:dyDescent="0.3">
      <c r="A3082" s="1"/>
      <c r="G3082" s="4"/>
      <c r="H3082" s="4"/>
    </row>
    <row r="3083" spans="1:8" x14ac:dyDescent="0.3">
      <c r="A3083" s="1"/>
      <c r="G3083" s="4"/>
      <c r="H3083" s="4"/>
    </row>
    <row r="3084" spans="1:8" x14ac:dyDescent="0.3">
      <c r="A3084" s="1"/>
      <c r="G3084" s="4"/>
      <c r="H3084" s="4"/>
    </row>
    <row r="3085" spans="1:8" x14ac:dyDescent="0.3">
      <c r="A3085" s="1"/>
      <c r="G3085" s="4"/>
      <c r="H3085" s="4"/>
    </row>
    <row r="3086" spans="1:8" x14ac:dyDescent="0.3">
      <c r="A3086" s="1"/>
      <c r="G3086" s="4"/>
      <c r="H3086" s="4"/>
    </row>
    <row r="3087" spans="1:8" x14ac:dyDescent="0.3">
      <c r="A3087" s="1"/>
      <c r="G3087" s="4"/>
      <c r="H3087" s="4"/>
    </row>
    <row r="3088" spans="1:8" x14ac:dyDescent="0.3">
      <c r="A3088" s="1"/>
      <c r="G3088" s="4"/>
      <c r="H3088" s="4"/>
    </row>
    <row r="3089" spans="1:8" x14ac:dyDescent="0.3">
      <c r="A3089" s="1"/>
      <c r="G3089" s="4"/>
      <c r="H3089" s="4"/>
    </row>
    <row r="3090" spans="1:8" x14ac:dyDescent="0.3">
      <c r="A3090" s="1"/>
      <c r="G3090" s="4"/>
      <c r="H3090" s="4"/>
    </row>
    <row r="3091" spans="1:8" x14ac:dyDescent="0.3">
      <c r="A3091" s="1"/>
      <c r="G3091" s="4"/>
      <c r="H3091" s="4"/>
    </row>
    <row r="3092" spans="1:8" x14ac:dyDescent="0.3">
      <c r="A3092" s="1"/>
      <c r="G3092" s="4"/>
      <c r="H3092" s="4"/>
    </row>
    <row r="3093" spans="1:8" x14ac:dyDescent="0.3">
      <c r="A3093" s="1"/>
      <c r="G3093" s="4"/>
      <c r="H3093" s="4"/>
    </row>
    <row r="3094" spans="1:8" x14ac:dyDescent="0.3">
      <c r="A3094" s="1"/>
      <c r="G3094" s="4"/>
      <c r="H3094" s="4"/>
    </row>
    <row r="3095" spans="1:8" x14ac:dyDescent="0.3">
      <c r="A3095" s="1"/>
      <c r="G3095" s="4"/>
      <c r="H3095" s="4"/>
    </row>
    <row r="3096" spans="1:8" x14ac:dyDescent="0.3">
      <c r="A3096" s="1"/>
      <c r="G3096" s="4"/>
      <c r="H3096" s="4"/>
    </row>
    <row r="3097" spans="1:8" x14ac:dyDescent="0.3">
      <c r="A3097" s="1"/>
      <c r="G3097" s="4"/>
      <c r="H3097" s="4"/>
    </row>
    <row r="3098" spans="1:8" x14ac:dyDescent="0.3">
      <c r="A3098" s="1"/>
      <c r="G3098" s="4"/>
      <c r="H3098" s="4"/>
    </row>
    <row r="3099" spans="1:8" x14ac:dyDescent="0.3">
      <c r="A3099" s="1"/>
      <c r="G3099" s="4"/>
      <c r="H3099" s="4"/>
    </row>
    <row r="3100" spans="1:8" x14ac:dyDescent="0.3">
      <c r="A3100" s="1"/>
      <c r="G3100" s="4"/>
      <c r="H3100" s="4"/>
    </row>
    <row r="3101" spans="1:8" x14ac:dyDescent="0.3">
      <c r="A3101" s="1"/>
      <c r="G3101" s="4"/>
      <c r="H3101" s="4"/>
    </row>
    <row r="3102" spans="1:8" x14ac:dyDescent="0.3">
      <c r="A3102" s="1"/>
      <c r="G3102" s="4"/>
      <c r="H3102" s="4"/>
    </row>
    <row r="3103" spans="1:8" x14ac:dyDescent="0.3">
      <c r="A3103" s="1"/>
      <c r="G3103" s="4"/>
      <c r="H3103" s="4"/>
    </row>
    <row r="3104" spans="1:8" x14ac:dyDescent="0.3">
      <c r="A3104" s="1"/>
      <c r="G3104" s="4"/>
      <c r="H3104" s="4"/>
    </row>
    <row r="3105" spans="1:8" x14ac:dyDescent="0.3">
      <c r="A3105" s="1"/>
      <c r="G3105" s="4"/>
      <c r="H3105" s="4"/>
    </row>
    <row r="3106" spans="1:8" x14ac:dyDescent="0.3">
      <c r="A3106" s="1"/>
      <c r="G3106" s="4"/>
      <c r="H3106" s="4"/>
    </row>
    <row r="3107" spans="1:8" x14ac:dyDescent="0.3">
      <c r="A3107" s="1"/>
      <c r="G3107" s="4"/>
      <c r="H3107" s="4"/>
    </row>
    <row r="3108" spans="1:8" x14ac:dyDescent="0.3">
      <c r="A3108" s="1"/>
      <c r="G3108" s="4"/>
      <c r="H3108" s="4"/>
    </row>
    <row r="3109" spans="1:8" x14ac:dyDescent="0.3">
      <c r="A3109" s="1"/>
      <c r="G3109" s="4"/>
      <c r="H3109" s="4"/>
    </row>
    <row r="3110" spans="1:8" x14ac:dyDescent="0.3">
      <c r="A3110" s="1"/>
      <c r="G3110" s="4"/>
      <c r="H3110" s="4"/>
    </row>
    <row r="3111" spans="1:8" x14ac:dyDescent="0.3">
      <c r="A3111" s="1"/>
      <c r="G3111" s="4"/>
      <c r="H3111" s="4"/>
    </row>
    <row r="3112" spans="1:8" x14ac:dyDescent="0.3">
      <c r="A3112" s="1"/>
      <c r="G3112" s="4"/>
      <c r="H3112" s="4"/>
    </row>
    <row r="3113" spans="1:8" x14ac:dyDescent="0.3">
      <c r="A3113" s="1"/>
      <c r="G3113" s="4"/>
      <c r="H3113" s="4"/>
    </row>
    <row r="3114" spans="1:8" x14ac:dyDescent="0.3">
      <c r="A3114" s="1"/>
      <c r="G3114" s="4"/>
      <c r="H3114" s="4"/>
    </row>
    <row r="3115" spans="1:8" x14ac:dyDescent="0.3">
      <c r="A3115" s="1"/>
      <c r="G3115" s="4"/>
      <c r="H3115" s="4"/>
    </row>
    <row r="3116" spans="1:8" x14ac:dyDescent="0.3">
      <c r="A3116" s="1"/>
      <c r="G3116" s="4"/>
      <c r="H3116" s="4"/>
    </row>
    <row r="3117" spans="1:8" x14ac:dyDescent="0.3">
      <c r="A3117" s="1"/>
      <c r="G3117" s="4"/>
      <c r="H3117" s="4"/>
    </row>
    <row r="3118" spans="1:8" x14ac:dyDescent="0.3">
      <c r="A3118" s="1"/>
      <c r="G3118" s="4"/>
      <c r="H3118" s="4"/>
    </row>
    <row r="3119" spans="1:8" x14ac:dyDescent="0.3">
      <c r="A3119" s="1"/>
      <c r="G3119" s="4"/>
      <c r="H3119" s="4"/>
    </row>
    <row r="3120" spans="1:8" x14ac:dyDescent="0.3">
      <c r="A3120" s="1"/>
      <c r="G3120" s="4"/>
      <c r="H3120" s="4"/>
    </row>
    <row r="3121" spans="1:8" x14ac:dyDescent="0.3">
      <c r="A3121" s="1"/>
      <c r="G3121" s="4"/>
      <c r="H3121" s="4"/>
    </row>
    <row r="3122" spans="1:8" x14ac:dyDescent="0.3">
      <c r="A3122" s="1"/>
      <c r="G3122" s="4"/>
      <c r="H3122" s="4"/>
    </row>
    <row r="3123" spans="1:8" x14ac:dyDescent="0.3">
      <c r="A3123" s="1"/>
      <c r="G3123" s="4"/>
      <c r="H3123" s="4"/>
    </row>
    <row r="3124" spans="1:8" x14ac:dyDescent="0.3">
      <c r="A3124" s="1"/>
      <c r="G3124" s="4"/>
      <c r="H3124" s="4"/>
    </row>
    <row r="3125" spans="1:8" x14ac:dyDescent="0.3">
      <c r="A3125" s="1"/>
      <c r="G3125" s="4"/>
      <c r="H3125" s="4"/>
    </row>
    <row r="3126" spans="1:8" x14ac:dyDescent="0.3">
      <c r="A3126" s="1"/>
      <c r="G3126" s="4"/>
      <c r="H3126" s="4"/>
    </row>
    <row r="3127" spans="1:8" x14ac:dyDescent="0.3">
      <c r="A3127" s="1"/>
      <c r="G3127" s="4"/>
      <c r="H3127" s="4"/>
    </row>
    <row r="3128" spans="1:8" x14ac:dyDescent="0.3">
      <c r="A3128" s="1"/>
      <c r="G3128" s="4"/>
      <c r="H3128" s="4"/>
    </row>
    <row r="3129" spans="1:8" x14ac:dyDescent="0.3">
      <c r="A3129" s="1"/>
      <c r="G3129" s="4"/>
      <c r="H3129" s="4"/>
    </row>
    <row r="3130" spans="1:8" x14ac:dyDescent="0.3">
      <c r="A3130" s="1"/>
      <c r="G3130" s="4"/>
      <c r="H3130" s="4"/>
    </row>
    <row r="3131" spans="1:8" x14ac:dyDescent="0.3">
      <c r="A3131" s="1"/>
      <c r="G3131" s="4"/>
      <c r="H3131" s="4"/>
    </row>
    <row r="3132" spans="1:8" x14ac:dyDescent="0.3">
      <c r="A3132" s="1"/>
      <c r="G3132" s="4"/>
      <c r="H3132" s="4"/>
    </row>
    <row r="3133" spans="1:8" x14ac:dyDescent="0.3">
      <c r="A3133" s="1"/>
      <c r="G3133" s="4"/>
      <c r="H3133" s="4"/>
    </row>
    <row r="3134" spans="1:8" x14ac:dyDescent="0.3">
      <c r="A3134" s="1"/>
      <c r="G3134" s="4"/>
      <c r="H3134" s="4"/>
    </row>
    <row r="3135" spans="1:8" x14ac:dyDescent="0.3">
      <c r="A3135" s="1"/>
      <c r="G3135" s="4"/>
      <c r="H3135" s="4"/>
    </row>
    <row r="3136" spans="1:8" x14ac:dyDescent="0.3">
      <c r="A3136" s="1"/>
      <c r="G3136" s="4"/>
      <c r="H3136" s="4"/>
    </row>
    <row r="3137" spans="1:8" x14ac:dyDescent="0.3">
      <c r="A3137" s="1"/>
      <c r="G3137" s="4"/>
      <c r="H3137" s="4"/>
    </row>
    <row r="3138" spans="1:8" x14ac:dyDescent="0.3">
      <c r="A3138" s="1"/>
      <c r="G3138" s="4"/>
      <c r="H3138" s="4"/>
    </row>
    <row r="3139" spans="1:8" x14ac:dyDescent="0.3">
      <c r="A3139" s="1"/>
      <c r="G3139" s="4"/>
      <c r="H3139" s="4"/>
    </row>
    <row r="3140" spans="1:8" x14ac:dyDescent="0.3">
      <c r="A3140" s="1"/>
      <c r="G3140" s="4"/>
      <c r="H3140" s="4"/>
    </row>
    <row r="3141" spans="1:8" x14ac:dyDescent="0.3">
      <c r="A3141" s="1"/>
      <c r="G3141" s="4"/>
      <c r="H3141" s="4"/>
    </row>
    <row r="3142" spans="1:8" x14ac:dyDescent="0.3">
      <c r="A3142" s="1"/>
      <c r="G3142" s="4"/>
      <c r="H3142" s="4"/>
    </row>
    <row r="3143" spans="1:8" x14ac:dyDescent="0.3">
      <c r="A3143" s="1"/>
      <c r="G3143" s="4"/>
      <c r="H3143" s="4"/>
    </row>
    <row r="3144" spans="1:8" x14ac:dyDescent="0.3">
      <c r="A3144" s="1"/>
      <c r="G3144" s="4"/>
      <c r="H3144" s="4"/>
    </row>
    <row r="3145" spans="1:8" x14ac:dyDescent="0.3">
      <c r="A3145" s="1"/>
      <c r="G3145" s="4"/>
      <c r="H3145" s="4"/>
    </row>
    <row r="3146" spans="1:8" x14ac:dyDescent="0.3">
      <c r="A3146" s="1"/>
      <c r="G3146" s="4"/>
      <c r="H3146" s="4"/>
    </row>
    <row r="3147" spans="1:8" x14ac:dyDescent="0.3">
      <c r="A3147" s="1"/>
      <c r="G3147" s="4"/>
      <c r="H3147" s="4"/>
    </row>
    <row r="3148" spans="1:8" x14ac:dyDescent="0.3">
      <c r="A3148" s="1"/>
      <c r="G3148" s="4"/>
      <c r="H3148" s="4"/>
    </row>
    <row r="3149" spans="1:8" x14ac:dyDescent="0.3">
      <c r="A3149" s="1"/>
      <c r="G3149" s="4"/>
      <c r="H3149" s="4"/>
    </row>
    <row r="3150" spans="1:8" x14ac:dyDescent="0.3">
      <c r="A3150" s="1"/>
      <c r="G3150" s="4"/>
      <c r="H3150" s="4"/>
    </row>
    <row r="3151" spans="1:8" x14ac:dyDescent="0.3">
      <c r="A3151" s="1"/>
      <c r="G3151" s="4"/>
      <c r="H3151" s="4"/>
    </row>
    <row r="3152" spans="1:8" x14ac:dyDescent="0.3">
      <c r="A3152" s="1"/>
      <c r="G3152" s="4"/>
      <c r="H3152" s="4"/>
    </row>
    <row r="3153" spans="1:8" x14ac:dyDescent="0.3">
      <c r="A3153" s="1"/>
      <c r="G3153" s="4"/>
      <c r="H3153" s="4"/>
    </row>
    <row r="3154" spans="1:8" x14ac:dyDescent="0.3">
      <c r="A3154" s="1"/>
      <c r="G3154" s="4"/>
      <c r="H3154" s="4"/>
    </row>
    <row r="3155" spans="1:8" x14ac:dyDescent="0.3">
      <c r="A3155" s="1"/>
      <c r="G3155" s="4"/>
      <c r="H3155" s="4"/>
    </row>
    <row r="3156" spans="1:8" x14ac:dyDescent="0.3">
      <c r="A3156" s="1"/>
      <c r="G3156" s="4"/>
      <c r="H3156" s="4"/>
    </row>
    <row r="3157" spans="1:8" x14ac:dyDescent="0.3">
      <c r="A3157" s="1"/>
      <c r="G3157" s="4"/>
      <c r="H3157" s="4"/>
    </row>
    <row r="3158" spans="1:8" x14ac:dyDescent="0.3">
      <c r="A3158" s="1"/>
      <c r="G3158" s="4"/>
      <c r="H3158" s="4"/>
    </row>
    <row r="3159" spans="1:8" x14ac:dyDescent="0.3">
      <c r="A3159" s="1"/>
      <c r="G3159" s="4"/>
      <c r="H3159" s="4"/>
    </row>
    <row r="3160" spans="1:8" x14ac:dyDescent="0.3">
      <c r="A3160" s="1"/>
      <c r="G3160" s="4"/>
      <c r="H3160" s="4"/>
    </row>
    <row r="3161" spans="1:8" x14ac:dyDescent="0.3">
      <c r="A3161" s="1"/>
      <c r="G3161" s="4"/>
      <c r="H3161" s="4"/>
    </row>
    <row r="3162" spans="1:8" x14ac:dyDescent="0.3">
      <c r="A3162" s="1"/>
      <c r="G3162" s="4"/>
      <c r="H3162" s="4"/>
    </row>
    <row r="3163" spans="1:8" x14ac:dyDescent="0.3">
      <c r="A3163" s="1"/>
      <c r="G3163" s="4"/>
      <c r="H3163" s="4"/>
    </row>
    <row r="3164" spans="1:8" x14ac:dyDescent="0.3">
      <c r="A3164" s="1"/>
      <c r="G3164" s="4"/>
      <c r="H3164" s="4"/>
    </row>
    <row r="3165" spans="1:8" x14ac:dyDescent="0.3">
      <c r="A3165" s="1"/>
      <c r="G3165" s="4"/>
      <c r="H3165" s="4"/>
    </row>
    <row r="3166" spans="1:8" x14ac:dyDescent="0.3">
      <c r="A3166" s="1"/>
      <c r="G3166" s="4"/>
      <c r="H3166" s="4"/>
    </row>
    <row r="3167" spans="1:8" x14ac:dyDescent="0.3">
      <c r="A3167" s="1"/>
      <c r="G3167" s="4"/>
      <c r="H3167" s="4"/>
    </row>
    <row r="3168" spans="1:8" x14ac:dyDescent="0.3">
      <c r="A3168" s="1"/>
      <c r="G3168" s="4"/>
      <c r="H3168" s="4"/>
    </row>
    <row r="3169" spans="1:8" x14ac:dyDescent="0.3">
      <c r="A3169" s="1"/>
      <c r="G3169" s="4"/>
      <c r="H3169" s="4"/>
    </row>
    <row r="3170" spans="1:8" x14ac:dyDescent="0.3">
      <c r="A3170" s="1"/>
      <c r="G3170" s="4"/>
      <c r="H3170" s="4"/>
    </row>
    <row r="3171" spans="1:8" x14ac:dyDescent="0.3">
      <c r="A3171" s="1"/>
      <c r="G3171" s="4"/>
      <c r="H3171" s="4"/>
    </row>
    <row r="3172" spans="1:8" x14ac:dyDescent="0.3">
      <c r="A3172" s="1"/>
      <c r="G3172" s="4"/>
      <c r="H3172" s="4"/>
    </row>
    <row r="3173" spans="1:8" x14ac:dyDescent="0.3">
      <c r="A3173" s="1"/>
      <c r="G3173" s="4"/>
      <c r="H3173" s="4"/>
    </row>
    <row r="3174" spans="1:8" x14ac:dyDescent="0.3">
      <c r="A3174" s="1"/>
      <c r="G3174" s="4"/>
      <c r="H3174" s="4"/>
    </row>
    <row r="3175" spans="1:8" x14ac:dyDescent="0.3">
      <c r="A3175" s="1"/>
      <c r="G3175" s="4"/>
      <c r="H3175" s="4"/>
    </row>
    <row r="3176" spans="1:8" x14ac:dyDescent="0.3">
      <c r="A3176" s="1"/>
      <c r="G3176" s="4"/>
      <c r="H3176" s="4"/>
    </row>
    <row r="3177" spans="1:8" x14ac:dyDescent="0.3">
      <c r="A3177" s="1"/>
      <c r="G3177" s="4"/>
      <c r="H3177" s="4"/>
    </row>
    <row r="3178" spans="1:8" x14ac:dyDescent="0.3">
      <c r="A3178" s="1"/>
      <c r="G3178" s="4"/>
      <c r="H3178" s="4"/>
    </row>
    <row r="3179" spans="1:8" x14ac:dyDescent="0.3">
      <c r="A3179" s="1"/>
      <c r="G3179" s="4"/>
      <c r="H3179" s="4"/>
    </row>
    <row r="3180" spans="1:8" x14ac:dyDescent="0.3">
      <c r="A3180" s="1"/>
      <c r="G3180" s="4"/>
      <c r="H3180" s="4"/>
    </row>
    <row r="3181" spans="1:8" x14ac:dyDescent="0.3">
      <c r="A3181" s="1"/>
      <c r="G3181" s="4"/>
      <c r="H3181" s="4"/>
    </row>
    <row r="3182" spans="1:8" x14ac:dyDescent="0.3">
      <c r="A3182" s="1"/>
      <c r="G3182" s="4"/>
      <c r="H3182" s="4"/>
    </row>
    <row r="3183" spans="1:8" x14ac:dyDescent="0.3">
      <c r="A3183" s="1"/>
      <c r="G3183" s="4"/>
      <c r="H3183" s="4"/>
    </row>
    <row r="3184" spans="1:8" x14ac:dyDescent="0.3">
      <c r="A3184" s="1"/>
      <c r="G3184" s="4"/>
      <c r="H3184" s="4"/>
    </row>
    <row r="3185" spans="1:8" x14ac:dyDescent="0.3">
      <c r="A3185" s="1"/>
      <c r="G3185" s="4"/>
      <c r="H3185" s="4"/>
    </row>
    <row r="3186" spans="1:8" x14ac:dyDescent="0.3">
      <c r="A3186" s="1"/>
      <c r="G3186" s="4"/>
      <c r="H3186" s="4"/>
    </row>
    <row r="3187" spans="1:8" x14ac:dyDescent="0.3">
      <c r="A3187" s="1"/>
      <c r="G3187" s="4"/>
      <c r="H3187" s="4"/>
    </row>
    <row r="3188" spans="1:8" x14ac:dyDescent="0.3">
      <c r="A3188" s="1"/>
      <c r="G3188" s="4"/>
      <c r="H3188" s="4"/>
    </row>
    <row r="3189" spans="1:8" x14ac:dyDescent="0.3">
      <c r="A3189" s="1"/>
      <c r="G3189" s="4"/>
      <c r="H3189" s="4"/>
    </row>
    <row r="3190" spans="1:8" x14ac:dyDescent="0.3">
      <c r="A3190" s="1"/>
      <c r="G3190" s="4"/>
      <c r="H3190" s="4"/>
    </row>
    <row r="3191" spans="1:8" x14ac:dyDescent="0.3">
      <c r="A3191" s="1"/>
      <c r="G3191" s="4"/>
      <c r="H3191" s="4"/>
    </row>
    <row r="3192" spans="1:8" x14ac:dyDescent="0.3">
      <c r="A3192" s="1"/>
      <c r="G3192" s="4"/>
      <c r="H3192" s="4"/>
    </row>
    <row r="3193" spans="1:8" x14ac:dyDescent="0.3">
      <c r="A3193" s="1"/>
      <c r="G3193" s="4"/>
      <c r="H3193" s="4"/>
    </row>
    <row r="3194" spans="1:8" x14ac:dyDescent="0.3">
      <c r="A3194" s="1"/>
      <c r="G3194" s="4"/>
      <c r="H3194" s="4"/>
    </row>
    <row r="3195" spans="1:8" x14ac:dyDescent="0.3">
      <c r="A3195" s="1"/>
      <c r="G3195" s="4"/>
      <c r="H3195" s="4"/>
    </row>
    <row r="3196" spans="1:8" x14ac:dyDescent="0.3">
      <c r="A3196" s="1"/>
      <c r="G3196" s="4"/>
      <c r="H3196" s="4"/>
    </row>
    <row r="3197" spans="1:8" x14ac:dyDescent="0.3">
      <c r="A3197" s="1"/>
      <c r="G3197" s="4"/>
      <c r="H3197" s="4"/>
    </row>
    <row r="3198" spans="1:8" x14ac:dyDescent="0.3">
      <c r="A3198" s="1"/>
      <c r="G3198" s="4"/>
      <c r="H3198" s="4"/>
    </row>
    <row r="3199" spans="1:8" x14ac:dyDescent="0.3">
      <c r="A3199" s="1"/>
      <c r="G3199" s="4"/>
      <c r="H3199" s="4"/>
    </row>
    <row r="3200" spans="1:8" x14ac:dyDescent="0.3">
      <c r="A3200" s="1"/>
      <c r="G3200" s="4"/>
      <c r="H3200" s="4"/>
    </row>
    <row r="3201" spans="1:8" x14ac:dyDescent="0.3">
      <c r="A3201" s="1"/>
      <c r="G3201" s="4"/>
      <c r="H3201" s="4"/>
    </row>
    <row r="3202" spans="1:8" x14ac:dyDescent="0.3">
      <c r="A3202" s="1"/>
      <c r="G3202" s="4"/>
      <c r="H3202" s="4"/>
    </row>
    <row r="3203" spans="1:8" x14ac:dyDescent="0.3">
      <c r="A3203" s="1"/>
      <c r="G3203" s="4"/>
      <c r="H3203" s="4"/>
    </row>
    <row r="3204" spans="1:8" x14ac:dyDescent="0.3">
      <c r="A3204" s="1"/>
      <c r="G3204" s="4"/>
      <c r="H3204" s="4"/>
    </row>
    <row r="3205" spans="1:8" x14ac:dyDescent="0.3">
      <c r="A3205" s="1"/>
      <c r="G3205" s="4"/>
      <c r="H3205" s="4"/>
    </row>
    <row r="3206" spans="1:8" x14ac:dyDescent="0.3">
      <c r="A3206" s="1"/>
      <c r="G3206" s="4"/>
      <c r="H3206" s="4"/>
    </row>
    <row r="3207" spans="1:8" x14ac:dyDescent="0.3">
      <c r="A3207" s="1"/>
      <c r="G3207" s="4"/>
      <c r="H3207" s="4"/>
    </row>
    <row r="3208" spans="1:8" x14ac:dyDescent="0.3">
      <c r="A3208" s="1"/>
      <c r="G3208" s="4"/>
      <c r="H3208" s="4"/>
    </row>
    <row r="3209" spans="1:8" x14ac:dyDescent="0.3">
      <c r="A3209" s="1"/>
      <c r="G3209" s="4"/>
      <c r="H3209" s="4"/>
    </row>
    <row r="3210" spans="1:8" x14ac:dyDescent="0.3">
      <c r="A3210" s="1"/>
      <c r="G3210" s="4"/>
      <c r="H3210" s="4"/>
    </row>
    <row r="3211" spans="1:8" x14ac:dyDescent="0.3">
      <c r="A3211" s="1"/>
      <c r="G3211" s="4"/>
      <c r="H3211" s="4"/>
    </row>
    <row r="3212" spans="1:8" x14ac:dyDescent="0.3">
      <c r="A3212" s="1"/>
      <c r="G3212" s="4"/>
      <c r="H3212" s="4"/>
    </row>
    <row r="3213" spans="1:8" x14ac:dyDescent="0.3">
      <c r="A3213" s="1"/>
      <c r="G3213" s="4"/>
      <c r="H3213" s="4"/>
    </row>
    <row r="3214" spans="1:8" x14ac:dyDescent="0.3">
      <c r="A3214" s="1"/>
      <c r="G3214" s="4"/>
      <c r="H3214" s="4"/>
    </row>
    <row r="3215" spans="1:8" x14ac:dyDescent="0.3">
      <c r="A3215" s="1"/>
      <c r="G3215" s="4"/>
      <c r="H3215" s="4"/>
    </row>
    <row r="3216" spans="1:8" x14ac:dyDescent="0.3">
      <c r="A3216" s="1"/>
      <c r="G3216" s="4"/>
      <c r="H3216" s="4"/>
    </row>
    <row r="3217" spans="1:8" x14ac:dyDescent="0.3">
      <c r="A3217" s="1"/>
      <c r="G3217" s="4"/>
      <c r="H3217" s="4"/>
    </row>
    <row r="3218" spans="1:8" x14ac:dyDescent="0.3">
      <c r="A3218" s="1"/>
      <c r="G3218" s="4"/>
      <c r="H3218" s="4"/>
    </row>
    <row r="3219" spans="1:8" x14ac:dyDescent="0.3">
      <c r="A3219" s="1"/>
      <c r="G3219" s="4"/>
      <c r="H3219" s="4"/>
    </row>
    <row r="3220" spans="1:8" x14ac:dyDescent="0.3">
      <c r="A3220" s="1"/>
      <c r="G3220" s="4"/>
      <c r="H3220" s="4"/>
    </row>
    <row r="3221" spans="1:8" x14ac:dyDescent="0.3">
      <c r="A3221" s="1"/>
      <c r="G3221" s="4"/>
      <c r="H3221" s="4"/>
    </row>
    <row r="3222" spans="1:8" x14ac:dyDescent="0.3">
      <c r="A3222" s="1"/>
      <c r="G3222" s="4"/>
      <c r="H3222" s="4"/>
    </row>
    <row r="3223" spans="1:8" x14ac:dyDescent="0.3">
      <c r="A3223" s="1"/>
      <c r="G3223" s="4"/>
      <c r="H3223" s="4"/>
    </row>
    <row r="3224" spans="1:8" x14ac:dyDescent="0.3">
      <c r="A3224" s="1"/>
      <c r="G3224" s="4"/>
      <c r="H3224" s="4"/>
    </row>
    <row r="3225" spans="1:8" x14ac:dyDescent="0.3">
      <c r="A3225" s="1"/>
      <c r="G3225" s="4"/>
      <c r="H3225" s="4"/>
    </row>
    <row r="3226" spans="1:8" x14ac:dyDescent="0.3">
      <c r="A3226" s="1"/>
      <c r="G3226" s="4"/>
      <c r="H3226" s="4"/>
    </row>
    <row r="3227" spans="1:8" x14ac:dyDescent="0.3">
      <c r="A3227" s="1"/>
      <c r="G3227" s="4"/>
      <c r="H3227" s="4"/>
    </row>
    <row r="3228" spans="1:8" x14ac:dyDescent="0.3">
      <c r="A3228" s="1"/>
      <c r="G3228" s="4"/>
      <c r="H3228" s="4"/>
    </row>
    <row r="3229" spans="1:8" x14ac:dyDescent="0.3">
      <c r="A3229" s="1"/>
      <c r="G3229" s="4"/>
      <c r="H3229" s="4"/>
    </row>
    <row r="3230" spans="1:8" x14ac:dyDescent="0.3">
      <c r="A3230" s="1"/>
      <c r="G3230" s="4"/>
      <c r="H3230" s="4"/>
    </row>
    <row r="3231" spans="1:8" x14ac:dyDescent="0.3">
      <c r="A3231" s="1"/>
      <c r="G3231" s="4"/>
      <c r="H3231" s="4"/>
    </row>
    <row r="3232" spans="1:8" x14ac:dyDescent="0.3">
      <c r="A3232" s="1"/>
      <c r="G3232" s="4"/>
      <c r="H3232" s="4"/>
    </row>
    <row r="3233" spans="1:8" x14ac:dyDescent="0.3">
      <c r="A3233" s="1"/>
      <c r="G3233" s="4"/>
      <c r="H3233" s="4"/>
    </row>
    <row r="3234" spans="1:8" x14ac:dyDescent="0.3">
      <c r="A3234" s="1"/>
      <c r="G3234" s="4"/>
      <c r="H3234" s="4"/>
    </row>
    <row r="3235" spans="1:8" x14ac:dyDescent="0.3">
      <c r="A3235" s="1"/>
      <c r="G3235" s="4"/>
      <c r="H3235" s="4"/>
    </row>
    <row r="3236" spans="1:8" x14ac:dyDescent="0.3">
      <c r="A3236" s="1"/>
      <c r="G3236" s="4"/>
      <c r="H3236" s="4"/>
    </row>
    <row r="3237" spans="1:8" x14ac:dyDescent="0.3">
      <c r="A3237" s="1"/>
      <c r="G3237" s="4"/>
      <c r="H3237" s="4"/>
    </row>
    <row r="3238" spans="1:8" x14ac:dyDescent="0.3">
      <c r="A3238" s="1"/>
      <c r="G3238" s="4"/>
      <c r="H3238" s="4"/>
    </row>
    <row r="3239" spans="1:8" x14ac:dyDescent="0.3">
      <c r="A3239" s="1"/>
      <c r="G3239" s="4"/>
      <c r="H3239" s="4"/>
    </row>
    <row r="3240" spans="1:8" x14ac:dyDescent="0.3">
      <c r="A3240" s="1"/>
      <c r="G3240" s="4"/>
      <c r="H3240" s="4"/>
    </row>
    <row r="3241" spans="1:8" x14ac:dyDescent="0.3">
      <c r="A3241" s="1"/>
      <c r="G3241" s="4"/>
      <c r="H3241" s="4"/>
    </row>
    <row r="3242" spans="1:8" x14ac:dyDescent="0.3">
      <c r="A3242" s="1"/>
      <c r="G3242" s="4"/>
      <c r="H3242" s="4"/>
    </row>
    <row r="3243" spans="1:8" x14ac:dyDescent="0.3">
      <c r="A3243" s="1"/>
      <c r="G3243" s="4"/>
      <c r="H3243" s="4"/>
    </row>
    <row r="3244" spans="1:8" x14ac:dyDescent="0.3">
      <c r="A3244" s="1"/>
      <c r="G3244" s="4"/>
      <c r="H3244" s="4"/>
    </row>
    <row r="3245" spans="1:8" x14ac:dyDescent="0.3">
      <c r="A3245" s="1"/>
      <c r="G3245" s="4"/>
      <c r="H3245" s="4"/>
    </row>
    <row r="3246" spans="1:8" x14ac:dyDescent="0.3">
      <c r="A3246" s="1"/>
      <c r="G3246" s="4"/>
      <c r="H3246" s="4"/>
    </row>
    <row r="3247" spans="1:8" x14ac:dyDescent="0.3">
      <c r="A3247" s="1"/>
      <c r="G3247" s="4"/>
      <c r="H3247" s="4"/>
    </row>
    <row r="3248" spans="1:8" x14ac:dyDescent="0.3">
      <c r="A3248" s="1"/>
      <c r="G3248" s="4"/>
      <c r="H3248" s="4"/>
    </row>
    <row r="3249" spans="1:8" x14ac:dyDescent="0.3">
      <c r="A3249" s="1"/>
      <c r="G3249" s="4"/>
      <c r="H3249" s="4"/>
    </row>
    <row r="3250" spans="1:8" x14ac:dyDescent="0.3">
      <c r="A3250" s="1"/>
      <c r="G3250" s="4"/>
      <c r="H3250" s="4"/>
    </row>
    <row r="3251" spans="1:8" x14ac:dyDescent="0.3">
      <c r="A3251" s="1"/>
      <c r="G3251" s="4"/>
      <c r="H3251" s="4"/>
    </row>
    <row r="3252" spans="1:8" x14ac:dyDescent="0.3">
      <c r="A3252" s="1"/>
      <c r="G3252" s="4"/>
      <c r="H3252" s="4"/>
    </row>
    <row r="3253" spans="1:8" x14ac:dyDescent="0.3">
      <c r="A3253" s="1"/>
      <c r="G3253" s="4"/>
      <c r="H3253" s="4"/>
    </row>
    <row r="3254" spans="1:8" x14ac:dyDescent="0.3">
      <c r="A3254" s="1"/>
      <c r="G3254" s="4"/>
      <c r="H3254" s="4"/>
    </row>
    <row r="3255" spans="1:8" x14ac:dyDescent="0.3">
      <c r="A3255" s="1"/>
      <c r="G3255" s="4"/>
      <c r="H3255" s="4"/>
    </row>
    <row r="3256" spans="1:8" x14ac:dyDescent="0.3">
      <c r="A3256" s="1"/>
      <c r="G3256" s="4"/>
      <c r="H3256" s="4"/>
    </row>
    <row r="3257" spans="1:8" x14ac:dyDescent="0.3">
      <c r="A3257" s="1"/>
      <c r="G3257" s="4"/>
      <c r="H3257" s="4"/>
    </row>
    <row r="3258" spans="1:8" x14ac:dyDescent="0.3">
      <c r="A3258" s="1"/>
      <c r="G3258" s="4"/>
      <c r="H3258" s="4"/>
    </row>
    <row r="3259" spans="1:8" x14ac:dyDescent="0.3">
      <c r="A3259" s="1"/>
      <c r="G3259" s="4"/>
      <c r="H3259" s="4"/>
    </row>
    <row r="3260" spans="1:8" x14ac:dyDescent="0.3">
      <c r="A3260" s="1"/>
      <c r="G3260" s="4"/>
      <c r="H3260" s="4"/>
    </row>
    <row r="3261" spans="1:8" x14ac:dyDescent="0.3">
      <c r="A3261" s="1"/>
      <c r="G3261" s="4"/>
      <c r="H3261" s="4"/>
    </row>
    <row r="3262" spans="1:8" x14ac:dyDescent="0.3">
      <c r="A3262" s="1"/>
      <c r="G3262" s="4"/>
      <c r="H3262" s="4"/>
    </row>
    <row r="3263" spans="1:8" x14ac:dyDescent="0.3">
      <c r="A3263" s="1"/>
      <c r="G3263" s="4"/>
      <c r="H3263" s="4"/>
    </row>
    <row r="3264" spans="1:8" x14ac:dyDescent="0.3">
      <c r="A3264" s="1"/>
      <c r="G3264" s="4"/>
      <c r="H3264" s="4"/>
    </row>
    <row r="3265" spans="1:8" x14ac:dyDescent="0.3">
      <c r="A3265" s="1"/>
      <c r="G3265" s="4"/>
      <c r="H3265" s="4"/>
    </row>
    <row r="3266" spans="1:8" x14ac:dyDescent="0.3">
      <c r="A3266" s="1"/>
      <c r="G3266" s="4"/>
      <c r="H3266" s="4"/>
    </row>
    <row r="3267" spans="1:8" x14ac:dyDescent="0.3">
      <c r="A3267" s="1"/>
      <c r="G3267" s="4"/>
      <c r="H3267" s="4"/>
    </row>
    <row r="3268" spans="1:8" x14ac:dyDescent="0.3">
      <c r="A3268" s="1"/>
      <c r="G3268" s="4"/>
      <c r="H3268" s="4"/>
    </row>
    <row r="3269" spans="1:8" x14ac:dyDescent="0.3">
      <c r="A3269" s="1"/>
      <c r="G3269" s="4"/>
      <c r="H3269" s="4"/>
    </row>
    <row r="3270" spans="1:8" x14ac:dyDescent="0.3">
      <c r="A3270" s="1"/>
      <c r="G3270" s="4"/>
      <c r="H3270" s="4"/>
    </row>
    <row r="3271" spans="1:8" x14ac:dyDescent="0.3">
      <c r="A3271" s="1"/>
      <c r="G3271" s="4"/>
      <c r="H3271" s="4"/>
    </row>
    <row r="3272" spans="1:8" x14ac:dyDescent="0.3">
      <c r="A3272" s="1"/>
      <c r="G3272" s="4"/>
      <c r="H3272" s="4"/>
    </row>
    <row r="3273" spans="1:8" x14ac:dyDescent="0.3">
      <c r="A3273" s="1"/>
      <c r="G3273" s="4"/>
      <c r="H3273" s="4"/>
    </row>
    <row r="3274" spans="1:8" x14ac:dyDescent="0.3">
      <c r="A3274" s="1"/>
      <c r="G3274" s="4"/>
      <c r="H3274" s="4"/>
    </row>
    <row r="3275" spans="1:8" x14ac:dyDescent="0.3">
      <c r="A3275" s="1"/>
      <c r="G3275" s="4"/>
      <c r="H3275" s="4"/>
    </row>
    <row r="3276" spans="1:8" x14ac:dyDescent="0.3">
      <c r="A3276" s="1"/>
      <c r="G3276" s="4"/>
      <c r="H3276" s="4"/>
    </row>
    <row r="3277" spans="1:8" x14ac:dyDescent="0.3">
      <c r="A3277" s="1"/>
      <c r="G3277" s="4"/>
      <c r="H3277" s="4"/>
    </row>
    <row r="3278" spans="1:8" x14ac:dyDescent="0.3">
      <c r="A3278" s="1"/>
      <c r="G3278" s="4"/>
      <c r="H3278" s="4"/>
    </row>
    <row r="3279" spans="1:8" x14ac:dyDescent="0.3">
      <c r="A3279" s="1"/>
      <c r="G3279" s="4"/>
      <c r="H3279" s="4"/>
    </row>
    <row r="3280" spans="1:8" x14ac:dyDescent="0.3">
      <c r="A3280" s="1"/>
      <c r="G3280" s="4"/>
      <c r="H3280" s="4"/>
    </row>
    <row r="3281" spans="1:8" x14ac:dyDescent="0.3">
      <c r="A3281" s="1"/>
      <c r="G3281" s="4"/>
      <c r="H3281" s="4"/>
    </row>
    <row r="3282" spans="1:8" x14ac:dyDescent="0.3">
      <c r="A3282" s="1"/>
      <c r="G3282" s="4"/>
      <c r="H3282" s="4"/>
    </row>
    <row r="3283" spans="1:8" x14ac:dyDescent="0.3">
      <c r="A3283" s="1"/>
      <c r="G3283" s="4"/>
      <c r="H3283" s="4"/>
    </row>
    <row r="3284" spans="1:8" x14ac:dyDescent="0.3">
      <c r="A3284" s="1"/>
      <c r="G3284" s="4"/>
      <c r="H3284" s="4"/>
    </row>
    <row r="3285" spans="1:8" x14ac:dyDescent="0.3">
      <c r="A3285" s="1"/>
      <c r="G3285" s="4"/>
      <c r="H3285" s="4"/>
    </row>
    <row r="3286" spans="1:8" x14ac:dyDescent="0.3">
      <c r="A3286" s="1"/>
      <c r="G3286" s="4"/>
      <c r="H3286" s="4"/>
    </row>
    <row r="3287" spans="1:8" x14ac:dyDescent="0.3">
      <c r="A3287" s="1"/>
      <c r="G3287" s="4"/>
      <c r="H3287" s="4"/>
    </row>
    <row r="3288" spans="1:8" x14ac:dyDescent="0.3">
      <c r="A3288" s="1"/>
      <c r="G3288" s="4"/>
      <c r="H3288" s="4"/>
    </row>
    <row r="3289" spans="1:8" x14ac:dyDescent="0.3">
      <c r="A3289" s="1"/>
      <c r="G3289" s="4"/>
      <c r="H3289" s="4"/>
    </row>
    <row r="3290" spans="1:8" x14ac:dyDescent="0.3">
      <c r="A3290" s="1"/>
      <c r="G3290" s="4"/>
      <c r="H3290" s="4"/>
    </row>
    <row r="3291" spans="1:8" x14ac:dyDescent="0.3">
      <c r="A3291" s="1"/>
      <c r="G3291" s="4"/>
      <c r="H3291" s="4"/>
    </row>
    <row r="3292" spans="1:8" x14ac:dyDescent="0.3">
      <c r="A3292" s="1"/>
      <c r="G3292" s="4"/>
      <c r="H3292" s="4"/>
    </row>
    <row r="3293" spans="1:8" x14ac:dyDescent="0.3">
      <c r="A3293" s="1"/>
      <c r="G3293" s="4"/>
      <c r="H3293" s="4"/>
    </row>
    <row r="3294" spans="1:8" x14ac:dyDescent="0.3">
      <c r="A3294" s="1"/>
      <c r="G3294" s="4"/>
      <c r="H3294" s="4"/>
    </row>
    <row r="3295" spans="1:8" x14ac:dyDescent="0.3">
      <c r="A3295" s="1"/>
      <c r="G3295" s="4"/>
      <c r="H3295" s="4"/>
    </row>
    <row r="3296" spans="1:8" x14ac:dyDescent="0.3">
      <c r="A3296" s="1"/>
      <c r="G3296" s="4"/>
      <c r="H3296" s="4"/>
    </row>
    <row r="3297" spans="1:8" x14ac:dyDescent="0.3">
      <c r="A3297" s="1"/>
      <c r="G3297" s="4"/>
      <c r="H3297" s="4"/>
    </row>
    <row r="3298" spans="1:8" x14ac:dyDescent="0.3">
      <c r="A3298" s="1"/>
      <c r="G3298" s="4"/>
      <c r="H3298" s="4"/>
    </row>
    <row r="3299" spans="1:8" x14ac:dyDescent="0.3">
      <c r="A3299" s="1"/>
      <c r="G3299" s="4"/>
      <c r="H3299" s="4"/>
    </row>
    <row r="3300" spans="1:8" x14ac:dyDescent="0.3">
      <c r="A3300" s="1"/>
      <c r="G3300" s="4"/>
      <c r="H3300" s="4"/>
    </row>
    <row r="3301" spans="1:8" x14ac:dyDescent="0.3">
      <c r="A3301" s="1"/>
      <c r="G3301" s="4"/>
      <c r="H3301" s="4"/>
    </row>
    <row r="3302" spans="1:8" x14ac:dyDescent="0.3">
      <c r="A3302" s="1"/>
      <c r="G3302" s="4"/>
      <c r="H3302" s="4"/>
    </row>
    <row r="3303" spans="1:8" x14ac:dyDescent="0.3">
      <c r="A3303" s="1"/>
      <c r="G3303" s="4"/>
      <c r="H3303" s="4"/>
    </row>
    <row r="3304" spans="1:8" x14ac:dyDescent="0.3">
      <c r="A3304" s="1"/>
      <c r="G3304" s="4"/>
      <c r="H3304" s="4"/>
    </row>
    <row r="3305" spans="1:8" x14ac:dyDescent="0.3">
      <c r="A3305" s="1"/>
      <c r="G3305" s="4"/>
      <c r="H3305" s="4"/>
    </row>
    <row r="3306" spans="1:8" x14ac:dyDescent="0.3">
      <c r="A3306" s="1"/>
      <c r="G3306" s="4"/>
      <c r="H3306" s="4"/>
    </row>
    <row r="3307" spans="1:8" x14ac:dyDescent="0.3">
      <c r="A3307" s="1"/>
      <c r="G3307" s="4"/>
      <c r="H3307" s="4"/>
    </row>
    <row r="3308" spans="1:8" x14ac:dyDescent="0.3">
      <c r="A3308" s="1"/>
      <c r="G3308" s="4"/>
      <c r="H3308" s="4"/>
    </row>
    <row r="3309" spans="1:8" x14ac:dyDescent="0.3">
      <c r="A3309" s="1"/>
      <c r="G3309" s="4"/>
      <c r="H3309" s="4"/>
    </row>
    <row r="3310" spans="1:8" x14ac:dyDescent="0.3">
      <c r="A3310" s="1"/>
      <c r="G3310" s="4"/>
      <c r="H3310" s="4"/>
    </row>
    <row r="3311" spans="1:8" x14ac:dyDescent="0.3">
      <c r="A3311" s="1"/>
      <c r="G3311" s="4"/>
      <c r="H3311" s="4"/>
    </row>
    <row r="3312" spans="1:8" x14ac:dyDescent="0.3">
      <c r="A3312" s="1"/>
      <c r="G3312" s="4"/>
      <c r="H3312" s="4"/>
    </row>
    <row r="3313" spans="1:8" x14ac:dyDescent="0.3">
      <c r="A3313" s="1"/>
      <c r="G3313" s="4"/>
      <c r="H3313" s="4"/>
    </row>
    <row r="3314" spans="1:8" x14ac:dyDescent="0.3">
      <c r="A3314" s="1"/>
      <c r="G3314" s="4"/>
      <c r="H3314" s="4"/>
    </row>
    <row r="3315" spans="1:8" x14ac:dyDescent="0.3">
      <c r="A3315" s="1"/>
      <c r="G3315" s="4"/>
      <c r="H3315" s="4"/>
    </row>
    <row r="3316" spans="1:8" x14ac:dyDescent="0.3">
      <c r="A3316" s="1"/>
      <c r="G3316" s="4"/>
      <c r="H3316" s="4"/>
    </row>
    <row r="3317" spans="1:8" x14ac:dyDescent="0.3">
      <c r="A3317" s="1"/>
      <c r="G3317" s="4"/>
      <c r="H3317" s="4"/>
    </row>
    <row r="3318" spans="1:8" x14ac:dyDescent="0.3">
      <c r="A3318" s="1"/>
      <c r="G3318" s="4"/>
      <c r="H3318" s="4"/>
    </row>
    <row r="3319" spans="1:8" x14ac:dyDescent="0.3">
      <c r="A3319" s="1"/>
      <c r="G3319" s="4"/>
      <c r="H3319" s="4"/>
    </row>
    <row r="3320" spans="1:8" x14ac:dyDescent="0.3">
      <c r="A3320" s="1"/>
      <c r="G3320" s="4"/>
      <c r="H3320" s="4"/>
    </row>
    <row r="3321" spans="1:8" x14ac:dyDescent="0.3">
      <c r="A3321" s="1"/>
      <c r="G3321" s="4"/>
      <c r="H3321" s="4"/>
    </row>
    <row r="3322" spans="1:8" x14ac:dyDescent="0.3">
      <c r="A3322" s="1"/>
      <c r="G3322" s="4"/>
      <c r="H3322" s="4"/>
    </row>
    <row r="3323" spans="1:8" x14ac:dyDescent="0.3">
      <c r="A3323" s="1"/>
      <c r="G3323" s="4"/>
      <c r="H3323" s="4"/>
    </row>
    <row r="3324" spans="1:8" x14ac:dyDescent="0.3">
      <c r="A3324" s="1"/>
      <c r="G3324" s="4"/>
      <c r="H3324" s="4"/>
    </row>
    <row r="3325" spans="1:8" x14ac:dyDescent="0.3">
      <c r="A3325" s="1"/>
      <c r="G3325" s="4"/>
      <c r="H3325" s="4"/>
    </row>
    <row r="3326" spans="1:8" x14ac:dyDescent="0.3">
      <c r="A3326" s="1"/>
      <c r="G3326" s="4"/>
      <c r="H3326" s="4"/>
    </row>
    <row r="3327" spans="1:8" x14ac:dyDescent="0.3">
      <c r="A3327" s="1"/>
      <c r="G3327" s="4"/>
      <c r="H3327" s="4"/>
    </row>
    <row r="3328" spans="1:8" x14ac:dyDescent="0.3">
      <c r="A3328" s="1"/>
      <c r="G3328" s="4"/>
      <c r="H3328" s="4"/>
    </row>
    <row r="3329" spans="1:8" x14ac:dyDescent="0.3">
      <c r="A3329" s="1"/>
      <c r="G3329" s="4"/>
      <c r="H3329" s="4"/>
    </row>
    <row r="3330" spans="1:8" x14ac:dyDescent="0.3">
      <c r="A3330" s="1"/>
      <c r="G3330" s="4"/>
      <c r="H3330" s="4"/>
    </row>
    <row r="3331" spans="1:8" x14ac:dyDescent="0.3">
      <c r="A3331" s="1"/>
      <c r="G3331" s="4"/>
      <c r="H3331" s="4"/>
    </row>
    <row r="3332" spans="1:8" x14ac:dyDescent="0.3">
      <c r="A3332" s="1"/>
      <c r="G3332" s="4"/>
      <c r="H3332" s="4"/>
    </row>
    <row r="3333" spans="1:8" x14ac:dyDescent="0.3">
      <c r="A3333" s="1"/>
      <c r="G3333" s="4"/>
      <c r="H3333" s="4"/>
    </row>
    <row r="3334" spans="1:8" x14ac:dyDescent="0.3">
      <c r="A3334" s="1"/>
      <c r="G3334" s="4"/>
      <c r="H3334" s="4"/>
    </row>
    <row r="3335" spans="1:8" x14ac:dyDescent="0.3">
      <c r="A3335" s="1"/>
      <c r="G3335" s="4"/>
      <c r="H3335" s="4"/>
    </row>
    <row r="3336" spans="1:8" x14ac:dyDescent="0.3">
      <c r="A3336" s="1"/>
      <c r="G3336" s="4"/>
      <c r="H3336" s="4"/>
    </row>
    <row r="3337" spans="1:8" x14ac:dyDescent="0.3">
      <c r="A3337" s="1"/>
      <c r="G3337" s="4"/>
      <c r="H3337" s="4"/>
    </row>
    <row r="3338" spans="1:8" x14ac:dyDescent="0.3">
      <c r="A3338" s="1"/>
      <c r="G3338" s="4"/>
      <c r="H3338" s="4"/>
    </row>
    <row r="3339" spans="1:8" x14ac:dyDescent="0.3">
      <c r="A3339" s="1"/>
      <c r="G3339" s="4"/>
      <c r="H3339" s="4"/>
    </row>
    <row r="3340" spans="1:8" x14ac:dyDescent="0.3">
      <c r="A3340" s="1"/>
      <c r="G3340" s="4"/>
      <c r="H3340" s="4"/>
    </row>
    <row r="3341" spans="1:8" x14ac:dyDescent="0.3">
      <c r="A3341" s="1"/>
      <c r="G3341" s="4"/>
      <c r="H3341" s="4"/>
    </row>
    <row r="3342" spans="1:8" x14ac:dyDescent="0.3">
      <c r="A3342" s="1"/>
      <c r="G3342" s="4"/>
      <c r="H3342" s="4"/>
    </row>
    <row r="3343" spans="1:8" x14ac:dyDescent="0.3">
      <c r="A3343" s="1"/>
      <c r="G3343" s="4"/>
      <c r="H3343" s="4"/>
    </row>
    <row r="3344" spans="1:8" x14ac:dyDescent="0.3">
      <c r="A3344" s="1"/>
      <c r="G3344" s="4"/>
      <c r="H3344" s="4"/>
    </row>
    <row r="3345" spans="1:8" x14ac:dyDescent="0.3">
      <c r="A3345" s="1"/>
      <c r="G3345" s="4"/>
      <c r="H3345" s="4"/>
    </row>
    <row r="3346" spans="1:8" x14ac:dyDescent="0.3">
      <c r="A3346" s="1"/>
      <c r="G3346" s="4"/>
      <c r="H3346" s="4"/>
    </row>
    <row r="3347" spans="1:8" x14ac:dyDescent="0.3">
      <c r="A3347" s="1"/>
      <c r="G3347" s="4"/>
      <c r="H3347" s="4"/>
    </row>
    <row r="3348" spans="1:8" x14ac:dyDescent="0.3">
      <c r="A3348" s="1"/>
      <c r="G3348" s="4"/>
      <c r="H3348" s="4"/>
    </row>
    <row r="3349" spans="1:8" x14ac:dyDescent="0.3">
      <c r="A3349" s="1"/>
      <c r="G3349" s="4"/>
      <c r="H3349" s="4"/>
    </row>
    <row r="3350" spans="1:8" x14ac:dyDescent="0.3">
      <c r="A3350" s="1"/>
      <c r="G3350" s="4"/>
      <c r="H3350" s="4"/>
    </row>
    <row r="3351" spans="1:8" x14ac:dyDescent="0.3">
      <c r="A3351" s="1"/>
      <c r="G3351" s="4"/>
      <c r="H3351" s="4"/>
    </row>
    <row r="3352" spans="1:8" x14ac:dyDescent="0.3">
      <c r="A3352" s="1"/>
      <c r="G3352" s="4"/>
      <c r="H3352" s="4"/>
    </row>
    <row r="3353" spans="1:8" x14ac:dyDescent="0.3">
      <c r="A3353" s="1"/>
      <c r="G3353" s="4"/>
      <c r="H3353" s="4"/>
    </row>
    <row r="3354" spans="1:8" x14ac:dyDescent="0.3">
      <c r="A3354" s="1"/>
      <c r="G3354" s="4"/>
      <c r="H3354" s="4"/>
    </row>
    <row r="3355" spans="1:8" x14ac:dyDescent="0.3">
      <c r="A3355" s="1"/>
      <c r="G3355" s="4"/>
      <c r="H3355" s="4"/>
    </row>
    <row r="3356" spans="1:8" x14ac:dyDescent="0.3">
      <c r="A3356" s="1"/>
      <c r="G3356" s="4"/>
      <c r="H3356" s="4"/>
    </row>
    <row r="3357" spans="1:8" x14ac:dyDescent="0.3">
      <c r="A3357" s="1"/>
      <c r="G3357" s="4"/>
      <c r="H3357" s="4"/>
    </row>
    <row r="3358" spans="1:8" x14ac:dyDescent="0.3">
      <c r="A3358" s="1"/>
      <c r="G3358" s="4"/>
      <c r="H3358" s="4"/>
    </row>
    <row r="3359" spans="1:8" x14ac:dyDescent="0.3">
      <c r="A3359" s="1"/>
      <c r="G3359" s="4"/>
      <c r="H3359" s="4"/>
    </row>
    <row r="3360" spans="1:8" x14ac:dyDescent="0.3">
      <c r="A3360" s="1"/>
      <c r="G3360" s="4"/>
      <c r="H3360" s="4"/>
    </row>
    <row r="3361" spans="1:8" x14ac:dyDescent="0.3">
      <c r="A3361" s="1"/>
      <c r="G3361" s="4"/>
      <c r="H3361" s="4"/>
    </row>
    <row r="3362" spans="1:8" x14ac:dyDescent="0.3">
      <c r="A3362" s="1"/>
      <c r="G3362" s="4"/>
      <c r="H3362" s="4"/>
    </row>
    <row r="3363" spans="1:8" x14ac:dyDescent="0.3">
      <c r="A3363" s="1"/>
      <c r="G3363" s="4"/>
      <c r="H3363" s="4"/>
    </row>
    <row r="3364" spans="1:8" x14ac:dyDescent="0.3">
      <c r="A3364" s="1"/>
      <c r="G3364" s="4"/>
      <c r="H3364" s="4"/>
    </row>
    <row r="3365" spans="1:8" x14ac:dyDescent="0.3">
      <c r="A3365" s="1"/>
      <c r="G3365" s="4"/>
      <c r="H3365" s="4"/>
    </row>
    <row r="3366" spans="1:8" x14ac:dyDescent="0.3">
      <c r="A3366" s="1"/>
      <c r="G3366" s="4"/>
      <c r="H3366" s="4"/>
    </row>
    <row r="3367" spans="1:8" x14ac:dyDescent="0.3">
      <c r="A3367" s="1"/>
      <c r="G3367" s="4"/>
      <c r="H3367" s="4"/>
    </row>
    <row r="3368" spans="1:8" x14ac:dyDescent="0.3">
      <c r="A3368" s="1"/>
      <c r="G3368" s="4"/>
      <c r="H3368" s="4"/>
    </row>
    <row r="3369" spans="1:8" x14ac:dyDescent="0.3">
      <c r="A3369" s="1"/>
      <c r="G3369" s="4"/>
      <c r="H3369" s="4"/>
    </row>
    <row r="3370" spans="1:8" x14ac:dyDescent="0.3">
      <c r="A3370" s="1"/>
      <c r="G3370" s="4"/>
      <c r="H3370" s="4"/>
    </row>
    <row r="3371" spans="1:8" x14ac:dyDescent="0.3">
      <c r="A3371" s="1"/>
      <c r="G3371" s="4"/>
      <c r="H3371" s="4"/>
    </row>
    <row r="3372" spans="1:8" x14ac:dyDescent="0.3">
      <c r="A3372" s="1"/>
      <c r="G3372" s="4"/>
      <c r="H3372" s="4"/>
    </row>
    <row r="3373" spans="1:8" x14ac:dyDescent="0.3">
      <c r="A3373" s="1"/>
      <c r="G3373" s="4"/>
      <c r="H3373" s="4"/>
    </row>
    <row r="3374" spans="1:8" x14ac:dyDescent="0.3">
      <c r="A3374" s="1"/>
      <c r="G3374" s="4"/>
      <c r="H3374" s="4"/>
    </row>
    <row r="3375" spans="1:8" x14ac:dyDescent="0.3">
      <c r="A3375" s="1"/>
      <c r="G3375" s="4"/>
      <c r="H3375" s="4"/>
    </row>
    <row r="3376" spans="1:8" x14ac:dyDescent="0.3">
      <c r="A3376" s="1"/>
      <c r="G3376" s="4"/>
      <c r="H3376" s="4"/>
    </row>
    <row r="3377" spans="1:8" x14ac:dyDescent="0.3">
      <c r="A3377" s="1"/>
      <c r="G3377" s="4"/>
      <c r="H3377" s="4"/>
    </row>
    <row r="3378" spans="1:8" x14ac:dyDescent="0.3">
      <c r="A3378" s="1"/>
      <c r="G3378" s="4"/>
      <c r="H3378" s="4"/>
    </row>
    <row r="3379" spans="1:8" x14ac:dyDescent="0.3">
      <c r="A3379" s="1"/>
      <c r="G3379" s="4"/>
      <c r="H3379" s="4"/>
    </row>
    <row r="3380" spans="1:8" x14ac:dyDescent="0.3">
      <c r="A3380" s="1"/>
      <c r="G3380" s="4"/>
      <c r="H3380" s="4"/>
    </row>
    <row r="3381" spans="1:8" x14ac:dyDescent="0.3">
      <c r="A3381" s="1"/>
      <c r="G3381" s="4"/>
      <c r="H3381" s="4"/>
    </row>
    <row r="3382" spans="1:8" x14ac:dyDescent="0.3">
      <c r="A3382" s="1"/>
      <c r="G3382" s="4"/>
      <c r="H3382" s="4"/>
    </row>
    <row r="3383" spans="1:8" x14ac:dyDescent="0.3">
      <c r="A3383" s="1"/>
      <c r="G3383" s="4"/>
      <c r="H3383" s="4"/>
    </row>
    <row r="3384" spans="1:8" x14ac:dyDescent="0.3">
      <c r="A3384" s="1"/>
      <c r="G3384" s="4"/>
      <c r="H3384" s="4"/>
    </row>
    <row r="3385" spans="1:8" x14ac:dyDescent="0.3">
      <c r="A3385" s="1"/>
      <c r="G3385" s="4"/>
      <c r="H3385" s="4"/>
    </row>
    <row r="3386" spans="1:8" x14ac:dyDescent="0.3">
      <c r="A3386" s="1"/>
      <c r="G3386" s="4"/>
      <c r="H3386" s="4"/>
    </row>
    <row r="3387" spans="1:8" x14ac:dyDescent="0.3">
      <c r="A3387" s="1"/>
      <c r="G3387" s="4"/>
      <c r="H3387" s="4"/>
    </row>
    <row r="3388" spans="1:8" x14ac:dyDescent="0.3">
      <c r="A3388" s="1"/>
      <c r="G3388" s="4"/>
      <c r="H3388" s="4"/>
    </row>
    <row r="3389" spans="1:8" x14ac:dyDescent="0.3">
      <c r="A3389" s="1"/>
      <c r="G3389" s="4"/>
      <c r="H3389" s="4"/>
    </row>
    <row r="3390" spans="1:8" x14ac:dyDescent="0.3">
      <c r="A3390" s="1"/>
      <c r="G3390" s="4"/>
      <c r="H3390" s="4"/>
    </row>
    <row r="3391" spans="1:8" x14ac:dyDescent="0.3">
      <c r="A3391" s="1"/>
      <c r="G3391" s="4"/>
      <c r="H3391" s="4"/>
    </row>
    <row r="3392" spans="1:8" x14ac:dyDescent="0.3">
      <c r="A3392" s="1"/>
      <c r="G3392" s="4"/>
      <c r="H3392" s="4"/>
    </row>
    <row r="3393" spans="1:8" x14ac:dyDescent="0.3">
      <c r="A3393" s="1"/>
      <c r="G3393" s="4"/>
      <c r="H3393" s="4"/>
    </row>
    <row r="3394" spans="1:8" x14ac:dyDescent="0.3">
      <c r="A3394" s="1"/>
      <c r="G3394" s="4"/>
      <c r="H3394" s="4"/>
    </row>
    <row r="3395" spans="1:8" x14ac:dyDescent="0.3">
      <c r="A3395" s="1"/>
      <c r="G3395" s="4"/>
      <c r="H3395" s="4"/>
    </row>
    <row r="3396" spans="1:8" x14ac:dyDescent="0.3">
      <c r="A3396" s="1"/>
      <c r="G3396" s="4"/>
      <c r="H3396" s="4"/>
    </row>
    <row r="3397" spans="1:8" x14ac:dyDescent="0.3">
      <c r="A3397" s="1"/>
      <c r="G3397" s="4"/>
      <c r="H3397" s="4"/>
    </row>
    <row r="3398" spans="1:8" x14ac:dyDescent="0.3">
      <c r="A3398" s="1"/>
      <c r="G3398" s="4"/>
      <c r="H3398" s="4"/>
    </row>
    <row r="3399" spans="1:8" x14ac:dyDescent="0.3">
      <c r="A3399" s="1"/>
      <c r="G3399" s="4"/>
      <c r="H3399" s="4"/>
    </row>
    <row r="3400" spans="1:8" x14ac:dyDescent="0.3">
      <c r="A3400" s="1"/>
      <c r="G3400" s="4"/>
      <c r="H3400" s="4"/>
    </row>
    <row r="3401" spans="1:8" x14ac:dyDescent="0.3">
      <c r="A3401" s="1"/>
      <c r="G3401" s="4"/>
      <c r="H3401" s="4"/>
    </row>
    <row r="3402" spans="1:8" x14ac:dyDescent="0.3">
      <c r="A3402" s="1"/>
      <c r="G3402" s="4"/>
      <c r="H3402" s="4"/>
    </row>
    <row r="3403" spans="1:8" x14ac:dyDescent="0.3">
      <c r="A3403" s="1"/>
      <c r="G3403" s="4"/>
      <c r="H3403" s="4"/>
    </row>
    <row r="3404" spans="1:8" x14ac:dyDescent="0.3">
      <c r="A3404" s="1"/>
      <c r="G3404" s="4"/>
      <c r="H3404" s="4"/>
    </row>
    <row r="3405" spans="1:8" x14ac:dyDescent="0.3">
      <c r="A3405" s="1"/>
      <c r="G3405" s="4"/>
      <c r="H3405" s="4"/>
    </row>
    <row r="3406" spans="1:8" x14ac:dyDescent="0.3">
      <c r="A3406" s="1"/>
      <c r="G3406" s="4"/>
      <c r="H3406" s="4"/>
    </row>
    <row r="3407" spans="1:8" x14ac:dyDescent="0.3">
      <c r="A3407" s="1"/>
      <c r="G3407" s="4"/>
      <c r="H3407" s="4"/>
    </row>
    <row r="3408" spans="1:8" x14ac:dyDescent="0.3">
      <c r="A3408" s="1"/>
      <c r="G3408" s="4"/>
      <c r="H3408" s="4"/>
    </row>
    <row r="3409" spans="1:8" x14ac:dyDescent="0.3">
      <c r="A3409" s="1"/>
      <c r="G3409" s="4"/>
      <c r="H3409" s="4"/>
    </row>
    <row r="3410" spans="1:8" x14ac:dyDescent="0.3">
      <c r="A3410" s="1"/>
      <c r="G3410" s="4"/>
      <c r="H3410" s="4"/>
    </row>
    <row r="3411" spans="1:8" x14ac:dyDescent="0.3">
      <c r="A3411" s="1"/>
      <c r="G3411" s="4"/>
      <c r="H3411" s="4"/>
    </row>
    <row r="3412" spans="1:8" x14ac:dyDescent="0.3">
      <c r="A3412" s="1"/>
      <c r="G3412" s="4"/>
      <c r="H3412" s="4"/>
    </row>
    <row r="3413" spans="1:8" x14ac:dyDescent="0.3">
      <c r="A3413" s="1"/>
      <c r="G3413" s="4"/>
      <c r="H3413" s="4"/>
    </row>
    <row r="3414" spans="1:8" x14ac:dyDescent="0.3">
      <c r="A3414" s="1"/>
      <c r="G3414" s="4"/>
      <c r="H3414" s="4"/>
    </row>
    <row r="3415" spans="1:8" x14ac:dyDescent="0.3">
      <c r="A3415" s="1"/>
      <c r="G3415" s="4"/>
      <c r="H3415" s="4"/>
    </row>
    <row r="3416" spans="1:8" x14ac:dyDescent="0.3">
      <c r="A3416" s="1"/>
      <c r="G3416" s="4"/>
      <c r="H3416" s="4"/>
    </row>
    <row r="3417" spans="1:8" x14ac:dyDescent="0.3">
      <c r="A3417" s="1"/>
      <c r="G3417" s="4"/>
      <c r="H3417" s="4"/>
    </row>
    <row r="3418" spans="1:8" x14ac:dyDescent="0.3">
      <c r="A3418" s="1"/>
      <c r="G3418" s="4"/>
      <c r="H3418" s="4"/>
    </row>
    <row r="3419" spans="1:8" x14ac:dyDescent="0.3">
      <c r="A3419" s="1"/>
      <c r="G3419" s="4"/>
      <c r="H3419" s="4"/>
    </row>
    <row r="3420" spans="1:8" x14ac:dyDescent="0.3">
      <c r="A3420" s="1"/>
      <c r="G3420" s="4"/>
      <c r="H3420" s="4"/>
    </row>
    <row r="3421" spans="1:8" x14ac:dyDescent="0.3">
      <c r="A3421" s="1"/>
      <c r="G3421" s="4"/>
      <c r="H3421" s="4"/>
    </row>
    <row r="3422" spans="1:8" x14ac:dyDescent="0.3">
      <c r="A3422" s="1"/>
      <c r="G3422" s="4"/>
      <c r="H3422" s="4"/>
    </row>
    <row r="3423" spans="1:8" x14ac:dyDescent="0.3">
      <c r="A3423" s="1"/>
      <c r="G3423" s="4"/>
      <c r="H3423" s="4"/>
    </row>
    <row r="3424" spans="1:8" x14ac:dyDescent="0.3">
      <c r="A3424" s="1"/>
      <c r="G3424" s="4"/>
      <c r="H3424" s="4"/>
    </row>
    <row r="3425" spans="1:8" x14ac:dyDescent="0.3">
      <c r="A3425" s="1"/>
      <c r="G3425" s="4"/>
      <c r="H3425" s="4"/>
    </row>
    <row r="3426" spans="1:8" x14ac:dyDescent="0.3">
      <c r="A3426" s="1"/>
      <c r="G3426" s="4"/>
      <c r="H3426" s="4"/>
    </row>
    <row r="3427" spans="1:8" x14ac:dyDescent="0.3">
      <c r="A3427" s="1"/>
      <c r="G3427" s="4"/>
      <c r="H3427" s="4"/>
    </row>
    <row r="3428" spans="1:8" x14ac:dyDescent="0.3">
      <c r="A3428" s="1"/>
      <c r="G3428" s="4"/>
      <c r="H3428" s="4"/>
    </row>
    <row r="3429" spans="1:8" x14ac:dyDescent="0.3">
      <c r="A3429" s="1"/>
      <c r="G3429" s="4"/>
      <c r="H3429" s="4"/>
    </row>
    <row r="3430" spans="1:8" x14ac:dyDescent="0.3">
      <c r="A3430" s="1"/>
      <c r="G3430" s="4"/>
      <c r="H3430" s="4"/>
    </row>
    <row r="3431" spans="1:8" x14ac:dyDescent="0.3">
      <c r="A3431" s="1"/>
      <c r="G3431" s="4"/>
      <c r="H3431" s="4"/>
    </row>
    <row r="3432" spans="1:8" x14ac:dyDescent="0.3">
      <c r="A3432" s="1"/>
      <c r="G3432" s="4"/>
      <c r="H3432" s="4"/>
    </row>
    <row r="3433" spans="1:8" x14ac:dyDescent="0.3">
      <c r="A3433" s="1"/>
      <c r="G3433" s="4"/>
      <c r="H3433" s="4"/>
    </row>
    <row r="3434" spans="1:8" x14ac:dyDescent="0.3">
      <c r="A3434" s="1"/>
      <c r="G3434" s="4"/>
      <c r="H3434" s="4"/>
    </row>
    <row r="3435" spans="1:8" x14ac:dyDescent="0.3">
      <c r="A3435" s="1"/>
      <c r="G3435" s="4"/>
      <c r="H3435" s="4"/>
    </row>
    <row r="3436" spans="1:8" x14ac:dyDescent="0.3">
      <c r="A3436" s="1"/>
      <c r="G3436" s="4"/>
      <c r="H3436" s="4"/>
    </row>
    <row r="3437" spans="1:8" x14ac:dyDescent="0.3">
      <c r="A3437" s="1"/>
      <c r="G3437" s="4"/>
      <c r="H3437" s="4"/>
    </row>
    <row r="3438" spans="1:8" x14ac:dyDescent="0.3">
      <c r="A3438" s="1"/>
      <c r="G3438" s="4"/>
      <c r="H3438" s="4"/>
    </row>
    <row r="3439" spans="1:8" x14ac:dyDescent="0.3">
      <c r="A3439" s="1"/>
      <c r="G3439" s="4"/>
      <c r="H3439" s="4"/>
    </row>
    <row r="3440" spans="1:8" x14ac:dyDescent="0.3">
      <c r="A3440" s="1"/>
      <c r="G3440" s="4"/>
      <c r="H3440" s="4"/>
    </row>
    <row r="3441" spans="1:8" x14ac:dyDescent="0.3">
      <c r="A3441" s="1"/>
      <c r="G3441" s="4"/>
      <c r="H3441" s="4"/>
    </row>
    <row r="3442" spans="1:8" x14ac:dyDescent="0.3">
      <c r="A3442" s="1"/>
      <c r="G3442" s="4"/>
      <c r="H3442" s="4"/>
    </row>
    <row r="3443" spans="1:8" x14ac:dyDescent="0.3">
      <c r="A3443" s="1"/>
      <c r="G3443" s="4"/>
      <c r="H3443" s="4"/>
    </row>
    <row r="3444" spans="1:8" x14ac:dyDescent="0.3">
      <c r="A3444" s="1"/>
      <c r="G3444" s="4"/>
      <c r="H3444" s="4"/>
    </row>
    <row r="3445" spans="1:8" x14ac:dyDescent="0.3">
      <c r="A3445" s="1"/>
      <c r="G3445" s="4"/>
      <c r="H3445" s="4"/>
    </row>
    <row r="3446" spans="1:8" x14ac:dyDescent="0.3">
      <c r="A3446" s="1"/>
      <c r="G3446" s="4"/>
      <c r="H3446" s="4"/>
    </row>
    <row r="3447" spans="1:8" x14ac:dyDescent="0.3">
      <c r="A3447" s="1"/>
      <c r="G3447" s="4"/>
      <c r="H3447" s="4"/>
    </row>
    <row r="3448" spans="1:8" x14ac:dyDescent="0.3">
      <c r="A3448" s="1"/>
      <c r="G3448" s="4"/>
      <c r="H3448" s="4"/>
    </row>
    <row r="3449" spans="1:8" x14ac:dyDescent="0.3">
      <c r="A3449" s="1"/>
      <c r="G3449" s="4"/>
      <c r="H3449" s="4"/>
    </row>
    <row r="3450" spans="1:8" x14ac:dyDescent="0.3">
      <c r="A3450" s="1"/>
      <c r="G3450" s="4"/>
      <c r="H3450" s="4"/>
    </row>
    <row r="3451" spans="1:8" x14ac:dyDescent="0.3">
      <c r="A3451" s="1"/>
      <c r="G3451" s="4"/>
      <c r="H3451" s="4"/>
    </row>
    <row r="3452" spans="1:8" x14ac:dyDescent="0.3">
      <c r="A3452" s="1"/>
      <c r="G3452" s="4"/>
      <c r="H3452" s="4"/>
    </row>
    <row r="3453" spans="1:8" x14ac:dyDescent="0.3">
      <c r="A3453" s="1"/>
      <c r="G3453" s="4"/>
      <c r="H3453" s="4"/>
    </row>
    <row r="3454" spans="1:8" x14ac:dyDescent="0.3">
      <c r="A3454" s="1"/>
      <c r="G3454" s="4"/>
      <c r="H3454" s="4"/>
    </row>
    <row r="3455" spans="1:8" x14ac:dyDescent="0.3">
      <c r="A3455" s="1"/>
      <c r="G3455" s="4"/>
      <c r="H3455" s="4"/>
    </row>
    <row r="3456" spans="1:8" x14ac:dyDescent="0.3">
      <c r="A3456" s="1"/>
      <c r="G3456" s="4"/>
      <c r="H3456" s="4"/>
    </row>
    <row r="3457" spans="1:8" x14ac:dyDescent="0.3">
      <c r="A3457" s="1"/>
      <c r="G3457" s="4"/>
      <c r="H3457" s="4"/>
    </row>
    <row r="3458" spans="1:8" x14ac:dyDescent="0.3">
      <c r="A3458" s="1"/>
      <c r="G3458" s="4"/>
      <c r="H3458" s="4"/>
    </row>
    <row r="3459" spans="1:8" x14ac:dyDescent="0.3">
      <c r="A3459" s="1"/>
      <c r="G3459" s="4"/>
      <c r="H3459" s="4"/>
    </row>
    <row r="3460" spans="1:8" x14ac:dyDescent="0.3">
      <c r="A3460" s="1"/>
      <c r="G3460" s="4"/>
      <c r="H3460" s="4"/>
    </row>
    <row r="3461" spans="1:8" x14ac:dyDescent="0.3">
      <c r="A3461" s="1"/>
      <c r="G3461" s="4"/>
      <c r="H3461" s="4"/>
    </row>
    <row r="3462" spans="1:8" x14ac:dyDescent="0.3">
      <c r="A3462" s="1"/>
      <c r="G3462" s="4"/>
      <c r="H3462" s="4"/>
    </row>
    <row r="3463" spans="1:8" x14ac:dyDescent="0.3">
      <c r="A3463" s="1"/>
      <c r="G3463" s="4"/>
      <c r="H3463" s="4"/>
    </row>
    <row r="3464" spans="1:8" x14ac:dyDescent="0.3">
      <c r="A3464" s="1"/>
      <c r="G3464" s="4"/>
      <c r="H3464" s="4"/>
    </row>
    <row r="3465" spans="1:8" x14ac:dyDescent="0.3">
      <c r="A3465" s="1"/>
      <c r="G3465" s="4"/>
      <c r="H3465" s="4"/>
    </row>
    <row r="3466" spans="1:8" x14ac:dyDescent="0.3">
      <c r="A3466" s="1"/>
      <c r="G3466" s="4"/>
      <c r="H3466" s="4"/>
    </row>
    <row r="3467" spans="1:8" x14ac:dyDescent="0.3">
      <c r="A3467" s="1"/>
      <c r="G3467" s="4"/>
      <c r="H3467" s="4"/>
    </row>
    <row r="3468" spans="1:8" x14ac:dyDescent="0.3">
      <c r="A3468" s="1"/>
      <c r="G3468" s="4"/>
      <c r="H3468" s="4"/>
    </row>
    <row r="3469" spans="1:8" x14ac:dyDescent="0.3">
      <c r="A3469" s="1"/>
      <c r="G3469" s="4"/>
      <c r="H3469" s="4"/>
    </row>
    <row r="3470" spans="1:8" x14ac:dyDescent="0.3">
      <c r="A3470" s="1"/>
      <c r="G3470" s="4"/>
      <c r="H3470" s="4"/>
    </row>
    <row r="3471" spans="1:8" x14ac:dyDescent="0.3">
      <c r="A3471" s="1"/>
      <c r="G3471" s="4"/>
      <c r="H3471" s="4"/>
    </row>
    <row r="3472" spans="1:8" x14ac:dyDescent="0.3">
      <c r="A3472" s="1"/>
      <c r="G3472" s="4"/>
      <c r="H3472" s="4"/>
    </row>
    <row r="3473" spans="1:8" x14ac:dyDescent="0.3">
      <c r="A3473" s="1"/>
      <c r="G3473" s="4"/>
      <c r="H3473" s="4"/>
    </row>
    <row r="3474" spans="1:8" x14ac:dyDescent="0.3">
      <c r="A3474" s="1"/>
      <c r="G3474" s="4"/>
      <c r="H3474" s="4"/>
    </row>
    <row r="3475" spans="1:8" x14ac:dyDescent="0.3">
      <c r="A3475" s="1"/>
      <c r="G3475" s="4"/>
      <c r="H3475" s="4"/>
    </row>
    <row r="3476" spans="1:8" x14ac:dyDescent="0.3">
      <c r="A3476" s="1"/>
      <c r="G3476" s="4"/>
      <c r="H3476" s="4"/>
    </row>
    <row r="3477" spans="1:8" x14ac:dyDescent="0.3">
      <c r="A3477" s="1"/>
      <c r="G3477" s="4"/>
      <c r="H3477" s="4"/>
    </row>
    <row r="3478" spans="1:8" x14ac:dyDescent="0.3">
      <c r="A3478" s="1"/>
      <c r="G3478" s="4"/>
      <c r="H3478" s="4"/>
    </row>
    <row r="3479" spans="1:8" x14ac:dyDescent="0.3">
      <c r="A3479" s="1"/>
      <c r="G3479" s="4"/>
      <c r="H3479" s="4"/>
    </row>
    <row r="3480" spans="1:8" x14ac:dyDescent="0.3">
      <c r="A3480" s="1"/>
      <c r="G3480" s="4"/>
      <c r="H3480" s="4"/>
    </row>
    <row r="3481" spans="1:8" x14ac:dyDescent="0.3">
      <c r="A3481" s="1"/>
      <c r="G3481" s="4"/>
      <c r="H3481" s="4"/>
    </row>
    <row r="3482" spans="1:8" x14ac:dyDescent="0.3">
      <c r="A3482" s="1"/>
      <c r="G3482" s="4"/>
      <c r="H3482" s="4"/>
    </row>
    <row r="3483" spans="1:8" x14ac:dyDescent="0.3">
      <c r="A3483" s="1"/>
      <c r="G3483" s="4"/>
      <c r="H3483" s="4"/>
    </row>
    <row r="3484" spans="1:8" x14ac:dyDescent="0.3">
      <c r="A3484" s="1"/>
      <c r="G3484" s="4"/>
      <c r="H3484" s="4"/>
    </row>
    <row r="3485" spans="1:8" x14ac:dyDescent="0.3">
      <c r="A3485" s="1"/>
      <c r="G3485" s="4"/>
      <c r="H3485" s="4"/>
    </row>
    <row r="3486" spans="1:8" x14ac:dyDescent="0.3">
      <c r="A3486" s="1"/>
      <c r="G3486" s="4"/>
      <c r="H3486" s="4"/>
    </row>
    <row r="3487" spans="1:8" x14ac:dyDescent="0.3">
      <c r="A3487" s="1"/>
      <c r="G3487" s="4"/>
      <c r="H3487" s="4"/>
    </row>
    <row r="3488" spans="1:8" x14ac:dyDescent="0.3">
      <c r="A3488" s="1"/>
      <c r="G3488" s="4"/>
      <c r="H3488" s="4"/>
    </row>
    <row r="3489" spans="1:8" x14ac:dyDescent="0.3">
      <c r="A3489" s="1"/>
      <c r="G3489" s="4"/>
      <c r="H3489" s="4"/>
    </row>
    <row r="3490" spans="1:8" x14ac:dyDescent="0.3">
      <c r="A3490" s="1"/>
      <c r="G3490" s="4"/>
      <c r="H3490" s="4"/>
    </row>
    <row r="3491" spans="1:8" x14ac:dyDescent="0.3">
      <c r="A3491" s="1"/>
      <c r="G3491" s="4"/>
      <c r="H3491" s="4"/>
    </row>
    <row r="3492" spans="1:8" x14ac:dyDescent="0.3">
      <c r="A3492" s="1"/>
      <c r="G3492" s="4"/>
      <c r="H3492" s="4"/>
    </row>
    <row r="3493" spans="1:8" x14ac:dyDescent="0.3">
      <c r="A3493" s="1"/>
      <c r="G3493" s="4"/>
      <c r="H3493" s="4"/>
    </row>
    <row r="3494" spans="1:8" x14ac:dyDescent="0.3">
      <c r="A3494" s="1"/>
      <c r="G3494" s="4"/>
      <c r="H3494" s="4"/>
    </row>
    <row r="3495" spans="1:8" x14ac:dyDescent="0.3">
      <c r="A3495" s="1"/>
      <c r="G3495" s="4"/>
      <c r="H3495" s="4"/>
    </row>
    <row r="3496" spans="1:8" x14ac:dyDescent="0.3">
      <c r="A3496" s="1"/>
      <c r="G3496" s="4"/>
      <c r="H3496" s="4"/>
    </row>
    <row r="3497" spans="1:8" x14ac:dyDescent="0.3">
      <c r="A3497" s="1"/>
      <c r="G3497" s="4"/>
      <c r="H3497" s="4"/>
    </row>
    <row r="3498" spans="1:8" x14ac:dyDescent="0.3">
      <c r="A3498" s="1"/>
      <c r="G3498" s="4"/>
      <c r="H3498" s="4"/>
    </row>
    <row r="3499" spans="1:8" x14ac:dyDescent="0.3">
      <c r="A3499" s="1"/>
      <c r="G3499" s="4"/>
      <c r="H3499" s="4"/>
    </row>
    <row r="3500" spans="1:8" x14ac:dyDescent="0.3">
      <c r="A3500" s="1"/>
      <c r="G3500" s="4"/>
      <c r="H3500" s="4"/>
    </row>
    <row r="3501" spans="1:8" x14ac:dyDescent="0.3">
      <c r="A3501" s="1"/>
      <c r="G3501" s="4"/>
      <c r="H3501" s="4"/>
    </row>
    <row r="3502" spans="1:8" x14ac:dyDescent="0.3">
      <c r="A3502" s="1"/>
      <c r="G3502" s="4"/>
      <c r="H3502" s="4"/>
    </row>
    <row r="3503" spans="1:8" x14ac:dyDescent="0.3">
      <c r="A3503" s="1"/>
      <c r="G3503" s="4"/>
      <c r="H3503" s="4"/>
    </row>
    <row r="3504" spans="1:8" x14ac:dyDescent="0.3">
      <c r="A3504" s="1"/>
      <c r="G3504" s="4"/>
      <c r="H3504" s="4"/>
    </row>
    <row r="3505" spans="1:8" x14ac:dyDescent="0.3">
      <c r="A3505" s="1"/>
      <c r="G3505" s="4"/>
      <c r="H3505" s="4"/>
    </row>
    <row r="3506" spans="1:8" x14ac:dyDescent="0.3">
      <c r="A3506" s="1"/>
      <c r="G3506" s="4"/>
      <c r="H3506" s="4"/>
    </row>
    <row r="3507" spans="1:8" x14ac:dyDescent="0.3">
      <c r="A3507" s="1"/>
      <c r="G3507" s="4"/>
      <c r="H3507" s="4"/>
    </row>
    <row r="3508" spans="1:8" x14ac:dyDescent="0.3">
      <c r="A3508" s="1"/>
      <c r="G3508" s="4"/>
      <c r="H3508" s="4"/>
    </row>
    <row r="3509" spans="1:8" x14ac:dyDescent="0.3">
      <c r="A3509" s="1"/>
      <c r="G3509" s="4"/>
      <c r="H3509" s="4"/>
    </row>
    <row r="3510" spans="1:8" x14ac:dyDescent="0.3">
      <c r="A3510" s="1"/>
      <c r="G3510" s="4"/>
      <c r="H3510" s="4"/>
    </row>
    <row r="3511" spans="1:8" x14ac:dyDescent="0.3">
      <c r="A3511" s="1"/>
      <c r="G3511" s="4"/>
      <c r="H3511" s="4"/>
    </row>
    <row r="3512" spans="1:8" x14ac:dyDescent="0.3">
      <c r="A3512" s="1"/>
      <c r="G3512" s="4"/>
      <c r="H3512" s="4"/>
    </row>
    <row r="3513" spans="1:8" x14ac:dyDescent="0.3">
      <c r="A3513" s="1"/>
      <c r="G3513" s="4"/>
      <c r="H3513" s="4"/>
    </row>
    <row r="3514" spans="1:8" x14ac:dyDescent="0.3">
      <c r="A3514" s="1"/>
      <c r="G3514" s="4"/>
      <c r="H3514" s="4"/>
    </row>
    <row r="3515" spans="1:8" x14ac:dyDescent="0.3">
      <c r="A3515" s="1"/>
      <c r="G3515" s="4"/>
      <c r="H3515" s="4"/>
    </row>
    <row r="3516" spans="1:8" x14ac:dyDescent="0.3">
      <c r="A3516" s="1"/>
      <c r="G3516" s="4"/>
      <c r="H3516" s="4"/>
    </row>
    <row r="3517" spans="1:8" x14ac:dyDescent="0.3">
      <c r="A3517" s="1"/>
      <c r="G3517" s="4"/>
      <c r="H3517" s="4"/>
    </row>
    <row r="3518" spans="1:8" x14ac:dyDescent="0.3">
      <c r="A3518" s="1"/>
      <c r="G3518" s="4"/>
      <c r="H3518" s="4"/>
    </row>
    <row r="3519" spans="1:8" x14ac:dyDescent="0.3">
      <c r="A3519" s="1"/>
      <c r="G3519" s="4"/>
      <c r="H3519" s="4"/>
    </row>
    <row r="3520" spans="1:8" x14ac:dyDescent="0.3">
      <c r="A3520" s="1"/>
      <c r="G3520" s="4"/>
      <c r="H3520" s="4"/>
    </row>
    <row r="3521" spans="1:8" x14ac:dyDescent="0.3">
      <c r="A3521" s="1"/>
      <c r="G3521" s="4"/>
      <c r="H3521" s="4"/>
    </row>
    <row r="3522" spans="1:8" x14ac:dyDescent="0.3">
      <c r="A3522" s="1"/>
      <c r="G3522" s="4"/>
      <c r="H3522" s="4"/>
    </row>
    <row r="3523" spans="1:8" x14ac:dyDescent="0.3">
      <c r="A3523" s="1"/>
      <c r="G3523" s="4"/>
      <c r="H3523" s="4"/>
    </row>
    <row r="3524" spans="1:8" x14ac:dyDescent="0.3">
      <c r="A3524" s="1"/>
      <c r="G3524" s="4"/>
      <c r="H3524" s="4"/>
    </row>
    <row r="3525" spans="1:8" x14ac:dyDescent="0.3">
      <c r="A3525" s="1"/>
      <c r="G3525" s="4"/>
      <c r="H3525" s="4"/>
    </row>
    <row r="3526" spans="1:8" x14ac:dyDescent="0.3">
      <c r="A3526" s="1"/>
      <c r="G3526" s="4"/>
      <c r="H3526" s="4"/>
    </row>
    <row r="3527" spans="1:8" x14ac:dyDescent="0.3">
      <c r="A3527" s="1"/>
      <c r="G3527" s="4"/>
      <c r="H3527" s="4"/>
    </row>
    <row r="3528" spans="1:8" x14ac:dyDescent="0.3">
      <c r="A3528" s="1"/>
      <c r="G3528" s="4"/>
      <c r="H3528" s="4"/>
    </row>
    <row r="3529" spans="1:8" x14ac:dyDescent="0.3">
      <c r="A3529" s="1"/>
      <c r="G3529" s="4"/>
      <c r="H3529" s="4"/>
    </row>
    <row r="3530" spans="1:8" x14ac:dyDescent="0.3">
      <c r="A3530" s="1"/>
      <c r="G3530" s="4"/>
      <c r="H3530" s="4"/>
    </row>
    <row r="3531" spans="1:8" x14ac:dyDescent="0.3">
      <c r="A3531" s="1"/>
      <c r="G3531" s="4"/>
      <c r="H3531" s="4"/>
    </row>
    <row r="3532" spans="1:8" x14ac:dyDescent="0.3">
      <c r="A3532" s="1"/>
      <c r="G3532" s="4"/>
      <c r="H3532" s="4"/>
    </row>
    <row r="3533" spans="1:8" x14ac:dyDescent="0.3">
      <c r="A3533" s="1"/>
      <c r="G3533" s="4"/>
      <c r="H3533" s="4"/>
    </row>
    <row r="3534" spans="1:8" x14ac:dyDescent="0.3">
      <c r="A3534" s="1"/>
      <c r="G3534" s="4"/>
      <c r="H3534" s="4"/>
    </row>
    <row r="3535" spans="1:8" x14ac:dyDescent="0.3">
      <c r="A3535" s="1"/>
      <c r="G3535" s="4"/>
      <c r="H3535" s="4"/>
    </row>
    <row r="3536" spans="1:8" x14ac:dyDescent="0.3">
      <c r="A3536" s="1"/>
      <c r="G3536" s="4"/>
      <c r="H3536" s="4"/>
    </row>
    <row r="3537" spans="1:8" x14ac:dyDescent="0.3">
      <c r="A3537" s="1"/>
      <c r="G3537" s="4"/>
      <c r="H3537" s="4"/>
    </row>
    <row r="3538" spans="1:8" x14ac:dyDescent="0.3">
      <c r="A3538" s="1"/>
      <c r="G3538" s="4"/>
      <c r="H3538" s="4"/>
    </row>
    <row r="3539" spans="1:8" x14ac:dyDescent="0.3">
      <c r="A3539" s="1"/>
      <c r="G3539" s="4"/>
      <c r="H3539" s="4"/>
    </row>
    <row r="3540" spans="1:8" x14ac:dyDescent="0.3">
      <c r="A3540" s="1"/>
      <c r="G3540" s="4"/>
      <c r="H3540" s="4"/>
    </row>
    <row r="3541" spans="1:8" x14ac:dyDescent="0.3">
      <c r="A3541" s="1"/>
      <c r="G3541" s="4"/>
      <c r="H3541" s="4"/>
    </row>
    <row r="3542" spans="1:8" x14ac:dyDescent="0.3">
      <c r="A3542" s="1"/>
      <c r="G3542" s="4"/>
      <c r="H3542" s="4"/>
    </row>
    <row r="3543" spans="1:8" x14ac:dyDescent="0.3">
      <c r="A3543" s="1"/>
      <c r="G3543" s="4"/>
      <c r="H3543" s="4"/>
    </row>
    <row r="3544" spans="1:8" x14ac:dyDescent="0.3">
      <c r="A3544" s="1"/>
      <c r="G3544" s="4"/>
      <c r="H3544" s="4"/>
    </row>
    <row r="3545" spans="1:8" x14ac:dyDescent="0.3">
      <c r="A3545" s="1"/>
      <c r="G3545" s="4"/>
      <c r="H3545" s="4"/>
    </row>
    <row r="3546" spans="1:8" x14ac:dyDescent="0.3">
      <c r="A3546" s="1"/>
      <c r="G3546" s="4"/>
      <c r="H3546" s="4"/>
    </row>
    <row r="3547" spans="1:8" x14ac:dyDescent="0.3">
      <c r="A3547" s="1"/>
      <c r="G3547" s="4"/>
      <c r="H3547" s="4"/>
    </row>
    <row r="3548" spans="1:8" x14ac:dyDescent="0.3">
      <c r="A3548" s="1"/>
      <c r="G3548" s="4"/>
      <c r="H3548" s="4"/>
    </row>
    <row r="3549" spans="1:8" x14ac:dyDescent="0.3">
      <c r="A3549" s="1"/>
      <c r="G3549" s="4"/>
      <c r="H3549" s="4"/>
    </row>
    <row r="3550" spans="1:8" x14ac:dyDescent="0.3">
      <c r="A3550" s="1"/>
      <c r="G3550" s="4"/>
      <c r="H3550" s="4"/>
    </row>
    <row r="3551" spans="1:8" x14ac:dyDescent="0.3">
      <c r="A3551" s="1"/>
      <c r="G3551" s="4"/>
      <c r="H3551" s="4"/>
    </row>
    <row r="3552" spans="1:8" x14ac:dyDescent="0.3">
      <c r="A3552" s="1"/>
      <c r="G3552" s="4"/>
      <c r="H3552" s="4"/>
    </row>
    <row r="3553" spans="1:8" x14ac:dyDescent="0.3">
      <c r="A3553" s="1"/>
      <c r="G3553" s="4"/>
      <c r="H3553" s="4"/>
    </row>
    <row r="3554" spans="1:8" x14ac:dyDescent="0.3">
      <c r="A3554" s="1"/>
      <c r="G3554" s="4"/>
      <c r="H3554" s="4"/>
    </row>
    <row r="3555" spans="1:8" x14ac:dyDescent="0.3">
      <c r="A3555" s="1"/>
      <c r="G3555" s="4"/>
      <c r="H3555" s="4"/>
    </row>
    <row r="3556" spans="1:8" x14ac:dyDescent="0.3">
      <c r="A3556" s="1"/>
      <c r="G3556" s="4"/>
      <c r="H3556" s="4"/>
    </row>
    <row r="3557" spans="1:8" x14ac:dyDescent="0.3">
      <c r="A3557" s="1"/>
      <c r="G3557" s="4"/>
      <c r="H3557" s="4"/>
    </row>
    <row r="3558" spans="1:8" x14ac:dyDescent="0.3">
      <c r="A3558" s="1"/>
      <c r="G3558" s="4"/>
      <c r="H3558" s="4"/>
    </row>
    <row r="3559" spans="1:8" x14ac:dyDescent="0.3">
      <c r="A3559" s="1"/>
      <c r="G3559" s="4"/>
      <c r="H3559" s="4"/>
    </row>
    <row r="3560" spans="1:8" x14ac:dyDescent="0.3">
      <c r="A3560" s="1"/>
      <c r="G3560" s="4"/>
      <c r="H3560" s="4"/>
    </row>
    <row r="3561" spans="1:8" x14ac:dyDescent="0.3">
      <c r="A3561" s="1"/>
      <c r="G3561" s="4"/>
      <c r="H3561" s="4"/>
    </row>
    <row r="3562" spans="1:8" x14ac:dyDescent="0.3">
      <c r="A3562" s="1"/>
      <c r="G3562" s="4"/>
      <c r="H3562" s="4"/>
    </row>
    <row r="3563" spans="1:8" x14ac:dyDescent="0.3">
      <c r="A3563" s="1"/>
      <c r="G3563" s="4"/>
      <c r="H3563" s="4"/>
    </row>
    <row r="3564" spans="1:8" x14ac:dyDescent="0.3">
      <c r="A3564" s="1"/>
      <c r="G3564" s="4"/>
      <c r="H3564" s="4"/>
    </row>
    <row r="3565" spans="1:8" x14ac:dyDescent="0.3">
      <c r="A3565" s="1"/>
      <c r="G3565" s="4"/>
      <c r="H3565" s="4"/>
    </row>
    <row r="3566" spans="1:8" x14ac:dyDescent="0.3">
      <c r="A3566" s="1"/>
      <c r="G3566" s="4"/>
      <c r="H3566" s="4"/>
    </row>
    <row r="3567" spans="1:8" x14ac:dyDescent="0.3">
      <c r="A3567" s="1"/>
      <c r="G3567" s="4"/>
      <c r="H3567" s="4"/>
    </row>
    <row r="3568" spans="1:8" x14ac:dyDescent="0.3">
      <c r="A3568" s="1"/>
      <c r="G3568" s="4"/>
      <c r="H3568" s="4"/>
    </row>
    <row r="3569" spans="1:8" x14ac:dyDescent="0.3">
      <c r="A3569" s="1"/>
      <c r="G3569" s="4"/>
      <c r="H3569" s="4"/>
    </row>
    <row r="3570" spans="1:8" x14ac:dyDescent="0.3">
      <c r="A3570" s="1"/>
      <c r="G3570" s="4"/>
      <c r="H3570" s="4"/>
    </row>
    <row r="3571" spans="1:8" x14ac:dyDescent="0.3">
      <c r="A3571" s="1"/>
      <c r="G3571" s="4"/>
      <c r="H3571" s="4"/>
    </row>
    <row r="3572" spans="1:8" x14ac:dyDescent="0.3">
      <c r="A3572" s="1"/>
      <c r="G3572" s="4"/>
      <c r="H3572" s="4"/>
    </row>
    <row r="3573" spans="1:8" x14ac:dyDescent="0.3">
      <c r="A3573" s="1"/>
      <c r="G3573" s="4"/>
      <c r="H3573" s="4"/>
    </row>
    <row r="3574" spans="1:8" x14ac:dyDescent="0.3">
      <c r="A3574" s="1"/>
      <c r="G3574" s="4"/>
      <c r="H3574" s="4"/>
    </row>
    <row r="3575" spans="1:8" x14ac:dyDescent="0.3">
      <c r="A3575" s="1"/>
      <c r="G3575" s="4"/>
      <c r="H3575" s="4"/>
    </row>
    <row r="3576" spans="1:8" x14ac:dyDescent="0.3">
      <c r="A3576" s="1"/>
      <c r="G3576" s="4"/>
      <c r="H3576" s="4"/>
    </row>
    <row r="3577" spans="1:8" x14ac:dyDescent="0.3">
      <c r="A3577" s="1"/>
      <c r="G3577" s="4"/>
      <c r="H3577" s="4"/>
    </row>
    <row r="3578" spans="1:8" x14ac:dyDescent="0.3">
      <c r="A3578" s="1"/>
      <c r="G3578" s="4"/>
      <c r="H3578" s="4"/>
    </row>
    <row r="3579" spans="1:8" x14ac:dyDescent="0.3">
      <c r="A3579" s="1"/>
      <c r="G3579" s="4"/>
      <c r="H3579" s="4"/>
    </row>
    <row r="3580" spans="1:8" x14ac:dyDescent="0.3">
      <c r="A3580" s="1"/>
      <c r="G3580" s="4"/>
      <c r="H3580" s="4"/>
    </row>
    <row r="3581" spans="1:8" x14ac:dyDescent="0.3">
      <c r="A3581" s="1"/>
      <c r="G3581" s="4"/>
      <c r="H3581" s="4"/>
    </row>
    <row r="3582" spans="1:8" x14ac:dyDescent="0.3">
      <c r="A3582" s="1"/>
      <c r="G3582" s="4"/>
      <c r="H3582" s="4"/>
    </row>
    <row r="3583" spans="1:8" x14ac:dyDescent="0.3">
      <c r="A3583" s="1"/>
      <c r="G3583" s="4"/>
      <c r="H3583" s="4"/>
    </row>
    <row r="3584" spans="1:8" x14ac:dyDescent="0.3">
      <c r="A3584" s="1"/>
      <c r="G3584" s="4"/>
      <c r="H3584" s="4"/>
    </row>
    <row r="3585" spans="1:8" x14ac:dyDescent="0.3">
      <c r="A3585" s="1"/>
      <c r="G3585" s="4"/>
      <c r="H3585" s="4"/>
    </row>
    <row r="3586" spans="1:8" x14ac:dyDescent="0.3">
      <c r="A3586" s="1"/>
      <c r="G3586" s="4"/>
      <c r="H3586" s="4"/>
    </row>
    <row r="3587" spans="1:8" x14ac:dyDescent="0.3">
      <c r="A3587" s="1"/>
      <c r="G3587" s="4"/>
      <c r="H3587" s="4"/>
    </row>
    <row r="3588" spans="1:8" x14ac:dyDescent="0.3">
      <c r="A3588" s="1"/>
      <c r="G3588" s="4"/>
      <c r="H3588" s="4"/>
    </row>
    <row r="3589" spans="1:8" x14ac:dyDescent="0.3">
      <c r="A3589" s="1"/>
      <c r="G3589" s="4"/>
      <c r="H3589" s="4"/>
    </row>
    <row r="3590" spans="1:8" x14ac:dyDescent="0.3">
      <c r="A3590" s="1"/>
      <c r="G3590" s="4"/>
      <c r="H3590" s="4"/>
    </row>
    <row r="3591" spans="1:8" x14ac:dyDescent="0.3">
      <c r="A3591" s="1"/>
      <c r="G3591" s="4"/>
      <c r="H3591" s="4"/>
    </row>
    <row r="3592" spans="1:8" x14ac:dyDescent="0.3">
      <c r="A3592" s="1"/>
      <c r="G3592" s="4"/>
      <c r="H3592" s="4"/>
    </row>
    <row r="3593" spans="1:8" x14ac:dyDescent="0.3">
      <c r="A3593" s="1"/>
      <c r="G3593" s="4"/>
      <c r="H3593" s="4"/>
    </row>
    <row r="3594" spans="1:8" x14ac:dyDescent="0.3">
      <c r="A3594" s="1"/>
      <c r="G3594" s="4"/>
      <c r="H3594" s="4"/>
    </row>
    <row r="3595" spans="1:8" x14ac:dyDescent="0.3">
      <c r="A3595" s="1"/>
      <c r="G3595" s="4"/>
      <c r="H3595" s="4"/>
    </row>
    <row r="3596" spans="1:8" x14ac:dyDescent="0.3">
      <c r="A3596" s="1"/>
      <c r="G3596" s="4"/>
      <c r="H3596" s="4"/>
    </row>
    <row r="3597" spans="1:8" x14ac:dyDescent="0.3">
      <c r="A3597" s="1"/>
      <c r="G3597" s="4"/>
      <c r="H3597" s="4"/>
    </row>
    <row r="3598" spans="1:8" x14ac:dyDescent="0.3">
      <c r="A3598" s="1"/>
      <c r="G3598" s="4"/>
      <c r="H3598" s="4"/>
    </row>
    <row r="3599" spans="1:8" x14ac:dyDescent="0.3">
      <c r="A3599" s="1"/>
      <c r="G3599" s="4"/>
      <c r="H3599" s="4"/>
    </row>
    <row r="3600" spans="1:8" x14ac:dyDescent="0.3">
      <c r="A3600" s="1"/>
      <c r="G3600" s="4"/>
      <c r="H3600" s="4"/>
    </row>
    <row r="3601" spans="1:8" x14ac:dyDescent="0.3">
      <c r="A3601" s="1"/>
      <c r="G3601" s="4"/>
      <c r="H3601" s="4"/>
    </row>
    <row r="3602" spans="1:8" x14ac:dyDescent="0.3">
      <c r="A3602" s="1"/>
      <c r="G3602" s="4"/>
      <c r="H3602" s="4"/>
    </row>
    <row r="3603" spans="1:8" x14ac:dyDescent="0.3">
      <c r="A3603" s="1"/>
      <c r="G3603" s="4"/>
      <c r="H3603" s="4"/>
    </row>
    <row r="3604" spans="1:8" x14ac:dyDescent="0.3">
      <c r="A3604" s="1"/>
      <c r="G3604" s="4"/>
      <c r="H3604" s="4"/>
    </row>
    <row r="3605" spans="1:8" x14ac:dyDescent="0.3">
      <c r="A3605" s="1"/>
      <c r="G3605" s="4"/>
      <c r="H3605" s="4"/>
    </row>
    <row r="3606" spans="1:8" x14ac:dyDescent="0.3">
      <c r="A3606" s="1"/>
      <c r="G3606" s="4"/>
      <c r="H3606" s="4"/>
    </row>
    <row r="3607" spans="1:8" x14ac:dyDescent="0.3">
      <c r="A3607" s="1"/>
      <c r="G3607" s="4"/>
      <c r="H3607" s="4"/>
    </row>
    <row r="3608" spans="1:8" x14ac:dyDescent="0.3">
      <c r="A3608" s="1"/>
      <c r="G3608" s="4"/>
      <c r="H3608" s="4"/>
    </row>
    <row r="3609" spans="1:8" x14ac:dyDescent="0.3">
      <c r="A3609" s="1"/>
      <c r="G3609" s="4"/>
      <c r="H3609" s="4"/>
    </row>
    <row r="3610" spans="1:8" x14ac:dyDescent="0.3">
      <c r="A3610" s="1"/>
      <c r="G3610" s="4"/>
      <c r="H3610" s="4"/>
    </row>
    <row r="3611" spans="1:8" x14ac:dyDescent="0.3">
      <c r="A3611" s="1"/>
      <c r="G3611" s="4"/>
      <c r="H3611" s="4"/>
    </row>
    <row r="3612" spans="1:8" x14ac:dyDescent="0.3">
      <c r="A3612" s="1"/>
      <c r="G3612" s="4"/>
      <c r="H3612" s="4"/>
    </row>
    <row r="3613" spans="1:8" x14ac:dyDescent="0.3">
      <c r="A3613" s="1"/>
      <c r="G3613" s="4"/>
      <c r="H3613" s="4"/>
    </row>
    <row r="3614" spans="1:8" x14ac:dyDescent="0.3">
      <c r="A3614" s="1"/>
      <c r="G3614" s="4"/>
      <c r="H3614" s="4"/>
    </row>
    <row r="3615" spans="1:8" x14ac:dyDescent="0.3">
      <c r="A3615" s="1"/>
      <c r="G3615" s="4"/>
      <c r="H3615" s="4"/>
    </row>
    <row r="3616" spans="1:8" x14ac:dyDescent="0.3">
      <c r="A3616" s="1"/>
      <c r="G3616" s="4"/>
      <c r="H3616" s="4"/>
    </row>
    <row r="3617" spans="1:8" x14ac:dyDescent="0.3">
      <c r="A3617" s="1"/>
      <c r="G3617" s="4"/>
      <c r="H3617" s="4"/>
    </row>
    <row r="3618" spans="1:8" x14ac:dyDescent="0.3">
      <c r="A3618" s="1"/>
      <c r="G3618" s="4"/>
      <c r="H3618" s="4"/>
    </row>
    <row r="3619" spans="1:8" x14ac:dyDescent="0.3">
      <c r="A3619" s="1"/>
      <c r="G3619" s="4"/>
      <c r="H3619" s="4"/>
    </row>
    <row r="3620" spans="1:8" x14ac:dyDescent="0.3">
      <c r="A3620" s="1"/>
      <c r="G3620" s="4"/>
      <c r="H3620" s="4"/>
    </row>
    <row r="3621" spans="1:8" x14ac:dyDescent="0.3">
      <c r="A3621" s="1"/>
      <c r="G3621" s="4"/>
      <c r="H3621" s="4"/>
    </row>
    <row r="3622" spans="1:8" x14ac:dyDescent="0.3">
      <c r="A3622" s="1"/>
      <c r="G3622" s="4"/>
      <c r="H3622" s="4"/>
    </row>
    <row r="3623" spans="1:8" x14ac:dyDescent="0.3">
      <c r="A3623" s="1"/>
      <c r="G3623" s="4"/>
      <c r="H3623" s="4"/>
    </row>
    <row r="3624" spans="1:8" x14ac:dyDescent="0.3">
      <c r="A3624" s="1"/>
      <c r="G3624" s="4"/>
      <c r="H3624" s="4"/>
    </row>
    <row r="3625" spans="1:8" x14ac:dyDescent="0.3">
      <c r="A3625" s="1"/>
      <c r="G3625" s="4"/>
      <c r="H3625" s="4"/>
    </row>
    <row r="3626" spans="1:8" x14ac:dyDescent="0.3">
      <c r="A3626" s="1"/>
      <c r="G3626" s="4"/>
      <c r="H3626" s="4"/>
    </row>
    <row r="3627" spans="1:8" x14ac:dyDescent="0.3">
      <c r="A3627" s="1"/>
      <c r="G3627" s="4"/>
      <c r="H3627" s="4"/>
    </row>
    <row r="3628" spans="1:8" x14ac:dyDescent="0.3">
      <c r="A3628" s="1"/>
      <c r="G3628" s="4"/>
      <c r="H3628" s="4"/>
    </row>
    <row r="3629" spans="1:8" x14ac:dyDescent="0.3">
      <c r="A3629" s="1"/>
      <c r="G3629" s="4"/>
      <c r="H3629" s="4"/>
    </row>
    <row r="3630" spans="1:8" x14ac:dyDescent="0.3">
      <c r="A3630" s="1"/>
      <c r="G3630" s="4"/>
      <c r="H3630" s="4"/>
    </row>
    <row r="3631" spans="1:8" x14ac:dyDescent="0.3">
      <c r="A3631" s="1"/>
      <c r="G3631" s="4"/>
      <c r="H3631" s="4"/>
    </row>
    <row r="3632" spans="1:8" x14ac:dyDescent="0.3">
      <c r="A3632" s="1"/>
      <c r="G3632" s="4"/>
      <c r="H3632" s="4"/>
    </row>
    <row r="3633" spans="1:8" x14ac:dyDescent="0.3">
      <c r="A3633" s="1"/>
      <c r="G3633" s="4"/>
      <c r="H3633" s="4"/>
    </row>
    <row r="3634" spans="1:8" x14ac:dyDescent="0.3">
      <c r="A3634" s="1"/>
      <c r="G3634" s="4"/>
      <c r="H3634" s="4"/>
    </row>
    <row r="3635" spans="1:8" x14ac:dyDescent="0.3">
      <c r="A3635" s="1"/>
      <c r="G3635" s="4"/>
      <c r="H3635" s="4"/>
    </row>
    <row r="3636" spans="1:8" x14ac:dyDescent="0.3">
      <c r="A3636" s="1"/>
      <c r="G3636" s="4"/>
      <c r="H3636" s="4"/>
    </row>
    <row r="3637" spans="1:8" x14ac:dyDescent="0.3">
      <c r="A3637" s="1"/>
      <c r="G3637" s="4"/>
      <c r="H3637" s="4"/>
    </row>
    <row r="3638" spans="1:8" x14ac:dyDescent="0.3">
      <c r="A3638" s="1"/>
      <c r="G3638" s="4"/>
      <c r="H3638" s="4"/>
    </row>
    <row r="3639" spans="1:8" x14ac:dyDescent="0.3">
      <c r="A3639" s="1"/>
      <c r="G3639" s="4"/>
      <c r="H3639" s="4"/>
    </row>
    <row r="3640" spans="1:8" x14ac:dyDescent="0.3">
      <c r="A3640" s="1"/>
      <c r="G3640" s="4"/>
      <c r="H3640" s="4"/>
    </row>
    <row r="3641" spans="1:8" x14ac:dyDescent="0.3">
      <c r="A3641" s="1"/>
      <c r="G3641" s="4"/>
      <c r="H3641" s="4"/>
    </row>
    <row r="3642" spans="1:8" x14ac:dyDescent="0.3">
      <c r="A3642" s="1"/>
      <c r="G3642" s="4"/>
      <c r="H3642" s="4"/>
    </row>
    <row r="3643" spans="1:8" x14ac:dyDescent="0.3">
      <c r="A3643" s="1"/>
      <c r="G3643" s="4"/>
      <c r="H3643" s="4"/>
    </row>
    <row r="3644" spans="1:8" x14ac:dyDescent="0.3">
      <c r="A3644" s="1"/>
      <c r="G3644" s="4"/>
      <c r="H3644" s="4"/>
    </row>
    <row r="3645" spans="1:8" x14ac:dyDescent="0.3">
      <c r="A3645" s="1"/>
      <c r="G3645" s="4"/>
      <c r="H3645" s="4"/>
    </row>
    <row r="3646" spans="1:8" x14ac:dyDescent="0.3">
      <c r="A3646" s="1"/>
      <c r="G3646" s="4"/>
      <c r="H3646" s="4"/>
    </row>
    <row r="3647" spans="1:8" x14ac:dyDescent="0.3">
      <c r="A3647" s="1"/>
      <c r="G3647" s="4"/>
      <c r="H3647" s="4"/>
    </row>
    <row r="3648" spans="1:8" x14ac:dyDescent="0.3">
      <c r="A3648" s="1"/>
      <c r="G3648" s="4"/>
      <c r="H3648" s="4"/>
    </row>
    <row r="3649" spans="1:8" x14ac:dyDescent="0.3">
      <c r="A3649" s="1"/>
      <c r="G3649" s="4"/>
      <c r="H3649" s="4"/>
    </row>
    <row r="3650" spans="1:8" x14ac:dyDescent="0.3">
      <c r="A3650" s="1"/>
      <c r="G3650" s="4"/>
      <c r="H3650" s="4"/>
    </row>
    <row r="3651" spans="1:8" x14ac:dyDescent="0.3">
      <c r="A3651" s="1"/>
      <c r="G3651" s="4"/>
      <c r="H3651" s="4"/>
    </row>
    <row r="3652" spans="1:8" x14ac:dyDescent="0.3">
      <c r="A3652" s="1"/>
      <c r="G3652" s="4"/>
      <c r="H3652" s="4"/>
    </row>
    <row r="3653" spans="1:8" x14ac:dyDescent="0.3">
      <c r="A3653" s="1"/>
      <c r="G3653" s="4"/>
      <c r="H3653" s="4"/>
    </row>
    <row r="3654" spans="1:8" x14ac:dyDescent="0.3">
      <c r="A3654" s="1"/>
      <c r="G3654" s="4"/>
      <c r="H3654" s="4"/>
    </row>
    <row r="3655" spans="1:8" x14ac:dyDescent="0.3">
      <c r="A3655" s="1"/>
      <c r="G3655" s="4"/>
      <c r="H3655" s="4"/>
    </row>
    <row r="3656" spans="1:8" x14ac:dyDescent="0.3">
      <c r="A3656" s="1"/>
      <c r="G3656" s="4"/>
      <c r="H3656" s="4"/>
    </row>
    <row r="3657" spans="1:8" x14ac:dyDescent="0.3">
      <c r="A3657" s="1"/>
      <c r="G3657" s="4"/>
      <c r="H3657" s="4"/>
    </row>
    <row r="3658" spans="1:8" x14ac:dyDescent="0.3">
      <c r="A3658" s="1"/>
      <c r="G3658" s="4"/>
      <c r="H3658" s="4"/>
    </row>
    <row r="3659" spans="1:8" x14ac:dyDescent="0.3">
      <c r="A3659" s="1"/>
      <c r="G3659" s="4"/>
      <c r="H3659" s="4"/>
    </row>
    <row r="3660" spans="1:8" x14ac:dyDescent="0.3">
      <c r="A3660" s="1"/>
      <c r="G3660" s="4"/>
      <c r="H3660" s="4"/>
    </row>
    <row r="3661" spans="1:8" x14ac:dyDescent="0.3">
      <c r="A3661" s="1"/>
      <c r="G3661" s="4"/>
      <c r="H3661" s="4"/>
    </row>
    <row r="3662" spans="1:8" x14ac:dyDescent="0.3">
      <c r="A3662" s="1"/>
      <c r="G3662" s="4"/>
      <c r="H3662" s="4"/>
    </row>
    <row r="3663" spans="1:8" x14ac:dyDescent="0.3">
      <c r="A3663" s="1"/>
      <c r="G3663" s="4"/>
      <c r="H3663" s="4"/>
    </row>
    <row r="3664" spans="1:8" x14ac:dyDescent="0.3">
      <c r="A3664" s="1"/>
      <c r="G3664" s="4"/>
      <c r="H3664" s="4"/>
    </row>
    <row r="3665" spans="1:8" x14ac:dyDescent="0.3">
      <c r="A3665" s="1"/>
      <c r="G3665" s="4"/>
      <c r="H3665" s="4"/>
    </row>
    <row r="3666" spans="1:8" x14ac:dyDescent="0.3">
      <c r="A3666" s="1"/>
      <c r="G3666" s="4"/>
      <c r="H3666" s="4"/>
    </row>
    <row r="3667" spans="1:8" x14ac:dyDescent="0.3">
      <c r="A3667" s="1"/>
      <c r="G3667" s="4"/>
      <c r="H3667" s="4"/>
    </row>
    <row r="3668" spans="1:8" x14ac:dyDescent="0.3">
      <c r="A3668" s="1"/>
      <c r="G3668" s="4"/>
      <c r="H3668" s="4"/>
    </row>
    <row r="3669" spans="1:8" x14ac:dyDescent="0.3">
      <c r="A3669" s="1"/>
      <c r="G3669" s="4"/>
      <c r="H3669" s="4"/>
    </row>
    <row r="3670" spans="1:8" x14ac:dyDescent="0.3">
      <c r="A3670" s="1"/>
      <c r="G3670" s="4"/>
      <c r="H3670" s="4"/>
    </row>
    <row r="3671" spans="1:8" x14ac:dyDescent="0.3">
      <c r="A3671" s="1"/>
      <c r="G3671" s="4"/>
      <c r="H3671" s="4"/>
    </row>
    <row r="3672" spans="1:8" x14ac:dyDescent="0.3">
      <c r="A3672" s="1"/>
      <c r="G3672" s="4"/>
      <c r="H3672" s="4"/>
    </row>
    <row r="3673" spans="1:8" x14ac:dyDescent="0.3">
      <c r="A3673" s="1"/>
      <c r="G3673" s="4"/>
      <c r="H3673" s="4"/>
    </row>
    <row r="3674" spans="1:8" x14ac:dyDescent="0.3">
      <c r="A3674" s="1"/>
      <c r="G3674" s="4"/>
      <c r="H3674" s="4"/>
    </row>
    <row r="3675" spans="1:8" x14ac:dyDescent="0.3">
      <c r="A3675" s="1"/>
      <c r="G3675" s="4"/>
      <c r="H3675" s="4"/>
    </row>
    <row r="3676" spans="1:8" x14ac:dyDescent="0.3">
      <c r="A3676" s="1"/>
      <c r="G3676" s="4"/>
      <c r="H3676" s="4"/>
    </row>
    <row r="3677" spans="1:8" x14ac:dyDescent="0.3">
      <c r="A3677" s="1"/>
      <c r="G3677" s="4"/>
      <c r="H3677" s="4"/>
    </row>
    <row r="3678" spans="1:8" x14ac:dyDescent="0.3">
      <c r="A3678" s="1"/>
      <c r="G3678" s="4"/>
      <c r="H3678" s="4"/>
    </row>
    <row r="3679" spans="1:8" x14ac:dyDescent="0.3">
      <c r="A3679" s="1"/>
      <c r="G3679" s="4"/>
      <c r="H3679" s="4"/>
    </row>
    <row r="3680" spans="1:8" x14ac:dyDescent="0.3">
      <c r="A3680" s="1"/>
      <c r="G3680" s="4"/>
      <c r="H3680" s="4"/>
    </row>
    <row r="3681" spans="1:8" x14ac:dyDescent="0.3">
      <c r="A3681" s="1"/>
      <c r="G3681" s="4"/>
      <c r="H3681" s="4"/>
    </row>
    <row r="3682" spans="1:8" x14ac:dyDescent="0.3">
      <c r="A3682" s="1"/>
      <c r="G3682" s="4"/>
      <c r="H3682" s="4"/>
    </row>
    <row r="3683" spans="1:8" x14ac:dyDescent="0.3">
      <c r="A3683" s="1"/>
      <c r="G3683" s="4"/>
      <c r="H3683" s="4"/>
    </row>
    <row r="3684" spans="1:8" x14ac:dyDescent="0.3">
      <c r="A3684" s="1"/>
      <c r="G3684" s="4"/>
      <c r="H3684" s="4"/>
    </row>
    <row r="3685" spans="1:8" x14ac:dyDescent="0.3">
      <c r="A3685" s="1"/>
      <c r="G3685" s="4"/>
      <c r="H3685" s="4"/>
    </row>
    <row r="3686" spans="1:8" x14ac:dyDescent="0.3">
      <c r="A3686" s="1"/>
      <c r="G3686" s="4"/>
      <c r="H3686" s="4"/>
    </row>
    <row r="3687" spans="1:8" x14ac:dyDescent="0.3">
      <c r="A3687" s="1"/>
      <c r="G3687" s="4"/>
      <c r="H3687" s="4"/>
    </row>
    <row r="3688" spans="1:8" x14ac:dyDescent="0.3">
      <c r="A3688" s="1"/>
      <c r="G3688" s="4"/>
      <c r="H3688" s="4"/>
    </row>
    <row r="3689" spans="1:8" x14ac:dyDescent="0.3">
      <c r="A3689" s="1"/>
      <c r="G3689" s="4"/>
      <c r="H3689" s="4"/>
    </row>
    <row r="3690" spans="1:8" x14ac:dyDescent="0.3">
      <c r="A3690" s="1"/>
      <c r="G3690" s="4"/>
      <c r="H3690" s="4"/>
    </row>
    <row r="3691" spans="1:8" x14ac:dyDescent="0.3">
      <c r="A3691" s="1"/>
      <c r="G3691" s="4"/>
      <c r="H3691" s="4"/>
    </row>
    <row r="3692" spans="1:8" x14ac:dyDescent="0.3">
      <c r="A3692" s="1"/>
      <c r="G3692" s="4"/>
      <c r="H3692" s="4"/>
    </row>
    <row r="3693" spans="1:8" x14ac:dyDescent="0.3">
      <c r="A3693" s="1"/>
      <c r="G3693" s="4"/>
      <c r="H3693" s="4"/>
    </row>
    <row r="3694" spans="1:8" x14ac:dyDescent="0.3">
      <c r="A3694" s="1"/>
      <c r="G3694" s="4"/>
      <c r="H3694" s="4"/>
    </row>
    <row r="3695" spans="1:8" x14ac:dyDescent="0.3">
      <c r="A3695" s="1"/>
      <c r="G3695" s="4"/>
      <c r="H3695" s="4"/>
    </row>
    <row r="3696" spans="1:8" x14ac:dyDescent="0.3">
      <c r="A3696" s="1"/>
      <c r="G3696" s="4"/>
      <c r="H3696" s="4"/>
    </row>
    <row r="3697" spans="1:8" x14ac:dyDescent="0.3">
      <c r="A3697" s="1"/>
      <c r="G3697" s="4"/>
      <c r="H3697" s="4"/>
    </row>
    <row r="3698" spans="1:8" x14ac:dyDescent="0.3">
      <c r="A3698" s="1"/>
      <c r="G3698" s="4"/>
      <c r="H3698" s="4"/>
    </row>
    <row r="3699" spans="1:8" x14ac:dyDescent="0.3">
      <c r="A3699" s="1"/>
      <c r="G3699" s="4"/>
      <c r="H3699" s="4"/>
    </row>
    <row r="3700" spans="1:8" x14ac:dyDescent="0.3">
      <c r="A3700" s="1"/>
      <c r="G3700" s="4"/>
      <c r="H3700" s="4"/>
    </row>
    <row r="3701" spans="1:8" x14ac:dyDescent="0.3">
      <c r="A3701" s="1"/>
      <c r="G3701" s="4"/>
      <c r="H3701" s="4"/>
    </row>
    <row r="3702" spans="1:8" x14ac:dyDescent="0.3">
      <c r="A3702" s="1"/>
      <c r="G3702" s="4"/>
      <c r="H3702" s="4"/>
    </row>
    <row r="3703" spans="1:8" x14ac:dyDescent="0.3">
      <c r="A3703" s="1"/>
      <c r="G3703" s="4"/>
      <c r="H3703" s="4"/>
    </row>
    <row r="3704" spans="1:8" x14ac:dyDescent="0.3">
      <c r="A3704" s="1"/>
      <c r="G3704" s="4"/>
      <c r="H3704" s="4"/>
    </row>
    <row r="3705" spans="1:8" x14ac:dyDescent="0.3">
      <c r="A3705" s="1"/>
      <c r="G3705" s="4"/>
      <c r="H3705" s="4"/>
    </row>
    <row r="3706" spans="1:8" x14ac:dyDescent="0.3">
      <c r="A3706" s="1"/>
      <c r="G3706" s="4"/>
      <c r="H3706" s="4"/>
    </row>
    <row r="3707" spans="1:8" x14ac:dyDescent="0.3">
      <c r="A3707" s="1"/>
      <c r="G3707" s="4"/>
      <c r="H3707" s="4"/>
    </row>
    <row r="3708" spans="1:8" x14ac:dyDescent="0.3">
      <c r="A3708" s="1"/>
      <c r="G3708" s="4"/>
      <c r="H3708" s="4"/>
    </row>
    <row r="3709" spans="1:8" x14ac:dyDescent="0.3">
      <c r="A3709" s="1"/>
      <c r="G3709" s="4"/>
      <c r="H3709" s="4"/>
    </row>
    <row r="3710" spans="1:8" x14ac:dyDescent="0.3">
      <c r="A3710" s="1"/>
      <c r="G3710" s="4"/>
      <c r="H3710" s="4"/>
    </row>
    <row r="3711" spans="1:8" x14ac:dyDescent="0.3">
      <c r="A3711" s="1"/>
      <c r="G3711" s="4"/>
      <c r="H3711" s="4"/>
    </row>
    <row r="3712" spans="1:8" x14ac:dyDescent="0.3">
      <c r="A3712" s="1"/>
      <c r="G3712" s="4"/>
      <c r="H3712" s="4"/>
    </row>
    <row r="3713" spans="1:8" x14ac:dyDescent="0.3">
      <c r="A3713" s="1"/>
      <c r="G3713" s="4"/>
      <c r="H3713" s="4"/>
    </row>
    <row r="3714" spans="1:8" x14ac:dyDescent="0.3">
      <c r="A3714" s="1"/>
      <c r="G3714" s="4"/>
      <c r="H3714" s="4"/>
    </row>
    <row r="3715" spans="1:8" x14ac:dyDescent="0.3">
      <c r="A3715" s="1"/>
      <c r="G3715" s="4"/>
      <c r="H3715" s="4"/>
    </row>
    <row r="3716" spans="1:8" x14ac:dyDescent="0.3">
      <c r="A3716" s="1"/>
      <c r="G3716" s="4"/>
      <c r="H3716" s="4"/>
    </row>
    <row r="3717" spans="1:8" x14ac:dyDescent="0.3">
      <c r="A3717" s="1"/>
      <c r="G3717" s="4"/>
      <c r="H3717" s="4"/>
    </row>
    <row r="3718" spans="1:8" x14ac:dyDescent="0.3">
      <c r="A3718" s="1"/>
      <c r="G3718" s="4"/>
      <c r="H3718" s="4"/>
    </row>
    <row r="3719" spans="1:8" x14ac:dyDescent="0.3">
      <c r="A3719" s="1"/>
      <c r="G3719" s="4"/>
      <c r="H3719" s="4"/>
    </row>
    <row r="3720" spans="1:8" x14ac:dyDescent="0.3">
      <c r="A3720" s="1"/>
      <c r="G3720" s="4"/>
      <c r="H3720" s="4"/>
    </row>
    <row r="3721" spans="1:8" x14ac:dyDescent="0.3">
      <c r="A3721" s="1"/>
      <c r="G3721" s="4"/>
      <c r="H3721" s="4"/>
    </row>
    <row r="3722" spans="1:8" x14ac:dyDescent="0.3">
      <c r="A3722" s="1"/>
      <c r="G3722" s="4"/>
      <c r="H3722" s="4"/>
    </row>
    <row r="3723" spans="1:8" x14ac:dyDescent="0.3">
      <c r="A3723" s="1"/>
      <c r="G3723" s="4"/>
      <c r="H3723" s="4"/>
    </row>
    <row r="3724" spans="1:8" x14ac:dyDescent="0.3">
      <c r="A3724" s="1"/>
      <c r="G3724" s="4"/>
      <c r="H3724" s="4"/>
    </row>
    <row r="3725" spans="1:8" x14ac:dyDescent="0.3">
      <c r="A3725" s="1"/>
      <c r="G3725" s="4"/>
      <c r="H3725" s="4"/>
    </row>
    <row r="3726" spans="1:8" x14ac:dyDescent="0.3">
      <c r="A3726" s="1"/>
      <c r="G3726" s="4"/>
      <c r="H3726" s="4"/>
    </row>
    <row r="3727" spans="1:8" x14ac:dyDescent="0.3">
      <c r="A3727" s="1"/>
      <c r="G3727" s="4"/>
      <c r="H3727" s="4"/>
    </row>
    <row r="3728" spans="1:8" x14ac:dyDescent="0.3">
      <c r="A3728" s="1"/>
      <c r="G3728" s="4"/>
      <c r="H3728" s="4"/>
    </row>
    <row r="3729" spans="1:8" x14ac:dyDescent="0.3">
      <c r="A3729" s="1"/>
      <c r="G3729" s="4"/>
      <c r="H3729" s="4"/>
    </row>
    <row r="3730" spans="1:8" x14ac:dyDescent="0.3">
      <c r="A3730" s="1"/>
      <c r="G3730" s="4"/>
      <c r="H3730" s="4"/>
    </row>
    <row r="3731" spans="1:8" x14ac:dyDescent="0.3">
      <c r="A3731" s="1"/>
      <c r="G3731" s="4"/>
      <c r="H3731" s="4"/>
    </row>
    <row r="3732" spans="1:8" x14ac:dyDescent="0.3">
      <c r="A3732" s="1"/>
      <c r="G3732" s="4"/>
      <c r="H3732" s="4"/>
    </row>
    <row r="3733" spans="1:8" x14ac:dyDescent="0.3">
      <c r="A3733" s="1"/>
      <c r="G3733" s="4"/>
      <c r="H3733" s="4"/>
    </row>
    <row r="3734" spans="1:8" x14ac:dyDescent="0.3">
      <c r="A3734" s="1"/>
      <c r="G3734" s="4"/>
      <c r="H3734" s="4"/>
    </row>
    <row r="3735" spans="1:8" x14ac:dyDescent="0.3">
      <c r="A3735" s="1"/>
      <c r="G3735" s="4"/>
      <c r="H3735" s="4"/>
    </row>
    <row r="3736" spans="1:8" x14ac:dyDescent="0.3">
      <c r="A3736" s="1"/>
      <c r="G3736" s="4"/>
      <c r="H3736" s="4"/>
    </row>
    <row r="3737" spans="1:8" x14ac:dyDescent="0.3">
      <c r="A3737" s="1"/>
      <c r="G3737" s="4"/>
      <c r="H3737" s="4"/>
    </row>
    <row r="3738" spans="1:8" x14ac:dyDescent="0.3">
      <c r="A3738" s="1"/>
      <c r="G3738" s="4"/>
      <c r="H3738" s="4"/>
    </row>
    <row r="3739" spans="1:8" x14ac:dyDescent="0.3">
      <c r="A3739" s="1"/>
      <c r="G3739" s="4"/>
      <c r="H3739" s="4"/>
    </row>
    <row r="3740" spans="1:8" x14ac:dyDescent="0.3">
      <c r="A3740" s="1"/>
      <c r="G3740" s="4"/>
      <c r="H3740" s="4"/>
    </row>
    <row r="3741" spans="1:8" x14ac:dyDescent="0.3">
      <c r="A3741" s="1"/>
      <c r="G3741" s="4"/>
      <c r="H3741" s="4"/>
    </row>
    <row r="3742" spans="1:8" x14ac:dyDescent="0.3">
      <c r="A3742" s="1"/>
      <c r="G3742" s="4"/>
      <c r="H3742" s="4"/>
    </row>
    <row r="3743" spans="1:8" x14ac:dyDescent="0.3">
      <c r="A3743" s="1"/>
      <c r="G3743" s="4"/>
      <c r="H3743" s="4"/>
    </row>
    <row r="3744" spans="1:8" x14ac:dyDescent="0.3">
      <c r="A3744" s="1"/>
      <c r="G3744" s="4"/>
      <c r="H3744" s="4"/>
    </row>
    <row r="3745" spans="1:8" x14ac:dyDescent="0.3">
      <c r="A3745" s="1"/>
      <c r="G3745" s="4"/>
      <c r="H3745" s="4"/>
    </row>
    <row r="3746" spans="1:8" x14ac:dyDescent="0.3">
      <c r="A3746" s="1"/>
      <c r="G3746" s="4"/>
      <c r="H3746" s="4"/>
    </row>
    <row r="3747" spans="1:8" x14ac:dyDescent="0.3">
      <c r="A3747" s="1"/>
      <c r="G3747" s="4"/>
      <c r="H3747" s="4"/>
    </row>
    <row r="3748" spans="1:8" x14ac:dyDescent="0.3">
      <c r="A3748" s="1"/>
      <c r="G3748" s="4"/>
      <c r="H3748" s="4"/>
    </row>
    <row r="3749" spans="1:8" x14ac:dyDescent="0.3">
      <c r="A3749" s="1"/>
      <c r="G3749" s="4"/>
      <c r="H3749" s="4"/>
    </row>
    <row r="3750" spans="1:8" x14ac:dyDescent="0.3">
      <c r="A3750" s="1"/>
      <c r="G3750" s="4"/>
      <c r="H3750" s="4"/>
    </row>
    <row r="3751" spans="1:8" x14ac:dyDescent="0.3">
      <c r="A3751" s="1"/>
      <c r="G3751" s="4"/>
      <c r="H3751" s="4"/>
    </row>
    <row r="3752" spans="1:8" x14ac:dyDescent="0.3">
      <c r="A3752" s="1"/>
      <c r="G3752" s="4"/>
      <c r="H3752" s="4"/>
    </row>
    <row r="3753" spans="1:8" x14ac:dyDescent="0.3">
      <c r="A3753" s="1"/>
      <c r="G3753" s="4"/>
      <c r="H3753" s="4"/>
    </row>
    <row r="3754" spans="1:8" x14ac:dyDescent="0.3">
      <c r="A3754" s="1"/>
      <c r="G3754" s="4"/>
      <c r="H3754" s="4"/>
    </row>
    <row r="3755" spans="1:8" x14ac:dyDescent="0.3">
      <c r="A3755" s="1"/>
      <c r="G3755" s="4"/>
      <c r="H3755" s="4"/>
    </row>
    <row r="3756" spans="1:8" x14ac:dyDescent="0.3">
      <c r="A3756" s="1"/>
      <c r="G3756" s="4"/>
      <c r="H3756" s="4"/>
    </row>
    <row r="3757" spans="1:8" x14ac:dyDescent="0.3">
      <c r="A3757" s="1"/>
      <c r="G3757" s="4"/>
      <c r="H3757" s="4"/>
    </row>
    <row r="3758" spans="1:8" x14ac:dyDescent="0.3">
      <c r="A3758" s="1"/>
      <c r="G3758" s="4"/>
      <c r="H3758" s="4"/>
    </row>
    <row r="3759" spans="1:8" x14ac:dyDescent="0.3">
      <c r="A3759" s="1"/>
      <c r="G3759" s="4"/>
      <c r="H3759" s="4"/>
    </row>
    <row r="3760" spans="1:8" x14ac:dyDescent="0.3">
      <c r="A3760" s="1"/>
      <c r="G3760" s="4"/>
      <c r="H3760" s="4"/>
    </row>
    <row r="3761" spans="1:8" x14ac:dyDescent="0.3">
      <c r="A3761" s="1"/>
      <c r="G3761" s="4"/>
      <c r="H3761" s="4"/>
    </row>
    <row r="3762" spans="1:8" x14ac:dyDescent="0.3">
      <c r="A3762" s="1"/>
      <c r="G3762" s="4"/>
      <c r="H3762" s="4"/>
    </row>
    <row r="3763" spans="1:8" x14ac:dyDescent="0.3">
      <c r="A3763" s="1"/>
      <c r="G3763" s="4"/>
      <c r="H3763" s="4"/>
    </row>
    <row r="3764" spans="1:8" x14ac:dyDescent="0.3">
      <c r="A3764" s="1"/>
      <c r="G3764" s="4"/>
      <c r="H3764" s="4"/>
    </row>
    <row r="3765" spans="1:8" x14ac:dyDescent="0.3">
      <c r="A3765" s="1"/>
      <c r="G3765" s="4"/>
      <c r="H3765" s="4"/>
    </row>
    <row r="3766" spans="1:8" x14ac:dyDescent="0.3">
      <c r="A3766" s="1"/>
      <c r="G3766" s="4"/>
      <c r="H3766" s="4"/>
    </row>
    <row r="3767" spans="1:8" x14ac:dyDescent="0.3">
      <c r="A3767" s="1"/>
      <c r="G3767" s="4"/>
      <c r="H3767" s="4"/>
    </row>
    <row r="3768" spans="1:8" x14ac:dyDescent="0.3">
      <c r="A3768" s="1"/>
      <c r="G3768" s="4"/>
      <c r="H3768" s="4"/>
    </row>
    <row r="3769" spans="1:8" x14ac:dyDescent="0.3">
      <c r="A3769" s="1"/>
      <c r="G3769" s="4"/>
      <c r="H3769" s="4"/>
    </row>
    <row r="3770" spans="1:8" x14ac:dyDescent="0.3">
      <c r="A3770" s="1"/>
      <c r="G3770" s="4"/>
      <c r="H3770" s="4"/>
    </row>
    <row r="3771" spans="1:8" x14ac:dyDescent="0.3">
      <c r="A3771" s="1"/>
      <c r="G3771" s="4"/>
      <c r="H3771" s="4"/>
    </row>
    <row r="3772" spans="1:8" x14ac:dyDescent="0.3">
      <c r="A3772" s="1"/>
      <c r="G3772" s="4"/>
      <c r="H3772" s="4"/>
    </row>
    <row r="3773" spans="1:8" x14ac:dyDescent="0.3">
      <c r="A3773" s="1"/>
      <c r="G3773" s="4"/>
      <c r="H3773" s="4"/>
    </row>
    <row r="3774" spans="1:8" x14ac:dyDescent="0.3">
      <c r="A3774" s="1"/>
      <c r="G3774" s="4"/>
      <c r="H3774" s="4"/>
    </row>
    <row r="3775" spans="1:8" x14ac:dyDescent="0.3">
      <c r="A3775" s="1"/>
      <c r="G3775" s="4"/>
      <c r="H3775" s="4"/>
    </row>
    <row r="3776" spans="1:8" x14ac:dyDescent="0.3">
      <c r="A3776" s="1"/>
      <c r="G3776" s="4"/>
      <c r="H3776" s="4"/>
    </row>
    <row r="3777" spans="1:8" x14ac:dyDescent="0.3">
      <c r="A3777" s="1"/>
      <c r="G3777" s="4"/>
      <c r="H3777" s="4"/>
    </row>
    <row r="3778" spans="1:8" x14ac:dyDescent="0.3">
      <c r="A3778" s="1"/>
      <c r="G3778" s="4"/>
      <c r="H3778" s="4"/>
    </row>
    <row r="3779" spans="1:8" x14ac:dyDescent="0.3">
      <c r="A3779" s="1"/>
      <c r="G3779" s="4"/>
      <c r="H3779" s="4"/>
    </row>
    <row r="3780" spans="1:8" x14ac:dyDescent="0.3">
      <c r="A3780" s="1"/>
      <c r="G3780" s="4"/>
      <c r="H3780" s="4"/>
    </row>
    <row r="3781" spans="1:8" x14ac:dyDescent="0.3">
      <c r="A3781" s="1"/>
      <c r="G3781" s="4"/>
      <c r="H3781" s="4"/>
    </row>
    <row r="3782" spans="1:8" x14ac:dyDescent="0.3">
      <c r="A3782" s="1"/>
      <c r="G3782" s="4"/>
      <c r="H3782" s="4"/>
    </row>
    <row r="3783" spans="1:8" x14ac:dyDescent="0.3">
      <c r="A3783" s="1"/>
      <c r="G3783" s="4"/>
      <c r="H3783" s="4"/>
    </row>
    <row r="3784" spans="1:8" x14ac:dyDescent="0.3">
      <c r="A3784" s="1"/>
      <c r="G3784" s="4"/>
      <c r="H3784" s="4"/>
    </row>
    <row r="3785" spans="1:8" x14ac:dyDescent="0.3">
      <c r="A3785" s="1"/>
      <c r="G3785" s="4"/>
      <c r="H3785" s="4"/>
    </row>
    <row r="3786" spans="1:8" x14ac:dyDescent="0.3">
      <c r="A3786" s="1"/>
      <c r="G3786" s="4"/>
      <c r="H3786" s="4"/>
    </row>
    <row r="3787" spans="1:8" x14ac:dyDescent="0.3">
      <c r="A3787" s="1"/>
      <c r="G3787" s="4"/>
      <c r="H3787" s="4"/>
    </row>
    <row r="3788" spans="1:8" x14ac:dyDescent="0.3">
      <c r="A3788" s="1"/>
      <c r="G3788" s="4"/>
      <c r="H3788" s="4"/>
    </row>
    <row r="3789" spans="1:8" x14ac:dyDescent="0.3">
      <c r="A3789" s="1"/>
      <c r="G3789" s="4"/>
      <c r="H3789" s="4"/>
    </row>
    <row r="3790" spans="1:8" x14ac:dyDescent="0.3">
      <c r="A3790" s="1"/>
      <c r="G3790" s="4"/>
      <c r="H3790" s="4"/>
    </row>
    <row r="3791" spans="1:8" x14ac:dyDescent="0.3">
      <c r="A3791" s="1"/>
      <c r="G3791" s="4"/>
      <c r="H3791" s="4"/>
    </row>
    <row r="3792" spans="1:8" x14ac:dyDescent="0.3">
      <c r="A3792" s="1"/>
      <c r="G3792" s="4"/>
      <c r="H3792" s="4"/>
    </row>
    <row r="3793" spans="1:8" x14ac:dyDescent="0.3">
      <c r="A3793" s="1"/>
      <c r="G3793" s="4"/>
      <c r="H3793" s="4"/>
    </row>
    <row r="3794" spans="1:8" x14ac:dyDescent="0.3">
      <c r="A3794" s="1"/>
      <c r="G3794" s="4"/>
      <c r="H3794" s="4"/>
    </row>
    <row r="3795" spans="1:8" x14ac:dyDescent="0.3">
      <c r="A3795" s="1"/>
      <c r="G3795" s="4"/>
      <c r="H3795" s="4"/>
    </row>
    <row r="3796" spans="1:8" x14ac:dyDescent="0.3">
      <c r="A3796" s="1"/>
      <c r="G3796" s="4"/>
      <c r="H3796" s="4"/>
    </row>
    <row r="3797" spans="1:8" x14ac:dyDescent="0.3">
      <c r="A3797" s="1"/>
      <c r="G3797" s="4"/>
      <c r="H3797" s="4"/>
    </row>
    <row r="3798" spans="1:8" x14ac:dyDescent="0.3">
      <c r="A3798" s="1"/>
      <c r="G3798" s="4"/>
      <c r="H3798" s="4"/>
    </row>
    <row r="3799" spans="1:8" x14ac:dyDescent="0.3">
      <c r="A3799" s="1"/>
      <c r="G3799" s="4"/>
      <c r="H3799" s="4"/>
    </row>
    <row r="3800" spans="1:8" x14ac:dyDescent="0.3">
      <c r="A3800" s="1"/>
      <c r="G3800" s="4"/>
      <c r="H3800" s="4"/>
    </row>
    <row r="3801" spans="1:8" x14ac:dyDescent="0.3">
      <c r="A3801" s="1"/>
      <c r="G3801" s="4"/>
      <c r="H3801" s="4"/>
    </row>
    <row r="3802" spans="1:8" x14ac:dyDescent="0.3">
      <c r="A3802" s="1"/>
      <c r="G3802" s="4"/>
      <c r="H3802" s="4"/>
    </row>
    <row r="3803" spans="1:8" x14ac:dyDescent="0.3">
      <c r="A3803" s="1"/>
      <c r="G3803" s="4"/>
      <c r="H3803" s="4"/>
    </row>
    <row r="3804" spans="1:8" x14ac:dyDescent="0.3">
      <c r="A3804" s="1"/>
      <c r="G3804" s="4"/>
      <c r="H3804" s="4"/>
    </row>
    <row r="3805" spans="1:8" x14ac:dyDescent="0.3">
      <c r="A3805" s="1"/>
      <c r="G3805" s="4"/>
      <c r="H3805" s="4"/>
    </row>
    <row r="3806" spans="1:8" x14ac:dyDescent="0.3">
      <c r="A3806" s="1"/>
      <c r="G3806" s="4"/>
      <c r="H3806" s="4"/>
    </row>
    <row r="3807" spans="1:8" x14ac:dyDescent="0.3">
      <c r="A3807" s="1"/>
      <c r="G3807" s="4"/>
      <c r="H3807" s="4"/>
    </row>
    <row r="3808" spans="1:8" x14ac:dyDescent="0.3">
      <c r="A3808" s="1"/>
      <c r="G3808" s="4"/>
      <c r="H3808" s="4"/>
    </row>
    <row r="3809" spans="1:8" x14ac:dyDescent="0.3">
      <c r="A3809" s="1"/>
      <c r="G3809" s="4"/>
      <c r="H3809" s="4"/>
    </row>
    <row r="3810" spans="1:8" x14ac:dyDescent="0.3">
      <c r="A3810" s="1"/>
      <c r="G3810" s="4"/>
      <c r="H3810" s="4"/>
    </row>
    <row r="3811" spans="1:8" x14ac:dyDescent="0.3">
      <c r="A3811" s="1"/>
      <c r="G3811" s="4"/>
      <c r="H3811" s="4"/>
    </row>
    <row r="3812" spans="1:8" x14ac:dyDescent="0.3">
      <c r="A3812" s="1"/>
      <c r="G3812" s="4"/>
      <c r="H3812" s="4"/>
    </row>
    <row r="3813" spans="1:8" x14ac:dyDescent="0.3">
      <c r="A3813" s="1"/>
      <c r="G3813" s="4"/>
      <c r="H3813" s="4"/>
    </row>
    <row r="3814" spans="1:8" x14ac:dyDescent="0.3">
      <c r="A3814" s="1"/>
      <c r="G3814" s="4"/>
      <c r="H3814" s="4"/>
    </row>
    <row r="3815" spans="1:8" x14ac:dyDescent="0.3">
      <c r="A3815" s="1"/>
      <c r="G3815" s="4"/>
      <c r="H3815" s="4"/>
    </row>
    <row r="3816" spans="1:8" x14ac:dyDescent="0.3">
      <c r="A3816" s="1"/>
      <c r="G3816" s="4"/>
      <c r="H3816" s="4"/>
    </row>
    <row r="3817" spans="1:8" x14ac:dyDescent="0.3">
      <c r="A3817" s="1"/>
      <c r="G3817" s="4"/>
      <c r="H3817" s="4"/>
    </row>
    <row r="3818" spans="1:8" x14ac:dyDescent="0.3">
      <c r="A3818" s="1"/>
      <c r="G3818" s="4"/>
      <c r="H3818" s="4"/>
    </row>
    <row r="3819" spans="1:8" x14ac:dyDescent="0.3">
      <c r="A3819" s="1"/>
      <c r="G3819" s="4"/>
      <c r="H3819" s="4"/>
    </row>
    <row r="3820" spans="1:8" x14ac:dyDescent="0.3">
      <c r="A3820" s="1"/>
      <c r="G3820" s="4"/>
      <c r="H3820" s="4"/>
    </row>
    <row r="3821" spans="1:8" x14ac:dyDescent="0.3">
      <c r="A3821" s="1"/>
      <c r="G3821" s="4"/>
      <c r="H3821" s="4"/>
    </row>
    <row r="3822" spans="1:8" x14ac:dyDescent="0.3">
      <c r="A3822" s="1"/>
      <c r="G3822" s="4"/>
      <c r="H3822" s="4"/>
    </row>
    <row r="3823" spans="1:8" x14ac:dyDescent="0.3">
      <c r="A3823" s="1"/>
      <c r="G3823" s="4"/>
      <c r="H3823" s="4"/>
    </row>
    <row r="3824" spans="1:8" x14ac:dyDescent="0.3">
      <c r="A3824" s="1"/>
      <c r="G3824" s="4"/>
      <c r="H3824" s="4"/>
    </row>
    <row r="3825" spans="1:8" x14ac:dyDescent="0.3">
      <c r="A3825" s="1"/>
      <c r="G3825" s="4"/>
      <c r="H3825" s="4"/>
    </row>
    <row r="3826" spans="1:8" x14ac:dyDescent="0.3">
      <c r="A3826" s="1"/>
      <c r="G3826" s="4"/>
      <c r="H3826" s="4"/>
    </row>
    <row r="3827" spans="1:8" x14ac:dyDescent="0.3">
      <c r="A3827" s="1"/>
      <c r="G3827" s="4"/>
      <c r="H3827" s="4"/>
    </row>
    <row r="3828" spans="1:8" x14ac:dyDescent="0.3">
      <c r="A3828" s="1"/>
      <c r="G3828" s="4"/>
      <c r="H3828" s="4"/>
    </row>
    <row r="3829" spans="1:8" x14ac:dyDescent="0.3">
      <c r="A3829" s="1"/>
      <c r="G3829" s="4"/>
      <c r="H3829" s="4"/>
    </row>
    <row r="3830" spans="1:8" x14ac:dyDescent="0.3">
      <c r="A3830" s="1"/>
      <c r="G3830" s="4"/>
      <c r="H3830" s="4"/>
    </row>
    <row r="3831" spans="1:8" x14ac:dyDescent="0.3">
      <c r="A3831" s="1"/>
      <c r="G3831" s="4"/>
      <c r="H3831" s="4"/>
    </row>
    <row r="3832" spans="1:8" x14ac:dyDescent="0.3">
      <c r="A3832" s="1"/>
      <c r="G3832" s="4"/>
      <c r="H3832" s="4"/>
    </row>
    <row r="3833" spans="1:8" x14ac:dyDescent="0.3">
      <c r="A3833" s="1"/>
      <c r="G3833" s="4"/>
      <c r="H3833" s="4"/>
    </row>
    <row r="3834" spans="1:8" x14ac:dyDescent="0.3">
      <c r="A3834" s="1"/>
      <c r="G3834" s="4"/>
      <c r="H3834" s="4"/>
    </row>
    <row r="3835" spans="1:8" x14ac:dyDescent="0.3">
      <c r="A3835" s="1"/>
      <c r="G3835" s="4"/>
      <c r="H3835" s="4"/>
    </row>
    <row r="3836" spans="1:8" x14ac:dyDescent="0.3">
      <c r="A3836" s="1"/>
      <c r="G3836" s="4"/>
      <c r="H3836" s="4"/>
    </row>
    <row r="3837" spans="1:8" x14ac:dyDescent="0.3">
      <c r="A3837" s="1"/>
      <c r="G3837" s="4"/>
      <c r="H3837" s="4"/>
    </row>
    <row r="3838" spans="1:8" x14ac:dyDescent="0.3">
      <c r="A3838" s="1"/>
      <c r="G3838" s="4"/>
      <c r="H3838" s="4"/>
    </row>
    <row r="3839" spans="1:8" x14ac:dyDescent="0.3">
      <c r="A3839" s="1"/>
      <c r="G3839" s="4"/>
      <c r="H3839" s="4"/>
    </row>
    <row r="3840" spans="1:8" x14ac:dyDescent="0.3">
      <c r="A3840" s="1"/>
      <c r="G3840" s="4"/>
      <c r="H3840" s="4"/>
    </row>
    <row r="3841" spans="1:8" x14ac:dyDescent="0.3">
      <c r="A3841" s="1"/>
      <c r="G3841" s="4"/>
      <c r="H3841" s="4"/>
    </row>
    <row r="3842" spans="1:8" x14ac:dyDescent="0.3">
      <c r="A3842" s="1"/>
      <c r="G3842" s="4"/>
      <c r="H3842" s="4"/>
    </row>
    <row r="3843" spans="1:8" x14ac:dyDescent="0.3">
      <c r="A3843" s="1"/>
      <c r="G3843" s="4"/>
      <c r="H3843" s="4"/>
    </row>
    <row r="3844" spans="1:8" x14ac:dyDescent="0.3">
      <c r="A3844" s="1"/>
      <c r="G3844" s="4"/>
      <c r="H3844" s="4"/>
    </row>
    <row r="3845" spans="1:8" x14ac:dyDescent="0.3">
      <c r="A3845" s="1"/>
      <c r="G3845" s="4"/>
      <c r="H3845" s="4"/>
    </row>
    <row r="3846" spans="1:8" x14ac:dyDescent="0.3">
      <c r="A3846" s="1"/>
      <c r="G3846" s="4"/>
      <c r="H3846" s="4"/>
    </row>
    <row r="3847" spans="1:8" x14ac:dyDescent="0.3">
      <c r="A3847" s="1"/>
      <c r="G3847" s="4"/>
      <c r="H3847" s="4"/>
    </row>
    <row r="3848" spans="1:8" x14ac:dyDescent="0.3">
      <c r="A3848" s="1"/>
      <c r="G3848" s="4"/>
      <c r="H3848" s="4"/>
    </row>
    <row r="3849" spans="1:8" x14ac:dyDescent="0.3">
      <c r="A3849" s="1"/>
      <c r="G3849" s="4"/>
      <c r="H3849" s="4"/>
    </row>
    <row r="3850" spans="1:8" x14ac:dyDescent="0.3">
      <c r="A3850" s="1"/>
      <c r="G3850" s="4"/>
      <c r="H3850" s="4"/>
    </row>
    <row r="3851" spans="1:8" x14ac:dyDescent="0.3">
      <c r="A3851" s="1"/>
      <c r="G3851" s="4"/>
      <c r="H3851" s="4"/>
    </row>
    <row r="3852" spans="1:8" x14ac:dyDescent="0.3">
      <c r="A3852" s="1"/>
      <c r="G3852" s="4"/>
      <c r="H3852" s="4"/>
    </row>
    <row r="3853" spans="1:8" x14ac:dyDescent="0.3">
      <c r="A3853" s="1"/>
      <c r="G3853" s="4"/>
      <c r="H3853" s="4"/>
    </row>
    <row r="3854" spans="1:8" x14ac:dyDescent="0.3">
      <c r="A3854" s="1"/>
      <c r="G3854" s="4"/>
      <c r="H3854" s="4"/>
    </row>
    <row r="3855" spans="1:8" x14ac:dyDescent="0.3">
      <c r="A3855" s="1"/>
      <c r="G3855" s="4"/>
      <c r="H3855" s="4"/>
    </row>
    <row r="3856" spans="1:8" x14ac:dyDescent="0.3">
      <c r="A3856" s="1"/>
      <c r="G3856" s="4"/>
      <c r="H3856" s="4"/>
    </row>
    <row r="3857" spans="1:8" x14ac:dyDescent="0.3">
      <c r="A3857" s="1"/>
      <c r="G3857" s="4"/>
      <c r="H3857" s="4"/>
    </row>
    <row r="3858" spans="1:8" x14ac:dyDescent="0.3">
      <c r="A3858" s="1"/>
      <c r="G3858" s="4"/>
      <c r="H3858" s="4"/>
    </row>
    <row r="3859" spans="1:8" x14ac:dyDescent="0.3">
      <c r="A3859" s="1"/>
      <c r="G3859" s="4"/>
      <c r="H3859" s="4"/>
    </row>
    <row r="3860" spans="1:8" x14ac:dyDescent="0.3">
      <c r="A3860" s="1"/>
      <c r="G3860" s="4"/>
      <c r="H3860" s="4"/>
    </row>
    <row r="3861" spans="1:8" x14ac:dyDescent="0.3">
      <c r="A3861" s="1"/>
      <c r="G3861" s="4"/>
      <c r="H3861" s="4"/>
    </row>
    <row r="3862" spans="1:8" x14ac:dyDescent="0.3">
      <c r="A3862" s="1"/>
      <c r="G3862" s="4"/>
      <c r="H3862" s="4"/>
    </row>
    <row r="3863" spans="1:8" x14ac:dyDescent="0.3">
      <c r="A3863" s="1"/>
      <c r="G3863" s="4"/>
      <c r="H3863" s="4"/>
    </row>
    <row r="3864" spans="1:8" x14ac:dyDescent="0.3">
      <c r="A3864" s="1"/>
      <c r="G3864" s="4"/>
      <c r="H3864" s="4"/>
    </row>
    <row r="3865" spans="1:8" x14ac:dyDescent="0.3">
      <c r="A3865" s="1"/>
      <c r="G3865" s="4"/>
      <c r="H3865" s="4"/>
    </row>
    <row r="3866" spans="1:8" x14ac:dyDescent="0.3">
      <c r="A3866" s="1"/>
      <c r="G3866" s="4"/>
      <c r="H3866" s="4"/>
    </row>
    <row r="3867" spans="1:8" x14ac:dyDescent="0.3">
      <c r="A3867" s="1"/>
      <c r="G3867" s="4"/>
      <c r="H3867" s="4"/>
    </row>
    <row r="3868" spans="1:8" x14ac:dyDescent="0.3">
      <c r="A3868" s="1"/>
      <c r="G3868" s="4"/>
      <c r="H3868" s="4"/>
    </row>
    <row r="3869" spans="1:8" x14ac:dyDescent="0.3">
      <c r="A3869" s="1"/>
      <c r="G3869" s="4"/>
      <c r="H3869" s="4"/>
    </row>
    <row r="3870" spans="1:8" x14ac:dyDescent="0.3">
      <c r="A3870" s="1"/>
      <c r="G3870" s="4"/>
      <c r="H3870" s="4"/>
    </row>
    <row r="3871" spans="1:8" x14ac:dyDescent="0.3">
      <c r="A3871" s="1"/>
      <c r="G3871" s="4"/>
      <c r="H3871" s="4"/>
    </row>
    <row r="3872" spans="1:8" x14ac:dyDescent="0.3">
      <c r="A3872" s="1"/>
      <c r="G3872" s="4"/>
      <c r="H3872" s="4"/>
    </row>
    <row r="3873" spans="1:8" x14ac:dyDescent="0.3">
      <c r="A3873" s="1"/>
      <c r="G3873" s="4"/>
      <c r="H3873" s="4"/>
    </row>
    <row r="3874" spans="1:8" x14ac:dyDescent="0.3">
      <c r="A3874" s="1"/>
      <c r="G3874" s="4"/>
      <c r="H3874" s="4"/>
    </row>
    <row r="3875" spans="1:8" x14ac:dyDescent="0.3">
      <c r="A3875" s="1"/>
      <c r="G3875" s="4"/>
      <c r="H3875" s="4"/>
    </row>
    <row r="3876" spans="1:8" x14ac:dyDescent="0.3">
      <c r="A3876" s="1"/>
      <c r="G3876" s="4"/>
      <c r="H3876" s="4"/>
    </row>
    <row r="3877" spans="1:8" x14ac:dyDescent="0.3">
      <c r="A3877" s="1"/>
      <c r="G3877" s="4"/>
      <c r="H3877" s="4"/>
    </row>
    <row r="3878" spans="1:8" x14ac:dyDescent="0.3">
      <c r="A3878" s="1"/>
      <c r="G3878" s="4"/>
      <c r="H3878" s="4"/>
    </row>
    <row r="3879" spans="1:8" x14ac:dyDescent="0.3">
      <c r="A3879" s="1"/>
      <c r="G3879" s="4"/>
      <c r="H3879" s="4"/>
    </row>
    <row r="3880" spans="1:8" x14ac:dyDescent="0.3">
      <c r="A3880" s="1"/>
      <c r="G3880" s="4"/>
      <c r="H3880" s="4"/>
    </row>
    <row r="3881" spans="1:8" x14ac:dyDescent="0.3">
      <c r="A3881" s="1"/>
      <c r="G3881" s="4"/>
      <c r="H3881" s="4"/>
    </row>
    <row r="3882" spans="1:8" x14ac:dyDescent="0.3">
      <c r="A3882" s="1"/>
      <c r="G3882" s="4"/>
      <c r="H3882" s="4"/>
    </row>
    <row r="3883" spans="1:8" x14ac:dyDescent="0.3">
      <c r="A3883" s="1"/>
      <c r="G3883" s="4"/>
      <c r="H3883" s="4"/>
    </row>
    <row r="3884" spans="1:8" x14ac:dyDescent="0.3">
      <c r="A3884" s="1"/>
      <c r="G3884" s="4"/>
      <c r="H3884" s="4"/>
    </row>
    <row r="3885" spans="1:8" x14ac:dyDescent="0.3">
      <c r="A3885" s="1"/>
      <c r="G3885" s="4"/>
      <c r="H3885" s="4"/>
    </row>
    <row r="3886" spans="1:8" x14ac:dyDescent="0.3">
      <c r="A3886" s="1"/>
      <c r="G3886" s="4"/>
      <c r="H3886" s="4"/>
    </row>
    <row r="3887" spans="1:8" x14ac:dyDescent="0.3">
      <c r="A3887" s="1"/>
      <c r="G3887" s="4"/>
      <c r="H3887" s="4"/>
    </row>
    <row r="3888" spans="1:8" x14ac:dyDescent="0.3">
      <c r="A3888" s="1"/>
      <c r="G3888" s="4"/>
      <c r="H3888" s="4"/>
    </row>
    <row r="3889" spans="1:8" x14ac:dyDescent="0.3">
      <c r="A3889" s="1"/>
      <c r="G3889" s="4"/>
      <c r="H3889" s="4"/>
    </row>
    <row r="3890" spans="1:8" x14ac:dyDescent="0.3">
      <c r="A3890" s="1"/>
      <c r="G3890" s="4"/>
      <c r="H3890" s="4"/>
    </row>
    <row r="3891" spans="1:8" x14ac:dyDescent="0.3">
      <c r="A3891" s="1"/>
      <c r="G3891" s="4"/>
      <c r="H3891" s="4"/>
    </row>
    <row r="3892" spans="1:8" x14ac:dyDescent="0.3">
      <c r="A3892" s="1"/>
      <c r="G3892" s="4"/>
      <c r="H3892" s="4"/>
    </row>
    <row r="3893" spans="1:8" x14ac:dyDescent="0.3">
      <c r="A3893" s="1"/>
      <c r="G3893" s="4"/>
      <c r="H3893" s="4"/>
    </row>
    <row r="3894" spans="1:8" x14ac:dyDescent="0.3">
      <c r="A3894" s="1"/>
      <c r="G3894" s="4"/>
      <c r="H3894" s="4"/>
    </row>
    <row r="3895" spans="1:8" x14ac:dyDescent="0.3">
      <c r="A3895" s="1"/>
      <c r="G3895" s="4"/>
      <c r="H3895" s="4"/>
    </row>
    <row r="3896" spans="1:8" x14ac:dyDescent="0.3">
      <c r="A3896" s="1"/>
      <c r="G3896" s="4"/>
      <c r="H3896" s="4"/>
    </row>
    <row r="3897" spans="1:8" x14ac:dyDescent="0.3">
      <c r="A3897" s="1"/>
      <c r="G3897" s="4"/>
      <c r="H3897" s="4"/>
    </row>
    <row r="3898" spans="1:8" x14ac:dyDescent="0.3">
      <c r="A3898" s="1"/>
      <c r="G3898" s="4"/>
      <c r="H3898" s="4"/>
    </row>
    <row r="3899" spans="1:8" x14ac:dyDescent="0.3">
      <c r="A3899" s="1"/>
      <c r="G3899" s="4"/>
      <c r="H3899" s="4"/>
    </row>
    <row r="3900" spans="1:8" x14ac:dyDescent="0.3">
      <c r="A3900" s="1"/>
      <c r="G3900" s="4"/>
      <c r="H3900" s="4"/>
    </row>
    <row r="3901" spans="1:8" x14ac:dyDescent="0.3">
      <c r="A3901" s="1"/>
      <c r="G3901" s="4"/>
      <c r="H3901" s="4"/>
    </row>
    <row r="3902" spans="1:8" x14ac:dyDescent="0.3">
      <c r="A3902" s="1"/>
      <c r="G3902" s="4"/>
      <c r="H3902" s="4"/>
    </row>
    <row r="3903" spans="1:8" x14ac:dyDescent="0.3">
      <c r="A3903" s="1"/>
      <c r="G3903" s="4"/>
      <c r="H3903" s="4"/>
    </row>
    <row r="3904" spans="1:8" x14ac:dyDescent="0.3">
      <c r="A3904" s="1"/>
      <c r="G3904" s="4"/>
      <c r="H3904" s="4"/>
    </row>
    <row r="3905" spans="1:8" x14ac:dyDescent="0.3">
      <c r="A3905" s="1"/>
      <c r="G3905" s="4"/>
      <c r="H3905" s="4"/>
    </row>
    <row r="3906" spans="1:8" x14ac:dyDescent="0.3">
      <c r="A3906" s="1"/>
      <c r="G3906" s="4"/>
      <c r="H3906" s="4"/>
    </row>
    <row r="3907" spans="1:8" x14ac:dyDescent="0.3">
      <c r="A3907" s="1"/>
      <c r="G3907" s="4"/>
      <c r="H3907" s="4"/>
    </row>
    <row r="3908" spans="1:8" x14ac:dyDescent="0.3">
      <c r="A3908" s="1"/>
      <c r="G3908" s="4"/>
      <c r="H3908" s="4"/>
    </row>
    <row r="3909" spans="1:8" x14ac:dyDescent="0.3">
      <c r="A3909" s="1"/>
      <c r="G3909" s="4"/>
      <c r="H3909" s="4"/>
    </row>
    <row r="3910" spans="1:8" x14ac:dyDescent="0.3">
      <c r="A3910" s="1"/>
      <c r="G3910" s="4"/>
      <c r="H3910" s="4"/>
    </row>
    <row r="3911" spans="1:8" x14ac:dyDescent="0.3">
      <c r="A3911" s="1"/>
      <c r="G3911" s="4"/>
      <c r="H3911" s="4"/>
    </row>
    <row r="3912" spans="1:8" x14ac:dyDescent="0.3">
      <c r="A3912" s="1"/>
      <c r="G3912" s="4"/>
      <c r="H3912" s="4"/>
    </row>
    <row r="3913" spans="1:8" x14ac:dyDescent="0.3">
      <c r="A3913" s="1"/>
      <c r="G3913" s="4"/>
      <c r="H3913" s="4"/>
    </row>
    <row r="3914" spans="1:8" x14ac:dyDescent="0.3">
      <c r="A3914" s="1"/>
      <c r="G3914" s="4"/>
      <c r="H3914" s="4"/>
    </row>
    <row r="3915" spans="1:8" x14ac:dyDescent="0.3">
      <c r="A3915" s="1"/>
      <c r="G3915" s="4"/>
      <c r="H3915" s="4"/>
    </row>
    <row r="3916" spans="1:8" x14ac:dyDescent="0.3">
      <c r="A3916" s="1"/>
      <c r="G3916" s="4"/>
      <c r="H3916" s="4"/>
    </row>
    <row r="3917" spans="1:8" x14ac:dyDescent="0.3">
      <c r="A3917" s="1"/>
      <c r="G3917" s="4"/>
      <c r="H3917" s="4"/>
    </row>
    <row r="3918" spans="1:8" x14ac:dyDescent="0.3">
      <c r="A3918" s="1"/>
      <c r="G3918" s="4"/>
      <c r="H3918" s="4"/>
    </row>
    <row r="3919" spans="1:8" x14ac:dyDescent="0.3">
      <c r="A3919" s="1"/>
      <c r="G3919" s="4"/>
      <c r="H3919" s="4"/>
    </row>
    <row r="3920" spans="1:8" x14ac:dyDescent="0.3">
      <c r="A3920" s="1"/>
      <c r="G3920" s="4"/>
      <c r="H3920" s="4"/>
    </row>
    <row r="3921" spans="1:8" x14ac:dyDescent="0.3">
      <c r="A3921" s="1"/>
      <c r="G3921" s="4"/>
      <c r="H3921" s="4"/>
    </row>
    <row r="3922" spans="1:8" x14ac:dyDescent="0.3">
      <c r="A3922" s="1"/>
      <c r="G3922" s="4"/>
      <c r="H3922" s="4"/>
    </row>
    <row r="3923" spans="1:8" x14ac:dyDescent="0.3">
      <c r="A3923" s="1"/>
      <c r="G3923" s="4"/>
      <c r="H3923" s="4"/>
    </row>
    <row r="3924" spans="1:8" x14ac:dyDescent="0.3">
      <c r="A3924" s="1"/>
      <c r="G3924" s="4"/>
      <c r="H3924" s="4"/>
    </row>
    <row r="3925" spans="1:8" x14ac:dyDescent="0.3">
      <c r="A3925" s="1"/>
      <c r="G3925" s="4"/>
      <c r="H3925" s="4"/>
    </row>
    <row r="3926" spans="1:8" x14ac:dyDescent="0.3">
      <c r="A3926" s="1"/>
      <c r="G3926" s="4"/>
      <c r="H3926" s="4"/>
    </row>
    <row r="3927" spans="1:8" x14ac:dyDescent="0.3">
      <c r="A3927" s="1"/>
      <c r="G3927" s="4"/>
      <c r="H3927" s="4"/>
    </row>
    <row r="3928" spans="1:8" x14ac:dyDescent="0.3">
      <c r="A3928" s="1"/>
      <c r="G3928" s="4"/>
      <c r="H3928" s="4"/>
    </row>
    <row r="3929" spans="1:8" x14ac:dyDescent="0.3">
      <c r="A3929" s="1"/>
      <c r="G3929" s="4"/>
      <c r="H3929" s="4"/>
    </row>
    <row r="3930" spans="1:8" x14ac:dyDescent="0.3">
      <c r="A3930" s="1"/>
      <c r="G3930" s="4"/>
      <c r="H3930" s="4"/>
    </row>
    <row r="3931" spans="1:8" x14ac:dyDescent="0.3">
      <c r="A3931" s="1"/>
      <c r="G3931" s="4"/>
      <c r="H3931" s="4"/>
    </row>
    <row r="3932" spans="1:8" x14ac:dyDescent="0.3">
      <c r="A3932" s="1"/>
      <c r="G3932" s="4"/>
      <c r="H3932" s="4"/>
    </row>
    <row r="3933" spans="1:8" x14ac:dyDescent="0.3">
      <c r="A3933" s="1"/>
      <c r="G3933" s="4"/>
      <c r="H3933" s="4"/>
    </row>
    <row r="3934" spans="1:8" x14ac:dyDescent="0.3">
      <c r="A3934" s="1"/>
      <c r="G3934" s="4"/>
      <c r="H3934" s="4"/>
    </row>
    <row r="3935" spans="1:8" x14ac:dyDescent="0.3">
      <c r="A3935" s="1"/>
      <c r="G3935" s="4"/>
      <c r="H3935" s="4"/>
    </row>
    <row r="3936" spans="1:8" x14ac:dyDescent="0.3">
      <c r="A3936" s="1"/>
      <c r="G3936" s="4"/>
      <c r="H3936" s="4"/>
    </row>
    <row r="3937" spans="1:8" x14ac:dyDescent="0.3">
      <c r="A3937" s="1"/>
      <c r="G3937" s="4"/>
      <c r="H3937" s="4"/>
    </row>
    <row r="3938" spans="1:8" x14ac:dyDescent="0.3">
      <c r="A3938" s="1"/>
      <c r="G3938" s="4"/>
      <c r="H3938" s="4"/>
    </row>
    <row r="3939" spans="1:8" x14ac:dyDescent="0.3">
      <c r="A3939" s="1"/>
      <c r="G3939" s="4"/>
      <c r="H3939" s="4"/>
    </row>
    <row r="3940" spans="1:8" x14ac:dyDescent="0.3">
      <c r="A3940" s="1"/>
      <c r="G3940" s="4"/>
      <c r="H3940" s="4"/>
    </row>
    <row r="3941" spans="1:8" x14ac:dyDescent="0.3">
      <c r="A3941" s="1"/>
      <c r="G3941" s="4"/>
      <c r="H3941" s="4"/>
    </row>
    <row r="3942" spans="1:8" x14ac:dyDescent="0.3">
      <c r="A3942" s="1"/>
      <c r="G3942" s="4"/>
      <c r="H3942" s="4"/>
    </row>
    <row r="3943" spans="1:8" x14ac:dyDescent="0.3">
      <c r="A3943" s="1"/>
      <c r="G3943" s="4"/>
      <c r="H3943" s="4"/>
    </row>
    <row r="3944" spans="1:8" x14ac:dyDescent="0.3">
      <c r="A3944" s="1"/>
      <c r="G3944" s="4"/>
      <c r="H3944" s="4"/>
    </row>
    <row r="3945" spans="1:8" x14ac:dyDescent="0.3">
      <c r="A3945" s="1"/>
      <c r="G3945" s="4"/>
      <c r="H3945" s="4"/>
    </row>
    <row r="3946" spans="1:8" x14ac:dyDescent="0.3">
      <c r="A3946" s="1"/>
      <c r="G3946" s="4"/>
      <c r="H3946" s="4"/>
    </row>
    <row r="3947" spans="1:8" x14ac:dyDescent="0.3">
      <c r="A3947" s="1"/>
      <c r="G3947" s="4"/>
      <c r="H3947" s="4"/>
    </row>
    <row r="3948" spans="1:8" x14ac:dyDescent="0.3">
      <c r="A3948" s="1"/>
      <c r="G3948" s="4"/>
      <c r="H3948" s="4"/>
    </row>
    <row r="3949" spans="1:8" x14ac:dyDescent="0.3">
      <c r="A3949" s="1"/>
      <c r="G3949" s="4"/>
      <c r="H3949" s="4"/>
    </row>
    <row r="3950" spans="1:8" x14ac:dyDescent="0.3">
      <c r="A3950" s="1"/>
      <c r="G3950" s="4"/>
      <c r="H3950" s="4"/>
    </row>
    <row r="3951" spans="1:8" x14ac:dyDescent="0.3">
      <c r="A3951" s="1"/>
      <c r="G3951" s="4"/>
      <c r="H3951" s="4"/>
    </row>
    <row r="3952" spans="1:8" x14ac:dyDescent="0.3">
      <c r="A3952" s="1"/>
      <c r="G3952" s="4"/>
      <c r="H3952" s="4"/>
    </row>
    <row r="3953" spans="1:8" x14ac:dyDescent="0.3">
      <c r="A3953" s="1"/>
      <c r="G3953" s="4"/>
      <c r="H3953" s="4"/>
    </row>
    <row r="3954" spans="1:8" x14ac:dyDescent="0.3">
      <c r="A3954" s="1"/>
      <c r="G3954" s="4"/>
      <c r="H3954" s="4"/>
    </row>
    <row r="3955" spans="1:8" x14ac:dyDescent="0.3">
      <c r="A3955" s="1"/>
      <c r="G3955" s="4"/>
      <c r="H3955" s="4"/>
    </row>
    <row r="3956" spans="1:8" x14ac:dyDescent="0.3">
      <c r="A3956" s="1"/>
      <c r="G3956" s="4"/>
      <c r="H3956" s="4"/>
    </row>
    <row r="3957" spans="1:8" x14ac:dyDescent="0.3">
      <c r="A3957" s="1"/>
      <c r="G3957" s="4"/>
      <c r="H3957" s="4"/>
    </row>
    <row r="3958" spans="1:8" x14ac:dyDescent="0.3">
      <c r="A3958" s="1"/>
      <c r="G3958" s="4"/>
      <c r="H3958" s="4"/>
    </row>
    <row r="3959" spans="1:8" x14ac:dyDescent="0.3">
      <c r="A3959" s="1"/>
      <c r="G3959" s="4"/>
      <c r="H3959" s="4"/>
    </row>
    <row r="3960" spans="1:8" x14ac:dyDescent="0.3">
      <c r="A3960" s="1"/>
      <c r="G3960" s="4"/>
      <c r="H3960" s="4"/>
    </row>
    <row r="3961" spans="1:8" x14ac:dyDescent="0.3">
      <c r="A3961" s="1"/>
      <c r="G3961" s="4"/>
      <c r="H3961" s="4"/>
    </row>
    <row r="3962" spans="1:8" x14ac:dyDescent="0.3">
      <c r="A3962" s="1"/>
      <c r="G3962" s="4"/>
      <c r="H3962" s="4"/>
    </row>
    <row r="3963" spans="1:8" x14ac:dyDescent="0.3">
      <c r="A3963" s="1"/>
      <c r="G3963" s="4"/>
      <c r="H3963" s="4"/>
    </row>
    <row r="3964" spans="1:8" x14ac:dyDescent="0.3">
      <c r="A3964" s="1"/>
      <c r="G3964" s="4"/>
      <c r="H3964" s="4"/>
    </row>
    <row r="3965" spans="1:8" x14ac:dyDescent="0.3">
      <c r="A3965" s="1"/>
      <c r="G3965" s="4"/>
      <c r="H3965" s="4"/>
    </row>
    <row r="3966" spans="1:8" x14ac:dyDescent="0.3">
      <c r="A3966" s="1"/>
      <c r="G3966" s="4"/>
      <c r="H3966" s="4"/>
    </row>
    <row r="3967" spans="1:8" x14ac:dyDescent="0.3">
      <c r="A3967" s="1"/>
      <c r="G3967" s="4"/>
      <c r="H3967" s="4"/>
    </row>
    <row r="3968" spans="1:8" x14ac:dyDescent="0.3">
      <c r="A3968" s="1"/>
      <c r="G3968" s="4"/>
      <c r="H3968" s="4"/>
    </row>
    <row r="3969" spans="1:8" x14ac:dyDescent="0.3">
      <c r="A3969" s="1"/>
      <c r="G3969" s="4"/>
      <c r="H3969" s="4"/>
    </row>
    <row r="3970" spans="1:8" x14ac:dyDescent="0.3">
      <c r="A3970" s="1"/>
      <c r="G3970" s="4"/>
      <c r="H3970" s="4"/>
    </row>
    <row r="3971" spans="1:8" x14ac:dyDescent="0.3">
      <c r="A3971" s="1"/>
      <c r="G3971" s="4"/>
      <c r="H3971" s="4"/>
    </row>
    <row r="3972" spans="1:8" x14ac:dyDescent="0.3">
      <c r="A3972" s="1"/>
      <c r="G3972" s="4"/>
      <c r="H3972" s="4"/>
    </row>
    <row r="3973" spans="1:8" x14ac:dyDescent="0.3">
      <c r="A3973" s="1"/>
      <c r="G3973" s="4"/>
      <c r="H3973" s="4"/>
    </row>
    <row r="3974" spans="1:8" x14ac:dyDescent="0.3">
      <c r="A3974" s="1"/>
      <c r="G3974" s="4"/>
      <c r="H3974" s="4"/>
    </row>
    <row r="3975" spans="1:8" x14ac:dyDescent="0.3">
      <c r="A3975" s="1"/>
      <c r="G3975" s="4"/>
      <c r="H3975" s="4"/>
    </row>
    <row r="3976" spans="1:8" x14ac:dyDescent="0.3">
      <c r="A3976" s="1"/>
      <c r="G3976" s="4"/>
      <c r="H3976" s="4"/>
    </row>
    <row r="3977" spans="1:8" x14ac:dyDescent="0.3">
      <c r="A3977" s="1"/>
      <c r="G3977" s="4"/>
      <c r="H3977" s="4"/>
    </row>
    <row r="3978" spans="1:8" x14ac:dyDescent="0.3">
      <c r="A3978" s="1"/>
      <c r="G3978" s="4"/>
      <c r="H3978" s="4"/>
    </row>
    <row r="3979" spans="1:8" x14ac:dyDescent="0.3">
      <c r="A3979" s="1"/>
      <c r="G3979" s="4"/>
      <c r="H3979" s="4"/>
    </row>
    <row r="3980" spans="1:8" x14ac:dyDescent="0.3">
      <c r="A3980" s="1"/>
      <c r="G3980" s="4"/>
      <c r="H3980" s="4"/>
    </row>
    <row r="3981" spans="1:8" x14ac:dyDescent="0.3">
      <c r="A3981" s="1"/>
      <c r="G3981" s="4"/>
      <c r="H3981" s="4"/>
    </row>
    <row r="3982" spans="1:8" x14ac:dyDescent="0.3">
      <c r="A3982" s="1"/>
      <c r="G3982" s="4"/>
      <c r="H3982" s="4"/>
    </row>
    <row r="3983" spans="1:8" x14ac:dyDescent="0.3">
      <c r="A3983" s="1"/>
      <c r="G3983" s="4"/>
      <c r="H3983" s="4"/>
    </row>
    <row r="3984" spans="1:8" x14ac:dyDescent="0.3">
      <c r="A3984" s="1"/>
      <c r="G3984" s="4"/>
      <c r="H3984" s="4"/>
    </row>
    <row r="3985" spans="1:8" x14ac:dyDescent="0.3">
      <c r="A3985" s="1"/>
      <c r="G3985" s="4"/>
      <c r="H3985" s="4"/>
    </row>
    <row r="3986" spans="1:8" x14ac:dyDescent="0.3">
      <c r="A3986" s="1"/>
      <c r="G3986" s="4"/>
      <c r="H3986" s="4"/>
    </row>
    <row r="3987" spans="1:8" x14ac:dyDescent="0.3">
      <c r="A3987" s="1"/>
      <c r="G3987" s="4"/>
      <c r="H3987" s="4"/>
    </row>
    <row r="3988" spans="1:8" x14ac:dyDescent="0.3">
      <c r="A3988" s="1"/>
      <c r="G3988" s="4"/>
      <c r="H3988" s="4"/>
    </row>
    <row r="3989" spans="1:8" x14ac:dyDescent="0.3">
      <c r="A3989" s="1"/>
      <c r="G3989" s="4"/>
      <c r="H3989" s="4"/>
    </row>
    <row r="3990" spans="1:8" x14ac:dyDescent="0.3">
      <c r="A3990" s="1"/>
      <c r="G3990" s="4"/>
      <c r="H3990" s="4"/>
    </row>
    <row r="3991" spans="1:8" x14ac:dyDescent="0.3">
      <c r="A3991" s="1"/>
      <c r="G3991" s="4"/>
      <c r="H3991" s="4"/>
    </row>
    <row r="3992" spans="1:8" x14ac:dyDescent="0.3">
      <c r="A3992" s="1"/>
      <c r="G3992" s="4"/>
      <c r="H3992" s="4"/>
    </row>
    <row r="3993" spans="1:8" x14ac:dyDescent="0.3">
      <c r="A3993" s="1"/>
      <c r="G3993" s="4"/>
      <c r="H3993" s="4"/>
    </row>
    <row r="3994" spans="1:8" x14ac:dyDescent="0.3">
      <c r="A3994" s="1"/>
      <c r="G3994" s="4"/>
      <c r="H3994" s="4"/>
    </row>
    <row r="3995" spans="1:8" x14ac:dyDescent="0.3">
      <c r="A3995" s="1"/>
      <c r="G3995" s="4"/>
      <c r="H3995" s="4"/>
    </row>
    <row r="3996" spans="1:8" x14ac:dyDescent="0.3">
      <c r="A3996" s="1"/>
      <c r="G3996" s="4"/>
      <c r="H3996" s="4"/>
    </row>
    <row r="3997" spans="1:8" x14ac:dyDescent="0.3">
      <c r="A3997" s="1"/>
      <c r="G3997" s="4"/>
      <c r="H3997" s="4"/>
    </row>
    <row r="3998" spans="1:8" x14ac:dyDescent="0.3">
      <c r="A3998" s="1"/>
      <c r="G3998" s="4"/>
      <c r="H3998" s="4"/>
    </row>
    <row r="3999" spans="1:8" x14ac:dyDescent="0.3">
      <c r="A3999" s="1"/>
      <c r="G3999" s="4"/>
      <c r="H3999" s="4"/>
    </row>
    <row r="4000" spans="1:8" x14ac:dyDescent="0.3">
      <c r="A4000" s="1"/>
      <c r="G4000" s="4"/>
      <c r="H4000" s="4"/>
    </row>
    <row r="4001" spans="1:8" x14ac:dyDescent="0.3">
      <c r="A4001" s="1"/>
      <c r="G4001" s="4"/>
      <c r="H4001" s="4"/>
    </row>
    <row r="4002" spans="1:8" x14ac:dyDescent="0.3">
      <c r="A4002" s="1"/>
      <c r="G4002" s="4"/>
      <c r="H4002" s="4"/>
    </row>
    <row r="4003" spans="1:8" x14ac:dyDescent="0.3">
      <c r="A4003" s="1"/>
      <c r="G4003" s="4"/>
      <c r="H4003" s="4"/>
    </row>
    <row r="4004" spans="1:8" x14ac:dyDescent="0.3">
      <c r="A4004" s="1"/>
      <c r="G4004" s="4"/>
      <c r="H4004" s="4"/>
    </row>
    <row r="4005" spans="1:8" x14ac:dyDescent="0.3">
      <c r="A4005" s="1"/>
      <c r="G4005" s="4"/>
      <c r="H4005" s="4"/>
    </row>
    <row r="4006" spans="1:8" x14ac:dyDescent="0.3">
      <c r="A4006" s="1"/>
      <c r="G4006" s="4"/>
      <c r="H4006" s="4"/>
    </row>
    <row r="4007" spans="1:8" x14ac:dyDescent="0.3">
      <c r="A4007" s="1"/>
      <c r="G4007" s="4"/>
      <c r="H4007" s="4"/>
    </row>
    <row r="4008" spans="1:8" x14ac:dyDescent="0.3">
      <c r="A4008" s="1"/>
      <c r="G4008" s="4"/>
      <c r="H4008" s="4"/>
    </row>
    <row r="4009" spans="1:8" x14ac:dyDescent="0.3">
      <c r="A4009" s="1"/>
      <c r="G4009" s="4"/>
      <c r="H4009" s="4"/>
    </row>
    <row r="4010" spans="1:8" x14ac:dyDescent="0.3">
      <c r="A4010" s="1"/>
      <c r="G4010" s="4"/>
      <c r="H4010" s="4"/>
    </row>
    <row r="4011" spans="1:8" x14ac:dyDescent="0.3">
      <c r="A4011" s="1"/>
      <c r="G4011" s="4"/>
      <c r="H4011" s="4"/>
    </row>
    <row r="4012" spans="1:8" x14ac:dyDescent="0.3">
      <c r="A4012" s="1"/>
      <c r="G4012" s="4"/>
      <c r="H4012" s="4"/>
    </row>
    <row r="4013" spans="1:8" x14ac:dyDescent="0.3">
      <c r="A4013" s="1"/>
      <c r="G4013" s="4"/>
      <c r="H4013" s="4"/>
    </row>
    <row r="4014" spans="1:8" x14ac:dyDescent="0.3">
      <c r="A4014" s="1"/>
      <c r="G4014" s="4"/>
      <c r="H4014" s="4"/>
    </row>
    <row r="4015" spans="1:8" x14ac:dyDescent="0.3">
      <c r="A4015" s="1"/>
      <c r="G4015" s="4"/>
      <c r="H4015" s="4"/>
    </row>
    <row r="4016" spans="1:8" x14ac:dyDescent="0.3">
      <c r="A4016" s="1"/>
      <c r="G4016" s="4"/>
      <c r="H4016" s="4"/>
    </row>
    <row r="4017" spans="1:8" x14ac:dyDescent="0.3">
      <c r="A4017" s="1"/>
      <c r="G4017" s="4"/>
      <c r="H4017" s="4"/>
    </row>
    <row r="4018" spans="1:8" x14ac:dyDescent="0.3">
      <c r="A4018" s="1"/>
      <c r="G4018" s="4"/>
      <c r="H4018" s="4"/>
    </row>
    <row r="4019" spans="1:8" x14ac:dyDescent="0.3">
      <c r="A4019" s="1"/>
      <c r="G4019" s="4"/>
      <c r="H4019" s="4"/>
    </row>
    <row r="4020" spans="1:8" x14ac:dyDescent="0.3">
      <c r="A4020" s="1"/>
      <c r="G4020" s="4"/>
      <c r="H4020" s="4"/>
    </row>
    <row r="4021" spans="1:8" x14ac:dyDescent="0.3">
      <c r="A4021" s="1"/>
      <c r="G4021" s="4"/>
      <c r="H4021" s="4"/>
    </row>
    <row r="4022" spans="1:8" x14ac:dyDescent="0.3">
      <c r="A4022" s="1"/>
      <c r="G4022" s="4"/>
      <c r="H4022" s="4"/>
    </row>
    <row r="4023" spans="1:8" x14ac:dyDescent="0.3">
      <c r="A4023" s="1"/>
      <c r="G4023" s="4"/>
      <c r="H4023" s="4"/>
    </row>
    <row r="4024" spans="1:8" x14ac:dyDescent="0.3">
      <c r="A4024" s="1"/>
      <c r="G4024" s="4"/>
      <c r="H4024" s="4"/>
    </row>
    <row r="4025" spans="1:8" x14ac:dyDescent="0.3">
      <c r="A4025" s="1"/>
      <c r="G4025" s="4"/>
      <c r="H4025" s="4"/>
    </row>
    <row r="4026" spans="1:8" x14ac:dyDescent="0.3">
      <c r="A4026" s="1"/>
      <c r="G4026" s="4"/>
      <c r="H4026" s="4"/>
    </row>
    <row r="4027" spans="1:8" x14ac:dyDescent="0.3">
      <c r="A4027" s="1"/>
      <c r="G4027" s="4"/>
      <c r="H4027" s="4"/>
    </row>
    <row r="4028" spans="1:8" x14ac:dyDescent="0.3">
      <c r="A4028" s="1"/>
      <c r="G4028" s="4"/>
      <c r="H4028" s="4"/>
    </row>
    <row r="4029" spans="1:8" x14ac:dyDescent="0.3">
      <c r="A4029" s="1"/>
      <c r="G4029" s="4"/>
      <c r="H4029" s="4"/>
    </row>
    <row r="4030" spans="1:8" x14ac:dyDescent="0.3">
      <c r="A4030" s="1"/>
      <c r="G4030" s="4"/>
      <c r="H4030" s="4"/>
    </row>
    <row r="4031" spans="1:8" x14ac:dyDescent="0.3">
      <c r="A4031" s="1"/>
      <c r="G4031" s="4"/>
      <c r="H4031" s="4"/>
    </row>
    <row r="4032" spans="1:8" x14ac:dyDescent="0.3">
      <c r="A4032" s="1"/>
      <c r="G4032" s="4"/>
      <c r="H4032" s="4"/>
    </row>
    <row r="4033" spans="1:8" x14ac:dyDescent="0.3">
      <c r="A4033" s="1"/>
      <c r="G4033" s="4"/>
      <c r="H4033" s="4"/>
    </row>
    <row r="4034" spans="1:8" x14ac:dyDescent="0.3">
      <c r="A4034" s="1"/>
      <c r="G4034" s="4"/>
      <c r="H4034" s="4"/>
    </row>
    <row r="4035" spans="1:8" x14ac:dyDescent="0.3">
      <c r="A4035" s="1"/>
      <c r="G4035" s="4"/>
      <c r="H4035" s="4"/>
    </row>
    <row r="4036" spans="1:8" x14ac:dyDescent="0.3">
      <c r="A4036" s="1"/>
      <c r="G4036" s="4"/>
      <c r="H4036" s="4"/>
    </row>
    <row r="4037" spans="1:8" x14ac:dyDescent="0.3">
      <c r="A4037" s="1"/>
      <c r="G4037" s="4"/>
      <c r="H4037" s="4"/>
    </row>
    <row r="4038" spans="1:8" x14ac:dyDescent="0.3">
      <c r="A4038" s="1"/>
      <c r="G4038" s="4"/>
      <c r="H4038" s="4"/>
    </row>
    <row r="4039" spans="1:8" x14ac:dyDescent="0.3">
      <c r="A4039" s="1"/>
      <c r="G4039" s="4"/>
      <c r="H4039" s="4"/>
    </row>
    <row r="4040" spans="1:8" x14ac:dyDescent="0.3">
      <c r="A4040" s="1"/>
      <c r="G4040" s="4"/>
      <c r="H4040" s="4"/>
    </row>
    <row r="4041" spans="1:8" x14ac:dyDescent="0.3">
      <c r="A4041" s="1"/>
      <c r="G4041" s="4"/>
      <c r="H4041" s="4"/>
    </row>
    <row r="4042" spans="1:8" x14ac:dyDescent="0.3">
      <c r="A4042" s="1"/>
      <c r="G4042" s="4"/>
      <c r="H4042" s="4"/>
    </row>
    <row r="4043" spans="1:8" x14ac:dyDescent="0.3">
      <c r="A4043" s="1"/>
      <c r="G4043" s="4"/>
      <c r="H4043" s="4"/>
    </row>
    <row r="4044" spans="1:8" x14ac:dyDescent="0.3">
      <c r="A4044" s="1"/>
      <c r="G4044" s="4"/>
      <c r="H4044" s="4"/>
    </row>
    <row r="4045" spans="1:8" x14ac:dyDescent="0.3">
      <c r="A4045" s="1"/>
      <c r="G4045" s="4"/>
      <c r="H4045" s="4"/>
    </row>
    <row r="4046" spans="1:8" x14ac:dyDescent="0.3">
      <c r="A4046" s="1"/>
      <c r="G4046" s="4"/>
      <c r="H4046" s="4"/>
    </row>
    <row r="4047" spans="1:8" x14ac:dyDescent="0.3">
      <c r="A4047" s="1"/>
      <c r="G4047" s="4"/>
      <c r="H4047" s="4"/>
    </row>
    <row r="4048" spans="1:8" x14ac:dyDescent="0.3">
      <c r="A4048" s="1"/>
      <c r="G4048" s="4"/>
      <c r="H4048" s="4"/>
    </row>
    <row r="4049" spans="1:8" x14ac:dyDescent="0.3">
      <c r="A4049" s="1"/>
      <c r="G4049" s="4"/>
      <c r="H4049" s="4"/>
    </row>
    <row r="4050" spans="1:8" x14ac:dyDescent="0.3">
      <c r="A4050" s="1"/>
      <c r="G4050" s="4"/>
      <c r="H4050" s="4"/>
    </row>
    <row r="4051" spans="1:8" x14ac:dyDescent="0.3">
      <c r="A4051" s="1"/>
      <c r="G4051" s="4"/>
      <c r="H4051" s="4"/>
    </row>
    <row r="4052" spans="1:8" x14ac:dyDescent="0.3">
      <c r="A4052" s="1"/>
      <c r="G4052" s="4"/>
      <c r="H4052" s="4"/>
    </row>
    <row r="4053" spans="1:8" x14ac:dyDescent="0.3">
      <c r="A4053" s="1"/>
      <c r="G4053" s="4"/>
      <c r="H4053" s="4"/>
    </row>
    <row r="4054" spans="1:8" x14ac:dyDescent="0.3">
      <c r="A4054" s="1"/>
      <c r="G4054" s="4"/>
      <c r="H4054" s="4"/>
    </row>
    <row r="4055" spans="1:8" x14ac:dyDescent="0.3">
      <c r="A4055" s="1"/>
      <c r="G4055" s="4"/>
      <c r="H4055" s="4"/>
    </row>
    <row r="4056" spans="1:8" x14ac:dyDescent="0.3">
      <c r="A4056" s="1"/>
      <c r="G4056" s="4"/>
      <c r="H4056" s="4"/>
    </row>
    <row r="4057" spans="1:8" x14ac:dyDescent="0.3">
      <c r="A4057" s="1"/>
      <c r="G4057" s="4"/>
      <c r="H4057" s="4"/>
    </row>
    <row r="4058" spans="1:8" x14ac:dyDescent="0.3">
      <c r="A4058" s="1"/>
      <c r="G4058" s="4"/>
      <c r="H4058" s="4"/>
    </row>
    <row r="4059" spans="1:8" x14ac:dyDescent="0.3">
      <c r="A4059" s="1"/>
      <c r="G4059" s="4"/>
      <c r="H4059" s="4"/>
    </row>
    <row r="4060" spans="1:8" x14ac:dyDescent="0.3">
      <c r="A4060" s="1"/>
      <c r="G4060" s="4"/>
      <c r="H4060" s="4"/>
    </row>
    <row r="4061" spans="1:8" x14ac:dyDescent="0.3">
      <c r="A4061" s="1"/>
      <c r="G4061" s="4"/>
      <c r="H4061" s="4"/>
    </row>
    <row r="4062" spans="1:8" x14ac:dyDescent="0.3">
      <c r="A4062" s="1"/>
      <c r="G4062" s="4"/>
      <c r="H4062" s="4"/>
    </row>
    <row r="4063" spans="1:8" x14ac:dyDescent="0.3">
      <c r="A4063" s="1"/>
      <c r="G4063" s="4"/>
      <c r="H4063" s="4"/>
    </row>
    <row r="4064" spans="1:8" x14ac:dyDescent="0.3">
      <c r="A4064" s="1"/>
      <c r="G4064" s="4"/>
      <c r="H4064" s="4"/>
    </row>
    <row r="4065" spans="1:8" x14ac:dyDescent="0.3">
      <c r="A4065" s="1"/>
      <c r="G4065" s="4"/>
      <c r="H4065" s="4"/>
    </row>
    <row r="4066" spans="1:8" x14ac:dyDescent="0.3">
      <c r="A4066" s="1"/>
      <c r="G4066" s="4"/>
      <c r="H4066" s="4"/>
    </row>
    <row r="4067" spans="1:8" x14ac:dyDescent="0.3">
      <c r="A4067" s="1"/>
      <c r="G4067" s="4"/>
      <c r="H4067" s="4"/>
    </row>
    <row r="4068" spans="1:8" x14ac:dyDescent="0.3">
      <c r="A4068" s="1"/>
      <c r="G4068" s="4"/>
      <c r="H4068" s="4"/>
    </row>
    <row r="4069" spans="1:8" x14ac:dyDescent="0.3">
      <c r="A4069" s="1"/>
      <c r="G4069" s="4"/>
      <c r="H4069" s="4"/>
    </row>
    <row r="4070" spans="1:8" x14ac:dyDescent="0.3">
      <c r="A4070" s="1"/>
      <c r="G4070" s="4"/>
      <c r="H4070" s="4"/>
    </row>
    <row r="4071" spans="1:8" x14ac:dyDescent="0.3">
      <c r="A4071" s="1"/>
      <c r="G4071" s="4"/>
      <c r="H4071" s="4"/>
    </row>
    <row r="4072" spans="1:8" x14ac:dyDescent="0.3">
      <c r="A4072" s="1"/>
      <c r="G4072" s="4"/>
      <c r="H4072" s="4"/>
    </row>
    <row r="4073" spans="1:8" x14ac:dyDescent="0.3">
      <c r="A4073" s="1"/>
      <c r="G4073" s="4"/>
      <c r="H4073" s="4"/>
    </row>
    <row r="4074" spans="1:8" x14ac:dyDescent="0.3">
      <c r="A4074" s="1"/>
      <c r="G4074" s="4"/>
      <c r="H4074" s="4"/>
    </row>
    <row r="4075" spans="1:8" x14ac:dyDescent="0.3">
      <c r="A4075" s="1"/>
      <c r="G4075" s="4"/>
      <c r="H4075" s="4"/>
    </row>
    <row r="4076" spans="1:8" x14ac:dyDescent="0.3">
      <c r="A4076" s="1"/>
      <c r="G4076" s="4"/>
      <c r="H4076" s="4"/>
    </row>
    <row r="4077" spans="1:8" x14ac:dyDescent="0.3">
      <c r="A4077" s="1"/>
      <c r="G4077" s="4"/>
      <c r="H4077" s="4"/>
    </row>
    <row r="4078" spans="1:8" x14ac:dyDescent="0.3">
      <c r="A4078" s="1"/>
      <c r="G4078" s="4"/>
      <c r="H4078" s="4"/>
    </row>
    <row r="4079" spans="1:8" x14ac:dyDescent="0.3">
      <c r="A4079" s="1"/>
      <c r="G4079" s="4"/>
      <c r="H4079" s="4"/>
    </row>
    <row r="4080" spans="1:8" x14ac:dyDescent="0.3">
      <c r="A4080" s="1"/>
      <c r="G4080" s="4"/>
      <c r="H4080" s="4"/>
    </row>
    <row r="4081" spans="1:8" x14ac:dyDescent="0.3">
      <c r="A4081" s="1"/>
      <c r="G4081" s="4"/>
      <c r="H4081" s="4"/>
    </row>
    <row r="4082" spans="1:8" x14ac:dyDescent="0.3">
      <c r="A4082" s="1"/>
      <c r="G4082" s="4"/>
      <c r="H4082" s="4"/>
    </row>
    <row r="4083" spans="1:8" x14ac:dyDescent="0.3">
      <c r="A4083" s="1"/>
      <c r="G4083" s="4"/>
      <c r="H4083" s="4"/>
    </row>
    <row r="4084" spans="1:8" x14ac:dyDescent="0.3">
      <c r="A4084" s="1"/>
      <c r="G4084" s="4"/>
      <c r="H4084" s="4"/>
    </row>
    <row r="4085" spans="1:8" x14ac:dyDescent="0.3">
      <c r="A4085" s="1"/>
      <c r="G4085" s="4"/>
      <c r="H4085" s="4"/>
    </row>
    <row r="4086" spans="1:8" x14ac:dyDescent="0.3">
      <c r="A4086" s="1"/>
      <c r="G4086" s="4"/>
      <c r="H4086" s="4"/>
    </row>
    <row r="4087" spans="1:8" x14ac:dyDescent="0.3">
      <c r="A4087" s="1"/>
      <c r="G4087" s="4"/>
      <c r="H4087" s="4"/>
    </row>
    <row r="4088" spans="1:8" x14ac:dyDescent="0.3">
      <c r="A4088" s="1"/>
      <c r="G4088" s="4"/>
      <c r="H4088" s="4"/>
    </row>
    <row r="4089" spans="1:8" x14ac:dyDescent="0.3">
      <c r="A4089" s="1"/>
      <c r="G4089" s="4"/>
      <c r="H4089" s="4"/>
    </row>
    <row r="4090" spans="1:8" x14ac:dyDescent="0.3">
      <c r="A4090" s="1"/>
      <c r="G4090" s="4"/>
      <c r="H4090" s="4"/>
    </row>
    <row r="4091" spans="1:8" x14ac:dyDescent="0.3">
      <c r="A4091" s="1"/>
      <c r="G4091" s="4"/>
      <c r="H4091" s="4"/>
    </row>
    <row r="4092" spans="1:8" x14ac:dyDescent="0.3">
      <c r="A4092" s="1"/>
      <c r="G4092" s="4"/>
      <c r="H4092" s="4"/>
    </row>
    <row r="4093" spans="1:8" x14ac:dyDescent="0.3">
      <c r="A4093" s="1"/>
      <c r="G4093" s="4"/>
      <c r="H4093" s="4"/>
    </row>
    <row r="4094" spans="1:8" x14ac:dyDescent="0.3">
      <c r="A4094" s="1"/>
      <c r="G4094" s="4"/>
      <c r="H4094" s="4"/>
    </row>
    <row r="4095" spans="1:8" x14ac:dyDescent="0.3">
      <c r="A4095" s="1"/>
      <c r="G4095" s="4"/>
      <c r="H4095" s="4"/>
    </row>
    <row r="4096" spans="1:8" x14ac:dyDescent="0.3">
      <c r="A4096" s="1"/>
      <c r="G4096" s="4"/>
      <c r="H4096" s="4"/>
    </row>
    <row r="4097" spans="1:8" x14ac:dyDescent="0.3">
      <c r="A4097" s="1"/>
      <c r="G4097" s="4"/>
      <c r="H4097" s="4"/>
    </row>
    <row r="4098" spans="1:8" x14ac:dyDescent="0.3">
      <c r="A4098" s="1"/>
      <c r="G4098" s="4"/>
      <c r="H4098" s="4"/>
    </row>
    <row r="4099" spans="1:8" x14ac:dyDescent="0.3">
      <c r="A4099" s="1"/>
      <c r="G4099" s="4"/>
      <c r="H4099" s="4"/>
    </row>
    <row r="4100" spans="1:8" x14ac:dyDescent="0.3">
      <c r="A4100" s="1"/>
      <c r="G4100" s="4"/>
      <c r="H4100" s="4"/>
    </row>
    <row r="4101" spans="1:8" x14ac:dyDescent="0.3">
      <c r="A4101" s="1"/>
      <c r="G4101" s="4"/>
      <c r="H4101" s="4"/>
    </row>
    <row r="4102" spans="1:8" x14ac:dyDescent="0.3">
      <c r="A4102" s="1"/>
      <c r="G4102" s="4"/>
      <c r="H4102" s="4"/>
    </row>
    <row r="4103" spans="1:8" x14ac:dyDescent="0.3">
      <c r="A4103" s="1"/>
      <c r="G4103" s="4"/>
      <c r="H4103" s="4"/>
    </row>
    <row r="4104" spans="1:8" x14ac:dyDescent="0.3">
      <c r="A4104" s="1"/>
      <c r="G4104" s="4"/>
      <c r="H4104" s="4"/>
    </row>
    <row r="4105" spans="1:8" x14ac:dyDescent="0.3">
      <c r="A4105" s="1"/>
      <c r="G4105" s="4"/>
      <c r="H4105" s="4"/>
    </row>
    <row r="4106" spans="1:8" x14ac:dyDescent="0.3">
      <c r="A4106" s="1"/>
      <c r="G4106" s="4"/>
      <c r="H4106" s="4"/>
    </row>
    <row r="4107" spans="1:8" x14ac:dyDescent="0.3">
      <c r="A4107" s="1"/>
      <c r="G4107" s="4"/>
      <c r="H4107" s="4"/>
    </row>
    <row r="4108" spans="1:8" x14ac:dyDescent="0.3">
      <c r="A4108" s="1"/>
      <c r="G4108" s="4"/>
      <c r="H4108" s="4"/>
    </row>
    <row r="4109" spans="1:8" x14ac:dyDescent="0.3">
      <c r="A4109" s="1"/>
      <c r="G4109" s="4"/>
      <c r="H4109" s="4"/>
    </row>
    <row r="4110" spans="1:8" x14ac:dyDescent="0.3">
      <c r="A4110" s="1"/>
      <c r="G4110" s="4"/>
      <c r="H4110" s="4"/>
    </row>
    <row r="4111" spans="1:8" x14ac:dyDescent="0.3">
      <c r="A4111" s="1"/>
      <c r="G4111" s="4"/>
      <c r="H4111" s="4"/>
    </row>
    <row r="4112" spans="1:8" x14ac:dyDescent="0.3">
      <c r="A4112" s="1"/>
      <c r="G4112" s="4"/>
      <c r="H4112" s="4"/>
    </row>
    <row r="4113" spans="1:8" x14ac:dyDescent="0.3">
      <c r="A4113" s="1"/>
      <c r="G4113" s="4"/>
      <c r="H4113" s="4"/>
    </row>
    <row r="4114" spans="1:8" x14ac:dyDescent="0.3">
      <c r="A4114" s="1"/>
      <c r="G4114" s="4"/>
      <c r="H4114" s="4"/>
    </row>
    <row r="4115" spans="1:8" x14ac:dyDescent="0.3">
      <c r="A4115" s="1"/>
      <c r="G4115" s="4"/>
      <c r="H4115" s="4"/>
    </row>
    <row r="4116" spans="1:8" x14ac:dyDescent="0.3">
      <c r="A4116" s="1"/>
      <c r="G4116" s="4"/>
      <c r="H4116" s="4"/>
    </row>
    <row r="4117" spans="1:8" x14ac:dyDescent="0.3">
      <c r="A4117" s="1"/>
      <c r="G4117" s="4"/>
      <c r="H4117" s="4"/>
    </row>
    <row r="4118" spans="1:8" x14ac:dyDescent="0.3">
      <c r="A4118" s="1"/>
      <c r="G4118" s="4"/>
      <c r="H4118" s="4"/>
    </row>
    <row r="4119" spans="1:8" x14ac:dyDescent="0.3">
      <c r="A4119" s="1"/>
      <c r="G4119" s="4"/>
      <c r="H4119" s="4"/>
    </row>
    <row r="4120" spans="1:8" x14ac:dyDescent="0.3">
      <c r="A4120" s="1"/>
      <c r="G4120" s="4"/>
      <c r="H4120" s="4"/>
    </row>
    <row r="4121" spans="1:8" x14ac:dyDescent="0.3">
      <c r="A4121" s="1"/>
      <c r="G4121" s="4"/>
      <c r="H4121" s="4"/>
    </row>
    <row r="4122" spans="1:8" x14ac:dyDescent="0.3">
      <c r="A4122" s="1"/>
      <c r="G4122" s="4"/>
      <c r="H4122" s="4"/>
    </row>
    <row r="4123" spans="1:8" x14ac:dyDescent="0.3">
      <c r="A4123" s="1"/>
      <c r="G4123" s="4"/>
      <c r="H4123" s="4"/>
    </row>
    <row r="4124" spans="1:8" x14ac:dyDescent="0.3">
      <c r="A4124" s="1"/>
      <c r="G4124" s="4"/>
      <c r="H4124" s="4"/>
    </row>
    <row r="4125" spans="1:8" x14ac:dyDescent="0.3">
      <c r="A4125" s="1"/>
      <c r="G4125" s="4"/>
      <c r="H4125" s="4"/>
    </row>
    <row r="4126" spans="1:8" x14ac:dyDescent="0.3">
      <c r="A4126" s="1"/>
      <c r="G4126" s="4"/>
      <c r="H4126" s="4"/>
    </row>
    <row r="4127" spans="1:8" x14ac:dyDescent="0.3">
      <c r="A4127" s="1"/>
      <c r="G4127" s="4"/>
      <c r="H4127" s="4"/>
    </row>
    <row r="4128" spans="1:8" x14ac:dyDescent="0.3">
      <c r="A4128" s="1"/>
      <c r="G4128" s="4"/>
      <c r="H4128" s="4"/>
    </row>
    <row r="4129" spans="1:8" x14ac:dyDescent="0.3">
      <c r="A4129" s="1"/>
      <c r="G4129" s="4"/>
      <c r="H4129" s="4"/>
    </row>
    <row r="4130" spans="1:8" x14ac:dyDescent="0.3">
      <c r="A4130" s="1"/>
      <c r="G4130" s="4"/>
      <c r="H4130" s="4"/>
    </row>
    <row r="4131" spans="1:8" x14ac:dyDescent="0.3">
      <c r="A4131" s="1"/>
      <c r="G4131" s="4"/>
      <c r="H4131" s="4"/>
    </row>
    <row r="4132" spans="1:8" x14ac:dyDescent="0.3">
      <c r="A4132" s="1"/>
      <c r="G4132" s="4"/>
      <c r="H4132" s="4"/>
    </row>
    <row r="4133" spans="1:8" x14ac:dyDescent="0.3">
      <c r="A4133" s="1"/>
      <c r="G4133" s="4"/>
      <c r="H4133" s="4"/>
    </row>
    <row r="4134" spans="1:8" x14ac:dyDescent="0.3">
      <c r="A4134" s="1"/>
      <c r="G4134" s="4"/>
      <c r="H4134" s="4"/>
    </row>
    <row r="4135" spans="1:8" x14ac:dyDescent="0.3">
      <c r="A4135" s="1"/>
      <c r="G4135" s="4"/>
      <c r="H4135" s="4"/>
    </row>
    <row r="4136" spans="1:8" x14ac:dyDescent="0.3">
      <c r="A4136" s="1"/>
      <c r="G4136" s="4"/>
      <c r="H4136" s="4"/>
    </row>
    <row r="4137" spans="1:8" x14ac:dyDescent="0.3">
      <c r="A4137" s="1"/>
      <c r="G4137" s="4"/>
      <c r="H4137" s="4"/>
    </row>
    <row r="4138" spans="1:8" x14ac:dyDescent="0.3">
      <c r="A4138" s="1"/>
      <c r="G4138" s="4"/>
      <c r="H4138" s="4"/>
    </row>
    <row r="4139" spans="1:8" x14ac:dyDescent="0.3">
      <c r="A4139" s="1"/>
      <c r="G4139" s="4"/>
      <c r="H4139" s="4"/>
    </row>
    <row r="4140" spans="1:8" x14ac:dyDescent="0.3">
      <c r="A4140" s="1"/>
      <c r="G4140" s="4"/>
      <c r="H4140" s="4"/>
    </row>
    <row r="4141" spans="1:8" x14ac:dyDescent="0.3">
      <c r="A4141" s="1"/>
      <c r="G4141" s="4"/>
      <c r="H4141" s="4"/>
    </row>
    <row r="4142" spans="1:8" x14ac:dyDescent="0.3">
      <c r="A4142" s="1"/>
      <c r="G4142" s="4"/>
      <c r="H4142" s="4"/>
    </row>
    <row r="4143" spans="1:8" x14ac:dyDescent="0.3">
      <c r="A4143" s="1"/>
      <c r="G4143" s="4"/>
      <c r="H4143" s="4"/>
    </row>
    <row r="4144" spans="1:8" x14ac:dyDescent="0.3">
      <c r="A4144" s="1"/>
      <c r="G4144" s="4"/>
      <c r="H4144" s="4"/>
    </row>
    <row r="4145" spans="1:8" x14ac:dyDescent="0.3">
      <c r="A4145" s="1"/>
      <c r="G4145" s="4"/>
      <c r="H4145" s="4"/>
    </row>
    <row r="4146" spans="1:8" x14ac:dyDescent="0.3">
      <c r="A4146" s="1"/>
      <c r="G4146" s="4"/>
      <c r="H4146" s="4"/>
    </row>
    <row r="4147" spans="1:8" x14ac:dyDescent="0.3">
      <c r="A4147" s="1"/>
      <c r="G4147" s="4"/>
      <c r="H4147" s="4"/>
    </row>
    <row r="4148" spans="1:8" x14ac:dyDescent="0.3">
      <c r="A4148" s="1"/>
      <c r="G4148" s="4"/>
      <c r="H4148" s="4"/>
    </row>
    <row r="4149" spans="1:8" x14ac:dyDescent="0.3">
      <c r="A4149" s="1"/>
      <c r="G4149" s="4"/>
      <c r="H4149" s="4"/>
    </row>
    <row r="4150" spans="1:8" x14ac:dyDescent="0.3">
      <c r="A4150" s="1"/>
      <c r="G4150" s="4"/>
      <c r="H4150" s="4"/>
    </row>
    <row r="4151" spans="1:8" x14ac:dyDescent="0.3">
      <c r="A4151" s="1"/>
      <c r="G4151" s="4"/>
      <c r="H4151" s="4"/>
    </row>
    <row r="4152" spans="1:8" x14ac:dyDescent="0.3">
      <c r="A4152" s="1"/>
      <c r="G4152" s="4"/>
      <c r="H4152" s="4"/>
    </row>
    <row r="4153" spans="1:8" x14ac:dyDescent="0.3">
      <c r="A4153" s="1"/>
      <c r="G4153" s="4"/>
      <c r="H4153" s="4"/>
    </row>
    <row r="4154" spans="1:8" x14ac:dyDescent="0.3">
      <c r="A4154" s="1"/>
      <c r="G4154" s="4"/>
      <c r="H4154" s="4"/>
    </row>
    <row r="4155" spans="1:8" x14ac:dyDescent="0.3">
      <c r="A4155" s="1"/>
      <c r="G4155" s="4"/>
      <c r="H4155" s="4"/>
    </row>
    <row r="4156" spans="1:8" x14ac:dyDescent="0.3">
      <c r="A4156" s="1"/>
      <c r="G4156" s="4"/>
      <c r="H4156" s="4"/>
    </row>
    <row r="4157" spans="1:8" x14ac:dyDescent="0.3">
      <c r="A4157" s="1"/>
      <c r="G4157" s="4"/>
      <c r="H4157" s="4"/>
    </row>
    <row r="4158" spans="1:8" x14ac:dyDescent="0.3">
      <c r="A4158" s="1"/>
      <c r="G4158" s="4"/>
      <c r="H4158" s="4"/>
    </row>
    <row r="4159" spans="1:8" x14ac:dyDescent="0.3">
      <c r="A4159" s="1"/>
      <c r="G4159" s="4"/>
      <c r="H4159" s="4"/>
    </row>
    <row r="4160" spans="1:8" x14ac:dyDescent="0.3">
      <c r="A4160" s="1"/>
      <c r="G4160" s="4"/>
      <c r="H4160" s="4"/>
    </row>
    <row r="4161" spans="1:8" x14ac:dyDescent="0.3">
      <c r="A4161" s="1"/>
      <c r="G4161" s="4"/>
      <c r="H4161" s="4"/>
    </row>
    <row r="4162" spans="1:8" x14ac:dyDescent="0.3">
      <c r="A4162" s="1"/>
      <c r="G4162" s="4"/>
      <c r="H4162" s="4"/>
    </row>
    <row r="4163" spans="1:8" x14ac:dyDescent="0.3">
      <c r="A4163" s="1"/>
      <c r="G4163" s="4"/>
      <c r="H4163" s="4"/>
    </row>
    <row r="4164" spans="1:8" x14ac:dyDescent="0.3">
      <c r="A4164" s="1"/>
      <c r="G4164" s="4"/>
      <c r="H4164" s="4"/>
    </row>
    <row r="4165" spans="1:8" x14ac:dyDescent="0.3">
      <c r="A4165" s="1"/>
      <c r="G4165" s="4"/>
      <c r="H4165" s="4"/>
    </row>
    <row r="4166" spans="1:8" x14ac:dyDescent="0.3">
      <c r="A4166" s="1"/>
      <c r="G4166" s="4"/>
      <c r="H4166" s="4"/>
    </row>
    <row r="4167" spans="1:8" x14ac:dyDescent="0.3">
      <c r="A4167" s="1"/>
      <c r="G4167" s="4"/>
      <c r="H4167" s="4"/>
    </row>
    <row r="4168" spans="1:8" x14ac:dyDescent="0.3">
      <c r="A4168" s="1"/>
      <c r="G4168" s="4"/>
      <c r="H4168" s="4"/>
    </row>
    <row r="4169" spans="1:8" x14ac:dyDescent="0.3">
      <c r="A4169" s="1"/>
      <c r="G4169" s="4"/>
      <c r="H4169" s="4"/>
    </row>
    <row r="4170" spans="1:8" x14ac:dyDescent="0.3">
      <c r="A4170" s="1"/>
      <c r="G4170" s="4"/>
      <c r="H4170" s="4"/>
    </row>
    <row r="4171" spans="1:8" x14ac:dyDescent="0.3">
      <c r="A4171" s="1"/>
      <c r="G4171" s="4"/>
      <c r="H4171" s="4"/>
    </row>
    <row r="4172" spans="1:8" x14ac:dyDescent="0.3">
      <c r="A4172" s="1"/>
      <c r="G4172" s="4"/>
      <c r="H4172" s="4"/>
    </row>
    <row r="4173" spans="1:8" x14ac:dyDescent="0.3">
      <c r="A4173" s="1"/>
      <c r="G4173" s="4"/>
      <c r="H4173" s="4"/>
    </row>
    <row r="4174" spans="1:8" x14ac:dyDescent="0.3">
      <c r="A4174" s="1"/>
      <c r="G4174" s="4"/>
      <c r="H4174" s="4"/>
    </row>
    <row r="4175" spans="1:8" x14ac:dyDescent="0.3">
      <c r="A4175" s="1"/>
      <c r="G4175" s="4"/>
      <c r="H4175" s="4"/>
    </row>
    <row r="4176" spans="1:8" x14ac:dyDescent="0.3">
      <c r="A4176" s="1"/>
      <c r="G4176" s="4"/>
      <c r="H4176" s="4"/>
    </row>
    <row r="4177" spans="1:8" x14ac:dyDescent="0.3">
      <c r="A4177" s="1"/>
      <c r="G4177" s="4"/>
      <c r="H4177" s="4"/>
    </row>
    <row r="4178" spans="1:8" x14ac:dyDescent="0.3">
      <c r="A4178" s="1"/>
      <c r="G4178" s="4"/>
      <c r="H4178" s="4"/>
    </row>
    <row r="4179" spans="1:8" x14ac:dyDescent="0.3">
      <c r="A4179" s="1"/>
      <c r="G4179" s="4"/>
      <c r="H4179" s="4"/>
    </row>
    <row r="4180" spans="1:8" x14ac:dyDescent="0.3">
      <c r="A4180" s="1"/>
      <c r="G4180" s="4"/>
      <c r="H4180" s="4"/>
    </row>
    <row r="4181" spans="1:8" x14ac:dyDescent="0.3">
      <c r="A4181" s="1"/>
      <c r="G4181" s="4"/>
      <c r="H4181" s="4"/>
    </row>
    <row r="4182" spans="1:8" x14ac:dyDescent="0.3">
      <c r="A4182" s="1"/>
      <c r="G4182" s="4"/>
      <c r="H4182" s="4"/>
    </row>
    <row r="4183" spans="1:8" x14ac:dyDescent="0.3">
      <c r="A4183" s="1"/>
      <c r="G4183" s="4"/>
      <c r="H4183" s="4"/>
    </row>
    <row r="4184" spans="1:8" x14ac:dyDescent="0.3">
      <c r="A4184" s="1"/>
      <c r="G4184" s="4"/>
      <c r="H4184" s="4"/>
    </row>
    <row r="4185" spans="1:8" x14ac:dyDescent="0.3">
      <c r="A4185" s="1"/>
      <c r="G4185" s="4"/>
      <c r="H4185" s="4"/>
    </row>
    <row r="4186" spans="1:8" x14ac:dyDescent="0.3">
      <c r="A4186" s="1"/>
      <c r="G4186" s="4"/>
      <c r="H4186" s="4"/>
    </row>
    <row r="4187" spans="1:8" x14ac:dyDescent="0.3">
      <c r="A4187" s="1"/>
      <c r="G4187" s="4"/>
      <c r="H4187" s="4"/>
    </row>
    <row r="4188" spans="1:8" x14ac:dyDescent="0.3">
      <c r="A4188" s="1"/>
      <c r="G4188" s="4"/>
      <c r="H4188" s="4"/>
    </row>
    <row r="4189" spans="1:8" x14ac:dyDescent="0.3">
      <c r="A4189" s="1"/>
      <c r="G4189" s="4"/>
      <c r="H4189" s="4"/>
    </row>
    <row r="4190" spans="1:8" x14ac:dyDescent="0.3">
      <c r="A4190" s="1"/>
      <c r="G4190" s="4"/>
      <c r="H4190" s="4"/>
    </row>
    <row r="4191" spans="1:8" x14ac:dyDescent="0.3">
      <c r="A4191" s="1"/>
      <c r="G4191" s="4"/>
      <c r="H4191" s="4"/>
    </row>
    <row r="4192" spans="1:8" x14ac:dyDescent="0.3">
      <c r="A4192" s="1"/>
      <c r="G4192" s="4"/>
      <c r="H4192" s="4"/>
    </row>
    <row r="4193" spans="1:8" x14ac:dyDescent="0.3">
      <c r="A4193" s="1"/>
      <c r="G4193" s="4"/>
      <c r="H4193" s="4"/>
    </row>
    <row r="4194" spans="1:8" x14ac:dyDescent="0.3">
      <c r="A4194" s="1"/>
      <c r="G4194" s="4"/>
      <c r="H4194" s="4"/>
    </row>
    <row r="4195" spans="1:8" x14ac:dyDescent="0.3">
      <c r="A4195" s="1"/>
      <c r="G4195" s="4"/>
      <c r="H4195" s="4"/>
    </row>
    <row r="4196" spans="1:8" x14ac:dyDescent="0.3">
      <c r="A4196" s="1"/>
      <c r="G4196" s="4"/>
      <c r="H4196" s="4"/>
    </row>
    <row r="4197" spans="1:8" x14ac:dyDescent="0.3">
      <c r="A4197" s="1"/>
      <c r="G4197" s="4"/>
      <c r="H4197" s="4"/>
    </row>
    <row r="4198" spans="1:8" x14ac:dyDescent="0.3">
      <c r="A4198" s="1"/>
      <c r="G4198" s="4"/>
      <c r="H4198" s="4"/>
    </row>
    <row r="4199" spans="1:8" x14ac:dyDescent="0.3">
      <c r="A4199" s="1"/>
      <c r="G4199" s="4"/>
      <c r="H4199" s="4"/>
    </row>
    <row r="4200" spans="1:8" x14ac:dyDescent="0.3">
      <c r="A4200" s="1"/>
      <c r="G4200" s="4"/>
      <c r="H4200" s="4"/>
    </row>
    <row r="4201" spans="1:8" x14ac:dyDescent="0.3">
      <c r="A4201" s="1"/>
      <c r="G4201" s="4"/>
      <c r="H4201" s="4"/>
    </row>
    <row r="4202" spans="1:8" x14ac:dyDescent="0.3">
      <c r="A4202" s="1"/>
      <c r="G4202" s="4"/>
      <c r="H4202" s="4"/>
    </row>
    <row r="4203" spans="1:8" x14ac:dyDescent="0.3">
      <c r="A4203" s="1"/>
      <c r="G4203" s="4"/>
      <c r="H4203" s="4"/>
    </row>
    <row r="4204" spans="1:8" x14ac:dyDescent="0.3">
      <c r="A4204" s="1"/>
      <c r="G4204" s="4"/>
      <c r="H4204" s="4"/>
    </row>
    <row r="4205" spans="1:8" x14ac:dyDescent="0.3">
      <c r="A4205" s="1"/>
      <c r="G4205" s="4"/>
      <c r="H4205" s="4"/>
    </row>
    <row r="4206" spans="1:8" x14ac:dyDescent="0.3">
      <c r="A4206" s="1"/>
      <c r="G4206" s="4"/>
      <c r="H4206" s="4"/>
    </row>
    <row r="4207" spans="1:8" x14ac:dyDescent="0.3">
      <c r="A4207" s="1"/>
      <c r="G4207" s="4"/>
      <c r="H4207" s="4"/>
    </row>
    <row r="4208" spans="1:8" x14ac:dyDescent="0.3">
      <c r="A4208" s="1"/>
      <c r="G4208" s="4"/>
      <c r="H4208" s="4"/>
    </row>
    <row r="4209" spans="1:8" x14ac:dyDescent="0.3">
      <c r="A4209" s="1"/>
      <c r="G4209" s="4"/>
      <c r="H4209" s="4"/>
    </row>
    <row r="4210" spans="1:8" x14ac:dyDescent="0.3">
      <c r="A4210" s="1"/>
      <c r="G4210" s="4"/>
      <c r="H4210" s="4"/>
    </row>
    <row r="4211" spans="1:8" x14ac:dyDescent="0.3">
      <c r="A4211" s="1"/>
      <c r="G4211" s="4"/>
      <c r="H4211" s="4"/>
    </row>
    <row r="4212" spans="1:8" x14ac:dyDescent="0.3">
      <c r="A4212" s="1"/>
      <c r="G4212" s="4"/>
      <c r="H4212" s="4"/>
    </row>
    <row r="4213" spans="1:8" x14ac:dyDescent="0.3">
      <c r="A4213" s="1"/>
      <c r="G4213" s="4"/>
      <c r="H4213" s="4"/>
    </row>
    <row r="4214" spans="1:8" x14ac:dyDescent="0.3">
      <c r="A4214" s="1"/>
      <c r="G4214" s="4"/>
      <c r="H4214" s="4"/>
    </row>
    <row r="4215" spans="1:8" x14ac:dyDescent="0.3">
      <c r="A4215" s="1"/>
      <c r="G4215" s="4"/>
      <c r="H4215" s="4"/>
    </row>
    <row r="4216" spans="1:8" x14ac:dyDescent="0.3">
      <c r="A4216" s="1"/>
      <c r="G4216" s="4"/>
      <c r="H4216" s="4"/>
    </row>
    <row r="4217" spans="1:8" x14ac:dyDescent="0.3">
      <c r="A4217" s="1"/>
      <c r="G4217" s="4"/>
      <c r="H4217" s="4"/>
    </row>
    <row r="4218" spans="1:8" x14ac:dyDescent="0.3">
      <c r="A4218" s="1"/>
      <c r="G4218" s="4"/>
      <c r="H4218" s="4"/>
    </row>
    <row r="4219" spans="1:8" x14ac:dyDescent="0.3">
      <c r="A4219" s="1"/>
      <c r="G4219" s="4"/>
      <c r="H4219" s="4"/>
    </row>
    <row r="4220" spans="1:8" x14ac:dyDescent="0.3">
      <c r="A4220" s="1"/>
      <c r="G4220" s="4"/>
      <c r="H4220" s="4"/>
    </row>
    <row r="4221" spans="1:8" x14ac:dyDescent="0.3">
      <c r="A4221" s="1"/>
      <c r="G4221" s="4"/>
      <c r="H4221" s="4"/>
    </row>
    <row r="4222" spans="1:8" x14ac:dyDescent="0.3">
      <c r="A4222" s="1"/>
      <c r="G4222" s="4"/>
      <c r="H4222" s="4"/>
    </row>
    <row r="4223" spans="1:8" x14ac:dyDescent="0.3">
      <c r="A4223" s="1"/>
      <c r="G4223" s="4"/>
      <c r="H4223" s="4"/>
    </row>
    <row r="4224" spans="1:8" x14ac:dyDescent="0.3">
      <c r="A4224" s="1"/>
      <c r="G4224" s="4"/>
      <c r="H4224" s="4"/>
    </row>
    <row r="4225" spans="1:8" x14ac:dyDescent="0.3">
      <c r="A4225" s="1"/>
      <c r="G4225" s="4"/>
      <c r="H4225" s="4"/>
    </row>
    <row r="4226" spans="1:8" x14ac:dyDescent="0.3">
      <c r="A4226" s="1"/>
      <c r="G4226" s="4"/>
      <c r="H4226" s="4"/>
    </row>
    <row r="4227" spans="1:8" x14ac:dyDescent="0.3">
      <c r="A4227" s="1"/>
      <c r="G4227" s="4"/>
      <c r="H4227" s="4"/>
    </row>
    <row r="4228" spans="1:8" x14ac:dyDescent="0.3">
      <c r="A4228" s="1"/>
      <c r="G4228" s="4"/>
      <c r="H4228" s="4"/>
    </row>
    <row r="4229" spans="1:8" x14ac:dyDescent="0.3">
      <c r="A4229" s="1"/>
      <c r="G4229" s="4"/>
      <c r="H4229" s="4"/>
    </row>
    <row r="4230" spans="1:8" x14ac:dyDescent="0.3">
      <c r="A4230" s="1"/>
      <c r="G4230" s="4"/>
      <c r="H4230" s="4"/>
    </row>
    <row r="4231" spans="1:8" x14ac:dyDescent="0.3">
      <c r="A4231" s="1"/>
      <c r="G4231" s="4"/>
      <c r="H4231" s="4"/>
    </row>
    <row r="4232" spans="1:8" x14ac:dyDescent="0.3">
      <c r="A4232" s="1"/>
      <c r="G4232" s="4"/>
      <c r="H4232" s="4"/>
    </row>
    <row r="4233" spans="1:8" x14ac:dyDescent="0.3">
      <c r="A4233" s="1"/>
      <c r="G4233" s="4"/>
      <c r="H4233" s="4"/>
    </row>
    <row r="4234" spans="1:8" x14ac:dyDescent="0.3">
      <c r="A4234" s="1"/>
      <c r="G4234" s="4"/>
      <c r="H4234" s="4"/>
    </row>
    <row r="4235" spans="1:8" x14ac:dyDescent="0.3">
      <c r="A4235" s="1"/>
      <c r="G4235" s="4"/>
      <c r="H4235" s="4"/>
    </row>
    <row r="4236" spans="1:8" x14ac:dyDescent="0.3">
      <c r="A4236" s="1"/>
      <c r="G4236" s="4"/>
      <c r="H4236" s="4"/>
    </row>
    <row r="4237" spans="1:8" x14ac:dyDescent="0.3">
      <c r="A4237" s="1"/>
      <c r="G4237" s="4"/>
      <c r="H4237" s="4"/>
    </row>
    <row r="4238" spans="1:8" x14ac:dyDescent="0.3">
      <c r="A4238" s="1"/>
      <c r="G4238" s="4"/>
      <c r="H4238" s="4"/>
    </row>
    <row r="4239" spans="1:8" x14ac:dyDescent="0.3">
      <c r="A4239" s="1"/>
      <c r="G4239" s="4"/>
      <c r="H4239" s="4"/>
    </row>
    <row r="4240" spans="1:8" x14ac:dyDescent="0.3">
      <c r="A4240" s="1"/>
      <c r="G4240" s="4"/>
      <c r="H4240" s="4"/>
    </row>
    <row r="4241" spans="1:8" x14ac:dyDescent="0.3">
      <c r="A4241" s="1"/>
      <c r="G4241" s="4"/>
      <c r="H4241" s="4"/>
    </row>
    <row r="4242" spans="1:8" x14ac:dyDescent="0.3">
      <c r="A4242" s="1"/>
      <c r="G4242" s="4"/>
      <c r="H4242" s="4"/>
    </row>
    <row r="4243" spans="1:8" x14ac:dyDescent="0.3">
      <c r="A4243" s="1"/>
      <c r="G4243" s="4"/>
      <c r="H4243" s="4"/>
    </row>
    <row r="4244" spans="1:8" x14ac:dyDescent="0.3">
      <c r="A4244" s="1"/>
      <c r="G4244" s="4"/>
      <c r="H4244" s="4"/>
    </row>
    <row r="4245" spans="1:8" x14ac:dyDescent="0.3">
      <c r="A4245" s="1"/>
      <c r="G4245" s="4"/>
      <c r="H4245" s="4"/>
    </row>
    <row r="4246" spans="1:8" x14ac:dyDescent="0.3">
      <c r="A4246" s="1"/>
      <c r="G4246" s="4"/>
      <c r="H4246" s="4"/>
    </row>
    <row r="4247" spans="1:8" x14ac:dyDescent="0.3">
      <c r="A4247" s="1"/>
      <c r="G4247" s="4"/>
      <c r="H4247" s="4"/>
    </row>
    <row r="4248" spans="1:8" x14ac:dyDescent="0.3">
      <c r="A4248" s="1"/>
      <c r="G4248" s="4"/>
      <c r="H4248" s="4"/>
    </row>
    <row r="4249" spans="1:8" x14ac:dyDescent="0.3">
      <c r="A4249" s="1"/>
      <c r="G4249" s="4"/>
      <c r="H4249" s="4"/>
    </row>
    <row r="4250" spans="1:8" x14ac:dyDescent="0.3">
      <c r="A4250" s="1"/>
      <c r="G4250" s="4"/>
      <c r="H4250" s="4"/>
    </row>
    <row r="4251" spans="1:8" x14ac:dyDescent="0.3">
      <c r="A4251" s="1"/>
      <c r="G4251" s="4"/>
      <c r="H4251" s="4"/>
    </row>
    <row r="4252" spans="1:8" x14ac:dyDescent="0.3">
      <c r="A4252" s="1"/>
      <c r="G4252" s="4"/>
      <c r="H4252" s="4"/>
    </row>
    <row r="4253" spans="1:8" x14ac:dyDescent="0.3">
      <c r="A4253" s="1"/>
      <c r="G4253" s="4"/>
      <c r="H4253" s="4"/>
    </row>
    <row r="4254" spans="1:8" x14ac:dyDescent="0.3">
      <c r="A4254" s="1"/>
      <c r="G4254" s="4"/>
      <c r="H4254" s="4"/>
    </row>
    <row r="4255" spans="1:8" x14ac:dyDescent="0.3">
      <c r="A4255" s="1"/>
      <c r="G4255" s="4"/>
      <c r="H4255" s="4"/>
    </row>
    <row r="4256" spans="1:8" x14ac:dyDescent="0.3">
      <c r="A4256" s="1"/>
      <c r="G4256" s="4"/>
      <c r="H4256" s="4"/>
    </row>
    <row r="4257" spans="1:8" x14ac:dyDescent="0.3">
      <c r="A4257" s="1"/>
      <c r="G4257" s="4"/>
      <c r="H4257" s="4"/>
    </row>
    <row r="4258" spans="1:8" x14ac:dyDescent="0.3">
      <c r="A4258" s="1"/>
      <c r="G4258" s="4"/>
      <c r="H4258" s="4"/>
    </row>
    <row r="4259" spans="1:8" x14ac:dyDescent="0.3">
      <c r="A4259" s="1"/>
      <c r="G4259" s="4"/>
      <c r="H4259" s="4"/>
    </row>
    <row r="4260" spans="1:8" x14ac:dyDescent="0.3">
      <c r="A4260" s="1"/>
      <c r="G4260" s="4"/>
      <c r="H4260" s="4"/>
    </row>
    <row r="4261" spans="1:8" x14ac:dyDescent="0.3">
      <c r="A4261" s="1"/>
      <c r="G4261" s="4"/>
      <c r="H4261" s="4"/>
    </row>
    <row r="4262" spans="1:8" x14ac:dyDescent="0.3">
      <c r="A4262" s="1"/>
      <c r="G4262" s="4"/>
      <c r="H4262" s="4"/>
    </row>
    <row r="4263" spans="1:8" x14ac:dyDescent="0.3">
      <c r="A4263" s="1"/>
      <c r="G4263" s="4"/>
      <c r="H4263" s="4"/>
    </row>
    <row r="4264" spans="1:8" x14ac:dyDescent="0.3">
      <c r="A4264" s="1"/>
      <c r="G4264" s="4"/>
      <c r="H4264" s="4"/>
    </row>
    <row r="4265" spans="1:8" x14ac:dyDescent="0.3">
      <c r="A4265" s="1"/>
      <c r="G4265" s="4"/>
      <c r="H4265" s="4"/>
    </row>
    <row r="4266" spans="1:8" x14ac:dyDescent="0.3">
      <c r="A4266" s="1"/>
      <c r="G4266" s="4"/>
      <c r="H4266" s="4"/>
    </row>
    <row r="4267" spans="1:8" x14ac:dyDescent="0.3">
      <c r="A4267" s="1"/>
      <c r="G4267" s="4"/>
      <c r="H4267" s="4"/>
    </row>
    <row r="4268" spans="1:8" x14ac:dyDescent="0.3">
      <c r="A4268" s="1"/>
      <c r="G4268" s="4"/>
      <c r="H4268" s="4"/>
    </row>
    <row r="4269" spans="1:8" x14ac:dyDescent="0.3">
      <c r="A4269" s="1"/>
      <c r="G4269" s="4"/>
      <c r="H4269" s="4"/>
    </row>
    <row r="4270" spans="1:8" x14ac:dyDescent="0.3">
      <c r="A4270" s="1"/>
      <c r="G4270" s="4"/>
      <c r="H4270" s="4"/>
    </row>
    <row r="4271" spans="1:8" x14ac:dyDescent="0.3">
      <c r="A4271" s="1"/>
      <c r="G4271" s="4"/>
      <c r="H4271" s="4"/>
    </row>
    <row r="4272" spans="1:8" x14ac:dyDescent="0.3">
      <c r="A4272" s="1"/>
      <c r="G4272" s="4"/>
      <c r="H4272" s="4"/>
    </row>
    <row r="4273" spans="1:8" x14ac:dyDescent="0.3">
      <c r="A4273" s="1"/>
      <c r="G4273" s="4"/>
      <c r="H4273" s="4"/>
    </row>
    <row r="4274" spans="1:8" x14ac:dyDescent="0.3">
      <c r="A4274" s="1"/>
      <c r="G4274" s="4"/>
      <c r="H4274" s="4"/>
    </row>
    <row r="4275" spans="1:8" x14ac:dyDescent="0.3">
      <c r="A4275" s="1"/>
      <c r="G4275" s="4"/>
      <c r="H4275" s="4"/>
    </row>
    <row r="4276" spans="1:8" x14ac:dyDescent="0.3">
      <c r="A4276" s="1"/>
      <c r="G4276" s="4"/>
      <c r="H4276" s="4"/>
    </row>
    <row r="4277" spans="1:8" x14ac:dyDescent="0.3">
      <c r="A4277" s="1"/>
      <c r="G4277" s="4"/>
      <c r="H4277" s="4"/>
    </row>
    <row r="4278" spans="1:8" x14ac:dyDescent="0.3">
      <c r="A4278" s="1"/>
      <c r="G4278" s="4"/>
      <c r="H4278" s="4"/>
    </row>
    <row r="4279" spans="1:8" x14ac:dyDescent="0.3">
      <c r="A4279" s="1"/>
      <c r="G4279" s="4"/>
      <c r="H4279" s="4"/>
    </row>
    <row r="4280" spans="1:8" x14ac:dyDescent="0.3">
      <c r="A4280" s="1"/>
      <c r="G4280" s="4"/>
      <c r="H4280" s="4"/>
    </row>
    <row r="4281" spans="1:8" x14ac:dyDescent="0.3">
      <c r="A4281" s="1"/>
      <c r="G4281" s="4"/>
      <c r="H4281" s="4"/>
    </row>
    <row r="4282" spans="1:8" x14ac:dyDescent="0.3">
      <c r="A4282" s="1"/>
      <c r="G4282" s="4"/>
      <c r="H4282" s="4"/>
    </row>
    <row r="4283" spans="1:8" x14ac:dyDescent="0.3">
      <c r="A4283" s="1"/>
      <c r="G4283" s="4"/>
      <c r="H4283" s="4"/>
    </row>
    <row r="4284" spans="1:8" x14ac:dyDescent="0.3">
      <c r="A4284" s="1"/>
      <c r="G4284" s="4"/>
      <c r="H4284" s="4"/>
    </row>
    <row r="4285" spans="1:8" x14ac:dyDescent="0.3">
      <c r="A4285" s="1"/>
      <c r="G4285" s="4"/>
      <c r="H4285" s="4"/>
    </row>
    <row r="4286" spans="1:8" x14ac:dyDescent="0.3">
      <c r="A4286" s="1"/>
      <c r="G4286" s="4"/>
      <c r="H4286" s="4"/>
    </row>
    <row r="4287" spans="1:8" x14ac:dyDescent="0.3">
      <c r="A4287" s="1"/>
      <c r="G4287" s="4"/>
      <c r="H4287" s="4"/>
    </row>
    <row r="4288" spans="1:8" x14ac:dyDescent="0.3">
      <c r="A4288" s="1"/>
      <c r="G4288" s="4"/>
      <c r="H4288" s="4"/>
    </row>
    <row r="4289" spans="1:8" x14ac:dyDescent="0.3">
      <c r="A4289" s="1"/>
      <c r="G4289" s="4"/>
      <c r="H4289" s="4"/>
    </row>
    <row r="4290" spans="1:8" x14ac:dyDescent="0.3">
      <c r="A4290" s="1"/>
      <c r="G4290" s="4"/>
      <c r="H4290" s="4"/>
    </row>
    <row r="4291" spans="1:8" x14ac:dyDescent="0.3">
      <c r="A4291" s="1"/>
      <c r="G4291" s="4"/>
      <c r="H4291" s="4"/>
    </row>
    <row r="4292" spans="1:8" x14ac:dyDescent="0.3">
      <c r="A4292" s="1"/>
      <c r="G4292" s="4"/>
      <c r="H4292" s="4"/>
    </row>
    <row r="4293" spans="1:8" x14ac:dyDescent="0.3">
      <c r="A4293" s="1"/>
      <c r="G4293" s="4"/>
      <c r="H4293" s="4"/>
    </row>
    <row r="4294" spans="1:8" x14ac:dyDescent="0.3">
      <c r="A4294" s="1"/>
      <c r="G4294" s="4"/>
      <c r="H4294" s="4"/>
    </row>
    <row r="4295" spans="1:8" x14ac:dyDescent="0.3">
      <c r="A4295" s="1"/>
      <c r="G4295" s="4"/>
      <c r="H4295" s="4"/>
    </row>
    <row r="4296" spans="1:8" x14ac:dyDescent="0.3">
      <c r="A4296" s="1"/>
      <c r="G4296" s="4"/>
      <c r="H4296" s="4"/>
    </row>
    <row r="4297" spans="1:8" x14ac:dyDescent="0.3">
      <c r="A4297" s="1"/>
      <c r="G4297" s="4"/>
      <c r="H4297" s="4"/>
    </row>
    <row r="4298" spans="1:8" x14ac:dyDescent="0.3">
      <c r="A4298" s="1"/>
      <c r="G4298" s="4"/>
      <c r="H4298" s="4"/>
    </row>
    <row r="4299" spans="1:8" x14ac:dyDescent="0.3">
      <c r="A4299" s="1"/>
      <c r="G4299" s="4"/>
      <c r="H4299" s="4"/>
    </row>
    <row r="4300" spans="1:8" x14ac:dyDescent="0.3">
      <c r="A4300" s="1"/>
      <c r="G4300" s="4"/>
      <c r="H4300" s="4"/>
    </row>
    <row r="4301" spans="1:8" x14ac:dyDescent="0.3">
      <c r="A4301" s="1"/>
      <c r="G4301" s="4"/>
      <c r="H4301" s="4"/>
    </row>
    <row r="4302" spans="1:8" x14ac:dyDescent="0.3">
      <c r="A4302" s="1"/>
      <c r="G4302" s="4"/>
      <c r="H4302" s="4"/>
    </row>
    <row r="4303" spans="1:8" x14ac:dyDescent="0.3">
      <c r="A4303" s="1"/>
      <c r="G4303" s="4"/>
      <c r="H4303" s="4"/>
    </row>
    <row r="4304" spans="1:8" x14ac:dyDescent="0.3">
      <c r="A4304" s="1"/>
      <c r="G4304" s="4"/>
      <c r="H4304" s="4"/>
    </row>
    <row r="4305" spans="1:8" x14ac:dyDescent="0.3">
      <c r="A4305" s="1"/>
      <c r="G4305" s="4"/>
      <c r="H4305" s="4"/>
    </row>
    <row r="4306" spans="1:8" x14ac:dyDescent="0.3">
      <c r="A4306" s="1"/>
      <c r="G4306" s="4"/>
      <c r="H4306" s="4"/>
    </row>
    <row r="4307" spans="1:8" x14ac:dyDescent="0.3">
      <c r="A4307" s="1"/>
      <c r="G4307" s="4"/>
      <c r="H4307" s="4"/>
    </row>
    <row r="4308" spans="1:8" x14ac:dyDescent="0.3">
      <c r="A4308" s="1"/>
      <c r="G4308" s="4"/>
      <c r="H4308" s="4"/>
    </row>
    <row r="4309" spans="1:8" x14ac:dyDescent="0.3">
      <c r="A4309" s="1"/>
      <c r="G4309" s="4"/>
      <c r="H4309" s="4"/>
    </row>
    <row r="4310" spans="1:8" x14ac:dyDescent="0.3">
      <c r="A4310" s="1"/>
      <c r="G4310" s="4"/>
      <c r="H4310" s="4"/>
    </row>
    <row r="4311" spans="1:8" x14ac:dyDescent="0.3">
      <c r="A4311" s="1"/>
      <c r="G4311" s="4"/>
      <c r="H4311" s="4"/>
    </row>
    <row r="4312" spans="1:8" x14ac:dyDescent="0.3">
      <c r="A4312" s="1"/>
      <c r="G4312" s="4"/>
      <c r="H4312" s="4"/>
    </row>
    <row r="4313" spans="1:8" x14ac:dyDescent="0.3">
      <c r="A4313" s="1"/>
      <c r="G4313" s="4"/>
      <c r="H4313" s="4"/>
    </row>
    <row r="4314" spans="1:8" x14ac:dyDescent="0.3">
      <c r="A4314" s="1"/>
      <c r="G4314" s="4"/>
      <c r="H4314" s="4"/>
    </row>
    <row r="4315" spans="1:8" x14ac:dyDescent="0.3">
      <c r="A4315" s="1"/>
      <c r="G4315" s="4"/>
      <c r="H4315" s="4"/>
    </row>
    <row r="4316" spans="1:8" x14ac:dyDescent="0.3">
      <c r="A4316" s="1"/>
      <c r="G4316" s="4"/>
      <c r="H4316" s="4"/>
    </row>
    <row r="4317" spans="1:8" x14ac:dyDescent="0.3">
      <c r="A4317" s="1"/>
      <c r="G4317" s="4"/>
      <c r="H4317" s="4"/>
    </row>
    <row r="4318" spans="1:8" x14ac:dyDescent="0.3">
      <c r="A4318" s="1"/>
      <c r="G4318" s="4"/>
      <c r="H4318" s="4"/>
    </row>
    <row r="4319" spans="1:8" x14ac:dyDescent="0.3">
      <c r="A4319" s="1"/>
      <c r="G4319" s="4"/>
      <c r="H4319" s="4"/>
    </row>
    <row r="4320" spans="1:8" x14ac:dyDescent="0.3">
      <c r="A4320" s="1"/>
      <c r="G4320" s="4"/>
      <c r="H4320" s="4"/>
    </row>
    <row r="4321" spans="1:8" x14ac:dyDescent="0.3">
      <c r="A4321" s="1"/>
      <c r="G4321" s="4"/>
      <c r="H4321" s="4"/>
    </row>
    <row r="4322" spans="1:8" x14ac:dyDescent="0.3">
      <c r="A4322" s="1"/>
      <c r="G4322" s="4"/>
      <c r="H4322" s="4"/>
    </row>
    <row r="4323" spans="1:8" x14ac:dyDescent="0.3">
      <c r="A4323" s="1"/>
      <c r="G4323" s="4"/>
      <c r="H4323" s="4"/>
    </row>
    <row r="4324" spans="1:8" x14ac:dyDescent="0.3">
      <c r="A4324" s="1"/>
      <c r="G4324" s="4"/>
      <c r="H4324" s="4"/>
    </row>
    <row r="4325" spans="1:8" x14ac:dyDescent="0.3">
      <c r="A4325" s="1"/>
      <c r="G4325" s="4"/>
      <c r="H4325" s="4"/>
    </row>
    <row r="4326" spans="1:8" x14ac:dyDescent="0.3">
      <c r="A4326" s="1"/>
      <c r="G4326" s="4"/>
      <c r="H4326" s="4"/>
    </row>
    <row r="4327" spans="1:8" x14ac:dyDescent="0.3">
      <c r="A4327" s="1"/>
      <c r="G4327" s="4"/>
      <c r="H4327" s="4"/>
    </row>
    <row r="4328" spans="1:8" x14ac:dyDescent="0.3">
      <c r="A4328" s="1"/>
      <c r="G4328" s="4"/>
      <c r="H4328" s="4"/>
    </row>
    <row r="4329" spans="1:8" x14ac:dyDescent="0.3">
      <c r="A4329" s="1"/>
      <c r="G4329" s="4"/>
      <c r="H4329" s="4"/>
    </row>
    <row r="4330" spans="1:8" x14ac:dyDescent="0.3">
      <c r="A4330" s="1"/>
      <c r="G4330" s="4"/>
      <c r="H4330" s="4"/>
    </row>
    <row r="4331" spans="1:8" x14ac:dyDescent="0.3">
      <c r="A4331" s="1"/>
      <c r="G4331" s="4"/>
      <c r="H4331" s="4"/>
    </row>
    <row r="4332" spans="1:8" x14ac:dyDescent="0.3">
      <c r="A4332" s="1"/>
      <c r="G4332" s="4"/>
      <c r="H4332" s="4"/>
    </row>
    <row r="4333" spans="1:8" x14ac:dyDescent="0.3">
      <c r="A4333" s="1"/>
      <c r="G4333" s="4"/>
      <c r="H4333" s="4"/>
    </row>
    <row r="4334" spans="1:8" x14ac:dyDescent="0.3">
      <c r="A4334" s="1"/>
      <c r="G4334" s="4"/>
      <c r="H4334" s="4"/>
    </row>
    <row r="4335" spans="1:8" x14ac:dyDescent="0.3">
      <c r="A4335" s="1"/>
      <c r="G4335" s="4"/>
      <c r="H4335" s="4"/>
    </row>
    <row r="4336" spans="1:8" x14ac:dyDescent="0.3">
      <c r="A4336" s="1"/>
      <c r="G4336" s="4"/>
      <c r="H4336" s="4"/>
    </row>
    <row r="4337" spans="1:8" x14ac:dyDescent="0.3">
      <c r="A4337" s="1"/>
      <c r="G4337" s="4"/>
      <c r="H4337" s="4"/>
    </row>
    <row r="4338" spans="1:8" x14ac:dyDescent="0.3">
      <c r="A4338" s="1"/>
      <c r="G4338" s="4"/>
      <c r="H4338" s="4"/>
    </row>
    <row r="4339" spans="1:8" x14ac:dyDescent="0.3">
      <c r="A4339" s="1"/>
      <c r="G4339" s="4"/>
      <c r="H4339" s="4"/>
    </row>
    <row r="4340" spans="1:8" x14ac:dyDescent="0.3">
      <c r="A4340" s="1"/>
      <c r="G4340" s="4"/>
      <c r="H4340" s="4"/>
    </row>
    <row r="4341" spans="1:8" x14ac:dyDescent="0.3">
      <c r="A4341" s="1"/>
      <c r="G4341" s="4"/>
      <c r="H4341" s="4"/>
    </row>
    <row r="4342" spans="1:8" x14ac:dyDescent="0.3">
      <c r="A4342" s="1"/>
      <c r="G4342" s="4"/>
      <c r="H4342" s="4"/>
    </row>
    <row r="4343" spans="1:8" x14ac:dyDescent="0.3">
      <c r="A4343" s="1"/>
      <c r="G4343" s="4"/>
      <c r="H4343" s="4"/>
    </row>
    <row r="4344" spans="1:8" x14ac:dyDescent="0.3">
      <c r="A4344" s="1"/>
      <c r="G4344" s="4"/>
      <c r="H4344" s="4"/>
    </row>
    <row r="4345" spans="1:8" x14ac:dyDescent="0.3">
      <c r="A4345" s="1"/>
      <c r="G4345" s="4"/>
      <c r="H4345" s="4"/>
    </row>
    <row r="4346" spans="1:8" x14ac:dyDescent="0.3">
      <c r="A4346" s="1"/>
      <c r="G4346" s="4"/>
      <c r="H4346" s="4"/>
    </row>
    <row r="4347" spans="1:8" x14ac:dyDescent="0.3">
      <c r="A4347" s="1"/>
      <c r="G4347" s="4"/>
      <c r="H4347" s="4"/>
    </row>
    <row r="4348" spans="1:8" x14ac:dyDescent="0.3">
      <c r="A4348" s="1"/>
      <c r="G4348" s="4"/>
      <c r="H4348" s="4"/>
    </row>
    <row r="4349" spans="1:8" x14ac:dyDescent="0.3">
      <c r="A4349" s="1"/>
      <c r="G4349" s="4"/>
      <c r="H4349" s="4"/>
    </row>
    <row r="4350" spans="1:8" x14ac:dyDescent="0.3">
      <c r="A4350" s="1"/>
      <c r="G4350" s="4"/>
      <c r="H4350" s="4"/>
    </row>
    <row r="4351" spans="1:8" x14ac:dyDescent="0.3">
      <c r="A4351" s="1"/>
      <c r="G4351" s="4"/>
      <c r="H4351" s="4"/>
    </row>
    <row r="4352" spans="1:8" x14ac:dyDescent="0.3">
      <c r="A4352" s="1"/>
      <c r="G4352" s="4"/>
      <c r="H4352" s="4"/>
    </row>
    <row r="4353" spans="1:8" x14ac:dyDescent="0.3">
      <c r="A4353" s="1"/>
      <c r="G4353" s="4"/>
      <c r="H4353" s="4"/>
    </row>
    <row r="4354" spans="1:8" x14ac:dyDescent="0.3">
      <c r="A4354" s="1"/>
      <c r="G4354" s="4"/>
      <c r="H4354" s="4"/>
    </row>
    <row r="4355" spans="1:8" x14ac:dyDescent="0.3">
      <c r="A4355" s="1"/>
      <c r="G4355" s="4"/>
      <c r="H4355" s="4"/>
    </row>
    <row r="4356" spans="1:8" x14ac:dyDescent="0.3">
      <c r="A4356" s="1"/>
      <c r="G4356" s="4"/>
      <c r="H4356" s="4"/>
    </row>
    <row r="4357" spans="1:8" x14ac:dyDescent="0.3">
      <c r="A4357" s="1"/>
      <c r="G4357" s="4"/>
      <c r="H4357" s="4"/>
    </row>
    <row r="4358" spans="1:8" x14ac:dyDescent="0.3">
      <c r="A4358" s="1"/>
      <c r="G4358" s="4"/>
      <c r="H4358" s="4"/>
    </row>
    <row r="4359" spans="1:8" x14ac:dyDescent="0.3">
      <c r="A4359" s="1"/>
      <c r="G4359" s="4"/>
      <c r="H4359" s="4"/>
    </row>
    <row r="4360" spans="1:8" x14ac:dyDescent="0.3">
      <c r="A4360" s="1"/>
      <c r="G4360" s="4"/>
      <c r="H4360" s="4"/>
    </row>
    <row r="4361" spans="1:8" x14ac:dyDescent="0.3">
      <c r="A4361" s="1"/>
      <c r="G4361" s="4"/>
      <c r="H4361" s="4"/>
    </row>
    <row r="4362" spans="1:8" x14ac:dyDescent="0.3">
      <c r="A4362" s="1"/>
      <c r="G4362" s="4"/>
      <c r="H4362" s="4"/>
    </row>
    <row r="4363" spans="1:8" x14ac:dyDescent="0.3">
      <c r="A4363" s="1"/>
      <c r="G4363" s="4"/>
      <c r="H4363" s="4"/>
    </row>
    <row r="4364" spans="1:8" x14ac:dyDescent="0.3">
      <c r="A4364" s="1"/>
      <c r="G4364" s="4"/>
      <c r="H4364" s="4"/>
    </row>
    <row r="4365" spans="1:8" x14ac:dyDescent="0.3">
      <c r="A4365" s="1"/>
      <c r="G4365" s="4"/>
      <c r="H4365" s="4"/>
    </row>
    <row r="4366" spans="1:8" x14ac:dyDescent="0.3">
      <c r="A4366" s="1"/>
      <c r="G4366" s="4"/>
      <c r="H4366" s="4"/>
    </row>
    <row r="4367" spans="1:8" x14ac:dyDescent="0.3">
      <c r="A4367" s="1"/>
      <c r="G4367" s="4"/>
      <c r="H4367" s="4"/>
    </row>
    <row r="4368" spans="1:8" x14ac:dyDescent="0.3">
      <c r="A4368" s="1"/>
      <c r="G4368" s="4"/>
      <c r="H4368" s="4"/>
    </row>
    <row r="4369" spans="1:8" x14ac:dyDescent="0.3">
      <c r="A4369" s="1"/>
      <c r="G4369" s="4"/>
      <c r="H4369" s="4"/>
    </row>
    <row r="4370" spans="1:8" x14ac:dyDescent="0.3">
      <c r="A4370" s="1"/>
      <c r="G4370" s="4"/>
      <c r="H4370" s="4"/>
    </row>
    <row r="4371" spans="1:8" x14ac:dyDescent="0.3">
      <c r="A4371" s="1"/>
      <c r="G4371" s="4"/>
      <c r="H4371" s="4"/>
    </row>
    <row r="4372" spans="1:8" x14ac:dyDescent="0.3">
      <c r="A4372" s="1"/>
      <c r="G4372" s="4"/>
      <c r="H4372" s="4"/>
    </row>
    <row r="4373" spans="1:8" x14ac:dyDescent="0.3">
      <c r="A4373" s="1"/>
      <c r="G4373" s="4"/>
      <c r="H4373" s="4"/>
    </row>
    <row r="4374" spans="1:8" x14ac:dyDescent="0.3">
      <c r="A4374" s="1"/>
      <c r="G4374" s="4"/>
      <c r="H4374" s="4"/>
    </row>
    <row r="4375" spans="1:8" x14ac:dyDescent="0.3">
      <c r="A4375" s="1"/>
      <c r="G4375" s="4"/>
      <c r="H4375" s="4"/>
    </row>
    <row r="4376" spans="1:8" x14ac:dyDescent="0.3">
      <c r="A4376" s="1"/>
      <c r="G4376" s="4"/>
      <c r="H4376" s="4"/>
    </row>
    <row r="4377" spans="1:8" x14ac:dyDescent="0.3">
      <c r="A4377" s="1"/>
      <c r="G4377" s="4"/>
      <c r="H4377" s="4"/>
    </row>
    <row r="4378" spans="1:8" x14ac:dyDescent="0.3">
      <c r="A4378" s="1"/>
      <c r="G4378" s="4"/>
      <c r="H4378" s="4"/>
    </row>
    <row r="4379" spans="1:8" x14ac:dyDescent="0.3">
      <c r="A4379" s="1"/>
      <c r="G4379" s="4"/>
      <c r="H4379" s="4"/>
    </row>
    <row r="4380" spans="1:8" x14ac:dyDescent="0.3">
      <c r="A4380" s="1"/>
      <c r="G4380" s="4"/>
      <c r="H4380" s="4"/>
    </row>
    <row r="4381" spans="1:8" x14ac:dyDescent="0.3">
      <c r="A4381" s="1"/>
      <c r="G4381" s="4"/>
      <c r="H4381" s="4"/>
    </row>
    <row r="4382" spans="1:8" x14ac:dyDescent="0.3">
      <c r="A4382" s="1"/>
      <c r="G4382" s="4"/>
      <c r="H4382" s="4"/>
    </row>
    <row r="4383" spans="1:8" x14ac:dyDescent="0.3">
      <c r="A4383" s="1"/>
      <c r="G4383" s="4"/>
      <c r="H4383" s="4"/>
    </row>
    <row r="4384" spans="1:8" x14ac:dyDescent="0.3">
      <c r="A4384" s="1"/>
      <c r="G4384" s="4"/>
      <c r="H4384" s="4"/>
    </row>
    <row r="4385" spans="1:8" x14ac:dyDescent="0.3">
      <c r="A4385" s="1"/>
      <c r="G4385" s="4"/>
      <c r="H4385" s="4"/>
    </row>
    <row r="4386" spans="1:8" x14ac:dyDescent="0.3">
      <c r="A4386" s="1"/>
      <c r="G4386" s="4"/>
      <c r="H4386" s="4"/>
    </row>
    <row r="4387" spans="1:8" x14ac:dyDescent="0.3">
      <c r="A4387" s="1"/>
      <c r="G4387" s="4"/>
      <c r="H4387" s="4"/>
    </row>
    <row r="4388" spans="1:8" x14ac:dyDescent="0.3">
      <c r="A4388" s="1"/>
      <c r="G4388" s="4"/>
      <c r="H4388" s="4"/>
    </row>
    <row r="4389" spans="1:8" x14ac:dyDescent="0.3">
      <c r="A4389" s="1"/>
      <c r="G4389" s="4"/>
      <c r="H4389" s="4"/>
    </row>
    <row r="4390" spans="1:8" x14ac:dyDescent="0.3">
      <c r="A4390" s="1"/>
      <c r="G4390" s="4"/>
      <c r="H4390" s="4"/>
    </row>
    <row r="4391" spans="1:8" x14ac:dyDescent="0.3">
      <c r="A4391" s="1"/>
      <c r="G4391" s="4"/>
      <c r="H4391" s="4"/>
    </row>
    <row r="4392" spans="1:8" x14ac:dyDescent="0.3">
      <c r="A4392" s="1"/>
      <c r="G4392" s="4"/>
      <c r="H4392" s="4"/>
    </row>
    <row r="4393" spans="1:8" x14ac:dyDescent="0.3">
      <c r="A4393" s="1"/>
      <c r="G4393" s="4"/>
      <c r="H4393" s="4"/>
    </row>
    <row r="4394" spans="1:8" x14ac:dyDescent="0.3">
      <c r="A4394" s="1"/>
      <c r="G4394" s="4"/>
      <c r="H4394" s="4"/>
    </row>
    <row r="4395" spans="1:8" x14ac:dyDescent="0.3">
      <c r="A4395" s="1"/>
      <c r="G4395" s="4"/>
      <c r="H4395" s="4"/>
    </row>
    <row r="4396" spans="1:8" x14ac:dyDescent="0.3">
      <c r="A4396" s="1"/>
      <c r="G4396" s="4"/>
      <c r="H4396" s="4"/>
    </row>
    <row r="4397" spans="1:8" x14ac:dyDescent="0.3">
      <c r="A4397" s="1"/>
      <c r="G4397" s="4"/>
      <c r="H4397" s="4"/>
    </row>
    <row r="4398" spans="1:8" x14ac:dyDescent="0.3">
      <c r="A4398" s="1"/>
      <c r="G4398" s="4"/>
      <c r="H4398" s="4"/>
    </row>
    <row r="4399" spans="1:8" x14ac:dyDescent="0.3">
      <c r="A4399" s="1"/>
      <c r="G4399" s="4"/>
      <c r="H4399" s="4"/>
    </row>
    <row r="4400" spans="1:8" x14ac:dyDescent="0.3">
      <c r="A4400" s="1"/>
      <c r="G4400" s="4"/>
      <c r="H4400" s="4"/>
    </row>
    <row r="4401" spans="1:8" x14ac:dyDescent="0.3">
      <c r="A4401" s="1"/>
      <c r="G4401" s="4"/>
      <c r="H4401" s="4"/>
    </row>
    <row r="4402" spans="1:8" x14ac:dyDescent="0.3">
      <c r="A4402" s="1"/>
      <c r="G4402" s="4"/>
      <c r="H4402" s="4"/>
    </row>
    <row r="4403" spans="1:8" x14ac:dyDescent="0.3">
      <c r="A4403" s="1"/>
      <c r="G4403" s="4"/>
      <c r="H4403" s="4"/>
    </row>
    <row r="4404" spans="1:8" x14ac:dyDescent="0.3">
      <c r="A4404" s="1"/>
      <c r="G4404" s="4"/>
      <c r="H4404" s="4"/>
    </row>
    <row r="4405" spans="1:8" x14ac:dyDescent="0.3">
      <c r="A4405" s="1"/>
      <c r="G4405" s="4"/>
      <c r="H4405" s="4"/>
    </row>
    <row r="4406" spans="1:8" x14ac:dyDescent="0.3">
      <c r="A4406" s="1"/>
      <c r="G4406" s="4"/>
      <c r="H4406" s="4"/>
    </row>
    <row r="4407" spans="1:8" x14ac:dyDescent="0.3">
      <c r="A4407" s="1"/>
      <c r="G4407" s="4"/>
      <c r="H4407" s="4"/>
    </row>
    <row r="4408" spans="1:8" x14ac:dyDescent="0.3">
      <c r="A4408" s="1"/>
      <c r="G4408" s="4"/>
      <c r="H4408" s="4"/>
    </row>
    <row r="4409" spans="1:8" x14ac:dyDescent="0.3">
      <c r="A4409" s="1"/>
      <c r="G4409" s="4"/>
      <c r="H4409" s="4"/>
    </row>
    <row r="4410" spans="1:8" x14ac:dyDescent="0.3">
      <c r="A4410" s="1"/>
      <c r="G4410" s="4"/>
      <c r="H4410" s="4"/>
    </row>
    <row r="4411" spans="1:8" x14ac:dyDescent="0.3">
      <c r="A4411" s="1"/>
      <c r="G4411" s="4"/>
      <c r="H4411" s="4"/>
    </row>
    <row r="4412" spans="1:8" x14ac:dyDescent="0.3">
      <c r="A4412" s="1"/>
      <c r="G4412" s="4"/>
      <c r="H4412" s="4"/>
    </row>
    <row r="4413" spans="1:8" x14ac:dyDescent="0.3">
      <c r="A4413" s="1"/>
      <c r="G4413" s="4"/>
      <c r="H4413" s="4"/>
    </row>
    <row r="4414" spans="1:8" x14ac:dyDescent="0.3">
      <c r="A4414" s="1"/>
      <c r="G4414" s="4"/>
      <c r="H4414" s="4"/>
    </row>
    <row r="4415" spans="1:8" x14ac:dyDescent="0.3">
      <c r="A4415" s="1"/>
      <c r="G4415" s="4"/>
      <c r="H4415" s="4"/>
    </row>
    <row r="4416" spans="1:8" x14ac:dyDescent="0.3">
      <c r="A4416" s="1"/>
      <c r="G4416" s="4"/>
      <c r="H4416" s="4"/>
    </row>
    <row r="4417" spans="1:8" x14ac:dyDescent="0.3">
      <c r="A4417" s="1"/>
      <c r="G4417" s="4"/>
      <c r="H4417" s="4"/>
    </row>
    <row r="4418" spans="1:8" x14ac:dyDescent="0.3">
      <c r="A4418" s="1"/>
      <c r="G4418" s="4"/>
      <c r="H4418" s="4"/>
    </row>
    <row r="4419" spans="1:8" x14ac:dyDescent="0.3">
      <c r="A4419" s="1"/>
      <c r="G4419" s="4"/>
      <c r="H4419" s="4"/>
    </row>
    <row r="4420" spans="1:8" x14ac:dyDescent="0.3">
      <c r="A4420" s="1"/>
      <c r="G4420" s="4"/>
      <c r="H4420" s="4"/>
    </row>
    <row r="4421" spans="1:8" x14ac:dyDescent="0.3">
      <c r="A4421" s="1"/>
      <c r="G4421" s="4"/>
      <c r="H4421" s="4"/>
    </row>
    <row r="4422" spans="1:8" x14ac:dyDescent="0.3">
      <c r="A4422" s="1"/>
      <c r="G4422" s="4"/>
      <c r="H4422" s="4"/>
    </row>
    <row r="4423" spans="1:8" x14ac:dyDescent="0.3">
      <c r="A4423" s="1"/>
      <c r="G4423" s="4"/>
      <c r="H4423" s="4"/>
    </row>
    <row r="4424" spans="1:8" x14ac:dyDescent="0.3">
      <c r="A4424" s="1"/>
      <c r="G4424" s="4"/>
      <c r="H4424" s="4"/>
    </row>
    <row r="4425" spans="1:8" x14ac:dyDescent="0.3">
      <c r="A4425" s="1"/>
      <c r="G4425" s="4"/>
      <c r="H4425" s="4"/>
    </row>
    <row r="4426" spans="1:8" x14ac:dyDescent="0.3">
      <c r="A4426" s="1"/>
      <c r="G4426" s="4"/>
      <c r="H4426" s="4"/>
    </row>
    <row r="4427" spans="1:8" x14ac:dyDescent="0.3">
      <c r="A4427" s="1"/>
      <c r="G4427" s="4"/>
      <c r="H4427" s="4"/>
    </row>
    <row r="4428" spans="1:8" x14ac:dyDescent="0.3">
      <c r="A4428" s="1"/>
      <c r="G4428" s="4"/>
      <c r="H4428" s="4"/>
    </row>
    <row r="4429" spans="1:8" x14ac:dyDescent="0.3">
      <c r="A4429" s="1"/>
      <c r="G4429" s="4"/>
      <c r="H4429" s="4"/>
    </row>
    <row r="4430" spans="1:8" x14ac:dyDescent="0.3">
      <c r="A4430" s="1"/>
      <c r="G4430" s="4"/>
      <c r="H4430" s="4"/>
    </row>
    <row r="4431" spans="1:8" x14ac:dyDescent="0.3">
      <c r="A4431" s="1"/>
      <c r="G4431" s="4"/>
      <c r="H4431" s="4"/>
    </row>
    <row r="4432" spans="1:8" x14ac:dyDescent="0.3">
      <c r="A4432" s="1"/>
      <c r="G4432" s="4"/>
      <c r="H4432" s="4"/>
    </row>
    <row r="4433" spans="1:8" x14ac:dyDescent="0.3">
      <c r="A4433" s="1"/>
      <c r="G4433" s="4"/>
      <c r="H4433" s="4"/>
    </row>
    <row r="4434" spans="1:8" x14ac:dyDescent="0.3">
      <c r="A4434" s="1"/>
      <c r="G4434" s="4"/>
      <c r="H4434" s="4"/>
    </row>
    <row r="4435" spans="1:8" x14ac:dyDescent="0.3">
      <c r="A4435" s="1"/>
      <c r="G4435" s="4"/>
      <c r="H4435" s="4"/>
    </row>
    <row r="4436" spans="1:8" x14ac:dyDescent="0.3">
      <c r="A4436" s="1"/>
      <c r="G4436" s="4"/>
      <c r="H4436" s="4"/>
    </row>
    <row r="4437" spans="1:8" x14ac:dyDescent="0.3">
      <c r="A4437" s="1"/>
      <c r="G4437" s="4"/>
      <c r="H4437" s="4"/>
    </row>
    <row r="4438" spans="1:8" x14ac:dyDescent="0.3">
      <c r="A4438" s="1"/>
      <c r="G4438" s="4"/>
      <c r="H4438" s="4"/>
    </row>
    <row r="4439" spans="1:8" x14ac:dyDescent="0.3">
      <c r="A4439" s="1"/>
      <c r="G4439" s="4"/>
      <c r="H4439" s="4"/>
    </row>
    <row r="4440" spans="1:8" x14ac:dyDescent="0.3">
      <c r="A4440" s="1"/>
      <c r="G4440" s="4"/>
      <c r="H4440" s="4"/>
    </row>
    <row r="4441" spans="1:8" x14ac:dyDescent="0.3">
      <c r="A4441" s="1"/>
      <c r="G4441" s="4"/>
      <c r="H4441" s="4"/>
    </row>
    <row r="4442" spans="1:8" x14ac:dyDescent="0.3">
      <c r="A4442" s="1"/>
      <c r="G4442" s="4"/>
      <c r="H4442" s="4"/>
    </row>
    <row r="4443" spans="1:8" x14ac:dyDescent="0.3">
      <c r="A4443" s="1"/>
      <c r="G4443" s="4"/>
      <c r="H4443" s="4"/>
    </row>
    <row r="4444" spans="1:8" x14ac:dyDescent="0.3">
      <c r="A4444" s="1"/>
      <c r="G4444" s="4"/>
      <c r="H4444" s="4"/>
    </row>
    <row r="4445" spans="1:8" x14ac:dyDescent="0.3">
      <c r="A4445" s="1"/>
      <c r="G4445" s="4"/>
      <c r="H4445" s="4"/>
    </row>
    <row r="4446" spans="1:8" x14ac:dyDescent="0.3">
      <c r="A4446" s="1"/>
      <c r="G4446" s="4"/>
      <c r="H4446" s="4"/>
    </row>
    <row r="4447" spans="1:8" x14ac:dyDescent="0.3">
      <c r="A4447" s="1"/>
      <c r="G4447" s="4"/>
      <c r="H4447" s="4"/>
    </row>
    <row r="4448" spans="1:8" x14ac:dyDescent="0.3">
      <c r="A4448" s="1"/>
      <c r="G4448" s="4"/>
      <c r="H4448" s="4"/>
    </row>
    <row r="4449" spans="1:8" x14ac:dyDescent="0.3">
      <c r="A4449" s="1"/>
      <c r="G4449" s="4"/>
      <c r="H4449" s="4"/>
    </row>
    <row r="4450" spans="1:8" x14ac:dyDescent="0.3">
      <c r="A4450" s="1"/>
      <c r="G4450" s="4"/>
      <c r="H4450" s="4"/>
    </row>
    <row r="4451" spans="1:8" x14ac:dyDescent="0.3">
      <c r="A4451" s="1"/>
      <c r="G4451" s="4"/>
      <c r="H4451" s="4"/>
    </row>
    <row r="4452" spans="1:8" x14ac:dyDescent="0.3">
      <c r="A4452" s="1"/>
      <c r="G4452" s="4"/>
      <c r="H4452" s="4"/>
    </row>
    <row r="4453" spans="1:8" x14ac:dyDescent="0.3">
      <c r="A4453" s="1"/>
      <c r="G4453" s="4"/>
      <c r="H4453" s="4"/>
    </row>
    <row r="4454" spans="1:8" x14ac:dyDescent="0.3">
      <c r="A4454" s="1"/>
      <c r="G4454" s="4"/>
      <c r="H4454" s="4"/>
    </row>
    <row r="4455" spans="1:8" x14ac:dyDescent="0.3">
      <c r="A4455" s="1"/>
      <c r="G4455" s="4"/>
      <c r="H4455" s="4"/>
    </row>
    <row r="4456" spans="1:8" x14ac:dyDescent="0.3">
      <c r="A4456" s="1"/>
      <c r="G4456" s="4"/>
      <c r="H4456" s="4"/>
    </row>
    <row r="4457" spans="1:8" x14ac:dyDescent="0.3">
      <c r="A4457" s="1"/>
      <c r="G4457" s="4"/>
      <c r="H4457" s="4"/>
    </row>
    <row r="4458" spans="1:8" x14ac:dyDescent="0.3">
      <c r="A4458" s="1"/>
      <c r="G4458" s="4"/>
      <c r="H4458" s="4"/>
    </row>
    <row r="4459" spans="1:8" x14ac:dyDescent="0.3">
      <c r="A4459" s="1"/>
      <c r="G4459" s="4"/>
      <c r="H4459" s="4"/>
    </row>
    <row r="4460" spans="1:8" x14ac:dyDescent="0.3">
      <c r="A4460" s="1"/>
      <c r="G4460" s="4"/>
      <c r="H4460" s="4"/>
    </row>
    <row r="4461" spans="1:8" x14ac:dyDescent="0.3">
      <c r="A4461" s="1"/>
      <c r="G4461" s="4"/>
      <c r="H4461" s="4"/>
    </row>
    <row r="4462" spans="1:8" x14ac:dyDescent="0.3">
      <c r="A4462" s="1"/>
      <c r="G4462" s="4"/>
      <c r="H4462" s="4"/>
    </row>
    <row r="4463" spans="1:8" x14ac:dyDescent="0.3">
      <c r="A4463" s="1"/>
      <c r="G4463" s="4"/>
      <c r="H4463" s="4"/>
    </row>
    <row r="4464" spans="1:8" x14ac:dyDescent="0.3">
      <c r="A4464" s="1"/>
      <c r="G4464" s="4"/>
      <c r="H4464" s="4"/>
    </row>
    <row r="4465" spans="1:8" x14ac:dyDescent="0.3">
      <c r="A4465" s="1"/>
      <c r="G4465" s="4"/>
      <c r="H4465" s="4"/>
    </row>
    <row r="4466" spans="1:8" x14ac:dyDescent="0.3">
      <c r="A4466" s="1"/>
      <c r="G4466" s="4"/>
      <c r="H4466" s="4"/>
    </row>
    <row r="4467" spans="1:8" x14ac:dyDescent="0.3">
      <c r="A4467" s="1"/>
      <c r="G4467" s="4"/>
      <c r="H4467" s="4"/>
    </row>
    <row r="4468" spans="1:8" x14ac:dyDescent="0.3">
      <c r="A4468" s="1"/>
      <c r="G4468" s="4"/>
      <c r="H4468" s="4"/>
    </row>
    <row r="4469" spans="1:8" x14ac:dyDescent="0.3">
      <c r="A4469" s="1"/>
      <c r="G4469" s="4"/>
      <c r="H4469" s="4"/>
    </row>
    <row r="4470" spans="1:8" x14ac:dyDescent="0.3">
      <c r="A4470" s="1"/>
      <c r="G4470" s="4"/>
      <c r="H4470" s="4"/>
    </row>
    <row r="4471" spans="1:8" x14ac:dyDescent="0.3">
      <c r="A4471" s="1"/>
      <c r="G4471" s="4"/>
      <c r="H4471" s="4"/>
    </row>
    <row r="4472" spans="1:8" x14ac:dyDescent="0.3">
      <c r="A4472" s="1"/>
      <c r="G4472" s="4"/>
      <c r="H4472" s="4"/>
    </row>
    <row r="4473" spans="1:8" x14ac:dyDescent="0.3">
      <c r="A4473" s="1"/>
      <c r="G4473" s="4"/>
      <c r="H4473" s="4"/>
    </row>
    <row r="4474" spans="1:8" x14ac:dyDescent="0.3">
      <c r="A4474" s="1"/>
      <c r="G4474" s="4"/>
      <c r="H4474" s="4"/>
    </row>
    <row r="4475" spans="1:8" x14ac:dyDescent="0.3">
      <c r="A4475" s="1"/>
      <c r="G4475" s="4"/>
      <c r="H4475" s="4"/>
    </row>
    <row r="4476" spans="1:8" x14ac:dyDescent="0.3">
      <c r="A4476" s="1"/>
      <c r="G4476" s="4"/>
      <c r="H4476" s="4"/>
    </row>
    <row r="4477" spans="1:8" x14ac:dyDescent="0.3">
      <c r="A4477" s="1"/>
      <c r="G4477" s="4"/>
      <c r="H4477" s="4"/>
    </row>
    <row r="4478" spans="1:8" x14ac:dyDescent="0.3">
      <c r="A4478" s="1"/>
      <c r="G4478" s="4"/>
      <c r="H4478" s="4"/>
    </row>
    <row r="4479" spans="1:8" x14ac:dyDescent="0.3">
      <c r="A4479" s="1"/>
      <c r="G4479" s="4"/>
      <c r="H4479" s="4"/>
    </row>
    <row r="4480" spans="1:8" x14ac:dyDescent="0.3">
      <c r="A4480" s="1"/>
      <c r="G4480" s="4"/>
      <c r="H4480" s="4"/>
    </row>
    <row r="4481" spans="1:8" x14ac:dyDescent="0.3">
      <c r="A4481" s="1"/>
      <c r="G4481" s="4"/>
      <c r="H4481" s="4"/>
    </row>
    <row r="4482" spans="1:8" x14ac:dyDescent="0.3">
      <c r="A4482" s="1"/>
      <c r="G4482" s="4"/>
      <c r="H4482" s="4"/>
    </row>
    <row r="4483" spans="1:8" x14ac:dyDescent="0.3">
      <c r="A4483" s="1"/>
      <c r="G4483" s="4"/>
      <c r="H4483" s="4"/>
    </row>
    <row r="4484" spans="1:8" x14ac:dyDescent="0.3">
      <c r="A4484" s="1"/>
      <c r="G4484" s="4"/>
      <c r="H4484" s="4"/>
    </row>
    <row r="4485" spans="1:8" x14ac:dyDescent="0.3">
      <c r="A4485" s="1"/>
      <c r="G4485" s="4"/>
      <c r="H4485" s="4"/>
    </row>
    <row r="4486" spans="1:8" x14ac:dyDescent="0.3">
      <c r="A4486" s="1"/>
      <c r="G4486" s="4"/>
      <c r="H4486" s="4"/>
    </row>
    <row r="4487" spans="1:8" x14ac:dyDescent="0.3">
      <c r="A4487" s="1"/>
      <c r="G4487" s="4"/>
      <c r="H4487" s="4"/>
    </row>
    <row r="4488" spans="1:8" x14ac:dyDescent="0.3">
      <c r="A4488" s="1"/>
      <c r="G4488" s="4"/>
      <c r="H4488" s="4"/>
    </row>
    <row r="4489" spans="1:8" x14ac:dyDescent="0.3">
      <c r="A4489" s="1"/>
      <c r="G4489" s="4"/>
      <c r="H4489" s="4"/>
    </row>
    <row r="4490" spans="1:8" x14ac:dyDescent="0.3">
      <c r="A4490" s="1"/>
      <c r="G4490" s="4"/>
      <c r="H4490" s="4"/>
    </row>
    <row r="4491" spans="1:8" x14ac:dyDescent="0.3">
      <c r="A4491" s="1"/>
      <c r="G4491" s="4"/>
      <c r="H4491" s="4"/>
    </row>
    <row r="4492" spans="1:8" x14ac:dyDescent="0.3">
      <c r="A4492" s="1"/>
      <c r="G4492" s="4"/>
      <c r="H4492" s="4"/>
    </row>
    <row r="4493" spans="1:8" x14ac:dyDescent="0.3">
      <c r="A4493" s="1"/>
      <c r="G4493" s="4"/>
      <c r="H4493" s="4"/>
    </row>
    <row r="4494" spans="1:8" x14ac:dyDescent="0.3">
      <c r="A4494" s="1"/>
      <c r="G4494" s="4"/>
      <c r="H4494" s="4"/>
    </row>
    <row r="4495" spans="1:8" x14ac:dyDescent="0.3">
      <c r="A4495" s="1"/>
      <c r="G4495" s="4"/>
      <c r="H4495" s="4"/>
    </row>
    <row r="4496" spans="1:8" x14ac:dyDescent="0.3">
      <c r="A4496" s="1"/>
      <c r="G4496" s="4"/>
      <c r="H4496" s="4"/>
    </row>
    <row r="4497" spans="1:8" x14ac:dyDescent="0.3">
      <c r="A4497" s="1"/>
      <c r="G4497" s="4"/>
      <c r="H4497" s="4"/>
    </row>
    <row r="4498" spans="1:8" x14ac:dyDescent="0.3">
      <c r="A4498" s="1"/>
      <c r="G4498" s="4"/>
      <c r="H4498" s="4"/>
    </row>
    <row r="4499" spans="1:8" x14ac:dyDescent="0.3">
      <c r="A4499" s="1"/>
      <c r="G4499" s="4"/>
      <c r="H4499" s="4"/>
    </row>
    <row r="4500" spans="1:8" x14ac:dyDescent="0.3">
      <c r="A4500" s="1"/>
      <c r="G4500" s="4"/>
      <c r="H4500" s="4"/>
    </row>
    <row r="4501" spans="1:8" x14ac:dyDescent="0.3">
      <c r="A4501" s="1"/>
      <c r="G4501" s="4"/>
      <c r="H4501" s="4"/>
    </row>
    <row r="4502" spans="1:8" x14ac:dyDescent="0.3">
      <c r="A4502" s="1"/>
      <c r="G4502" s="4"/>
      <c r="H4502" s="4"/>
    </row>
    <row r="4503" spans="1:8" x14ac:dyDescent="0.3">
      <c r="A4503" s="1"/>
      <c r="G4503" s="4"/>
      <c r="H4503" s="4"/>
    </row>
    <row r="4504" spans="1:8" x14ac:dyDescent="0.3">
      <c r="A4504" s="1"/>
      <c r="G4504" s="4"/>
      <c r="H4504" s="4"/>
    </row>
    <row r="4505" spans="1:8" x14ac:dyDescent="0.3">
      <c r="A4505" s="1"/>
      <c r="G4505" s="4"/>
      <c r="H4505" s="4"/>
    </row>
    <row r="4506" spans="1:8" x14ac:dyDescent="0.3">
      <c r="A4506" s="1"/>
      <c r="G4506" s="4"/>
      <c r="H4506" s="4"/>
    </row>
    <row r="4507" spans="1:8" x14ac:dyDescent="0.3">
      <c r="A4507" s="1"/>
      <c r="G4507" s="4"/>
      <c r="H4507" s="4"/>
    </row>
    <row r="4508" spans="1:8" x14ac:dyDescent="0.3">
      <c r="A4508" s="1"/>
      <c r="G4508" s="4"/>
      <c r="H4508" s="4"/>
    </row>
    <row r="4509" spans="1:8" x14ac:dyDescent="0.3">
      <c r="A4509" s="1"/>
      <c r="G4509" s="4"/>
      <c r="H4509" s="4"/>
    </row>
    <row r="4510" spans="1:8" x14ac:dyDescent="0.3">
      <c r="A4510" s="1"/>
      <c r="G4510" s="4"/>
      <c r="H4510" s="4"/>
    </row>
    <row r="4511" spans="1:8" x14ac:dyDescent="0.3">
      <c r="A4511" s="1"/>
      <c r="G4511" s="4"/>
      <c r="H4511" s="4"/>
    </row>
    <row r="4512" spans="1:8" x14ac:dyDescent="0.3">
      <c r="A4512" s="1"/>
      <c r="G4512" s="4"/>
      <c r="H4512" s="4"/>
    </row>
    <row r="4513" spans="1:8" x14ac:dyDescent="0.3">
      <c r="A4513" s="1"/>
      <c r="G4513" s="4"/>
      <c r="H4513" s="4"/>
    </row>
    <row r="4514" spans="1:8" x14ac:dyDescent="0.3">
      <c r="A4514" s="1"/>
      <c r="G4514" s="4"/>
      <c r="H4514" s="4"/>
    </row>
    <row r="4515" spans="1:8" x14ac:dyDescent="0.3">
      <c r="A4515" s="1"/>
      <c r="G4515" s="4"/>
      <c r="H4515" s="4"/>
    </row>
    <row r="4516" spans="1:8" x14ac:dyDescent="0.3">
      <c r="A4516" s="1"/>
      <c r="G4516" s="4"/>
      <c r="H4516" s="4"/>
    </row>
    <row r="4517" spans="1:8" x14ac:dyDescent="0.3">
      <c r="A4517" s="1"/>
      <c r="G4517" s="4"/>
      <c r="H4517" s="4"/>
    </row>
    <row r="4518" spans="1:8" x14ac:dyDescent="0.3">
      <c r="A4518" s="1"/>
      <c r="G4518" s="4"/>
      <c r="H4518" s="4"/>
    </row>
    <row r="4519" spans="1:8" x14ac:dyDescent="0.3">
      <c r="A4519" s="1"/>
      <c r="G4519" s="4"/>
      <c r="H4519" s="4"/>
    </row>
    <row r="4520" spans="1:8" x14ac:dyDescent="0.3">
      <c r="A4520" s="1"/>
      <c r="G4520" s="4"/>
      <c r="H4520" s="4"/>
    </row>
    <row r="4521" spans="1:8" x14ac:dyDescent="0.3">
      <c r="A4521" s="1"/>
      <c r="G4521" s="4"/>
      <c r="H4521" s="4"/>
    </row>
    <row r="4522" spans="1:8" x14ac:dyDescent="0.3">
      <c r="A4522" s="1"/>
      <c r="G4522" s="4"/>
      <c r="H4522" s="4"/>
    </row>
    <row r="4523" spans="1:8" x14ac:dyDescent="0.3">
      <c r="A4523" s="1"/>
      <c r="G4523" s="4"/>
      <c r="H4523" s="4"/>
    </row>
    <row r="4524" spans="1:8" x14ac:dyDescent="0.3">
      <c r="A4524" s="1"/>
      <c r="G4524" s="4"/>
      <c r="H4524" s="4"/>
    </row>
    <row r="4525" spans="1:8" x14ac:dyDescent="0.3">
      <c r="A4525" s="1"/>
      <c r="G4525" s="4"/>
      <c r="H4525" s="4"/>
    </row>
    <row r="4526" spans="1:8" x14ac:dyDescent="0.3">
      <c r="A4526" s="1"/>
      <c r="G4526" s="4"/>
      <c r="H4526" s="4"/>
    </row>
    <row r="4527" spans="1:8" x14ac:dyDescent="0.3">
      <c r="A4527" s="1"/>
      <c r="G4527" s="4"/>
      <c r="H4527" s="4"/>
    </row>
    <row r="4528" spans="1:8" x14ac:dyDescent="0.3">
      <c r="A4528" s="1"/>
      <c r="G4528" s="4"/>
      <c r="H4528" s="4"/>
    </row>
    <row r="4529" spans="1:8" x14ac:dyDescent="0.3">
      <c r="A4529" s="1"/>
      <c r="G4529" s="4"/>
      <c r="H4529" s="4"/>
    </row>
    <row r="4530" spans="1:8" x14ac:dyDescent="0.3">
      <c r="A4530" s="1"/>
      <c r="G4530" s="4"/>
      <c r="H4530" s="4"/>
    </row>
    <row r="4531" spans="1:8" x14ac:dyDescent="0.3">
      <c r="A4531" s="1"/>
      <c r="G4531" s="4"/>
      <c r="H4531" s="4"/>
    </row>
    <row r="4532" spans="1:8" x14ac:dyDescent="0.3">
      <c r="A4532" s="1"/>
      <c r="G4532" s="4"/>
      <c r="H4532" s="4"/>
    </row>
    <row r="4533" spans="1:8" x14ac:dyDescent="0.3">
      <c r="A4533" s="1"/>
      <c r="G4533" s="4"/>
      <c r="H4533" s="4"/>
    </row>
    <row r="4534" spans="1:8" x14ac:dyDescent="0.3">
      <c r="A4534" s="1"/>
      <c r="G4534" s="4"/>
      <c r="H4534" s="4"/>
    </row>
    <row r="4535" spans="1:8" x14ac:dyDescent="0.3">
      <c r="A4535" s="1"/>
      <c r="G4535" s="4"/>
      <c r="H4535" s="4"/>
    </row>
    <row r="4536" spans="1:8" x14ac:dyDescent="0.3">
      <c r="A4536" s="1"/>
      <c r="G4536" s="4"/>
      <c r="H4536" s="4"/>
    </row>
    <row r="4537" spans="1:8" x14ac:dyDescent="0.3">
      <c r="A4537" s="1"/>
      <c r="G4537" s="4"/>
      <c r="H4537" s="4"/>
    </row>
    <row r="4538" spans="1:8" x14ac:dyDescent="0.3">
      <c r="A4538" s="1"/>
      <c r="G4538" s="4"/>
      <c r="H4538" s="4"/>
    </row>
    <row r="4539" spans="1:8" x14ac:dyDescent="0.3">
      <c r="A4539" s="1"/>
      <c r="G4539" s="4"/>
      <c r="H4539" s="4"/>
    </row>
    <row r="4540" spans="1:8" x14ac:dyDescent="0.3">
      <c r="A4540" s="1"/>
      <c r="G4540" s="4"/>
      <c r="H4540" s="4"/>
    </row>
    <row r="4541" spans="1:8" x14ac:dyDescent="0.3">
      <c r="A4541" s="1"/>
      <c r="G4541" s="4"/>
      <c r="H4541" s="4"/>
    </row>
    <row r="4542" spans="1:8" x14ac:dyDescent="0.3">
      <c r="A4542" s="1"/>
      <c r="G4542" s="4"/>
      <c r="H4542" s="4"/>
    </row>
    <row r="4543" spans="1:8" x14ac:dyDescent="0.3">
      <c r="A4543" s="1"/>
      <c r="G4543" s="4"/>
      <c r="H4543" s="4"/>
    </row>
    <row r="4544" spans="1:8" x14ac:dyDescent="0.3">
      <c r="A4544" s="1"/>
      <c r="G4544" s="4"/>
      <c r="H4544" s="4"/>
    </row>
    <row r="4545" spans="1:8" x14ac:dyDescent="0.3">
      <c r="A4545" s="1"/>
      <c r="G4545" s="4"/>
      <c r="H4545" s="4"/>
    </row>
    <row r="4546" spans="1:8" x14ac:dyDescent="0.3">
      <c r="A4546" s="1"/>
      <c r="G4546" s="4"/>
      <c r="H4546" s="4"/>
    </row>
    <row r="4547" spans="1:8" x14ac:dyDescent="0.3">
      <c r="A4547" s="1"/>
      <c r="G4547" s="4"/>
      <c r="H4547" s="4"/>
    </row>
    <row r="4548" spans="1:8" x14ac:dyDescent="0.3">
      <c r="A4548" s="1"/>
      <c r="G4548" s="4"/>
      <c r="H4548" s="4"/>
    </row>
    <row r="4549" spans="1:8" x14ac:dyDescent="0.3">
      <c r="A4549" s="1"/>
      <c r="G4549" s="4"/>
      <c r="H4549" s="4"/>
    </row>
    <row r="4550" spans="1:8" x14ac:dyDescent="0.3">
      <c r="A4550" s="1"/>
      <c r="G4550" s="4"/>
      <c r="H4550" s="4"/>
    </row>
    <row r="4551" spans="1:8" x14ac:dyDescent="0.3">
      <c r="A4551" s="1"/>
      <c r="G4551" s="4"/>
      <c r="H4551" s="4"/>
    </row>
    <row r="4552" spans="1:8" x14ac:dyDescent="0.3">
      <c r="A4552" s="1"/>
      <c r="G4552" s="4"/>
      <c r="H4552" s="4"/>
    </row>
    <row r="4553" spans="1:8" x14ac:dyDescent="0.3">
      <c r="A4553" s="1"/>
      <c r="G4553" s="4"/>
      <c r="H4553" s="4"/>
    </row>
    <row r="4554" spans="1:8" x14ac:dyDescent="0.3">
      <c r="A4554" s="1"/>
      <c r="G4554" s="4"/>
      <c r="H4554" s="4"/>
    </row>
    <row r="4555" spans="1:8" x14ac:dyDescent="0.3">
      <c r="A4555" s="1"/>
      <c r="G4555" s="4"/>
      <c r="H4555" s="4"/>
    </row>
    <row r="4556" spans="1:8" x14ac:dyDescent="0.3">
      <c r="A4556" s="1"/>
      <c r="G4556" s="4"/>
      <c r="H4556" s="4"/>
    </row>
    <row r="4557" spans="1:8" x14ac:dyDescent="0.3">
      <c r="A4557" s="1"/>
      <c r="G4557" s="4"/>
      <c r="H4557" s="4"/>
    </row>
    <row r="4558" spans="1:8" x14ac:dyDescent="0.3">
      <c r="A4558" s="1"/>
      <c r="G4558" s="4"/>
      <c r="H4558" s="4"/>
    </row>
    <row r="4559" spans="1:8" x14ac:dyDescent="0.3">
      <c r="A4559" s="1"/>
      <c r="G4559" s="4"/>
      <c r="H4559" s="4"/>
    </row>
    <row r="4560" spans="1:8" x14ac:dyDescent="0.3">
      <c r="A4560" s="1"/>
      <c r="G4560" s="4"/>
      <c r="H4560" s="4"/>
    </row>
    <row r="4561" spans="1:8" x14ac:dyDescent="0.3">
      <c r="A4561" s="1"/>
      <c r="G4561" s="4"/>
      <c r="H4561" s="4"/>
    </row>
    <row r="4562" spans="1:8" x14ac:dyDescent="0.3">
      <c r="A4562" s="1"/>
      <c r="G4562" s="4"/>
      <c r="H4562" s="4"/>
    </row>
    <row r="4563" spans="1:8" x14ac:dyDescent="0.3">
      <c r="A4563" s="1"/>
      <c r="G4563" s="4"/>
      <c r="H4563" s="4"/>
    </row>
    <row r="4564" spans="1:8" x14ac:dyDescent="0.3">
      <c r="A4564" s="1"/>
      <c r="G4564" s="4"/>
      <c r="H4564" s="4"/>
    </row>
    <row r="4565" spans="1:8" x14ac:dyDescent="0.3">
      <c r="A4565" s="1"/>
      <c r="G4565" s="4"/>
      <c r="H4565" s="4"/>
    </row>
    <row r="4566" spans="1:8" x14ac:dyDescent="0.3">
      <c r="A4566" s="1"/>
      <c r="G4566" s="4"/>
      <c r="H4566" s="4"/>
    </row>
    <row r="4567" spans="1:8" x14ac:dyDescent="0.3">
      <c r="A4567" s="1"/>
      <c r="G4567" s="4"/>
      <c r="H4567" s="4"/>
    </row>
    <row r="4568" spans="1:8" x14ac:dyDescent="0.3">
      <c r="A4568" s="1"/>
      <c r="G4568" s="4"/>
      <c r="H4568" s="4"/>
    </row>
    <row r="4569" spans="1:8" x14ac:dyDescent="0.3">
      <c r="A4569" s="1"/>
      <c r="G4569" s="4"/>
      <c r="H4569" s="4"/>
    </row>
    <row r="4570" spans="1:8" x14ac:dyDescent="0.3">
      <c r="A4570" s="1"/>
      <c r="G4570" s="4"/>
      <c r="H4570" s="4"/>
    </row>
    <row r="4571" spans="1:8" x14ac:dyDescent="0.3">
      <c r="A4571" s="1"/>
      <c r="G4571" s="4"/>
      <c r="H4571" s="4"/>
    </row>
    <row r="4572" spans="1:8" x14ac:dyDescent="0.3">
      <c r="A4572" s="1"/>
      <c r="G4572" s="4"/>
      <c r="H4572" s="4"/>
    </row>
    <row r="4573" spans="1:8" x14ac:dyDescent="0.3">
      <c r="A4573" s="1"/>
      <c r="G4573" s="4"/>
      <c r="H4573" s="4"/>
    </row>
    <row r="4574" spans="1:8" x14ac:dyDescent="0.3">
      <c r="A4574" s="1"/>
      <c r="G4574" s="4"/>
      <c r="H4574" s="4"/>
    </row>
    <row r="4575" spans="1:8" x14ac:dyDescent="0.3">
      <c r="A4575" s="1"/>
      <c r="G4575" s="4"/>
      <c r="H4575" s="4"/>
    </row>
    <row r="4576" spans="1:8" x14ac:dyDescent="0.3">
      <c r="A4576" s="1"/>
      <c r="G4576" s="4"/>
      <c r="H4576" s="4"/>
    </row>
    <row r="4577" spans="1:8" x14ac:dyDescent="0.3">
      <c r="A4577" s="1"/>
      <c r="G4577" s="4"/>
      <c r="H4577" s="4"/>
    </row>
    <row r="4578" spans="1:8" x14ac:dyDescent="0.3">
      <c r="A4578" s="1"/>
      <c r="G4578" s="4"/>
      <c r="H4578" s="4"/>
    </row>
    <row r="4579" spans="1:8" x14ac:dyDescent="0.3">
      <c r="A4579" s="1"/>
      <c r="G4579" s="4"/>
      <c r="H4579" s="4"/>
    </row>
    <row r="4580" spans="1:8" x14ac:dyDescent="0.3">
      <c r="A4580" s="1"/>
      <c r="G4580" s="4"/>
      <c r="H4580" s="4"/>
    </row>
    <row r="4581" spans="1:8" x14ac:dyDescent="0.3">
      <c r="A4581" s="1"/>
      <c r="G4581" s="4"/>
      <c r="H4581" s="4"/>
    </row>
    <row r="4582" spans="1:8" x14ac:dyDescent="0.3">
      <c r="A4582" s="1"/>
      <c r="G4582" s="4"/>
      <c r="H4582" s="4"/>
    </row>
    <row r="4583" spans="1:8" x14ac:dyDescent="0.3">
      <c r="A4583" s="1"/>
      <c r="G4583" s="4"/>
      <c r="H4583" s="4"/>
    </row>
    <row r="4584" spans="1:8" x14ac:dyDescent="0.3">
      <c r="A4584" s="1"/>
      <c r="G4584" s="4"/>
      <c r="H4584" s="4"/>
    </row>
    <row r="4585" spans="1:8" x14ac:dyDescent="0.3">
      <c r="A4585" s="1"/>
      <c r="G4585" s="4"/>
      <c r="H4585" s="4"/>
    </row>
    <row r="4586" spans="1:8" x14ac:dyDescent="0.3">
      <c r="A4586" s="1"/>
      <c r="G4586" s="4"/>
      <c r="H4586" s="4"/>
    </row>
    <row r="4587" spans="1:8" x14ac:dyDescent="0.3">
      <c r="A4587" s="1"/>
      <c r="G4587" s="4"/>
      <c r="H4587" s="4"/>
    </row>
    <row r="4588" spans="1:8" x14ac:dyDescent="0.3">
      <c r="A4588" s="1"/>
      <c r="G4588" s="4"/>
      <c r="H4588" s="4"/>
    </row>
    <row r="4589" spans="1:8" x14ac:dyDescent="0.3">
      <c r="A4589" s="1"/>
      <c r="G4589" s="4"/>
      <c r="H4589" s="4"/>
    </row>
    <row r="4590" spans="1:8" x14ac:dyDescent="0.3">
      <c r="A4590" s="1"/>
      <c r="G4590" s="4"/>
      <c r="H4590" s="4"/>
    </row>
    <row r="4591" spans="1:8" x14ac:dyDescent="0.3">
      <c r="A4591" s="1"/>
      <c r="G4591" s="4"/>
      <c r="H4591" s="4"/>
    </row>
    <row r="4592" spans="1:8" x14ac:dyDescent="0.3">
      <c r="A4592" s="1"/>
      <c r="G4592" s="4"/>
      <c r="H4592" s="4"/>
    </row>
    <row r="4593" spans="1:8" x14ac:dyDescent="0.3">
      <c r="A4593" s="1"/>
      <c r="G4593" s="4"/>
      <c r="H4593" s="4"/>
    </row>
    <row r="4594" spans="1:8" x14ac:dyDescent="0.3">
      <c r="A4594" s="1"/>
      <c r="G4594" s="4"/>
      <c r="H4594" s="4"/>
    </row>
    <row r="4595" spans="1:8" x14ac:dyDescent="0.3">
      <c r="A4595" s="1"/>
      <c r="G4595" s="4"/>
      <c r="H4595" s="4"/>
    </row>
    <row r="4596" spans="1:8" x14ac:dyDescent="0.3">
      <c r="A4596" s="1"/>
      <c r="G4596" s="4"/>
      <c r="H4596" s="4"/>
    </row>
    <row r="4597" spans="1:8" x14ac:dyDescent="0.3">
      <c r="A4597" s="1"/>
      <c r="G4597" s="4"/>
      <c r="H4597" s="4"/>
    </row>
    <row r="4598" spans="1:8" x14ac:dyDescent="0.3">
      <c r="A4598" s="1"/>
      <c r="G4598" s="4"/>
      <c r="H4598" s="4"/>
    </row>
    <row r="4599" spans="1:8" x14ac:dyDescent="0.3">
      <c r="A4599" s="1"/>
      <c r="G4599" s="4"/>
      <c r="H4599" s="4"/>
    </row>
    <row r="4600" spans="1:8" x14ac:dyDescent="0.3">
      <c r="A4600" s="1"/>
      <c r="G4600" s="4"/>
      <c r="H4600" s="4"/>
    </row>
    <row r="4601" spans="1:8" x14ac:dyDescent="0.3">
      <c r="A4601" s="1"/>
      <c r="G4601" s="4"/>
      <c r="H4601" s="4"/>
    </row>
    <row r="4602" spans="1:8" x14ac:dyDescent="0.3">
      <c r="A4602" s="1"/>
      <c r="G4602" s="4"/>
      <c r="H4602" s="4"/>
    </row>
    <row r="4603" spans="1:8" x14ac:dyDescent="0.3">
      <c r="A4603" s="1"/>
      <c r="G4603" s="4"/>
      <c r="H4603" s="4"/>
    </row>
    <row r="4604" spans="1:8" x14ac:dyDescent="0.3">
      <c r="A4604" s="1"/>
      <c r="G4604" s="4"/>
      <c r="H4604" s="4"/>
    </row>
    <row r="4605" spans="1:8" x14ac:dyDescent="0.3">
      <c r="A4605" s="1"/>
      <c r="G4605" s="4"/>
      <c r="H4605" s="4"/>
    </row>
    <row r="4606" spans="1:8" x14ac:dyDescent="0.3">
      <c r="A4606" s="1"/>
      <c r="G4606" s="4"/>
      <c r="H4606" s="4"/>
    </row>
    <row r="4607" spans="1:8" x14ac:dyDescent="0.3">
      <c r="A4607" s="1"/>
      <c r="G4607" s="4"/>
      <c r="H4607" s="4"/>
    </row>
    <row r="4608" spans="1:8" x14ac:dyDescent="0.3">
      <c r="A4608" s="1"/>
      <c r="G4608" s="4"/>
      <c r="H4608" s="4"/>
    </row>
    <row r="4609" spans="1:8" x14ac:dyDescent="0.3">
      <c r="A4609" s="1"/>
      <c r="G4609" s="4"/>
      <c r="H4609" s="4"/>
    </row>
    <row r="4610" spans="1:8" x14ac:dyDescent="0.3">
      <c r="A4610" s="1"/>
      <c r="G4610" s="4"/>
      <c r="H4610" s="4"/>
    </row>
    <row r="4611" spans="1:8" x14ac:dyDescent="0.3">
      <c r="A4611" s="1"/>
      <c r="G4611" s="4"/>
      <c r="H4611" s="4"/>
    </row>
    <row r="4612" spans="1:8" x14ac:dyDescent="0.3">
      <c r="A4612" s="1"/>
      <c r="G4612" s="4"/>
      <c r="H4612" s="4"/>
    </row>
    <row r="4613" spans="1:8" x14ac:dyDescent="0.3">
      <c r="A4613" s="1"/>
      <c r="G4613" s="4"/>
      <c r="H4613" s="4"/>
    </row>
    <row r="4614" spans="1:8" x14ac:dyDescent="0.3">
      <c r="A4614" s="1"/>
      <c r="G4614" s="4"/>
      <c r="H4614" s="4"/>
    </row>
    <row r="4615" spans="1:8" x14ac:dyDescent="0.3">
      <c r="A4615" s="1"/>
      <c r="G4615" s="4"/>
      <c r="H4615" s="4"/>
    </row>
    <row r="4616" spans="1:8" x14ac:dyDescent="0.3">
      <c r="A4616" s="1"/>
      <c r="G4616" s="4"/>
      <c r="H4616" s="4"/>
    </row>
    <row r="4617" spans="1:8" x14ac:dyDescent="0.3">
      <c r="A4617" s="1"/>
      <c r="G4617" s="4"/>
      <c r="H4617" s="4"/>
    </row>
    <row r="4618" spans="1:8" x14ac:dyDescent="0.3">
      <c r="A4618" s="1"/>
      <c r="G4618" s="4"/>
      <c r="H4618" s="4"/>
    </row>
    <row r="4619" spans="1:8" x14ac:dyDescent="0.3">
      <c r="A4619" s="1"/>
      <c r="G4619" s="4"/>
      <c r="H4619" s="4"/>
    </row>
    <row r="4620" spans="1:8" x14ac:dyDescent="0.3">
      <c r="A4620" s="1"/>
      <c r="G4620" s="4"/>
      <c r="H4620" s="4"/>
    </row>
    <row r="4621" spans="1:8" x14ac:dyDescent="0.3">
      <c r="A4621" s="1"/>
      <c r="G4621" s="4"/>
      <c r="H4621" s="4"/>
    </row>
    <row r="4622" spans="1:8" x14ac:dyDescent="0.3">
      <c r="A4622" s="1"/>
      <c r="G4622" s="4"/>
      <c r="H4622" s="4"/>
    </row>
    <row r="4623" spans="1:8" x14ac:dyDescent="0.3">
      <c r="A4623" s="1"/>
      <c r="G4623" s="4"/>
      <c r="H4623" s="4"/>
    </row>
    <row r="4624" spans="1:8" x14ac:dyDescent="0.3">
      <c r="A4624" s="1"/>
      <c r="G4624" s="4"/>
      <c r="H4624" s="4"/>
    </row>
    <row r="4625" spans="1:8" x14ac:dyDescent="0.3">
      <c r="A4625" s="1"/>
      <c r="G4625" s="4"/>
      <c r="H4625" s="4"/>
    </row>
    <row r="4626" spans="1:8" x14ac:dyDescent="0.3">
      <c r="A4626" s="1"/>
      <c r="G4626" s="4"/>
      <c r="H4626" s="4"/>
    </row>
    <row r="4627" spans="1:8" x14ac:dyDescent="0.3">
      <c r="A4627" s="1"/>
      <c r="G4627" s="4"/>
      <c r="H4627" s="4"/>
    </row>
    <row r="4628" spans="1:8" x14ac:dyDescent="0.3">
      <c r="A4628" s="1"/>
      <c r="G4628" s="4"/>
      <c r="H4628" s="4"/>
    </row>
    <row r="4629" spans="1:8" x14ac:dyDescent="0.3">
      <c r="A4629" s="1"/>
      <c r="G4629" s="4"/>
      <c r="H4629" s="4"/>
    </row>
    <row r="4630" spans="1:8" x14ac:dyDescent="0.3">
      <c r="A4630" s="1"/>
      <c r="G4630" s="4"/>
      <c r="H4630" s="4"/>
    </row>
    <row r="4631" spans="1:8" x14ac:dyDescent="0.3">
      <c r="A4631" s="1"/>
      <c r="G4631" s="4"/>
      <c r="H4631" s="4"/>
    </row>
    <row r="4632" spans="1:8" x14ac:dyDescent="0.3">
      <c r="A4632" s="1"/>
      <c r="G4632" s="4"/>
      <c r="H4632" s="4"/>
    </row>
    <row r="4633" spans="1:8" x14ac:dyDescent="0.3">
      <c r="A4633" s="1"/>
      <c r="G4633" s="4"/>
      <c r="H4633" s="4"/>
    </row>
    <row r="4634" spans="1:8" x14ac:dyDescent="0.3">
      <c r="A4634" s="1"/>
      <c r="G4634" s="4"/>
      <c r="H4634" s="4"/>
    </row>
    <row r="4635" spans="1:8" x14ac:dyDescent="0.3">
      <c r="A4635" s="1"/>
      <c r="G4635" s="4"/>
      <c r="H4635" s="4"/>
    </row>
    <row r="4636" spans="1:8" x14ac:dyDescent="0.3">
      <c r="A4636" s="1"/>
      <c r="G4636" s="4"/>
      <c r="H4636" s="4"/>
    </row>
    <row r="4637" spans="1:8" x14ac:dyDescent="0.3">
      <c r="A4637" s="1"/>
      <c r="G4637" s="4"/>
      <c r="H4637" s="4"/>
    </row>
    <row r="4638" spans="1:8" x14ac:dyDescent="0.3">
      <c r="A4638" s="1"/>
      <c r="G4638" s="4"/>
      <c r="H4638" s="4"/>
    </row>
    <row r="4639" spans="1:8" x14ac:dyDescent="0.3">
      <c r="A4639" s="1"/>
      <c r="G4639" s="4"/>
      <c r="H4639" s="4"/>
    </row>
    <row r="4640" spans="1:8" x14ac:dyDescent="0.3">
      <c r="A4640" s="1"/>
      <c r="G4640" s="4"/>
      <c r="H4640" s="4"/>
    </row>
    <row r="4641" spans="1:8" x14ac:dyDescent="0.3">
      <c r="A4641" s="1"/>
      <c r="G4641" s="4"/>
      <c r="H4641" s="4"/>
    </row>
    <row r="4642" spans="1:8" x14ac:dyDescent="0.3">
      <c r="A4642" s="1"/>
      <c r="G4642" s="4"/>
      <c r="H4642" s="4"/>
    </row>
    <row r="4643" spans="1:8" x14ac:dyDescent="0.3">
      <c r="A4643" s="1"/>
      <c r="G4643" s="4"/>
      <c r="H4643" s="4"/>
    </row>
    <row r="4644" spans="1:8" x14ac:dyDescent="0.3">
      <c r="A4644" s="1"/>
      <c r="G4644" s="4"/>
      <c r="H4644" s="4"/>
    </row>
    <row r="4645" spans="1:8" x14ac:dyDescent="0.3">
      <c r="A4645" s="1"/>
      <c r="G4645" s="4"/>
      <c r="H4645" s="4"/>
    </row>
    <row r="4646" spans="1:8" x14ac:dyDescent="0.3">
      <c r="A4646" s="1"/>
      <c r="G4646" s="4"/>
      <c r="H4646" s="4"/>
    </row>
    <row r="4647" spans="1:8" x14ac:dyDescent="0.3">
      <c r="A4647" s="1"/>
      <c r="G4647" s="4"/>
      <c r="H4647" s="4"/>
    </row>
    <row r="4648" spans="1:8" x14ac:dyDescent="0.3">
      <c r="A4648" s="1"/>
      <c r="G4648" s="4"/>
      <c r="H4648" s="4"/>
    </row>
    <row r="4649" spans="1:8" x14ac:dyDescent="0.3">
      <c r="A4649" s="1"/>
      <c r="G4649" s="4"/>
      <c r="H4649" s="4"/>
    </row>
    <row r="4650" spans="1:8" x14ac:dyDescent="0.3">
      <c r="A4650" s="1"/>
      <c r="G4650" s="4"/>
      <c r="H4650" s="4"/>
    </row>
    <row r="4651" spans="1:8" x14ac:dyDescent="0.3">
      <c r="A4651" s="1"/>
      <c r="G4651" s="4"/>
      <c r="H4651" s="4"/>
    </row>
    <row r="4652" spans="1:8" x14ac:dyDescent="0.3">
      <c r="A4652" s="1"/>
      <c r="G4652" s="4"/>
      <c r="H4652" s="4"/>
    </row>
    <row r="4653" spans="1:8" x14ac:dyDescent="0.3">
      <c r="A4653" s="1"/>
      <c r="G4653" s="4"/>
      <c r="H4653" s="4"/>
    </row>
    <row r="4654" spans="1:8" x14ac:dyDescent="0.3">
      <c r="A4654" s="1"/>
      <c r="G4654" s="4"/>
      <c r="H4654" s="4"/>
    </row>
    <row r="4655" spans="1:8" x14ac:dyDescent="0.3">
      <c r="A4655" s="1"/>
      <c r="G4655" s="4"/>
      <c r="H4655" s="4"/>
    </row>
    <row r="4656" spans="1:8" x14ac:dyDescent="0.3">
      <c r="A4656" s="1"/>
      <c r="G4656" s="4"/>
      <c r="H4656" s="4"/>
    </row>
    <row r="4657" spans="1:8" x14ac:dyDescent="0.3">
      <c r="A4657" s="1"/>
      <c r="G4657" s="4"/>
      <c r="H4657" s="4"/>
    </row>
    <row r="4658" spans="1:8" x14ac:dyDescent="0.3">
      <c r="A4658" s="1"/>
      <c r="G4658" s="4"/>
      <c r="H4658" s="4"/>
    </row>
    <row r="4659" spans="1:8" x14ac:dyDescent="0.3">
      <c r="A4659" s="1"/>
      <c r="G4659" s="4"/>
      <c r="H4659" s="4"/>
    </row>
    <row r="4660" spans="1:8" x14ac:dyDescent="0.3">
      <c r="A4660" s="1"/>
      <c r="G4660" s="4"/>
      <c r="H4660" s="4"/>
    </row>
    <row r="4661" spans="1:8" x14ac:dyDescent="0.3">
      <c r="A4661" s="1"/>
      <c r="G4661" s="4"/>
      <c r="H4661" s="4"/>
    </row>
    <row r="4662" spans="1:8" x14ac:dyDescent="0.3">
      <c r="A4662" s="1"/>
      <c r="G4662" s="4"/>
      <c r="H4662" s="4"/>
    </row>
    <row r="4663" spans="1:8" x14ac:dyDescent="0.3">
      <c r="A4663" s="1"/>
      <c r="G4663" s="4"/>
      <c r="H4663" s="4"/>
    </row>
    <row r="4664" spans="1:8" x14ac:dyDescent="0.3">
      <c r="A4664" s="1"/>
      <c r="G4664" s="4"/>
      <c r="H4664" s="4"/>
    </row>
    <row r="4665" spans="1:8" x14ac:dyDescent="0.3">
      <c r="A4665" s="1"/>
      <c r="G4665" s="4"/>
      <c r="H4665" s="4"/>
    </row>
    <row r="4666" spans="1:8" x14ac:dyDescent="0.3">
      <c r="A4666" s="1"/>
      <c r="G4666" s="4"/>
      <c r="H4666" s="4"/>
    </row>
    <row r="4667" spans="1:8" x14ac:dyDescent="0.3">
      <c r="A4667" s="1"/>
      <c r="G4667" s="4"/>
      <c r="H4667" s="4"/>
    </row>
    <row r="4668" spans="1:8" x14ac:dyDescent="0.3">
      <c r="A4668" s="1"/>
      <c r="G4668" s="4"/>
      <c r="H4668" s="4"/>
    </row>
    <row r="4669" spans="1:8" x14ac:dyDescent="0.3">
      <c r="A4669" s="1"/>
      <c r="G4669" s="4"/>
      <c r="H4669" s="4"/>
    </row>
    <row r="4670" spans="1:8" x14ac:dyDescent="0.3">
      <c r="A4670" s="1"/>
      <c r="G4670" s="4"/>
      <c r="H4670" s="4"/>
    </row>
    <row r="4671" spans="1:8" x14ac:dyDescent="0.3">
      <c r="A4671" s="1"/>
      <c r="G4671" s="4"/>
      <c r="H4671" s="4"/>
    </row>
    <row r="4672" spans="1:8" x14ac:dyDescent="0.3">
      <c r="A4672" s="1"/>
      <c r="G4672" s="4"/>
      <c r="H4672" s="4"/>
    </row>
    <row r="4673" spans="1:8" x14ac:dyDescent="0.3">
      <c r="A4673" s="1"/>
      <c r="G4673" s="4"/>
      <c r="H4673" s="4"/>
    </row>
    <row r="4674" spans="1:8" x14ac:dyDescent="0.3">
      <c r="A4674" s="1"/>
      <c r="G4674" s="4"/>
      <c r="H4674" s="4"/>
    </row>
    <row r="4675" spans="1:8" x14ac:dyDescent="0.3">
      <c r="A4675" s="1"/>
      <c r="G4675" s="4"/>
      <c r="H4675" s="4"/>
    </row>
    <row r="4676" spans="1:8" x14ac:dyDescent="0.3">
      <c r="A4676" s="1"/>
      <c r="G4676" s="4"/>
      <c r="H4676" s="4"/>
    </row>
    <row r="4677" spans="1:8" x14ac:dyDescent="0.3">
      <c r="A4677" s="1"/>
      <c r="G4677" s="4"/>
      <c r="H4677" s="4"/>
    </row>
    <row r="4678" spans="1:8" x14ac:dyDescent="0.3">
      <c r="A4678" s="1"/>
      <c r="G4678" s="4"/>
      <c r="H4678" s="4"/>
    </row>
    <row r="4679" spans="1:8" x14ac:dyDescent="0.3">
      <c r="A4679" s="1"/>
      <c r="G4679" s="4"/>
      <c r="H4679" s="4"/>
    </row>
    <row r="4680" spans="1:8" x14ac:dyDescent="0.3">
      <c r="A4680" s="1"/>
      <c r="G4680" s="4"/>
      <c r="H4680" s="4"/>
    </row>
    <row r="4681" spans="1:8" x14ac:dyDescent="0.3">
      <c r="A4681" s="1"/>
      <c r="G4681" s="4"/>
      <c r="H4681" s="4"/>
    </row>
    <row r="4682" spans="1:8" x14ac:dyDescent="0.3">
      <c r="A4682" s="1"/>
      <c r="G4682" s="4"/>
      <c r="H4682" s="4"/>
    </row>
    <row r="4683" spans="1:8" x14ac:dyDescent="0.3">
      <c r="A4683" s="1"/>
      <c r="G4683" s="4"/>
      <c r="H4683" s="4"/>
    </row>
    <row r="4684" spans="1:8" x14ac:dyDescent="0.3">
      <c r="A4684" s="1"/>
      <c r="G4684" s="4"/>
      <c r="H4684" s="4"/>
    </row>
    <row r="4685" spans="1:8" x14ac:dyDescent="0.3">
      <c r="A4685" s="1"/>
      <c r="G4685" s="4"/>
      <c r="H4685" s="4"/>
    </row>
    <row r="4686" spans="1:8" x14ac:dyDescent="0.3">
      <c r="A4686" s="1"/>
      <c r="G4686" s="4"/>
      <c r="H4686" s="4"/>
    </row>
    <row r="4687" spans="1:8" x14ac:dyDescent="0.3">
      <c r="A4687" s="1"/>
      <c r="G4687" s="4"/>
      <c r="H4687" s="4"/>
    </row>
    <row r="4688" spans="1:8" x14ac:dyDescent="0.3">
      <c r="A4688" s="1"/>
      <c r="G4688" s="4"/>
      <c r="H4688" s="4"/>
    </row>
    <row r="4689" spans="1:8" x14ac:dyDescent="0.3">
      <c r="A4689" s="1"/>
      <c r="G4689" s="4"/>
      <c r="H4689" s="4"/>
    </row>
    <row r="4690" spans="1:8" x14ac:dyDescent="0.3">
      <c r="A4690" s="1"/>
      <c r="G4690" s="4"/>
      <c r="H4690" s="4"/>
    </row>
    <row r="4691" spans="1:8" x14ac:dyDescent="0.3">
      <c r="A4691" s="1"/>
      <c r="G4691" s="4"/>
      <c r="H4691" s="4"/>
    </row>
    <row r="4692" spans="1:8" x14ac:dyDescent="0.3">
      <c r="A4692" s="1"/>
      <c r="G4692" s="4"/>
      <c r="H4692" s="4"/>
    </row>
    <row r="4693" spans="1:8" x14ac:dyDescent="0.3">
      <c r="A4693" s="1"/>
      <c r="G4693" s="4"/>
      <c r="H4693" s="4"/>
    </row>
    <row r="4694" spans="1:8" x14ac:dyDescent="0.3">
      <c r="A4694" s="1"/>
      <c r="G4694" s="4"/>
      <c r="H4694" s="4"/>
    </row>
    <row r="4695" spans="1:8" x14ac:dyDescent="0.3">
      <c r="A4695" s="1"/>
      <c r="G4695" s="4"/>
      <c r="H4695" s="4"/>
    </row>
    <row r="4696" spans="1:8" x14ac:dyDescent="0.3">
      <c r="A4696" s="1"/>
      <c r="G4696" s="4"/>
      <c r="H4696" s="4"/>
    </row>
    <row r="4697" spans="1:8" x14ac:dyDescent="0.3">
      <c r="A4697" s="1"/>
      <c r="G4697" s="4"/>
      <c r="H4697" s="4"/>
    </row>
    <row r="4698" spans="1:8" x14ac:dyDescent="0.3">
      <c r="A4698" s="1"/>
      <c r="G4698" s="4"/>
      <c r="H4698" s="4"/>
    </row>
    <row r="4699" spans="1:8" x14ac:dyDescent="0.3">
      <c r="A4699" s="1"/>
      <c r="G4699" s="4"/>
      <c r="H4699" s="4"/>
    </row>
    <row r="4700" spans="1:8" x14ac:dyDescent="0.3">
      <c r="A4700" s="1"/>
      <c r="G4700" s="4"/>
      <c r="H4700" s="4"/>
    </row>
    <row r="4701" spans="1:8" x14ac:dyDescent="0.3">
      <c r="A4701" s="1"/>
      <c r="G4701" s="4"/>
      <c r="H4701" s="4"/>
    </row>
    <row r="4702" spans="1:8" x14ac:dyDescent="0.3">
      <c r="A4702" s="1"/>
      <c r="G4702" s="4"/>
      <c r="H4702" s="4"/>
    </row>
    <row r="4703" spans="1:8" x14ac:dyDescent="0.3">
      <c r="A4703" s="1"/>
      <c r="G4703" s="4"/>
      <c r="H4703" s="4"/>
    </row>
  </sheetData>
  <autoFilter ref="O21:AH93" xr:uid="{00000000-0001-0000-0000-000000000000}"/>
  <conditionalFormatting sqref="G1:H1048576">
    <cfRule type="cellIs" dxfId="11" priority="14" operator="lessThan">
      <formula>0</formula>
    </cfRule>
    <cfRule type="cellIs" dxfId="10" priority="15" operator="greaterThan">
      <formula>0</formula>
    </cfRule>
  </conditionalFormatting>
  <conditionalFormatting sqref="AI21 AH1:AH1048576 AK23:AR23">
    <cfRule type="cellIs" dxfId="9" priority="13" operator="lessThan">
      <formula>0</formula>
    </cfRule>
  </conditionalFormatting>
  <conditionalFormatting sqref="U24:V93">
    <cfRule type="cellIs" dxfId="8" priority="11" operator="greaterThan">
      <formula>0</formula>
    </cfRule>
  </conditionalFormatting>
  <conditionalFormatting sqref="Q24:R93">
    <cfRule type="cellIs" dxfId="7" priority="10" operator="greaterThan">
      <formula>0</formula>
    </cfRule>
  </conditionalFormatting>
  <conditionalFormatting sqref="W24:W103">
    <cfRule type="cellIs" dxfId="6" priority="8" operator="greaterThan">
      <formula>0.5</formula>
    </cfRule>
    <cfRule type="cellIs" dxfId="5" priority="9" operator="greaterThan">
      <formula>50</formula>
    </cfRule>
  </conditionalFormatting>
  <conditionalFormatting sqref="AH24:AH103">
    <cfRule type="cellIs" dxfId="4" priority="7" operator="greaterThan">
      <formula>0.8</formula>
    </cfRule>
  </conditionalFormatting>
  <conditionalFormatting sqref="U94:V103">
    <cfRule type="cellIs" dxfId="3" priority="6" operator="greaterThan">
      <formula>0</formula>
    </cfRule>
  </conditionalFormatting>
  <conditionalFormatting sqref="Q94:R103">
    <cfRule type="cellIs" dxfId="2" priority="5" operator="greaterThan">
      <formula>0</formula>
    </cfRule>
  </conditionalFormatting>
  <conditionalFormatting sqref="AK29:AK36">
    <cfRule type="cellIs" dxfId="1" priority="2" operator="lessThan">
      <formula>0</formula>
    </cfRule>
  </conditionalFormatting>
  <conditionalFormatting sqref="AK40:AK47">
    <cfRule type="cellIs" dxfId="0" priority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Macro5">
                <anchor moveWithCells="1" sizeWithCells="1">
                  <from>
                    <xdr:col>11</xdr:col>
                    <xdr:colOff>38100</xdr:colOff>
                    <xdr:row>4</xdr:row>
                    <xdr:rowOff>129540</xdr:rowOff>
                  </from>
                  <to>
                    <xdr:col>12</xdr:col>
                    <xdr:colOff>137160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5B035-4C9B-42A0-A96B-9562B0525950}">
  <sheetPr codeName="Hoja2"/>
  <dimension ref="A1:R4704"/>
  <sheetViews>
    <sheetView topLeftCell="J1" zoomScale="87" workbookViewId="0">
      <selection activeCell="Q169" activeCellId="1" sqref="J169 Q169"/>
    </sheetView>
  </sheetViews>
  <sheetFormatPr baseColWidth="10" defaultRowHeight="14.4" x14ac:dyDescent="0.3"/>
  <cols>
    <col min="1" max="1" width="18.88671875" bestFit="1" customWidth="1"/>
    <col min="2" max="2" width="13.44140625" style="32" bestFit="1" customWidth="1"/>
    <col min="3" max="3" width="7" style="32" bestFit="1" customWidth="1"/>
    <col min="4" max="4" width="18.21875" style="32" bestFit="1" customWidth="1"/>
    <col min="5" max="5" width="22.33203125" style="32" bestFit="1" customWidth="1"/>
    <col min="6" max="6" width="11.5546875" style="32"/>
    <col min="10" max="10" width="12.33203125" bestFit="1" customWidth="1"/>
    <col min="11" max="11" width="11.5546875" style="10"/>
    <col min="12" max="12" width="12.33203125" bestFit="1" customWidth="1"/>
    <col min="13" max="13" width="8.6640625" bestFit="1" customWidth="1"/>
    <col min="15" max="15" width="12.88671875" bestFit="1" customWidth="1"/>
  </cols>
  <sheetData>
    <row r="1" spans="1:18" x14ac:dyDescent="0.3">
      <c r="A1" t="s">
        <v>8</v>
      </c>
      <c r="J1" s="89" t="s">
        <v>9</v>
      </c>
      <c r="K1" s="89"/>
      <c r="L1" s="90" t="s">
        <v>10</v>
      </c>
      <c r="M1" s="91"/>
      <c r="O1" s="89" t="s">
        <v>9</v>
      </c>
      <c r="P1" s="89"/>
      <c r="Q1" s="90" t="s">
        <v>10</v>
      </c>
      <c r="R1" s="91"/>
    </row>
    <row r="2" spans="1:18" x14ac:dyDescent="0.3">
      <c r="A2">
        <v>100000</v>
      </c>
      <c r="D2" s="75"/>
      <c r="I2" s="5" t="s">
        <v>11</v>
      </c>
      <c r="J2" s="5" t="s">
        <v>12</v>
      </c>
      <c r="K2" s="6" t="s">
        <v>13</v>
      </c>
      <c r="L2" s="5" t="s">
        <v>12</v>
      </c>
      <c r="M2" s="5" t="s">
        <v>13</v>
      </c>
      <c r="O2" s="5" t="s">
        <v>12</v>
      </c>
      <c r="P2" s="6" t="s">
        <v>13</v>
      </c>
      <c r="Q2" s="5" t="s">
        <v>12</v>
      </c>
      <c r="R2" s="5" t="s">
        <v>13</v>
      </c>
    </row>
    <row r="3" spans="1:18" x14ac:dyDescent="0.3">
      <c r="H3" t="s">
        <v>14</v>
      </c>
      <c r="I3" s="7">
        <f>+Sheet1!G2</f>
        <v>-1.4070599851888488E-2</v>
      </c>
      <c r="J3" s="8">
        <f>+A2</f>
        <v>100000</v>
      </c>
      <c r="K3" s="9">
        <f>+$J$3*I3</f>
        <v>-1407.0599851888487</v>
      </c>
      <c r="L3" s="8">
        <f>+A2</f>
        <v>100000</v>
      </c>
      <c r="M3" s="9">
        <f>+L3*I3</f>
        <v>-1407.0599851888487</v>
      </c>
      <c r="N3" s="30">
        <f>+I3-Sheet1!$T$22</f>
        <v>-1.6000599851888488E-2</v>
      </c>
      <c r="O3">
        <f>+A2</f>
        <v>100000</v>
      </c>
      <c r="P3" s="10">
        <f>+$O$3*N3</f>
        <v>-1600.0599851888487</v>
      </c>
      <c r="Q3" s="10">
        <f>+A2</f>
        <v>100000</v>
      </c>
      <c r="R3" s="10">
        <f t="shared" ref="R3:R34" si="0">Q3*N3</f>
        <v>-1600.0599851888487</v>
      </c>
    </row>
    <row r="4" spans="1:18" x14ac:dyDescent="0.3">
      <c r="H4" t="s">
        <v>15</v>
      </c>
      <c r="I4" s="7">
        <f>+Sheet1!G3</f>
        <v>-1.5327400146179964E-2</v>
      </c>
      <c r="J4" s="9">
        <f>+J3+K3-Sheet1!$S$22</f>
        <v>98586.940014811145</v>
      </c>
      <c r="K4" s="9">
        <f>+$J$3*I4</f>
        <v>-1532.7400146179964</v>
      </c>
      <c r="L4" s="9">
        <f>+L3+M3-Sheet1!$S$22</f>
        <v>98586.940014811145</v>
      </c>
      <c r="M4" s="9">
        <f>+L4*I4</f>
        <v>-1511.0814787944516</v>
      </c>
      <c r="N4" s="30">
        <f>+I4-Sheet1!$T$22</f>
        <v>-1.7257400146179963E-2</v>
      </c>
      <c r="O4" s="10">
        <f>+O3+P3-Sheet1!$S$22-Sheet1!$S$22</f>
        <v>98387.940014811145</v>
      </c>
      <c r="P4" s="10">
        <f>+$O$3*N4</f>
        <v>-1725.7400146179964</v>
      </c>
      <c r="Q4" s="10">
        <f>+Q3+R3-Sheet1!$S$22-Sheet1!$S$22</f>
        <v>98387.940014811145</v>
      </c>
      <c r="R4" s="10">
        <f t="shared" si="0"/>
        <v>-1697.9200503939473</v>
      </c>
    </row>
    <row r="5" spans="1:18" x14ac:dyDescent="0.3">
      <c r="A5" s="31" t="s">
        <v>219</v>
      </c>
      <c r="B5" s="33" t="s">
        <v>212</v>
      </c>
      <c r="C5" s="33" t="s">
        <v>198</v>
      </c>
      <c r="D5" s="33" t="s">
        <v>9</v>
      </c>
      <c r="E5" s="33" t="s">
        <v>10</v>
      </c>
      <c r="F5" s="40" t="s">
        <v>218</v>
      </c>
      <c r="H5" t="s">
        <v>16</v>
      </c>
      <c r="I5" s="7">
        <f>+Sheet1!G4</f>
        <v>-2.1133271694624148E-2</v>
      </c>
      <c r="J5" s="9">
        <f>+J4+K4-Sheet1!$S$22</f>
        <v>97048.200000193145</v>
      </c>
      <c r="K5" s="9">
        <f>+$J$3*I5</f>
        <v>-2113.327169462415</v>
      </c>
      <c r="L5" s="9">
        <f>+L4+M4-Sheet1!$S$22</f>
        <v>97069.858536016691</v>
      </c>
      <c r="M5" s="9">
        <f t="shared" ref="M5:M67" si="1">+L5*I5</f>
        <v>-2051.4036938003719</v>
      </c>
      <c r="N5" s="30">
        <f>+I5-Sheet1!$T$22</f>
        <v>-2.306327169462415E-2</v>
      </c>
      <c r="O5" s="10">
        <f>+O4+P4-Sheet1!$S$22-Sheet1!$S$22</f>
        <v>96650.200000193145</v>
      </c>
      <c r="P5" s="10">
        <f t="shared" ref="P5:P67" si="2">+$O$3*N5</f>
        <v>-2306.327169462415</v>
      </c>
      <c r="Q5" s="10">
        <f>+Q4+R4-Sheet1!$S$22-Sheet1!$S$22</f>
        <v>96678.019964417195</v>
      </c>
      <c r="R5" s="10">
        <f t="shared" si="0"/>
        <v>-2229.7114413376516</v>
      </c>
    </row>
    <row r="6" spans="1:18" x14ac:dyDescent="0.3">
      <c r="A6" t="s">
        <v>213</v>
      </c>
      <c r="B6" s="32">
        <v>0</v>
      </c>
      <c r="C6" s="38">
        <v>0</v>
      </c>
      <c r="D6" s="34">
        <v>1.4484830681706808E-2</v>
      </c>
      <c r="E6" s="34">
        <v>-7.9983127811967276E-3</v>
      </c>
      <c r="F6" s="39">
        <v>0.46527777777777779</v>
      </c>
      <c r="H6" t="s">
        <v>17</v>
      </c>
      <c r="I6" s="7">
        <f>+Sheet1!G5</f>
        <v>7.3924731182795954E-3</v>
      </c>
      <c r="J6" s="9">
        <f>+J5+K5-Sheet1!$S$22</f>
        <v>94928.872830730732</v>
      </c>
      <c r="K6" s="9">
        <f t="shared" ref="K6:K68" si="3">+$J$3*I6</f>
        <v>739.24731182795949</v>
      </c>
      <c r="L6" s="9">
        <f>+L5+M5-Sheet1!$S$22</f>
        <v>95012.454842216321</v>
      </c>
      <c r="M6" s="9">
        <f t="shared" si="1"/>
        <v>702.37701832283813</v>
      </c>
      <c r="N6" s="30">
        <f>+I6-Sheet1!$T$22</f>
        <v>5.4624731182795951E-3</v>
      </c>
      <c r="O6" s="10">
        <f>+O5+P5-Sheet1!$S$22-Sheet1!$S$22</f>
        <v>94331.872830730732</v>
      </c>
      <c r="P6" s="10">
        <f t="shared" si="2"/>
        <v>546.24731182795949</v>
      </c>
      <c r="Q6" s="10">
        <f>+Q5+R5-Sheet1!$S$22-Sheet1!$S$22</f>
        <v>94436.30852307954</v>
      </c>
      <c r="R6" s="10">
        <f t="shared" si="0"/>
        <v>515.85579669688025</v>
      </c>
    </row>
    <row r="7" spans="1:18" x14ac:dyDescent="0.3">
      <c r="A7" t="s">
        <v>214</v>
      </c>
      <c r="B7" s="32">
        <v>0</v>
      </c>
      <c r="C7" s="38">
        <v>0</v>
      </c>
      <c r="D7" s="34">
        <v>-0.28758564525476815</v>
      </c>
      <c r="E7" s="34">
        <v>-0.26771009297040349</v>
      </c>
      <c r="F7" s="39">
        <v>0.44444444444444442</v>
      </c>
      <c r="H7" t="s">
        <v>18</v>
      </c>
      <c r="I7" s="7">
        <f>+Sheet1!G6</f>
        <v>9.9162626707798279E-4</v>
      </c>
      <c r="J7" s="9">
        <f>+J6+K6-Sheet1!$S$22</f>
        <v>95662.120142558691</v>
      </c>
      <c r="K7" s="9">
        <f t="shared" si="3"/>
        <v>99.162626707798282</v>
      </c>
      <c r="L7" s="9">
        <f>+L6+M6-Sheet1!$S$22</f>
        <v>95708.831860539154</v>
      </c>
      <c r="M7" s="9">
        <f t="shared" si="1"/>
        <v>94.907391664260743</v>
      </c>
      <c r="N7" s="30">
        <f>+I7-Sheet1!$T$22</f>
        <v>-9.3837373292201729E-4</v>
      </c>
      <c r="O7" s="10">
        <f>+O6+P6-Sheet1!$S$22-Sheet1!$S$22</f>
        <v>94866.120142558691</v>
      </c>
      <c r="P7" s="10">
        <f t="shared" si="2"/>
        <v>-93.837373292201733</v>
      </c>
      <c r="Q7" s="10">
        <f>+Q6+R6-Sheet1!$S$22-Sheet1!$S$22</f>
        <v>94940.164319776421</v>
      </c>
      <c r="R7" s="10">
        <f t="shared" si="0"/>
        <v>-89.089356396978317</v>
      </c>
    </row>
    <row r="8" spans="1:18" x14ac:dyDescent="0.3">
      <c r="A8" t="s">
        <v>215</v>
      </c>
      <c r="B8" s="32">
        <v>0</v>
      </c>
      <c r="C8" s="38">
        <v>0</v>
      </c>
      <c r="D8" s="34">
        <v>0.24765776992298327</v>
      </c>
      <c r="E8" s="34">
        <v>0.25416190779076336</v>
      </c>
      <c r="F8" s="39">
        <v>0.53472222222222221</v>
      </c>
      <c r="H8" t="s">
        <v>19</v>
      </c>
      <c r="I8" s="7">
        <f>+Sheet1!G7</f>
        <v>4.5425618293137727E-3</v>
      </c>
      <c r="J8" s="9">
        <f>+J7+K7-Sheet1!$S$22</f>
        <v>95755.282769266487</v>
      </c>
      <c r="K8" s="9">
        <f>+$J$3*I8</f>
        <v>454.25618293137728</v>
      </c>
      <c r="L8" s="9">
        <f>+L7+M7-Sheet1!$S$22</f>
        <v>95797.739252203421</v>
      </c>
      <c r="M8" s="9">
        <f t="shared" si="1"/>
        <v>435.16715366161299</v>
      </c>
      <c r="N8" s="30">
        <f>+I8-Sheet1!$T$22</f>
        <v>2.6125618293137724E-3</v>
      </c>
      <c r="O8" s="10">
        <f>+O7+P7-Sheet1!$S$22-Sheet1!$S$22</f>
        <v>94760.282769266487</v>
      </c>
      <c r="P8" s="10">
        <f t="shared" si="2"/>
        <v>261.25618293137723</v>
      </c>
      <c r="Q8" s="10">
        <f>+Q7+R7-Sheet1!$S$22-Sheet1!$S$22</f>
        <v>94839.074963379448</v>
      </c>
      <c r="R8" s="10">
        <f t="shared" si="0"/>
        <v>247.77294717675261</v>
      </c>
    </row>
    <row r="9" spans="1:18" x14ac:dyDescent="0.3">
      <c r="A9" t="s">
        <v>216</v>
      </c>
      <c r="B9" s="35">
        <v>0</v>
      </c>
      <c r="C9" s="41">
        <v>0</v>
      </c>
      <c r="D9" s="37">
        <v>0.14644893107487514</v>
      </c>
      <c r="E9" s="37">
        <v>0.13307129929769887</v>
      </c>
      <c r="F9" s="42">
        <v>0.55555555555555558</v>
      </c>
      <c r="H9" t="s">
        <v>20</v>
      </c>
      <c r="I9" s="7">
        <f>+Sheet1!G8</f>
        <v>1.7487046632124401E-2</v>
      </c>
      <c r="J9" s="9">
        <f>+J8+K8-Sheet1!$S$22</f>
        <v>96203.538952197865</v>
      </c>
      <c r="K9" s="9">
        <f t="shared" si="3"/>
        <v>1748.70466321244</v>
      </c>
      <c r="L9" s="9">
        <f>+L8+M8-Sheet1!$S$22</f>
        <v>96226.90640586504</v>
      </c>
      <c r="M9" s="9">
        <f t="shared" si="1"/>
        <v>1682.7243995844321</v>
      </c>
      <c r="N9" s="30">
        <f>+I9-Sheet1!$T$22</f>
        <v>1.5557046632124401E-2</v>
      </c>
      <c r="O9" s="10">
        <f>+O8+P8-Sheet1!$S$22-Sheet1!$S$22</f>
        <v>95009.538952197865</v>
      </c>
      <c r="P9" s="10">
        <f t="shared" si="2"/>
        <v>1555.7046632124402</v>
      </c>
      <c r="Q9" s="10">
        <f>+Q8+R8-Sheet1!$S$22-Sheet1!$S$22</f>
        <v>95074.8479105562</v>
      </c>
      <c r="R9" s="10">
        <f t="shared" si="0"/>
        <v>1479.0838424866579</v>
      </c>
    </row>
    <row r="10" spans="1:18" x14ac:dyDescent="0.3">
      <c r="A10" t="s">
        <v>217</v>
      </c>
      <c r="B10" s="32">
        <v>0</v>
      </c>
      <c r="C10" s="38">
        <v>0</v>
      </c>
      <c r="D10" s="34">
        <v>8.4609120915980163E-2</v>
      </c>
      <c r="E10" s="34">
        <v>6.4456797333829016E-2</v>
      </c>
      <c r="F10" s="39">
        <v>0.51388888888888884</v>
      </c>
      <c r="H10" t="s">
        <v>21</v>
      </c>
      <c r="I10" s="7">
        <f>+Sheet1!G9</f>
        <v>1.2543509635792444E-2</v>
      </c>
      <c r="J10" s="9">
        <f>+J9+K9-Sheet1!$S$22</f>
        <v>97946.243615410305</v>
      </c>
      <c r="K10" s="9">
        <f t="shared" si="3"/>
        <v>1254.3509635792445</v>
      </c>
      <c r="L10" s="9">
        <f>+L9+M9-Sheet1!$S$22</f>
        <v>97903.630805449473</v>
      </c>
      <c r="M10" s="9">
        <f t="shared" si="1"/>
        <v>1228.0551363872214</v>
      </c>
      <c r="N10" s="30">
        <f>+I10-Sheet1!$T$22</f>
        <v>1.0613509635792445E-2</v>
      </c>
      <c r="O10" s="10">
        <f>+O9+P9-Sheet1!$S$22-Sheet1!$S$22</f>
        <v>96553.243615410305</v>
      </c>
      <c r="P10" s="10">
        <f t="shared" si="2"/>
        <v>1061.3509635792445</v>
      </c>
      <c r="Q10" s="10">
        <f>+Q9+R9-Sheet1!$S$22-Sheet1!$S$22</f>
        <v>96541.931753042853</v>
      </c>
      <c r="R10" s="10">
        <f t="shared" si="0"/>
        <v>1024.648722918937</v>
      </c>
    </row>
    <row r="11" spans="1:18" x14ac:dyDescent="0.3">
      <c r="F11" s="34"/>
      <c r="H11" t="s">
        <v>22</v>
      </c>
      <c r="I11" s="7">
        <f>+Sheet1!G10</f>
        <v>8.9848775652247078E-3</v>
      </c>
      <c r="J11" s="9">
        <f>+J10+K10-Sheet1!$S$22</f>
        <v>99194.594578989549</v>
      </c>
      <c r="K11" s="9">
        <f t="shared" si="3"/>
        <v>898.48775652247082</v>
      </c>
      <c r="L11" s="9">
        <f>+L10+M10-Sheet1!$S$22</f>
        <v>99125.685941836695</v>
      </c>
      <c r="M11" s="9">
        <f t="shared" si="1"/>
        <v>890.63215175631876</v>
      </c>
      <c r="N11" s="30">
        <f>+I11-Sheet1!$T$22</f>
        <v>7.0548775652247075E-3</v>
      </c>
      <c r="O11" s="10">
        <f>+O10+P10-Sheet1!$S$22-Sheet1!$S$22</f>
        <v>97602.594578989549</v>
      </c>
      <c r="P11" s="10">
        <f t="shared" si="2"/>
        <v>705.4877565224707</v>
      </c>
      <c r="Q11" s="10">
        <f>+Q10+R10-Sheet1!$S$22-Sheet1!$S$22</f>
        <v>97554.580475961789</v>
      </c>
      <c r="R11" s="10">
        <f t="shared" si="0"/>
        <v>688.23562118477105</v>
      </c>
    </row>
    <row r="12" spans="1:18" x14ac:dyDescent="0.3">
      <c r="H12" t="s">
        <v>23</v>
      </c>
      <c r="I12" s="7">
        <f>+Sheet1!G11</f>
        <v>1.0188861578538313E-2</v>
      </c>
      <c r="J12" s="9">
        <f>+J11+K11-Sheet1!$S$22</f>
        <v>100087.08233551202</v>
      </c>
      <c r="K12" s="9">
        <f t="shared" si="3"/>
        <v>1018.8861578538313</v>
      </c>
      <c r="L12" s="9">
        <f>+L11+M11-Sheet1!$S$22</f>
        <v>100010.31809359301</v>
      </c>
      <c r="M12" s="9">
        <f t="shared" si="1"/>
        <v>1018.9912874812049</v>
      </c>
      <c r="N12" s="30">
        <f>+I12-Sheet1!$T$22</f>
        <v>8.2588615785383138E-3</v>
      </c>
      <c r="O12" s="10">
        <f>+O11+P11-Sheet1!$S$22-Sheet1!$S$22</f>
        <v>98296.082335512023</v>
      </c>
      <c r="P12" s="10">
        <f t="shared" si="2"/>
        <v>825.88615785383138</v>
      </c>
      <c r="Q12" s="10">
        <f>+Q11+R11-Sheet1!$S$22-Sheet1!$S$22</f>
        <v>98230.816097146555</v>
      </c>
      <c r="R12" s="10">
        <f t="shared" si="0"/>
        <v>811.27471289318657</v>
      </c>
    </row>
    <row r="13" spans="1:18" x14ac:dyDescent="0.3">
      <c r="H13" t="s">
        <v>24</v>
      </c>
      <c r="I13" s="7">
        <f>+Sheet1!G12</f>
        <v>-2.4530487300405423E-2</v>
      </c>
      <c r="J13" s="9">
        <f>+J12+K12-Sheet1!$S$22</f>
        <v>101099.96849336586</v>
      </c>
      <c r="K13" s="9">
        <f t="shared" si="3"/>
        <v>-2453.0487300405421</v>
      </c>
      <c r="L13" s="9">
        <f>+L12+M12-Sheet1!$S$22</f>
        <v>101023.30938107421</v>
      </c>
      <c r="M13" s="9">
        <f t="shared" si="1"/>
        <v>-2478.1510078173692</v>
      </c>
      <c r="N13" s="30">
        <f>+I13-Sheet1!$T$22</f>
        <v>-2.6460487300405424E-2</v>
      </c>
      <c r="O13" s="10">
        <f>+O12+P12-Sheet1!$S$22-Sheet1!$S$22</f>
        <v>99109.968493365857</v>
      </c>
      <c r="P13" s="10">
        <f t="shared" si="2"/>
        <v>-2646.0487300405425</v>
      </c>
      <c r="Q13" s="10">
        <f>+Q12+R12-Sheet1!$S$22-Sheet1!$S$22</f>
        <v>99030.090810039736</v>
      </c>
      <c r="R13" s="10">
        <f t="shared" si="0"/>
        <v>-2620.3844602370523</v>
      </c>
    </row>
    <row r="14" spans="1:18" x14ac:dyDescent="0.3">
      <c r="A14" s="31" t="s">
        <v>219</v>
      </c>
      <c r="B14" s="36" t="s">
        <v>212</v>
      </c>
      <c r="C14" s="36" t="s">
        <v>198</v>
      </c>
      <c r="D14" s="33" t="s">
        <v>9</v>
      </c>
      <c r="E14" s="33" t="s">
        <v>10</v>
      </c>
      <c r="F14" s="40" t="s">
        <v>218</v>
      </c>
      <c r="H14" t="s">
        <v>25</v>
      </c>
      <c r="I14" s="7">
        <f>+Sheet1!G13</f>
        <v>-1.0707734311676084E-2</v>
      </c>
      <c r="J14" s="9">
        <f>+J13+K13-Sheet1!$S$22</f>
        <v>98640.919763325321</v>
      </c>
      <c r="K14" s="9">
        <f t="shared" si="3"/>
        <v>-1070.7734311676084</v>
      </c>
      <c r="L14" s="9">
        <f>+L13+M13-Sheet1!$S$22</f>
        <v>98539.15837325684</v>
      </c>
      <c r="M14" s="9">
        <f t="shared" si="1"/>
        <v>-1055.1311271570059</v>
      </c>
      <c r="N14" s="30">
        <f>+I14-Sheet1!$T$22</f>
        <v>-1.2637734311676084E-2</v>
      </c>
      <c r="O14" s="10">
        <f>+O13+P13-Sheet1!$S$22-Sheet1!$S$22</f>
        <v>96451.919763325321</v>
      </c>
      <c r="P14" s="10">
        <f t="shared" si="2"/>
        <v>-1263.7734311676084</v>
      </c>
      <c r="Q14" s="10">
        <f>+Q13+R13-Sheet1!$S$22-Sheet1!$S$22</f>
        <v>96397.706349802684</v>
      </c>
      <c r="R14" s="10">
        <f t="shared" si="0"/>
        <v>-1218.2486011037768</v>
      </c>
    </row>
    <row r="15" spans="1:18" x14ac:dyDescent="0.3">
      <c r="A15" t="s">
        <v>213</v>
      </c>
      <c r="B15" s="32">
        <v>6</v>
      </c>
      <c r="C15" s="43">
        <v>1.0399999999999999E-3</v>
      </c>
      <c r="D15" s="39">
        <v>-0.13423516931829318</v>
      </c>
      <c r="E15" s="39">
        <v>-0.14580312442536988</v>
      </c>
      <c r="F15" s="39">
        <v>0.46527777777777779</v>
      </c>
      <c r="H15" t="s">
        <v>26</v>
      </c>
      <c r="I15" s="7">
        <f>+Sheet1!G14</f>
        <v>2.2048182514684631E-2</v>
      </c>
      <c r="J15" s="9">
        <f>+J14+K14-Sheet1!$S$22</f>
        <v>97564.146332157718</v>
      </c>
      <c r="K15" s="9">
        <f t="shared" si="3"/>
        <v>2204.8182514684631</v>
      </c>
      <c r="L15" s="9">
        <f>+L14+M14-Sheet1!$S$22</f>
        <v>97478.027246099839</v>
      </c>
      <c r="M15" s="9">
        <f t="shared" si="1"/>
        <v>2149.2133358934107</v>
      </c>
      <c r="N15" s="30">
        <f>+I15-Sheet1!$T$22</f>
        <v>2.011818251468463E-2</v>
      </c>
      <c r="O15" s="10">
        <f>+O14+P14-Sheet1!$S$22-Sheet1!$S$22</f>
        <v>95176.146332157718</v>
      </c>
      <c r="P15" s="10">
        <f t="shared" si="2"/>
        <v>2011.8182514684629</v>
      </c>
      <c r="Q15" s="10">
        <f>+Q14+R14-Sheet1!$S$22-Sheet1!$S$22</f>
        <v>95167.4577486989</v>
      </c>
      <c r="R15" s="10">
        <f t="shared" si="0"/>
        <v>1914.5962844468625</v>
      </c>
    </row>
    <row r="16" spans="1:18" x14ac:dyDescent="0.3">
      <c r="A16" t="s">
        <v>214</v>
      </c>
      <c r="B16" s="32">
        <v>6</v>
      </c>
      <c r="C16" s="44">
        <v>1.0399999999999999E-3</v>
      </c>
      <c r="D16" s="45">
        <v>-0.43630564525476789</v>
      </c>
      <c r="E16" s="45">
        <v>-0.3697264991367189</v>
      </c>
      <c r="F16" s="46">
        <v>0.44444444444444442</v>
      </c>
      <c r="H16" t="s">
        <v>27</v>
      </c>
      <c r="I16" s="7">
        <f>+Sheet1!G15</f>
        <v>6.7030526905597319E-3</v>
      </c>
      <c r="J16" s="9">
        <f>+J15+K15-Sheet1!$S$22</f>
        <v>99762.964583626177</v>
      </c>
      <c r="K16" s="9">
        <f t="shared" si="3"/>
        <v>670.30526905597321</v>
      </c>
      <c r="L16" s="9">
        <f>+L15+M15-Sheet1!$S$22</f>
        <v>99621.240581993246</v>
      </c>
      <c r="M16" s="9">
        <f t="shared" si="1"/>
        <v>667.76642472002823</v>
      </c>
      <c r="N16" s="30">
        <f>+I16-Sheet1!$T$22</f>
        <v>4.7730526905597316E-3</v>
      </c>
      <c r="O16" s="10">
        <f>+O15+P15-Sheet1!$S$22-Sheet1!$S$22</f>
        <v>97175.964583626177</v>
      </c>
      <c r="P16" s="10">
        <f t="shared" si="2"/>
        <v>477.30526905597316</v>
      </c>
      <c r="Q16" s="10">
        <f>+Q15+R15-Sheet1!$S$22-Sheet1!$S$22</f>
        <v>97070.05403314576</v>
      </c>
      <c r="R16" s="10">
        <f t="shared" si="0"/>
        <v>463.32048257568488</v>
      </c>
    </row>
    <row r="17" spans="1:18" x14ac:dyDescent="0.3">
      <c r="A17" t="s">
        <v>215</v>
      </c>
      <c r="B17" s="32">
        <v>6</v>
      </c>
      <c r="C17" s="43">
        <v>1.0399999999999999E-3</v>
      </c>
      <c r="D17" s="39">
        <v>9.8937769922983282E-2</v>
      </c>
      <c r="E17" s="39">
        <v>8.0336755203457288E-2</v>
      </c>
      <c r="F17" s="39">
        <v>0.53472222222222221</v>
      </c>
      <c r="H17" t="s">
        <v>28</v>
      </c>
      <c r="I17" s="7">
        <f>+Sheet1!G16</f>
        <v>-3.7449330233132226E-3</v>
      </c>
      <c r="J17" s="9">
        <f>+J16+K16-Sheet1!$S$22</f>
        <v>100427.26985268215</v>
      </c>
      <c r="K17" s="9">
        <f t="shared" si="3"/>
        <v>-374.49330233132224</v>
      </c>
      <c r="L17" s="9">
        <f>+L16+M16-Sheet1!$S$22</f>
        <v>100283.00700671328</v>
      </c>
      <c r="M17" s="9">
        <f t="shared" si="1"/>
        <v>-375.55314461659185</v>
      </c>
      <c r="N17" s="30">
        <f>+I17-Sheet1!$T$22</f>
        <v>-5.6749330233132229E-3</v>
      </c>
      <c r="O17" s="10">
        <f>+O16+P16-Sheet1!$S$22-Sheet1!$S$22</f>
        <v>97641.269852682148</v>
      </c>
      <c r="P17" s="10">
        <f t="shared" si="2"/>
        <v>-567.4933023313223</v>
      </c>
      <c r="Q17" s="10">
        <f>+Q16+R16-Sheet1!$S$22-Sheet1!$S$22</f>
        <v>97521.374515721443</v>
      </c>
      <c r="R17" s="10">
        <f t="shared" si="0"/>
        <v>-553.42726871816421</v>
      </c>
    </row>
    <row r="18" spans="1:18" x14ac:dyDescent="0.3">
      <c r="A18" t="s">
        <v>216</v>
      </c>
      <c r="B18" s="32">
        <v>6</v>
      </c>
      <c r="C18" s="43">
        <v>1.0399999999999999E-3</v>
      </c>
      <c r="D18" s="39">
        <v>-2.271068925124564E-3</v>
      </c>
      <c r="E18" s="39">
        <v>-2.4103930218299648E-2</v>
      </c>
      <c r="F18" s="42">
        <v>0.55555555555555558</v>
      </c>
      <c r="H18" t="s">
        <v>29</v>
      </c>
      <c r="I18" s="7">
        <f>+Sheet1!G17</f>
        <v>2.8393795667222194E-2</v>
      </c>
      <c r="J18" s="9">
        <f>+J17+K17-Sheet1!$S$22</f>
        <v>100046.77655035083</v>
      </c>
      <c r="K18" s="9">
        <f t="shared" si="3"/>
        <v>2839.3795667222194</v>
      </c>
      <c r="L18" s="9">
        <f>+L17+M17-Sheet1!$S$22</f>
        <v>99901.453862096678</v>
      </c>
      <c r="M18" s="9">
        <f t="shared" si="1"/>
        <v>2836.5814678187985</v>
      </c>
      <c r="N18" s="30">
        <f>+I18-Sheet1!$T$22</f>
        <v>2.6463795667222192E-2</v>
      </c>
      <c r="O18" s="10">
        <f>+O17+P17-Sheet1!$S$22-Sheet1!$S$22</f>
        <v>97061.776550350827</v>
      </c>
      <c r="P18" s="10">
        <f t="shared" si="2"/>
        <v>2646.3795667222194</v>
      </c>
      <c r="Q18" s="10">
        <f>+Q17+R17-Sheet1!$S$22-Sheet1!$S$22</f>
        <v>96955.947247003278</v>
      </c>
      <c r="R18" s="10">
        <f t="shared" si="0"/>
        <v>2565.8223766666688</v>
      </c>
    </row>
    <row r="19" spans="1:18" x14ac:dyDescent="0.3">
      <c r="A19" t="s">
        <v>217</v>
      </c>
      <c r="B19" s="32">
        <v>6</v>
      </c>
      <c r="C19" s="43">
        <v>1.0399999999999999E-3</v>
      </c>
      <c r="D19" s="39">
        <v>-6.4110879084019537E-2</v>
      </c>
      <c r="E19" s="39">
        <v>-8.3314996829711011E-2</v>
      </c>
      <c r="F19" s="39">
        <v>0.51388888888888884</v>
      </c>
      <c r="H19" t="s">
        <v>30</v>
      </c>
      <c r="I19" s="7">
        <f>+Sheet1!G18</f>
        <v>1.6888360558299589E-2</v>
      </c>
      <c r="J19" s="9">
        <f>+J18+K18-Sheet1!$S$22</f>
        <v>102880.15611707304</v>
      </c>
      <c r="K19" s="9">
        <f t="shared" si="3"/>
        <v>1688.8360558299589</v>
      </c>
      <c r="L19" s="9">
        <f>+L18+M18-Sheet1!$S$22</f>
        <v>102732.03532991548</v>
      </c>
      <c r="M19" s="9">
        <f t="shared" si="1"/>
        <v>1734.9756535395845</v>
      </c>
      <c r="N19" s="30">
        <f>+I19-Sheet1!$T$22</f>
        <v>1.4958360558299589E-2</v>
      </c>
      <c r="O19" s="10">
        <f>+O18+P18-Sheet1!$S$22-Sheet1!$S$22</f>
        <v>99696.156117073042</v>
      </c>
      <c r="P19" s="10">
        <f t="shared" si="2"/>
        <v>1495.8360558299589</v>
      </c>
      <c r="Q19" s="10">
        <f>+Q18+R18-Sheet1!$S$22-Sheet1!$S$22</f>
        <v>99509.769623669941</v>
      </c>
      <c r="R19" s="10">
        <f t="shared" si="0"/>
        <v>1488.5030131041831</v>
      </c>
    </row>
    <row r="20" spans="1:18" x14ac:dyDescent="0.3">
      <c r="F20" s="34"/>
      <c r="H20" t="s">
        <v>31</v>
      </c>
      <c r="I20" s="7">
        <f>+Sheet1!G19</f>
        <v>-2.0904102430101177E-3</v>
      </c>
      <c r="J20" s="9">
        <f>+J19+K19-Sheet1!$S$22</f>
        <v>104562.992172903</v>
      </c>
      <c r="K20" s="9">
        <f t="shared" si="3"/>
        <v>-209.04102430101176</v>
      </c>
      <c r="L20" s="9">
        <f>+L19+M19-Sheet1!$S$22</f>
        <v>104461.01098345507</v>
      </c>
      <c r="M20" s="9">
        <f t="shared" si="1"/>
        <v>-218.36636735500687</v>
      </c>
      <c r="N20" s="30">
        <f>+I20-Sheet1!$T$22</f>
        <v>-4.0204102430101175E-3</v>
      </c>
      <c r="O20" s="10">
        <f>+O19+P19-Sheet1!$S$22-Sheet1!$S$22</f>
        <v>101179.992172903</v>
      </c>
      <c r="P20" s="10">
        <f t="shared" si="2"/>
        <v>-402.04102430101176</v>
      </c>
      <c r="Q20" s="10">
        <f>+Q19+R19-Sheet1!$S$22-Sheet1!$S$22</f>
        <v>100986.27263677413</v>
      </c>
      <c r="R20" s="10">
        <f t="shared" si="0"/>
        <v>-406.00624491229905</v>
      </c>
    </row>
    <row r="21" spans="1:18" x14ac:dyDescent="0.3">
      <c r="H21" t="s">
        <v>32</v>
      </c>
      <c r="I21" s="7">
        <f>+Sheet1!G20</f>
        <v>-5.9356898704381713E-3</v>
      </c>
      <c r="J21" s="9">
        <f>+J20+K20-Sheet1!$S$22</f>
        <v>104347.95114860199</v>
      </c>
      <c r="K21" s="9">
        <f t="shared" si="3"/>
        <v>-593.56898704381717</v>
      </c>
      <c r="L21" s="9">
        <f>+L20+M20-Sheet1!$S$22</f>
        <v>104236.64461610006</v>
      </c>
      <c r="M21" s="9">
        <f t="shared" si="1"/>
        <v>-618.71639557624871</v>
      </c>
      <c r="N21" s="30">
        <f>+I21-Sheet1!$T$22</f>
        <v>-7.8656898704381716E-3</v>
      </c>
      <c r="O21" s="10">
        <f>+O20+P20-Sheet1!$S$22-Sheet1!$S$22</f>
        <v>100765.95114860199</v>
      </c>
      <c r="P21" s="10">
        <f t="shared" si="2"/>
        <v>-786.56898704381717</v>
      </c>
      <c r="Q21" s="10">
        <f>+Q20+R20-Sheet1!$S$22-Sheet1!$S$22</f>
        <v>100568.26639186183</v>
      </c>
      <c r="R21" s="10">
        <f t="shared" si="0"/>
        <v>-791.03879424599529</v>
      </c>
    </row>
    <row r="22" spans="1:18" x14ac:dyDescent="0.3">
      <c r="H22" t="s">
        <v>33</v>
      </c>
      <c r="I22" s="7">
        <f>+Sheet1!G21</f>
        <v>1.7468593480581308E-2</v>
      </c>
      <c r="J22" s="9">
        <f>+J21+K21-Sheet1!$S$22</f>
        <v>103748.38216155817</v>
      </c>
      <c r="K22" s="9">
        <f t="shared" si="3"/>
        <v>1746.8593480581308</v>
      </c>
      <c r="L22" s="9">
        <f>+L21+M21-Sheet1!$S$22</f>
        <v>103611.92822052381</v>
      </c>
      <c r="M22" s="9">
        <f t="shared" si="1"/>
        <v>1809.9546538235008</v>
      </c>
      <c r="N22" s="30">
        <f>+I22-Sheet1!$T$22</f>
        <v>1.5538593480581309E-2</v>
      </c>
      <c r="O22" s="10">
        <f>+O21+P21-Sheet1!$S$22-Sheet1!$S$22</f>
        <v>99967.382161558169</v>
      </c>
      <c r="P22" s="10">
        <f t="shared" si="2"/>
        <v>1553.859348058131</v>
      </c>
      <c r="Q22" s="10">
        <f>+Q21+R21-Sheet1!$S$22-Sheet1!$S$22</f>
        <v>99765.227597615842</v>
      </c>
      <c r="R22" s="10">
        <f t="shared" si="0"/>
        <v>1550.211315137024</v>
      </c>
    </row>
    <row r="23" spans="1:18" x14ac:dyDescent="0.3">
      <c r="H23" t="s">
        <v>34</v>
      </c>
      <c r="I23" s="7">
        <f>+Sheet1!G22</f>
        <v>1.9566313666162356E-2</v>
      </c>
      <c r="J23" s="9">
        <f>+J22+K22-Sheet1!$S$22</f>
        <v>105489.2415096163</v>
      </c>
      <c r="K23" s="9">
        <f t="shared" si="3"/>
        <v>1956.6313666162357</v>
      </c>
      <c r="L23" s="9">
        <f>+L22+M22-Sheet1!$S$22</f>
        <v>105415.88287434731</v>
      </c>
      <c r="M23" s="9">
        <f t="shared" si="1"/>
        <v>2062.6002297149121</v>
      </c>
      <c r="N23" s="30">
        <f>+I23-Sheet1!$T$22</f>
        <v>1.7636313666162355E-2</v>
      </c>
      <c r="O23" s="10">
        <f>+O22+P22-Sheet1!$S$22-Sheet1!$S$22</f>
        <v>101509.2415096163</v>
      </c>
      <c r="P23" s="10">
        <f t="shared" si="2"/>
        <v>1763.6313666162355</v>
      </c>
      <c r="Q23" s="10">
        <f>+Q22+R22-Sheet1!$S$22-Sheet1!$S$22</f>
        <v>101303.43891275287</v>
      </c>
      <c r="R23" s="10">
        <f t="shared" si="0"/>
        <v>1786.6192241262268</v>
      </c>
    </row>
    <row r="24" spans="1:18" x14ac:dyDescent="0.3">
      <c r="H24" t="s">
        <v>35</v>
      </c>
      <c r="I24" s="7">
        <f>+Sheet1!G23</f>
        <v>-2.1066846725185606E-2</v>
      </c>
      <c r="J24" s="9">
        <f>+J23+K23-Sheet1!$S$22</f>
        <v>107439.87287623253</v>
      </c>
      <c r="K24" s="9">
        <f t="shared" si="3"/>
        <v>-2106.6846725185605</v>
      </c>
      <c r="L24" s="9">
        <f>+L23+M23-Sheet1!$S$22</f>
        <v>107472.48310406222</v>
      </c>
      <c r="M24" s="9">
        <f t="shared" si="1"/>
        <v>-2264.1063287283787</v>
      </c>
      <c r="N24" s="30">
        <f>+I24-Sheet1!$T$22</f>
        <v>-2.2996846725185607E-2</v>
      </c>
      <c r="O24" s="10">
        <f>+O23+P23-Sheet1!$S$22-Sheet1!$S$22</f>
        <v>103260.87287623253</v>
      </c>
      <c r="P24" s="10">
        <f t="shared" si="2"/>
        <v>-2299.6846725185605</v>
      </c>
      <c r="Q24" s="10">
        <f>+Q23+R23-Sheet1!$S$22-Sheet1!$S$22</f>
        <v>103078.0581368791</v>
      </c>
      <c r="R24" s="10">
        <f t="shared" si="0"/>
        <v>-2370.4703037035797</v>
      </c>
    </row>
    <row r="25" spans="1:18" x14ac:dyDescent="0.3">
      <c r="H25" t="s">
        <v>36</v>
      </c>
      <c r="I25" s="7">
        <f>+Sheet1!G24</f>
        <v>-4.661376069034516E-3</v>
      </c>
      <c r="J25" s="9">
        <f>+J24+K24-Sheet1!$S$22</f>
        <v>105327.18820371397</v>
      </c>
      <c r="K25" s="9">
        <f t="shared" si="3"/>
        <v>-466.13760690345163</v>
      </c>
      <c r="L25" s="9">
        <f>+L24+M24-Sheet1!$S$22</f>
        <v>105202.37677533385</v>
      </c>
      <c r="M25" s="9">
        <f t="shared" si="1"/>
        <v>-490.38784150609376</v>
      </c>
      <c r="N25" s="30">
        <f>+I25-Sheet1!$T$22</f>
        <v>-6.5913760690345163E-3</v>
      </c>
      <c r="O25" s="10">
        <f>+O24+P24-Sheet1!$S$22-Sheet1!$S$22</f>
        <v>100949.18820371397</v>
      </c>
      <c r="P25" s="10">
        <f t="shared" si="2"/>
        <v>-659.13760690345168</v>
      </c>
      <c r="Q25" s="10">
        <f>+Q24+R24-Sheet1!$S$22-Sheet1!$S$22</f>
        <v>100695.58783317552</v>
      </c>
      <c r="R25" s="10">
        <f t="shared" si="0"/>
        <v>-663.72248790095637</v>
      </c>
    </row>
    <row r="26" spans="1:18" x14ac:dyDescent="0.3">
      <c r="H26" t="s">
        <v>37</v>
      </c>
      <c r="I26" s="7">
        <f>+Sheet1!G25</f>
        <v>4.8678855852172045E-4</v>
      </c>
      <c r="J26" s="9">
        <f>+J25+K25-Sheet1!$S$22</f>
        <v>104855.05059681053</v>
      </c>
      <c r="K26" s="9">
        <f t="shared" si="3"/>
        <v>48.678855852172042</v>
      </c>
      <c r="L26" s="9">
        <f>+L25+M25-Sheet1!$S$22</f>
        <v>104705.98893382776</v>
      </c>
      <c r="M26" s="9">
        <f t="shared" si="1"/>
        <v>50.969677421689227</v>
      </c>
      <c r="N26" s="30">
        <f>+I26-Sheet1!$T$22</f>
        <v>-1.4432114414782795E-3</v>
      </c>
      <c r="O26" s="10">
        <f>+O25+P25-Sheet1!$S$22-Sheet1!$S$22</f>
        <v>100278.05059681053</v>
      </c>
      <c r="P26" s="10">
        <f t="shared" si="2"/>
        <v>-144.32114414782797</v>
      </c>
      <c r="Q26" s="10">
        <f>+Q25+R25-Sheet1!$S$22-Sheet1!$S$22</f>
        <v>100019.86534527456</v>
      </c>
      <c r="R26" s="10">
        <f t="shared" si="0"/>
        <v>-144.34981404141712</v>
      </c>
    </row>
    <row r="27" spans="1:18" x14ac:dyDescent="0.3">
      <c r="H27" t="s">
        <v>38</v>
      </c>
      <c r="I27" s="7">
        <f>+Sheet1!G26</f>
        <v>2.7334152334152349E-2</v>
      </c>
      <c r="J27" s="9">
        <f>+J26+K26-Sheet1!$S$22</f>
        <v>104897.72945266269</v>
      </c>
      <c r="K27" s="9">
        <f t="shared" si="3"/>
        <v>2733.415233415235</v>
      </c>
      <c r="L27" s="9">
        <f>+L26+M26-Sheet1!$S$22</f>
        <v>104750.95861124944</v>
      </c>
      <c r="M27" s="9">
        <f t="shared" si="1"/>
        <v>2863.2786598283801</v>
      </c>
      <c r="N27" s="30">
        <f>+I27-Sheet1!$T$22</f>
        <v>2.5404152334152347E-2</v>
      </c>
      <c r="O27" s="10">
        <f>+O26+P26-Sheet1!$S$22-Sheet1!$S$22</f>
        <v>100121.72945266269</v>
      </c>
      <c r="P27" s="10">
        <f t="shared" si="2"/>
        <v>2540.4152334152345</v>
      </c>
      <c r="Q27" s="10">
        <f>+Q26+R26-Sheet1!$S$22-Sheet1!$S$22</f>
        <v>99863.515531233148</v>
      </c>
      <c r="R27" s="10">
        <f t="shared" si="0"/>
        <v>2536.9479611794359</v>
      </c>
    </row>
    <row r="28" spans="1:18" x14ac:dyDescent="0.3">
      <c r="H28" t="s">
        <v>39</v>
      </c>
      <c r="I28" s="7">
        <f>+Sheet1!G27</f>
        <v>2.2490430578194488E-2</v>
      </c>
      <c r="J28" s="9">
        <f>+J27+K27-Sheet1!$S$22</f>
        <v>107625.14468607793</v>
      </c>
      <c r="K28" s="9">
        <f t="shared" si="3"/>
        <v>2249.0430578194487</v>
      </c>
      <c r="L28" s="9">
        <f>+L27+M27-Sheet1!$S$22</f>
        <v>107608.23727107783</v>
      </c>
      <c r="M28" s="9">
        <f t="shared" si="1"/>
        <v>2420.1555899870564</v>
      </c>
      <c r="N28" s="30">
        <f>+I28-Sheet1!$T$22</f>
        <v>2.0560430578194486E-2</v>
      </c>
      <c r="O28" s="10">
        <f>+O27+P27-Sheet1!$S$22-Sheet1!$S$22</f>
        <v>102650.14468607793</v>
      </c>
      <c r="P28" s="10">
        <f t="shared" si="2"/>
        <v>2056.0430578194487</v>
      </c>
      <c r="Q28" s="10">
        <f>+Q27+R27-Sheet1!$S$22-Sheet1!$S$22</f>
        <v>102388.46349241259</v>
      </c>
      <c r="R28" s="10">
        <f t="shared" si="0"/>
        <v>2105.1508956437497</v>
      </c>
    </row>
    <row r="29" spans="1:18" x14ac:dyDescent="0.3">
      <c r="H29" t="s">
        <v>40</v>
      </c>
      <c r="I29" s="7">
        <f>+Sheet1!G28</f>
        <v>-3.7443405871184443E-2</v>
      </c>
      <c r="J29" s="9">
        <f>+J28+K28-Sheet1!$S$22</f>
        <v>109868.18774389738</v>
      </c>
      <c r="K29" s="9">
        <f t="shared" si="3"/>
        <v>-3744.3405871184441</v>
      </c>
      <c r="L29" s="9">
        <f>+L28+M28-Sheet1!$S$22</f>
        <v>110022.39286106489</v>
      </c>
      <c r="M29" s="9">
        <f t="shared" si="1"/>
        <v>-4119.6131108157588</v>
      </c>
      <c r="N29" s="30">
        <f>+I29-Sheet1!$T$22</f>
        <v>-3.9373405871184444E-2</v>
      </c>
      <c r="O29" s="10">
        <f>+O28+P28-Sheet1!$S$22-Sheet1!$S$22</f>
        <v>104694.18774389738</v>
      </c>
      <c r="P29" s="10">
        <f t="shared" si="2"/>
        <v>-3937.3405871184445</v>
      </c>
      <c r="Q29" s="10">
        <f>+Q28+R28-Sheet1!$S$22-Sheet1!$S$22</f>
        <v>104481.61438805633</v>
      </c>
      <c r="R29" s="10">
        <f t="shared" si="0"/>
        <v>-4113.7970093775266</v>
      </c>
    </row>
    <row r="30" spans="1:18" x14ac:dyDescent="0.3">
      <c r="H30" t="s">
        <v>41</v>
      </c>
      <c r="I30" s="7">
        <f>+Sheet1!G29</f>
        <v>4.6202604146780577E-3</v>
      </c>
      <c r="J30" s="9">
        <f>+J29+K29-Sheet1!$S$22</f>
        <v>106117.84715677894</v>
      </c>
      <c r="K30" s="9">
        <f t="shared" si="3"/>
        <v>462.02604146780578</v>
      </c>
      <c r="L30" s="9">
        <f>+L29+M29-Sheet1!$S$22</f>
        <v>105896.77975024913</v>
      </c>
      <c r="M30" s="9">
        <f t="shared" si="1"/>
        <v>489.270699521957</v>
      </c>
      <c r="N30" s="30">
        <f>+I30-Sheet1!$T$22</f>
        <v>2.6902604146780574E-3</v>
      </c>
      <c r="O30" s="10">
        <f>+O29+P29-Sheet1!$S$22-Sheet1!$S$22</f>
        <v>100744.84715677892</v>
      </c>
      <c r="P30" s="10">
        <f t="shared" si="2"/>
        <v>269.02604146780573</v>
      </c>
      <c r="Q30" s="10">
        <f>+Q29+R29-Sheet1!$S$22-Sheet1!$S$22</f>
        <v>100355.81737867881</v>
      </c>
      <c r="R30" s="10">
        <f t="shared" si="0"/>
        <v>269.98328287651987</v>
      </c>
    </row>
    <row r="31" spans="1:18" x14ac:dyDescent="0.3">
      <c r="H31" t="s">
        <v>42</v>
      </c>
      <c r="I31" s="7">
        <f>+Sheet1!G30</f>
        <v>-1.4316954189484855E-2</v>
      </c>
      <c r="J31" s="9">
        <f>+J30+K30-Sheet1!$S$22</f>
        <v>106573.87319824674</v>
      </c>
      <c r="K31" s="9">
        <f t="shared" si="3"/>
        <v>-1431.6954189484854</v>
      </c>
      <c r="L31" s="9">
        <f>+L30+M30-Sheet1!$S$22</f>
        <v>106380.05044977109</v>
      </c>
      <c r="M31" s="9">
        <f t="shared" si="1"/>
        <v>-1523.0383089644604</v>
      </c>
      <c r="N31" s="30">
        <f>+I31-Sheet1!$T$22</f>
        <v>-1.6246954189484856E-2</v>
      </c>
      <c r="O31" s="10">
        <f>+O30+P30-Sheet1!$S$22-Sheet1!$S$22</f>
        <v>101001.87319824673</v>
      </c>
      <c r="P31" s="10">
        <f t="shared" si="2"/>
        <v>-1624.6954189484857</v>
      </c>
      <c r="Q31" s="10">
        <f>+Q30+R30-Sheet1!$S$22-Sheet1!$S$22</f>
        <v>100613.80066155533</v>
      </c>
      <c r="R31" s="10">
        <f t="shared" si="0"/>
        <v>-1634.6678101782506</v>
      </c>
    </row>
    <row r="32" spans="1:18" x14ac:dyDescent="0.3">
      <c r="H32" t="s">
        <v>43</v>
      </c>
      <c r="I32" s="7">
        <f>+Sheet1!G31</f>
        <v>9.5433856996032492E-4</v>
      </c>
      <c r="J32" s="9">
        <f>+J31+K31-Sheet1!$S$22</f>
        <v>105136.17777929826</v>
      </c>
      <c r="K32" s="9">
        <f t="shared" si="3"/>
        <v>95.433856996032489</v>
      </c>
      <c r="L32" s="9">
        <f>+L31+M31-Sheet1!$S$22</f>
        <v>104851.01214080663</v>
      </c>
      <c r="M32" s="9">
        <f t="shared" si="1"/>
        <v>100.06336498535006</v>
      </c>
      <c r="N32" s="30">
        <f>+I32-Sheet1!$T$22</f>
        <v>-9.7566143003967516E-4</v>
      </c>
      <c r="O32" s="10">
        <f>+O31+P31-Sheet1!$S$22-Sheet1!$S$22</f>
        <v>99365.177779298247</v>
      </c>
      <c r="P32" s="10">
        <f t="shared" si="2"/>
        <v>-97.566143003967511</v>
      </c>
      <c r="Q32" s="10">
        <f>+Q31+R31-Sheet1!$S$22-Sheet1!$S$22</f>
        <v>98967.132851377086</v>
      </c>
      <c r="R32" s="10">
        <f t="shared" si="0"/>
        <v>-96.558414364701079</v>
      </c>
    </row>
    <row r="33" spans="8:18" x14ac:dyDescent="0.3">
      <c r="H33" t="s">
        <v>44</v>
      </c>
      <c r="I33" s="7">
        <f>+Sheet1!G32</f>
        <v>-2.288286947462454E-3</v>
      </c>
      <c r="J33" s="9">
        <f>+J32+K32-Sheet1!$S$22</f>
        <v>105225.6116362943</v>
      </c>
      <c r="K33" s="9">
        <f t="shared" si="3"/>
        <v>-228.82869474624539</v>
      </c>
      <c r="L33" s="9">
        <f>+L32+M32-Sheet1!$S$22</f>
        <v>104945.07550579199</v>
      </c>
      <c r="M33" s="9">
        <f t="shared" si="1"/>
        <v>-240.1444464803655</v>
      </c>
      <c r="N33" s="30">
        <f>+I33-Sheet1!$T$22</f>
        <v>-4.2182869474624539E-3</v>
      </c>
      <c r="O33" s="10">
        <f>+O32+P32-Sheet1!$S$22-Sheet1!$S$22</f>
        <v>99255.611636294285</v>
      </c>
      <c r="P33" s="10">
        <f t="shared" si="2"/>
        <v>-421.82869474624539</v>
      </c>
      <c r="Q33" s="10">
        <f>+Q32+R32-Sheet1!$S$22-Sheet1!$S$22</f>
        <v>98858.574437012387</v>
      </c>
      <c r="R33" s="10">
        <f t="shared" si="0"/>
        <v>-417.01383419239477</v>
      </c>
    </row>
    <row r="34" spans="8:18" x14ac:dyDescent="0.3">
      <c r="H34" t="s">
        <v>45</v>
      </c>
      <c r="I34" s="7">
        <f>+Sheet1!G33</f>
        <v>6.9497045902137409E-3</v>
      </c>
      <c r="J34" s="9">
        <f>+J33+K33-Sheet1!$S$22</f>
        <v>104990.78294154805</v>
      </c>
      <c r="K34" s="9">
        <f t="shared" si="3"/>
        <v>694.97045902137404</v>
      </c>
      <c r="L34" s="9">
        <f>+L33+M33-Sheet1!$S$22</f>
        <v>104698.93105931162</v>
      </c>
      <c r="M34" s="9">
        <f t="shared" si="1"/>
        <v>727.62664177337001</v>
      </c>
      <c r="N34" s="30">
        <f>+I34-Sheet1!$T$22</f>
        <v>5.0197045902137406E-3</v>
      </c>
      <c r="O34" s="10">
        <f>+O33+P33-Sheet1!$S$22-Sheet1!$S$22</f>
        <v>98821.782941548037</v>
      </c>
      <c r="P34" s="10">
        <f t="shared" si="2"/>
        <v>501.97045902137404</v>
      </c>
      <c r="Q34" s="10">
        <f>+Q33+R33-Sheet1!$S$22-Sheet1!$S$22</f>
        <v>98429.560602819998</v>
      </c>
      <c r="R34" s="10">
        <f t="shared" si="0"/>
        <v>494.08731717069708</v>
      </c>
    </row>
    <row r="35" spans="8:18" x14ac:dyDescent="0.3">
      <c r="H35" t="s">
        <v>46</v>
      </c>
      <c r="I35" s="7">
        <f>+Sheet1!G34</f>
        <v>-5.5305044899217719E-3</v>
      </c>
      <c r="J35" s="9">
        <f>+J34+K34-Sheet1!$S$22</f>
        <v>105679.75340056943</v>
      </c>
      <c r="K35" s="9">
        <f t="shared" si="3"/>
        <v>-553.05044899217717</v>
      </c>
      <c r="L35" s="9">
        <f>+L34+M34-Sheet1!$S$22</f>
        <v>105420.557701085</v>
      </c>
      <c r="M35" s="9">
        <f t="shared" si="1"/>
        <v>-583.02886769590782</v>
      </c>
      <c r="N35" s="30">
        <f>+I35-Sheet1!$T$22</f>
        <v>-7.4605044899217722E-3</v>
      </c>
      <c r="O35" s="10">
        <f>+O34+P34-Sheet1!$S$22-Sheet1!$S$22</f>
        <v>99311.753400569418</v>
      </c>
      <c r="P35" s="10">
        <f t="shared" si="2"/>
        <v>-746.05044899217717</v>
      </c>
      <c r="Q35" s="10">
        <f>+Q34+R34-Sheet1!$S$22-Sheet1!$S$22</f>
        <v>98911.64791999069</v>
      </c>
      <c r="R35" s="10">
        <f t="shared" ref="R35:R66" si="4">Q35*N35</f>
        <v>-737.93079341265206</v>
      </c>
    </row>
    <row r="36" spans="8:18" x14ac:dyDescent="0.3">
      <c r="H36" t="s">
        <v>47</v>
      </c>
      <c r="I36" s="7">
        <f>+Sheet1!G35</f>
        <v>-6.6615575075163322E-3</v>
      </c>
      <c r="J36" s="9">
        <f>+J35+K35-Sheet1!$S$22</f>
        <v>105120.70295157726</v>
      </c>
      <c r="K36" s="9">
        <f t="shared" si="3"/>
        <v>-666.15575075163326</v>
      </c>
      <c r="L36" s="9">
        <f>+L35+M35-Sheet1!$S$22</f>
        <v>104831.52883338909</v>
      </c>
      <c r="M36" s="9">
        <f t="shared" si="1"/>
        <v>-698.34125792447799</v>
      </c>
      <c r="N36" s="30">
        <f>+I36-Sheet1!$T$22</f>
        <v>-8.5915575075163324E-3</v>
      </c>
      <c r="O36" s="10">
        <f>+O35+P35-Sheet1!$S$22-Sheet1!$S$22</f>
        <v>98553.702951577245</v>
      </c>
      <c r="P36" s="10">
        <f t="shared" si="2"/>
        <v>-859.15575075163326</v>
      </c>
      <c r="Q36" s="10">
        <f>+Q35+R35-Sheet1!$S$22-Sheet1!$S$22</f>
        <v>98161.717126578034</v>
      </c>
      <c r="R36" s="10">
        <f t="shared" si="4"/>
        <v>-843.36203772954605</v>
      </c>
    </row>
    <row r="37" spans="8:18" x14ac:dyDescent="0.3">
      <c r="H37" t="s">
        <v>48</v>
      </c>
      <c r="I37" s="7">
        <f>+Sheet1!G36</f>
        <v>-9.2514221601086334E-3</v>
      </c>
      <c r="J37" s="9">
        <f>+J36+K36-Sheet1!$S$22</f>
        <v>104448.54720082563</v>
      </c>
      <c r="K37" s="9">
        <f t="shared" si="3"/>
        <v>-925.14221601086331</v>
      </c>
      <c r="L37" s="9">
        <f>+L36+M36-Sheet1!$S$22</f>
        <v>104127.18757546462</v>
      </c>
      <c r="M37" s="9">
        <f t="shared" si="1"/>
        <v>-963.32457060544175</v>
      </c>
      <c r="N37" s="30">
        <f>+I37-Sheet1!$T$22</f>
        <v>-1.1181422160108633E-2</v>
      </c>
      <c r="O37" s="10">
        <f>+O36+P36-Sheet1!$S$22-Sheet1!$S$22</f>
        <v>97682.547200825618</v>
      </c>
      <c r="P37" s="10">
        <f t="shared" si="2"/>
        <v>-1118.1422160108632</v>
      </c>
      <c r="Q37" s="10">
        <f>+Q36+R36-Sheet1!$S$22-Sheet1!$S$22</f>
        <v>97306.35508884849</v>
      </c>
      <c r="R37" s="10">
        <f t="shared" si="4"/>
        <v>-1088.02343510985</v>
      </c>
    </row>
    <row r="38" spans="8:18" x14ac:dyDescent="0.3">
      <c r="H38" t="s">
        <v>49</v>
      </c>
      <c r="I38" s="7">
        <f>+Sheet1!G37</f>
        <v>2.9939533882550394E-3</v>
      </c>
      <c r="J38" s="9">
        <f>+J37+K37-Sheet1!$S$22</f>
        <v>103517.40498481477</v>
      </c>
      <c r="K38" s="9">
        <f t="shared" si="3"/>
        <v>299.39533882550393</v>
      </c>
      <c r="L38" s="9">
        <f>+L37+M37-Sheet1!$S$22</f>
        <v>103157.86300485917</v>
      </c>
      <c r="M38" s="9">
        <f t="shared" si="1"/>
        <v>308.84983346854727</v>
      </c>
      <c r="N38" s="30">
        <f>+I38-Sheet1!$T$22</f>
        <v>1.0639533882550393E-3</v>
      </c>
      <c r="O38" s="10">
        <f>+O37+P37-Sheet1!$S$22-Sheet1!$S$22</f>
        <v>96552.404984814755</v>
      </c>
      <c r="P38" s="10">
        <f t="shared" si="2"/>
        <v>106.39533882550393</v>
      </c>
      <c r="Q38" s="10">
        <f>+Q37+R37-Sheet1!$S$22-Sheet1!$S$22</f>
        <v>96206.331653738642</v>
      </c>
      <c r="R38" s="10">
        <f t="shared" si="4"/>
        <v>102.35905253458327</v>
      </c>
    </row>
    <row r="39" spans="8:18" x14ac:dyDescent="0.3">
      <c r="H39" t="s">
        <v>50</v>
      </c>
      <c r="I39" s="7">
        <f>+Sheet1!G38</f>
        <v>-2.0019619226842307E-3</v>
      </c>
      <c r="J39" s="9">
        <f>+J38+K38-Sheet1!$S$22</f>
        <v>103810.80032364027</v>
      </c>
      <c r="K39" s="9">
        <f t="shared" si="3"/>
        <v>-200.19619226842306</v>
      </c>
      <c r="L39" s="9">
        <f>+L38+M38-Sheet1!$S$22</f>
        <v>103460.71283832772</v>
      </c>
      <c r="M39" s="9">
        <f t="shared" si="1"/>
        <v>-207.12440759609962</v>
      </c>
      <c r="N39" s="30">
        <f>+I39-Sheet1!$T$22</f>
        <v>-3.9319619226842305E-3</v>
      </c>
      <c r="O39" s="10">
        <f>+O38+P38-Sheet1!$S$22-Sheet1!$S$22</f>
        <v>96646.800323640258</v>
      </c>
      <c r="P39" s="10">
        <f t="shared" si="2"/>
        <v>-393.19619226842303</v>
      </c>
      <c r="Q39" s="10">
        <f>+Q38+R38-Sheet1!$S$22-Sheet1!$S$22</f>
        <v>96296.690706273221</v>
      </c>
      <c r="R39" s="10">
        <f t="shared" si="4"/>
        <v>-378.63492113756672</v>
      </c>
    </row>
    <row r="40" spans="8:18" x14ac:dyDescent="0.3">
      <c r="H40" t="s">
        <v>51</v>
      </c>
      <c r="I40" s="7">
        <f>+Sheet1!G39</f>
        <v>-1.0248699127475629E-2</v>
      </c>
      <c r="J40" s="9">
        <f>+J39+K39-Sheet1!$S$22</f>
        <v>103604.60413137185</v>
      </c>
      <c r="K40" s="9">
        <f t="shared" si="3"/>
        <v>-1024.8699127475629</v>
      </c>
      <c r="L40" s="9">
        <f>+L39+M39-Sheet1!$S$22</f>
        <v>103247.58843073162</v>
      </c>
      <c r="M40" s="9">
        <f t="shared" si="1"/>
        <v>-1058.153469464002</v>
      </c>
      <c r="N40" s="30">
        <f>+I40-Sheet1!$T$22</f>
        <v>-1.2178699127475628E-2</v>
      </c>
      <c r="O40" s="10">
        <f>+O39+P39-Sheet1!$S$22-Sheet1!$S$22</f>
        <v>96241.604131371831</v>
      </c>
      <c r="P40" s="10">
        <f t="shared" si="2"/>
        <v>-1217.8699127475629</v>
      </c>
      <c r="Q40" s="10">
        <f>+Q39+R39-Sheet1!$S$22-Sheet1!$S$22</f>
        <v>95906.055785135657</v>
      </c>
      <c r="R40" s="10">
        <f t="shared" si="4"/>
        <v>-1168.0109979100605</v>
      </c>
    </row>
    <row r="41" spans="8:18" x14ac:dyDescent="0.3">
      <c r="H41" t="s">
        <v>52</v>
      </c>
      <c r="I41" s="7">
        <f>+Sheet1!G40</f>
        <v>2.1697639377197069E-3</v>
      </c>
      <c r="J41" s="9">
        <f>+J40+K40-Sheet1!$S$22</f>
        <v>102573.73421862427</v>
      </c>
      <c r="K41" s="9">
        <f t="shared" si="3"/>
        <v>216.97639377197069</v>
      </c>
      <c r="L41" s="9">
        <f>+L40+M40-Sheet1!$S$22</f>
        <v>102183.43496126762</v>
      </c>
      <c r="M41" s="9">
        <f t="shared" si="1"/>
        <v>221.7139322112856</v>
      </c>
      <c r="N41" s="30">
        <f>+I41-Sheet1!$T$22</f>
        <v>2.3976393771970683E-4</v>
      </c>
      <c r="O41" s="10">
        <f>+O40+P40-Sheet1!$S$22-Sheet1!$S$22</f>
        <v>95011.734218624275</v>
      </c>
      <c r="P41" s="10">
        <f t="shared" si="2"/>
        <v>23.976393771970685</v>
      </c>
      <c r="Q41" s="10">
        <f>+Q40+R40-Sheet1!$S$22-Sheet1!$S$22</f>
        <v>94726.04478722559</v>
      </c>
      <c r="R41" s="10">
        <f t="shared" si="4"/>
        <v>22.711889502798517</v>
      </c>
    </row>
    <row r="42" spans="8:18" x14ac:dyDescent="0.3">
      <c r="H42" t="s">
        <v>53</v>
      </c>
      <c r="I42" s="7">
        <f>+Sheet1!G41</f>
        <v>1.8411509185828734E-2</v>
      </c>
      <c r="J42" s="9">
        <f>+J41+K41-Sheet1!$S$22</f>
        <v>102784.71061239624</v>
      </c>
      <c r="K42" s="9">
        <f t="shared" si="3"/>
        <v>1841.1509185828734</v>
      </c>
      <c r="L42" s="9">
        <f>+L41+M41-Sheet1!$S$22</f>
        <v>102399.14889347891</v>
      </c>
      <c r="M42" s="9">
        <f t="shared" si="1"/>
        <v>1885.3228704733312</v>
      </c>
      <c r="N42" s="30">
        <f>+I42-Sheet1!$T$22</f>
        <v>1.6481509185828733E-2</v>
      </c>
      <c r="O42" s="10">
        <f>+O41+P41-Sheet1!$S$22-Sheet1!$S$22</f>
        <v>95023.710612396244</v>
      </c>
      <c r="P42" s="10">
        <f t="shared" si="2"/>
        <v>1648.1509185828734</v>
      </c>
      <c r="Q42" s="10">
        <f>+Q41+R41-Sheet1!$S$22-Sheet1!$S$22</f>
        <v>94736.756676728386</v>
      </c>
      <c r="R42" s="10">
        <f t="shared" si="4"/>
        <v>1561.4047254031204</v>
      </c>
    </row>
    <row r="43" spans="8:18" x14ac:dyDescent="0.3">
      <c r="H43" t="s">
        <v>54</v>
      </c>
      <c r="I43" s="7">
        <f>+Sheet1!G42</f>
        <v>-1.852152391771817E-2</v>
      </c>
      <c r="J43" s="9">
        <f>+J42+K42-Sheet1!$S$22</f>
        <v>104619.86153097912</v>
      </c>
      <c r="K43" s="9">
        <f t="shared" si="3"/>
        <v>-1852.1523917718171</v>
      </c>
      <c r="L43" s="9">
        <f>+L42+M42-Sheet1!$S$22</f>
        <v>104278.47176395224</v>
      </c>
      <c r="M43" s="9">
        <f t="shared" si="1"/>
        <v>-1931.3962088791404</v>
      </c>
      <c r="N43" s="30">
        <f>+I43-Sheet1!$T$22</f>
        <v>-2.0451523917718172E-2</v>
      </c>
      <c r="O43" s="10">
        <f>+O42+P42-Sheet1!$S$22-Sheet1!$S$22</f>
        <v>96659.86153097912</v>
      </c>
      <c r="P43" s="10">
        <f t="shared" si="2"/>
        <v>-2045.1523917718171</v>
      </c>
      <c r="Q43" s="10">
        <f>+Q42+R42-Sheet1!$S$22-Sheet1!$S$22</f>
        <v>96286.161402131504</v>
      </c>
      <c r="R43" s="10">
        <f t="shared" si="4"/>
        <v>-1969.1987328609646</v>
      </c>
    </row>
    <row r="44" spans="8:18" x14ac:dyDescent="0.3">
      <c r="H44" t="s">
        <v>55</v>
      </c>
      <c r="I44" s="7">
        <f>+Sheet1!G43</f>
        <v>-1.2387766832497572E-2</v>
      </c>
      <c r="J44" s="9">
        <f>+J43+K43-Sheet1!$S$22</f>
        <v>102761.70913920731</v>
      </c>
      <c r="K44" s="9">
        <f t="shared" si="3"/>
        <v>-1238.7766832497573</v>
      </c>
      <c r="L44" s="9">
        <f>+L43+M43-Sheet1!$S$22</f>
        <v>102341.0755550731</v>
      </c>
      <c r="M44" s="9">
        <f t="shared" si="1"/>
        <v>-1267.7773813632625</v>
      </c>
      <c r="N44" s="30">
        <f>+I44-Sheet1!$T$22</f>
        <v>-1.4317766832497572E-2</v>
      </c>
      <c r="O44" s="10">
        <f>+O43+P43-Sheet1!$S$22-Sheet1!$S$22</f>
        <v>94602.709139207305</v>
      </c>
      <c r="P44" s="10">
        <f t="shared" si="2"/>
        <v>-1431.7766832497571</v>
      </c>
      <c r="Q44" s="10">
        <f>+Q43+R43-Sheet1!$S$22-Sheet1!$S$22</f>
        <v>94304.962669270535</v>
      </c>
      <c r="R44" s="10">
        <f t="shared" si="4"/>
        <v>-1350.2364666460032</v>
      </c>
    </row>
    <row r="45" spans="8:18" x14ac:dyDescent="0.3">
      <c r="H45" t="s">
        <v>56</v>
      </c>
      <c r="I45" s="7">
        <f>+Sheet1!G44</f>
        <v>-1.832858869866905E-3</v>
      </c>
      <c r="J45" s="9">
        <f>+J44+K44-Sheet1!$S$22</f>
        <v>101516.93245595755</v>
      </c>
      <c r="K45" s="9">
        <f t="shared" si="3"/>
        <v>-183.28588698669049</v>
      </c>
      <c r="L45" s="9">
        <f>+L44+M44-Sheet1!$S$22</f>
        <v>101067.29817370983</v>
      </c>
      <c r="M45" s="9">
        <f t="shared" si="1"/>
        <v>-185.2420939111673</v>
      </c>
      <c r="N45" s="30">
        <f>+I45-Sheet1!$T$22</f>
        <v>-3.7628588698669051E-3</v>
      </c>
      <c r="O45" s="10">
        <f>+O44+P44-Sheet1!$S$22-Sheet1!$S$22</f>
        <v>93158.932455957547</v>
      </c>
      <c r="P45" s="10">
        <f t="shared" si="2"/>
        <v>-376.28588698669051</v>
      </c>
      <c r="Q45" s="10">
        <f>+Q44+R44-Sheet1!$S$22-Sheet1!$S$22</f>
        <v>92942.72620262453</v>
      </c>
      <c r="R45" s="10">
        <f t="shared" si="4"/>
        <v>-349.73036168115692</v>
      </c>
    </row>
    <row r="46" spans="8:18" x14ac:dyDescent="0.3">
      <c r="H46" t="s">
        <v>57</v>
      </c>
      <c r="I46" s="7">
        <f>+Sheet1!G45</f>
        <v>7.6312040127252279E-3</v>
      </c>
      <c r="J46" s="9">
        <f>+J45+K45-Sheet1!$S$22</f>
        <v>101327.64656897086</v>
      </c>
      <c r="K46" s="9">
        <f t="shared" si="3"/>
        <v>763.12040127252283</v>
      </c>
      <c r="L46" s="9">
        <f>+L45+M45-Sheet1!$S$22</f>
        <v>100876.05607979867</v>
      </c>
      <c r="M46" s="9">
        <f t="shared" si="1"/>
        <v>769.80576394405477</v>
      </c>
      <c r="N46" s="30">
        <f>+I46-Sheet1!$T$22</f>
        <v>5.7012040127252276E-3</v>
      </c>
      <c r="O46" s="10">
        <f>+O45+P45-Sheet1!$S$22-Sheet1!$S$22</f>
        <v>92770.646568970857</v>
      </c>
      <c r="P46" s="10">
        <f t="shared" si="2"/>
        <v>570.12040127252271</v>
      </c>
      <c r="Q46" s="10">
        <f>+Q45+R45-Sheet1!$S$22-Sheet1!$S$22</f>
        <v>92580.995840943375</v>
      </c>
      <c r="R46" s="10">
        <f t="shared" si="4"/>
        <v>527.82314499048402</v>
      </c>
    </row>
    <row r="47" spans="8:18" x14ac:dyDescent="0.3">
      <c r="H47" t="s">
        <v>58</v>
      </c>
      <c r="I47" s="7">
        <f>+Sheet1!G46</f>
        <v>1.2593962769097296E-3</v>
      </c>
      <c r="J47" s="9">
        <f>+J46+K46-Sheet1!$S$22</f>
        <v>102084.76697024338</v>
      </c>
      <c r="K47" s="9">
        <f t="shared" si="3"/>
        <v>125.93962769097296</v>
      </c>
      <c r="L47" s="9">
        <f>+L46+M46-Sheet1!$S$22</f>
        <v>101639.86184374272</v>
      </c>
      <c r="M47" s="9">
        <f t="shared" si="1"/>
        <v>128.00486359162886</v>
      </c>
      <c r="N47" s="30">
        <f>+I47-Sheet1!$T$22</f>
        <v>-6.7060372309027047E-4</v>
      </c>
      <c r="O47" s="10">
        <f>+O46+P46-Sheet1!$S$22-Sheet1!$S$22</f>
        <v>93328.766970243378</v>
      </c>
      <c r="P47" s="10">
        <f t="shared" si="2"/>
        <v>-67.060372309027045</v>
      </c>
      <c r="Q47" s="10">
        <f>+Q46+R46-Sheet1!$S$22-Sheet1!$S$22</f>
        <v>93096.81898593386</v>
      </c>
      <c r="R47" s="10">
        <f t="shared" si="4"/>
        <v>-62.431073419828223</v>
      </c>
    </row>
    <row r="48" spans="8:18" x14ac:dyDescent="0.3">
      <c r="H48" t="s">
        <v>59</v>
      </c>
      <c r="I48" s="7">
        <f>+Sheet1!G47</f>
        <v>1.4164029226741686E-2</v>
      </c>
      <c r="J48" s="9">
        <f>+J47+K47-Sheet1!$S$22</f>
        <v>102204.70659793435</v>
      </c>
      <c r="K48" s="9">
        <f t="shared" si="3"/>
        <v>1416.4029226741686</v>
      </c>
      <c r="L48" s="9">
        <f>+L47+M47-Sheet1!$S$22</f>
        <v>101761.86670733435</v>
      </c>
      <c r="M48" s="9">
        <f t="shared" si="1"/>
        <v>1441.3580542104755</v>
      </c>
      <c r="N48" s="30">
        <f>+I48-Sheet1!$T$22</f>
        <v>1.2234029226741687E-2</v>
      </c>
      <c r="O48" s="10">
        <f>+O47+P47-Sheet1!$S$22-Sheet1!$S$22</f>
        <v>93249.706597934346</v>
      </c>
      <c r="P48" s="10">
        <f t="shared" si="2"/>
        <v>1223.4029226741686</v>
      </c>
      <c r="Q48" s="10">
        <f>+Q47+R47-Sheet1!$S$22-Sheet1!$S$22</f>
        <v>93022.387912514037</v>
      </c>
      <c r="R48" s="10">
        <f t="shared" si="4"/>
        <v>1138.0386124629993</v>
      </c>
    </row>
    <row r="49" spans="8:18" x14ac:dyDescent="0.3">
      <c r="H49" t="s">
        <v>60</v>
      </c>
      <c r="I49" s="7">
        <f>+Sheet1!G48</f>
        <v>-9.5594678562893557E-3</v>
      </c>
      <c r="J49" s="9">
        <f>+J48+K48-Sheet1!$S$22</f>
        <v>103615.10952060852</v>
      </c>
      <c r="K49" s="9">
        <f t="shared" si="3"/>
        <v>-955.94678562893557</v>
      </c>
      <c r="L49" s="9">
        <f>+L48+M48-Sheet1!$S$22</f>
        <v>103197.22476154483</v>
      </c>
      <c r="M49" s="9">
        <f t="shared" si="1"/>
        <v>-986.51055296625577</v>
      </c>
      <c r="N49" s="30">
        <f>+I49-Sheet1!$T$22</f>
        <v>-1.1489467856289355E-2</v>
      </c>
      <c r="O49" s="10">
        <f>+O48+P48-Sheet1!$S$22-Sheet1!$S$22</f>
        <v>94461.109520608516</v>
      </c>
      <c r="P49" s="10">
        <f t="shared" si="2"/>
        <v>-1148.9467856289355</v>
      </c>
      <c r="Q49" s="10">
        <f>+Q48+R48-Sheet1!$S$22-Sheet1!$S$22</f>
        <v>94148.42652497704</v>
      </c>
      <c r="R49" s="10">
        <f t="shared" si="4"/>
        <v>-1081.7153202789439</v>
      </c>
    </row>
    <row r="50" spans="8:18" x14ac:dyDescent="0.3">
      <c r="H50" t="s">
        <v>61</v>
      </c>
      <c r="I50" s="7">
        <f>+Sheet1!G49</f>
        <v>2.6225930939728886E-2</v>
      </c>
      <c r="J50" s="9">
        <f>+J49+K49-Sheet1!$S$22</f>
        <v>102653.16273497957</v>
      </c>
      <c r="K50" s="9">
        <f t="shared" si="3"/>
        <v>2622.5930939728887</v>
      </c>
      <c r="L50" s="9">
        <f>+L49+M49-Sheet1!$S$22</f>
        <v>102204.71420857857</v>
      </c>
      <c r="M50" s="9">
        <f t="shared" si="1"/>
        <v>2680.4137765489095</v>
      </c>
      <c r="N50" s="30">
        <f>+I50-Sheet1!$T$22</f>
        <v>2.4295930939728885E-2</v>
      </c>
      <c r="O50" s="10">
        <f>+O49+P49-Sheet1!$S$22-Sheet1!$S$22</f>
        <v>93300.162734979574</v>
      </c>
      <c r="P50" s="10">
        <f t="shared" si="2"/>
        <v>2429.5930939728887</v>
      </c>
      <c r="Q50" s="10">
        <f>+Q49+R49-Sheet1!$S$22-Sheet1!$S$22</f>
        <v>93054.711204698091</v>
      </c>
      <c r="R50" s="10">
        <f t="shared" si="4"/>
        <v>2260.8508370457607</v>
      </c>
    </row>
    <row r="51" spans="8:18" x14ac:dyDescent="0.3">
      <c r="H51" t="s">
        <v>62</v>
      </c>
      <c r="I51" s="7">
        <f>+Sheet1!G50</f>
        <v>-1.3874294609846266E-2</v>
      </c>
      <c r="J51" s="9">
        <f>+J50+K50-Sheet1!$S$22</f>
        <v>105269.75582895246</v>
      </c>
      <c r="K51" s="9">
        <f t="shared" si="3"/>
        <v>-1387.4294609846265</v>
      </c>
      <c r="L51" s="9">
        <f>+L50+M50-Sheet1!$S$22</f>
        <v>104879.12798512749</v>
      </c>
      <c r="M51" s="9">
        <f t="shared" si="1"/>
        <v>-1455.1239200894311</v>
      </c>
      <c r="N51" s="30">
        <f>+I51-Sheet1!$T$22</f>
        <v>-1.5804294609846267E-2</v>
      </c>
      <c r="O51" s="10">
        <f>+O50+P50-Sheet1!$S$22-Sheet1!$S$22</f>
        <v>95717.75582895246</v>
      </c>
      <c r="P51" s="10">
        <f t="shared" si="2"/>
        <v>-1580.4294609846268</v>
      </c>
      <c r="Q51" s="10">
        <f>+Q50+R50-Sheet1!$S$22-Sheet1!$S$22</f>
        <v>95303.562041743848</v>
      </c>
      <c r="R51" s="10">
        <f t="shared" si="4"/>
        <v>-1506.2055718754816</v>
      </c>
    </row>
    <row r="52" spans="8:18" x14ac:dyDescent="0.3">
      <c r="H52" t="s">
        <v>63</v>
      </c>
      <c r="I52" s="7">
        <f>+Sheet1!G51</f>
        <v>-2.0655270655270688E-2</v>
      </c>
      <c r="J52" s="9">
        <f>+J51+K51-Sheet1!$S$22</f>
        <v>103876.32636796783</v>
      </c>
      <c r="K52" s="9">
        <f t="shared" si="3"/>
        <v>-2065.5270655270688</v>
      </c>
      <c r="L52" s="9">
        <f>+L51+M51-Sheet1!$S$22</f>
        <v>103418.00406503805</v>
      </c>
      <c r="M52" s="9">
        <f t="shared" si="1"/>
        <v>-2136.1268645912451</v>
      </c>
      <c r="N52" s="30">
        <f>+I52-Sheet1!$T$22</f>
        <v>-2.2585270655270689E-2</v>
      </c>
      <c r="O52" s="10">
        <f>+O51+P51-Sheet1!$S$22-Sheet1!$S$22</f>
        <v>94125.326367967835</v>
      </c>
      <c r="P52" s="10">
        <f t="shared" si="2"/>
        <v>-2258.5270655270688</v>
      </c>
      <c r="Q52" s="10">
        <f>+Q51+R51-Sheet1!$S$22-Sheet1!$S$22</f>
        <v>93785.356469868362</v>
      </c>
      <c r="R52" s="10">
        <f t="shared" si="4"/>
        <v>-2118.167659373019</v>
      </c>
    </row>
    <row r="53" spans="8:18" x14ac:dyDescent="0.3">
      <c r="H53" t="s">
        <v>64</v>
      </c>
      <c r="I53" s="7">
        <f>+Sheet1!G52</f>
        <v>-4.1606913729337974E-2</v>
      </c>
      <c r="J53" s="9">
        <f>+J52+K52-Sheet1!$S$22</f>
        <v>101804.79930244076</v>
      </c>
      <c r="K53" s="9">
        <f t="shared" si="3"/>
        <v>-4160.6913729337975</v>
      </c>
      <c r="L53" s="9">
        <f>+L52+M52-Sheet1!$S$22</f>
        <v>101275.8772004468</v>
      </c>
      <c r="M53" s="9">
        <f t="shared" si="1"/>
        <v>-4213.7766855420168</v>
      </c>
      <c r="N53" s="30">
        <f>+I53-Sheet1!$T$22</f>
        <v>-4.3536913729337975E-2</v>
      </c>
      <c r="O53" s="10">
        <f>+O52+P52-Sheet1!$S$22-Sheet1!$S$22</f>
        <v>91854.799302440762</v>
      </c>
      <c r="P53" s="10">
        <f t="shared" si="2"/>
        <v>-4353.6913729337975</v>
      </c>
      <c r="Q53" s="10">
        <f>+Q52+R52-Sheet1!$S$22-Sheet1!$S$22</f>
        <v>91655.18881049534</v>
      </c>
      <c r="R53" s="10">
        <f t="shared" si="4"/>
        <v>-3990.3840480887188</v>
      </c>
    </row>
    <row r="54" spans="8:18" x14ac:dyDescent="0.3">
      <c r="H54" t="s">
        <v>65</v>
      </c>
      <c r="I54" s="7">
        <f>+Sheet1!G53</f>
        <v>-4.1874090182054185E-3</v>
      </c>
      <c r="J54" s="9">
        <f>+J53+K53-Sheet1!$S$22</f>
        <v>97638.107929506965</v>
      </c>
      <c r="K54" s="9">
        <f t="shared" si="3"/>
        <v>-418.74090182054186</v>
      </c>
      <c r="L54" s="9">
        <f>+L53+M53-Sheet1!$S$22</f>
        <v>97056.100514904785</v>
      </c>
      <c r="M54" s="9">
        <f t="shared" si="1"/>
        <v>-406.41359056796387</v>
      </c>
      <c r="N54" s="30">
        <f>+I54-Sheet1!$T$22</f>
        <v>-6.1174090182054188E-3</v>
      </c>
      <c r="O54" s="10">
        <f>+O53+P53-Sheet1!$S$22-Sheet1!$S$22</f>
        <v>87489.107929506965</v>
      </c>
      <c r="P54" s="10">
        <f t="shared" si="2"/>
        <v>-611.74090182054192</v>
      </c>
      <c r="Q54" s="10">
        <f>+Q53+R53-Sheet1!$S$22-Sheet1!$S$22</f>
        <v>87652.804762406624</v>
      </c>
      <c r="R54" s="10">
        <f t="shared" si="4"/>
        <v>-536.20805832454516</v>
      </c>
    </row>
    <row r="55" spans="8:18" x14ac:dyDescent="0.3">
      <c r="H55" t="s">
        <v>66</v>
      </c>
      <c r="I55" s="7">
        <f>+Sheet1!G54</f>
        <v>-1.8328432522143997E-2</v>
      </c>
      <c r="J55" s="9">
        <f>+J54+K54-Sheet1!$S$22</f>
        <v>97213.367027686429</v>
      </c>
      <c r="K55" s="9">
        <f t="shared" si="3"/>
        <v>-1832.8432522143996</v>
      </c>
      <c r="L55" s="9">
        <f>+L54+M54-Sheet1!$S$22</f>
        <v>96643.686924336827</v>
      </c>
      <c r="M55" s="9">
        <f t="shared" si="1"/>
        <v>-1771.3272944839177</v>
      </c>
      <c r="N55" s="30">
        <f>+I55-Sheet1!$T$22</f>
        <v>-2.0258432522143998E-2</v>
      </c>
      <c r="O55" s="10">
        <f>+O54+P54-Sheet1!$S$22-Sheet1!$S$22</f>
        <v>86865.367027686429</v>
      </c>
      <c r="P55" s="10">
        <f t="shared" si="2"/>
        <v>-2025.8432522143999</v>
      </c>
      <c r="Q55" s="10">
        <f>+Q54+R54-Sheet1!$S$22-Sheet1!$S$22</f>
        <v>87104.596704082083</v>
      </c>
      <c r="R55" s="10">
        <f t="shared" si="4"/>
        <v>-1764.6025946982134</v>
      </c>
    </row>
    <row r="56" spans="8:18" x14ac:dyDescent="0.3">
      <c r="H56" t="s">
        <v>67</v>
      </c>
      <c r="I56" s="7">
        <f>+Sheet1!G55</f>
        <v>-4.3675274335316502E-3</v>
      </c>
      <c r="J56" s="9">
        <f>+J55+K55-Sheet1!$S$22</f>
        <v>95374.523775472029</v>
      </c>
      <c r="K56" s="9">
        <f t="shared" si="3"/>
        <v>-436.75274335316504</v>
      </c>
      <c r="L56" s="9">
        <f>+L55+M55-Sheet1!$S$22</f>
        <v>94866.359629852916</v>
      </c>
      <c r="M56" s="9">
        <f t="shared" si="1"/>
        <v>-414.33142820266204</v>
      </c>
      <c r="N56" s="30">
        <f>+I56-Sheet1!$T$22</f>
        <v>-6.2975274335316505E-3</v>
      </c>
      <c r="O56" s="10">
        <f>+O55+P55-Sheet1!$S$22-Sheet1!$S$22</f>
        <v>84827.523775472029</v>
      </c>
      <c r="P56" s="10">
        <f t="shared" si="2"/>
        <v>-629.7527433531651</v>
      </c>
      <c r="Q56" s="10">
        <f>+Q55+R55-Sheet1!$S$22-Sheet1!$S$22</f>
        <v>85327.994109383872</v>
      </c>
      <c r="R56" s="10">
        <f t="shared" si="4"/>
        <v>-537.35538375207204</v>
      </c>
    </row>
    <row r="57" spans="8:18" x14ac:dyDescent="0.3">
      <c r="H57" t="s">
        <v>68</v>
      </c>
      <c r="I57" s="7">
        <f>+Sheet1!G56</f>
        <v>-4.916744347571886E-3</v>
      </c>
      <c r="J57" s="9">
        <f>+J56+K56-Sheet1!$S$22</f>
        <v>94931.771032118864</v>
      </c>
      <c r="K57" s="9">
        <f t="shared" si="3"/>
        <v>-491.67443475718858</v>
      </c>
      <c r="L57" s="9">
        <f>+L56+M56-Sheet1!$S$22</f>
        <v>94446.028201650261</v>
      </c>
      <c r="M57" s="9">
        <f t="shared" si="1"/>
        <v>-464.36697531107887</v>
      </c>
      <c r="N57" s="30">
        <f>+I57-Sheet1!$T$22</f>
        <v>-6.8467443475718863E-3</v>
      </c>
      <c r="O57" s="10">
        <f>+O56+P56-Sheet1!$S$22-Sheet1!$S$22</f>
        <v>84185.771032118864</v>
      </c>
      <c r="P57" s="10">
        <f t="shared" si="2"/>
        <v>-684.67443475718858</v>
      </c>
      <c r="Q57" s="10">
        <f>+Q56+R56-Sheet1!$S$22-Sheet1!$S$22</f>
        <v>84778.638725631798</v>
      </c>
      <c r="R57" s="10">
        <f t="shared" si="4"/>
        <v>-580.45766548955851</v>
      </c>
    </row>
    <row r="58" spans="8:18" x14ac:dyDescent="0.3">
      <c r="H58" t="s">
        <v>69</v>
      </c>
      <c r="I58" s="7">
        <f>+Sheet1!G57</f>
        <v>-5.7594355753145198E-4</v>
      </c>
      <c r="J58" s="9">
        <f>+J57+K57-Sheet1!$S$22</f>
        <v>94434.096597361669</v>
      </c>
      <c r="K58" s="9">
        <f t="shared" si="3"/>
        <v>-57.594355753145202</v>
      </c>
      <c r="L58" s="9">
        <f>+L57+M57-Sheet1!$S$22</f>
        <v>93975.661226339187</v>
      </c>
      <c r="M58" s="9">
        <f t="shared" si="1"/>
        <v>-54.124676648068323</v>
      </c>
      <c r="N58" s="30">
        <f>+I58-Sheet1!$T$22</f>
        <v>-2.5059435575314521E-3</v>
      </c>
      <c r="O58" s="10">
        <f>+O57+P57-Sheet1!$S$22-Sheet1!$S$22</f>
        <v>83489.096597361669</v>
      </c>
      <c r="P58" s="10">
        <f t="shared" si="2"/>
        <v>-250.59435575314521</v>
      </c>
      <c r="Q58" s="10">
        <f>+Q57+R57-Sheet1!$S$22-Sheet1!$S$22</f>
        <v>84186.181060142233</v>
      </c>
      <c r="R58" s="10">
        <f t="shared" si="4"/>
        <v>-210.96581806083978</v>
      </c>
    </row>
    <row r="59" spans="8:18" x14ac:dyDescent="0.3">
      <c r="H59" t="s">
        <v>70</v>
      </c>
      <c r="I59" s="7">
        <f>+Sheet1!G58</f>
        <v>1.121124729632305E-2</v>
      </c>
      <c r="J59" s="9">
        <f>+J58+K58-Sheet1!$S$22</f>
        <v>94370.502241608527</v>
      </c>
      <c r="K59" s="9">
        <f t="shared" si="3"/>
        <v>1121.1247296323049</v>
      </c>
      <c r="L59" s="9">
        <f>+L58+M58-Sheet1!$S$22</f>
        <v>93915.536549691125</v>
      </c>
      <c r="M59" s="9">
        <f t="shared" si="1"/>
        <v>1052.9103052254532</v>
      </c>
      <c r="N59" s="30">
        <f>+I59-Sheet1!$T$22</f>
        <v>9.2812472963230506E-3</v>
      </c>
      <c r="O59" s="10">
        <f>+O58+P58-Sheet1!$S$22-Sheet1!$S$22</f>
        <v>83226.502241608527</v>
      </c>
      <c r="P59" s="10">
        <f t="shared" si="2"/>
        <v>928.12472963230505</v>
      </c>
      <c r="Q59" s="10">
        <f>+Q58+R58-Sheet1!$S$22-Sheet1!$S$22</f>
        <v>83963.215242081395</v>
      </c>
      <c r="R59" s="10">
        <f t="shared" si="4"/>
        <v>779.28336445615832</v>
      </c>
    </row>
    <row r="60" spans="8:18" x14ac:dyDescent="0.3">
      <c r="H60" t="s">
        <v>71</v>
      </c>
      <c r="I60" s="7">
        <f>+Sheet1!G59</f>
        <v>-1.5005702879954303E-2</v>
      </c>
      <c r="J60" s="9">
        <f>+J59+K59-Sheet1!$S$22</f>
        <v>95485.626971240825</v>
      </c>
      <c r="K60" s="9">
        <f t="shared" si="3"/>
        <v>-1500.5702879954304</v>
      </c>
      <c r="L60" s="9">
        <f>+L59+M59-Sheet1!$S$22</f>
        <v>94962.446854916576</v>
      </c>
      <c r="M60" s="9">
        <f t="shared" si="1"/>
        <v>-1424.9782622583291</v>
      </c>
      <c r="N60" s="30">
        <f>+I60-Sheet1!$T$22</f>
        <v>-1.6935702879954304E-2</v>
      </c>
      <c r="O60" s="10">
        <f>+O59+P59-Sheet1!$S$22-Sheet1!$S$22</f>
        <v>84142.626971240825</v>
      </c>
      <c r="P60" s="10">
        <f t="shared" si="2"/>
        <v>-1693.5702879954304</v>
      </c>
      <c r="Q60" s="10">
        <f>+Q59+R59-Sheet1!$S$22-Sheet1!$S$22</f>
        <v>84730.498606537556</v>
      </c>
      <c r="R60" s="10">
        <f t="shared" si="4"/>
        <v>-1434.9705492707023</v>
      </c>
    </row>
    <row r="61" spans="8:18" x14ac:dyDescent="0.3">
      <c r="H61" t="s">
        <v>72</v>
      </c>
      <c r="I61" s="7">
        <f>+Sheet1!G60</f>
        <v>-1.758520667149746E-3</v>
      </c>
      <c r="J61" s="9">
        <f>+J60+K60-Sheet1!$S$22</f>
        <v>93979.056683245391</v>
      </c>
      <c r="K61" s="9">
        <f t="shared" si="3"/>
        <v>-175.8520667149746</v>
      </c>
      <c r="L61" s="9">
        <f>+L60+M60-Sheet1!$S$22</f>
        <v>93531.468592658246</v>
      </c>
      <c r="M61" s="9">
        <f t="shared" si="1"/>
        <v>-164.4770205490569</v>
      </c>
      <c r="N61" s="30">
        <f>+I61-Sheet1!$T$22</f>
        <v>-3.6885206671497459E-3</v>
      </c>
      <c r="O61" s="10">
        <f>+O60+P60-Sheet1!$S$22-Sheet1!$S$22</f>
        <v>82437.056683245391</v>
      </c>
      <c r="P61" s="10">
        <f t="shared" si="2"/>
        <v>-368.85206671497457</v>
      </c>
      <c r="Q61" s="10">
        <f>+Q60+R60-Sheet1!$S$22-Sheet1!$S$22</f>
        <v>83283.528057266856</v>
      </c>
      <c r="R61" s="10">
        <f t="shared" si="4"/>
        <v>-307.1930144723745</v>
      </c>
    </row>
    <row r="62" spans="8:18" x14ac:dyDescent="0.3">
      <c r="H62" t="s">
        <v>73</v>
      </c>
      <c r="I62" s="7">
        <f>+Sheet1!G61</f>
        <v>4.6918090326277797E-3</v>
      </c>
      <c r="J62" s="9">
        <f>+J61+K61-Sheet1!$S$22</f>
        <v>93797.20461653042</v>
      </c>
      <c r="K62" s="9">
        <f t="shared" si="3"/>
        <v>469.18090326277797</v>
      </c>
      <c r="L62" s="9">
        <f>+L61+M61-Sheet1!$S$22</f>
        <v>93360.991572109182</v>
      </c>
      <c r="M62" s="9">
        <f t="shared" si="1"/>
        <v>438.03194355310785</v>
      </c>
      <c r="N62" s="30">
        <f>+I62-Sheet1!$T$22</f>
        <v>2.7618090326277794E-3</v>
      </c>
      <c r="O62" s="10">
        <f>+O61+P61-Sheet1!$S$22-Sheet1!$S$22</f>
        <v>82056.20461653042</v>
      </c>
      <c r="P62" s="10">
        <f t="shared" si="2"/>
        <v>276.18090326277792</v>
      </c>
      <c r="Q62" s="10">
        <f>+Q61+R61-Sheet1!$S$22-Sheet1!$S$22</f>
        <v>82964.335042794482</v>
      </c>
      <c r="R62" s="10">
        <f t="shared" si="4"/>
        <v>229.13164990714722</v>
      </c>
    </row>
    <row r="63" spans="8:18" x14ac:dyDescent="0.3">
      <c r="H63" t="s">
        <v>74</v>
      </c>
      <c r="I63" s="7">
        <f>+Sheet1!G62</f>
        <v>1.4081284213127442E-4</v>
      </c>
      <c r="J63" s="9">
        <f>+J62+K62-Sheet1!$S$22</f>
        <v>94260.385519793199</v>
      </c>
      <c r="K63" s="9">
        <f t="shared" si="3"/>
        <v>14.081284213127441</v>
      </c>
      <c r="L63" s="9">
        <f>+L62+M62-Sheet1!$S$22</f>
        <v>93793.023515662295</v>
      </c>
      <c r="M63" s="9">
        <f t="shared" si="1"/>
        <v>13.207262213325864</v>
      </c>
      <c r="N63" s="30">
        <f>+I63-Sheet1!$T$22</f>
        <v>-1.7891871578687257E-3</v>
      </c>
      <c r="O63" s="10">
        <f>+O62+P62-Sheet1!$S$22-Sheet1!$S$22</f>
        <v>82320.385519793199</v>
      </c>
      <c r="P63" s="10">
        <f t="shared" si="2"/>
        <v>-178.91871578687258</v>
      </c>
      <c r="Q63" s="10">
        <f>+Q62+R62-Sheet1!$S$22-Sheet1!$S$22</f>
        <v>83181.466692701622</v>
      </c>
      <c r="R63" s="10">
        <f t="shared" si="4"/>
        <v>-148.82721197926688</v>
      </c>
    </row>
    <row r="64" spans="8:18" x14ac:dyDescent="0.3">
      <c r="H64" t="s">
        <v>75</v>
      </c>
      <c r="I64" s="7">
        <f>+Sheet1!G63</f>
        <v>1.6110552940969077E-2</v>
      </c>
      <c r="J64" s="9">
        <f>+J63+K63-Sheet1!$S$22</f>
        <v>94268.466804006326</v>
      </c>
      <c r="K64" s="9">
        <f t="shared" si="3"/>
        <v>1611.0552940969078</v>
      </c>
      <c r="L64" s="9">
        <f>+L63+M63-Sheet1!$S$22</f>
        <v>93800.230777875622</v>
      </c>
      <c r="M64" s="9">
        <f t="shared" si="1"/>
        <v>1511.1735838220823</v>
      </c>
      <c r="N64" s="30">
        <f>+I64-Sheet1!$T$22</f>
        <v>1.4180552940969078E-2</v>
      </c>
      <c r="O64" s="10">
        <f>+O63+P63-Sheet1!$S$22-Sheet1!$S$22</f>
        <v>82129.466804006326</v>
      </c>
      <c r="P64" s="10">
        <f t="shared" si="2"/>
        <v>1418.0552940969078</v>
      </c>
      <c r="Q64" s="10">
        <f>+Q63+R63-Sheet1!$S$22-Sheet1!$S$22</f>
        <v>83020.639480722355</v>
      </c>
      <c r="R64" s="10">
        <f t="shared" si="4"/>
        <v>1177.2785733494909</v>
      </c>
    </row>
    <row r="65" spans="8:18" x14ac:dyDescent="0.3">
      <c r="H65" t="s">
        <v>76</v>
      </c>
      <c r="I65" s="7">
        <f>+Sheet1!G64</f>
        <v>2.7410174936276584E-3</v>
      </c>
      <c r="J65" s="9">
        <f>+J64+K64-Sheet1!$S$22</f>
        <v>95873.522098103233</v>
      </c>
      <c r="K65" s="9">
        <f t="shared" si="3"/>
        <v>274.10174936276582</v>
      </c>
      <c r="L65" s="9">
        <f>+L64+M64-Sheet1!$S$22</f>
        <v>95305.4043616977</v>
      </c>
      <c r="M65" s="9">
        <f t="shared" si="1"/>
        <v>261.23378059267111</v>
      </c>
      <c r="N65" s="30">
        <f>+I65-Sheet1!$T$22</f>
        <v>8.1101749362765831E-4</v>
      </c>
      <c r="O65" s="10">
        <f>+O64+P64-Sheet1!$S$22-Sheet1!$S$22</f>
        <v>83535.522098103233</v>
      </c>
      <c r="P65" s="10">
        <f t="shared" si="2"/>
        <v>81.10174936276583</v>
      </c>
      <c r="Q65" s="10">
        <f>+Q64+R64-Sheet1!$S$22-Sheet1!$S$22</f>
        <v>84185.918054071852</v>
      </c>
      <c r="R65" s="10">
        <f t="shared" si="4"/>
        <v>68.276252258956788</v>
      </c>
    </row>
    <row r="66" spans="8:18" x14ac:dyDescent="0.3">
      <c r="H66" t="s">
        <v>77</v>
      </c>
      <c r="I66" s="7">
        <f>+Sheet1!G65</f>
        <v>1.3416270276864696E-3</v>
      </c>
      <c r="J66" s="9">
        <f>+J65+K65-Sheet1!$S$22</f>
        <v>96141.623847465991</v>
      </c>
      <c r="K66" s="9">
        <f t="shared" si="3"/>
        <v>134.16270276864697</v>
      </c>
      <c r="L66" s="9">
        <f>+L65+M65-Sheet1!$S$22</f>
        <v>95560.638142290365</v>
      </c>
      <c r="M66" s="9">
        <f t="shared" si="1"/>
        <v>128.20673491466329</v>
      </c>
      <c r="N66" s="30">
        <f>+I66-Sheet1!$T$22</f>
        <v>-5.8837297231353045E-4</v>
      </c>
      <c r="O66" s="10">
        <f>+O65+P65-Sheet1!$S$22-Sheet1!$S$22</f>
        <v>83604.623847465991</v>
      </c>
      <c r="P66" s="10">
        <f t="shared" si="2"/>
        <v>-58.837297231353048</v>
      </c>
      <c r="Q66" s="10">
        <f>+Q65+R65-Sheet1!$S$22-Sheet1!$S$22</f>
        <v>84242.194306330814</v>
      </c>
      <c r="R66" s="10">
        <f t="shared" si="4"/>
        <v>-49.56583025822983</v>
      </c>
    </row>
    <row r="67" spans="8:18" x14ac:dyDescent="0.3">
      <c r="H67" t="s">
        <v>78</v>
      </c>
      <c r="I67" s="7">
        <f>+Sheet1!G66</f>
        <v>-5.2993336481451858E-3</v>
      </c>
      <c r="J67" s="9">
        <f>+J66+K66-Sheet1!$S$22</f>
        <v>96269.786550234639</v>
      </c>
      <c r="K67" s="9">
        <f t="shared" si="3"/>
        <v>-529.93336481451854</v>
      </c>
      <c r="L67" s="9">
        <f>+L66+M66-Sheet1!$S$22</f>
        <v>95682.844877205032</v>
      </c>
      <c r="M67" s="9">
        <f t="shared" si="1"/>
        <v>-507.05531940802882</v>
      </c>
      <c r="N67" s="30">
        <f>+I67-Sheet1!$T$22</f>
        <v>-7.2293336481451861E-3</v>
      </c>
      <c r="O67" s="10">
        <f>+O66+P66-Sheet1!$S$22-Sheet1!$S$22</f>
        <v>83533.786550234639</v>
      </c>
      <c r="P67" s="10">
        <f t="shared" si="2"/>
        <v>-722.93336481451865</v>
      </c>
      <c r="Q67" s="10">
        <f>+Q66+R66-Sheet1!$S$22-Sheet1!$S$22</f>
        <v>84180.628476072583</v>
      </c>
      <c r="R67" s="10">
        <f t="shared" ref="R67:R98" si="5">Q67*N67</f>
        <v>-608.56984996408039</v>
      </c>
    </row>
    <row r="68" spans="8:18" x14ac:dyDescent="0.3">
      <c r="H68" t="s">
        <v>79</v>
      </c>
      <c r="I68" s="7">
        <f>+Sheet1!G67</f>
        <v>-3.1531451826948685E-2</v>
      </c>
      <c r="J68" s="9">
        <f>+J67+K67-Sheet1!$S$22</f>
        <v>95733.853185420114</v>
      </c>
      <c r="K68" s="9">
        <f t="shared" si="3"/>
        <v>-3153.1451826948687</v>
      </c>
      <c r="L68" s="9">
        <f>+L67+M67-Sheet1!$S$22</f>
        <v>95169.789557797005</v>
      </c>
      <c r="M68" s="9">
        <f t="shared" ref="M68:M131" si="6">+L68*I68</f>
        <v>-3000.8416348225201</v>
      </c>
      <c r="N68" s="30">
        <f>+I68-Sheet1!$T$22</f>
        <v>-3.3461451826948686E-2</v>
      </c>
      <c r="O68" s="10">
        <f>+O67+P67-Sheet1!$S$22-Sheet1!$S$22</f>
        <v>82798.853185420114</v>
      </c>
      <c r="P68" s="10">
        <f t="shared" ref="P68:P131" si="7">+$O$3*N68</f>
        <v>-3346.1451826948687</v>
      </c>
      <c r="Q68" s="10">
        <f>+Q67+R67-Sheet1!$S$22-Sheet1!$S$22</f>
        <v>83560.058626108497</v>
      </c>
      <c r="R68" s="10">
        <f t="shared" si="5"/>
        <v>-2796.0408763745377</v>
      </c>
    </row>
    <row r="69" spans="8:18" x14ac:dyDescent="0.3">
      <c r="H69" t="s">
        <v>80</v>
      </c>
      <c r="I69" s="7">
        <f>+Sheet1!G68</f>
        <v>-7.7826395254307562E-4</v>
      </c>
      <c r="J69" s="9">
        <f>+J68+K68-Sheet1!$S$22</f>
        <v>92574.708002725238</v>
      </c>
      <c r="K69" s="9">
        <f t="shared" ref="K69:K132" si="8">+$J$3*I69</f>
        <v>-77.826395254307556</v>
      </c>
      <c r="L69" s="9">
        <f>+L68+M68-Sheet1!$S$22</f>
        <v>92162.94792297449</v>
      </c>
      <c r="M69" s="9">
        <f t="shared" si="6"/>
        <v>-71.727100128555776</v>
      </c>
      <c r="N69" s="30">
        <f>+I69-Sheet1!$T$22</f>
        <v>-2.7082639525430755E-3</v>
      </c>
      <c r="O69" s="10">
        <f>+O68+P68-Sheet1!$S$22-Sheet1!$S$22</f>
        <v>79440.708002725238</v>
      </c>
      <c r="P69" s="10">
        <f t="shared" si="7"/>
        <v>-270.82639525430756</v>
      </c>
      <c r="Q69" s="10">
        <f>+Q68+R68-Sheet1!$S$22-Sheet1!$S$22</f>
        <v>80752.017749733961</v>
      </c>
      <c r="R69" s="10">
        <f t="shared" si="5"/>
        <v>-218.69777876672308</v>
      </c>
    </row>
    <row r="70" spans="8:18" x14ac:dyDescent="0.3">
      <c r="H70" t="s">
        <v>81</v>
      </c>
      <c r="I70" s="7">
        <f>+Sheet1!G69</f>
        <v>9.817303653926945E-3</v>
      </c>
      <c r="J70" s="9">
        <f>+J69+K69-Sheet1!$S$22</f>
        <v>92490.881607470932</v>
      </c>
      <c r="K70" s="9">
        <f t="shared" si="8"/>
        <v>981.73036539269447</v>
      </c>
      <c r="L70" s="9">
        <f>+L69+M69-Sheet1!$S$22</f>
        <v>92085.220822845935</v>
      </c>
      <c r="M70" s="9">
        <f t="shared" si="6"/>
        <v>904.02857485679499</v>
      </c>
      <c r="N70" s="30">
        <f>+I70-Sheet1!$T$22</f>
        <v>7.8873036539269456E-3</v>
      </c>
      <c r="O70" s="10">
        <f>+O69+P69-Sheet1!$S$22-Sheet1!$S$22</f>
        <v>79157.881607470932</v>
      </c>
      <c r="P70" s="10">
        <f t="shared" si="7"/>
        <v>788.73036539269458</v>
      </c>
      <c r="Q70" s="10">
        <f>+Q69+R69-Sheet1!$S$22-Sheet1!$S$22</f>
        <v>80521.319970967234</v>
      </c>
      <c r="R70" s="10">
        <f t="shared" si="5"/>
        <v>635.09610122603056</v>
      </c>
    </row>
    <row r="71" spans="8:18" x14ac:dyDescent="0.3">
      <c r="H71" t="s">
        <v>82</v>
      </c>
      <c r="I71" s="7">
        <f>+Sheet1!G70</f>
        <v>3.9688114638945357E-3</v>
      </c>
      <c r="J71" s="9">
        <f>+J70+K70-Sheet1!$S$22</f>
        <v>93466.611972863626</v>
      </c>
      <c r="K71" s="9">
        <f t="shared" si="8"/>
        <v>396.88114638945359</v>
      </c>
      <c r="L71" s="9">
        <f>+L70+M70-Sheet1!$S$22</f>
        <v>92983.249397702733</v>
      </c>
      <c r="M71" s="9">
        <f t="shared" si="6"/>
        <v>369.03298615976729</v>
      </c>
      <c r="N71" s="30">
        <f>+I71-Sheet1!$T$22</f>
        <v>2.0388114638945354E-3</v>
      </c>
      <c r="O71" s="10">
        <f>+O70+P70-Sheet1!$S$22-Sheet1!$S$22</f>
        <v>79934.611972863626</v>
      </c>
      <c r="P71" s="10">
        <f t="shared" si="7"/>
        <v>203.88114638945353</v>
      </c>
      <c r="Q71" s="10">
        <f>+Q70+R70-Sheet1!$S$22-Sheet1!$S$22</f>
        <v>81144.416072193271</v>
      </c>
      <c r="R71" s="10">
        <f t="shared" si="5"/>
        <v>165.43816571901561</v>
      </c>
    </row>
    <row r="72" spans="8:18" x14ac:dyDescent="0.3">
      <c r="H72" t="s">
        <v>83</v>
      </c>
      <c r="I72" s="7">
        <f>+Sheet1!G71</f>
        <v>-2.2188122828368215E-2</v>
      </c>
      <c r="J72" s="9">
        <f>+J71+K71-Sheet1!$S$22</f>
        <v>93857.493119253078</v>
      </c>
      <c r="K72" s="9">
        <f t="shared" si="8"/>
        <v>-2218.8122828368214</v>
      </c>
      <c r="L72" s="9">
        <f>+L71+M71-Sheet1!$S$22</f>
        <v>93346.282383862505</v>
      </c>
      <c r="M72" s="9">
        <f t="shared" si="6"/>
        <v>-2071.1787791046854</v>
      </c>
      <c r="N72" s="30">
        <f>+I72-Sheet1!$T$22</f>
        <v>-2.4118122828368217E-2</v>
      </c>
      <c r="O72" s="10">
        <f>+O71+P71-Sheet1!$S$22-Sheet1!$S$22</f>
        <v>80126.493119253078</v>
      </c>
      <c r="P72" s="10">
        <f t="shared" si="7"/>
        <v>-2411.8122828368219</v>
      </c>
      <c r="Q72" s="10">
        <f>+Q71+R71-Sheet1!$S$22-Sheet1!$S$22</f>
        <v>81297.854237912281</v>
      </c>
      <c r="R72" s="10">
        <f t="shared" si="5"/>
        <v>-1960.7516341927439</v>
      </c>
    </row>
    <row r="73" spans="8:18" x14ac:dyDescent="0.3">
      <c r="H73" t="s">
        <v>84</v>
      </c>
      <c r="I73" s="7">
        <f>+Sheet1!G72</f>
        <v>2.7702761564600735E-3</v>
      </c>
      <c r="J73" s="9">
        <f>+J72+K72-Sheet1!$S$22</f>
        <v>91632.680836416257</v>
      </c>
      <c r="K73" s="9">
        <f t="shared" si="8"/>
        <v>277.02761564600735</v>
      </c>
      <c r="L73" s="9">
        <f>+L72+M72-Sheet1!$S$22</f>
        <v>91269.103604757824</v>
      </c>
      <c r="M73" s="9">
        <f t="shared" si="6"/>
        <v>252.84062153774474</v>
      </c>
      <c r="N73" s="30">
        <f>+I73-Sheet1!$T$22</f>
        <v>8.4027615646007346E-4</v>
      </c>
      <c r="O73" s="10">
        <f>+O72+P72-Sheet1!$S$22-Sheet1!$S$22</f>
        <v>77702.680836416257</v>
      </c>
      <c r="P73" s="10">
        <f t="shared" si="7"/>
        <v>84.027615646007348</v>
      </c>
      <c r="Q73" s="10">
        <f>+Q72+R72-Sheet1!$S$22-Sheet1!$S$22</f>
        <v>79325.102603719541</v>
      </c>
      <c r="R73" s="10">
        <f t="shared" si="5"/>
        <v>66.654992326654423</v>
      </c>
    </row>
    <row r="74" spans="8:18" x14ac:dyDescent="0.3">
      <c r="H74" t="s">
        <v>85</v>
      </c>
      <c r="I74" s="7">
        <f>+Sheet1!G73</f>
        <v>4.2931774685770604E-3</v>
      </c>
      <c r="J74" s="9">
        <f>+J73+K73-Sheet1!$S$22</f>
        <v>91903.708452062259</v>
      </c>
      <c r="K74" s="9">
        <f t="shared" si="8"/>
        <v>429.31774685770603</v>
      </c>
      <c r="L74" s="9">
        <f>+L73+M73-Sheet1!$S$22</f>
        <v>91515.944226295571</v>
      </c>
      <c r="M74" s="9">
        <f t="shared" si="6"/>
        <v>392.89418976788704</v>
      </c>
      <c r="N74" s="30">
        <f>+I74-Sheet1!$T$22</f>
        <v>2.3631774685770601E-3</v>
      </c>
      <c r="O74" s="10">
        <f>+O73+P73-Sheet1!$S$22-Sheet1!$S$22</f>
        <v>77774.708452062259</v>
      </c>
      <c r="P74" s="10">
        <f t="shared" si="7"/>
        <v>236.31774685770603</v>
      </c>
      <c r="Q74" s="10">
        <f>+Q73+R73-Sheet1!$S$22-Sheet1!$S$22</f>
        <v>79379.757596046198</v>
      </c>
      <c r="R74" s="10">
        <f t="shared" si="5"/>
        <v>187.58845461208512</v>
      </c>
    </row>
    <row r="75" spans="8:18" x14ac:dyDescent="0.3">
      <c r="H75" t="s">
        <v>86</v>
      </c>
      <c r="I75" s="7">
        <f>+Sheet1!G74</f>
        <v>1.0688489714687697E-2</v>
      </c>
      <c r="J75" s="9">
        <f>+J74+K74-Sheet1!$S$22</f>
        <v>92327.026198919964</v>
      </c>
      <c r="K75" s="9">
        <f t="shared" si="8"/>
        <v>1068.8489714687696</v>
      </c>
      <c r="L75" s="9">
        <f>+L74+M74-Sheet1!$S$22</f>
        <v>91902.83841606346</v>
      </c>
      <c r="M75" s="9">
        <f t="shared" si="6"/>
        <v>982.30254316069966</v>
      </c>
      <c r="N75" s="30">
        <f>+I75-Sheet1!$T$22</f>
        <v>8.7584897146876974E-3</v>
      </c>
      <c r="O75" s="10">
        <f>+O74+P74-Sheet1!$S$22-Sheet1!$S$22</f>
        <v>77999.026198919964</v>
      </c>
      <c r="P75" s="10">
        <f t="shared" si="7"/>
        <v>875.84897146876972</v>
      </c>
      <c r="Q75" s="10">
        <f>+Q74+R74-Sheet1!$S$22-Sheet1!$S$22</f>
        <v>79555.346050658278</v>
      </c>
      <c r="R75" s="10">
        <f t="shared" si="5"/>
        <v>696.78468013311101</v>
      </c>
    </row>
    <row r="76" spans="8:18" x14ac:dyDescent="0.3">
      <c r="H76" t="s">
        <v>87</v>
      </c>
      <c r="I76" s="7">
        <f>+Sheet1!G75</f>
        <v>-8.9562159987405399E-3</v>
      </c>
      <c r="J76" s="9">
        <f>+J75+K75-Sheet1!$S$22</f>
        <v>93389.875170388739</v>
      </c>
      <c r="K76" s="9">
        <f t="shared" si="8"/>
        <v>-895.62159987405403</v>
      </c>
      <c r="L76" s="9">
        <f>+L75+M75-Sheet1!$S$22</f>
        <v>92879.140959224154</v>
      </c>
      <c r="M76" s="9">
        <f t="shared" si="6"/>
        <v>-831.8456482082812</v>
      </c>
      <c r="N76" s="30">
        <f>+I76-Sheet1!$T$22</f>
        <v>-1.0886215998740539E-2</v>
      </c>
      <c r="O76" s="10">
        <f>+O75+P75-Sheet1!$S$22-Sheet1!$S$22</f>
        <v>78862.875170388739</v>
      </c>
      <c r="P76" s="10">
        <f t="shared" si="7"/>
        <v>-1088.621599874054</v>
      </c>
      <c r="Q76" s="10">
        <f>+Q75+R75-Sheet1!$S$22-Sheet1!$S$22</f>
        <v>80240.130730791396</v>
      </c>
      <c r="R76" s="10">
        <f t="shared" si="5"/>
        <v>-873.51139490257367</v>
      </c>
    </row>
    <row r="77" spans="8:18" x14ac:dyDescent="0.3">
      <c r="H77" t="s">
        <v>88</v>
      </c>
      <c r="I77" s="7">
        <f>+Sheet1!G76</f>
        <v>-3.2782861750990581E-3</v>
      </c>
      <c r="J77" s="9">
        <f>+J76+K76-Sheet1!$S$22</f>
        <v>92488.253570514687</v>
      </c>
      <c r="K77" s="9">
        <f t="shared" si="8"/>
        <v>-327.82861750990583</v>
      </c>
      <c r="L77" s="9">
        <f>+L76+M76-Sheet1!$S$22</f>
        <v>92041.295311015871</v>
      </c>
      <c r="M77" s="9">
        <f t="shared" si="6"/>
        <v>-301.73770595631311</v>
      </c>
      <c r="N77" s="30">
        <f>+I77-Sheet1!$T$22</f>
        <v>-5.208286175099058E-3</v>
      </c>
      <c r="O77" s="10">
        <f>+O76+P76-Sheet1!$S$22-Sheet1!$S$22</f>
        <v>77762.253570514687</v>
      </c>
      <c r="P77" s="10">
        <f t="shared" si="7"/>
        <v>-520.82861750990583</v>
      </c>
      <c r="Q77" s="10">
        <f>+Q76+R76-Sheet1!$S$22-Sheet1!$S$22</f>
        <v>79354.619335888827</v>
      </c>
      <c r="R77" s="10">
        <f t="shared" si="5"/>
        <v>-413.30156681735815</v>
      </c>
    </row>
    <row r="78" spans="8:18" x14ac:dyDescent="0.3">
      <c r="H78" t="s">
        <v>89</v>
      </c>
      <c r="I78" s="7">
        <f>+Sheet1!G77</f>
        <v>-3.2297700544144602E-3</v>
      </c>
      <c r="J78" s="9">
        <f>+J77+K77-Sheet1!$S$22</f>
        <v>92154.424953004782</v>
      </c>
      <c r="K78" s="9">
        <f t="shared" si="8"/>
        <v>-322.97700544144601</v>
      </c>
      <c r="L78" s="9">
        <f>+L77+M77-Sheet1!$S$22</f>
        <v>91733.557605059555</v>
      </c>
      <c r="M78" s="9">
        <f t="shared" si="6"/>
        <v>-296.27829733772523</v>
      </c>
      <c r="N78" s="30">
        <f>+I78-Sheet1!$T$22</f>
        <v>-5.1597700544144601E-3</v>
      </c>
      <c r="O78" s="10">
        <f>+O77+P77-Sheet1!$S$22-Sheet1!$S$22</f>
        <v>77229.424953004782</v>
      </c>
      <c r="P78" s="10">
        <f t="shared" si="7"/>
        <v>-515.97700544144595</v>
      </c>
      <c r="Q78" s="10">
        <f>+Q77+R77-Sheet1!$S$22-Sheet1!$S$22</f>
        <v>78929.317769071466</v>
      </c>
      <c r="R78" s="10">
        <f t="shared" si="5"/>
        <v>-407.25713024021809</v>
      </c>
    </row>
    <row r="79" spans="8:18" x14ac:dyDescent="0.3">
      <c r="H79" t="s">
        <v>90</v>
      </c>
      <c r="I79" s="7">
        <f>+Sheet1!G78</f>
        <v>6.0287963685373399E-4</v>
      </c>
      <c r="J79" s="9">
        <f>+J78+K78-Sheet1!$S$22</f>
        <v>91825.447947563342</v>
      </c>
      <c r="K79" s="9">
        <f t="shared" si="8"/>
        <v>60.287963685373398</v>
      </c>
      <c r="L79" s="9">
        <f>+L78+M78-Sheet1!$S$22</f>
        <v>91431.279307721823</v>
      </c>
      <c r="M79" s="9">
        <f t="shared" si="6"/>
        <v>55.122056466111658</v>
      </c>
      <c r="N79" s="30">
        <f>+I79-Sheet1!$T$22</f>
        <v>-1.3271203631462661E-3</v>
      </c>
      <c r="O79" s="10">
        <f>+O78+P78-Sheet1!$S$22-Sheet1!$S$22</f>
        <v>76701.447947563342</v>
      </c>
      <c r="P79" s="10">
        <f t="shared" si="7"/>
        <v>-132.7120363146266</v>
      </c>
      <c r="Q79" s="10">
        <f>+Q78+R78-Sheet1!$S$22-Sheet1!$S$22</f>
        <v>78510.060638831244</v>
      </c>
      <c r="R79" s="10">
        <f t="shared" si="5"/>
        <v>-104.19230018564109</v>
      </c>
    </row>
    <row r="80" spans="8:18" x14ac:dyDescent="0.3">
      <c r="H80" t="s">
        <v>91</v>
      </c>
      <c r="I80" s="7">
        <f>+Sheet1!G79</f>
        <v>1.2228747403852911E-2</v>
      </c>
      <c r="J80" s="9">
        <f>+J79+K79-Sheet1!$S$22</f>
        <v>91879.735911248717</v>
      </c>
      <c r="K80" s="9">
        <f t="shared" si="8"/>
        <v>1222.874740385291</v>
      </c>
      <c r="L80" s="9">
        <f>+L79+M79-Sheet1!$S$22</f>
        <v>91480.401364187928</v>
      </c>
      <c r="M80" s="9">
        <f t="shared" si="6"/>
        <v>1118.6907206857354</v>
      </c>
      <c r="N80" s="30">
        <f>+I80-Sheet1!$T$22</f>
        <v>1.0298747403852912E-2</v>
      </c>
      <c r="O80" s="10">
        <f>+O79+P79-Sheet1!$S$22-Sheet1!$S$22</f>
        <v>76556.735911248717</v>
      </c>
      <c r="P80" s="10">
        <f t="shared" si="7"/>
        <v>1029.8747403852913</v>
      </c>
      <c r="Q80" s="10">
        <f>+Q79+R79-Sheet1!$S$22-Sheet1!$S$22</f>
        <v>78393.86833864561</v>
      </c>
      <c r="R80" s="10">
        <f t="shared" si="5"/>
        <v>807.35864803061349</v>
      </c>
    </row>
    <row r="81" spans="8:18" x14ac:dyDescent="0.3">
      <c r="H81" t="s">
        <v>92</v>
      </c>
      <c r="I81" s="7">
        <f>+Sheet1!G80</f>
        <v>3.8950527771219531E-3</v>
      </c>
      <c r="J81" s="9">
        <f>+J80+K80-Sheet1!$S$22</f>
        <v>93096.610651634008</v>
      </c>
      <c r="K81" s="9">
        <f t="shared" si="8"/>
        <v>389.50527771219532</v>
      </c>
      <c r="L81" s="9">
        <f>+L80+M80-Sheet1!$S$22</f>
        <v>92593.092084873657</v>
      </c>
      <c r="M81" s="9">
        <f t="shared" si="6"/>
        <v>360.65498046749588</v>
      </c>
      <c r="N81" s="30">
        <f>+I81-Sheet1!$T$22</f>
        <v>1.9650527771219528E-3</v>
      </c>
      <c r="O81" s="10">
        <f>+O80+P80-Sheet1!$S$22-Sheet1!$S$22</f>
        <v>77574.610651634008</v>
      </c>
      <c r="P81" s="10">
        <f t="shared" si="7"/>
        <v>196.50527771219529</v>
      </c>
      <c r="Q81" s="10">
        <f>+Q80+R80-Sheet1!$S$22-Sheet1!$S$22</f>
        <v>79189.226986676222</v>
      </c>
      <c r="R81" s="10">
        <f t="shared" si="5"/>
        <v>155.6110104083088</v>
      </c>
    </row>
    <row r="82" spans="8:18" x14ac:dyDescent="0.3">
      <c r="H82" t="s">
        <v>93</v>
      </c>
      <c r="I82" s="7">
        <f>+Sheet1!G81</f>
        <v>-2.8878305806059022E-2</v>
      </c>
      <c r="J82" s="9">
        <f>+J81+K81-Sheet1!$S$22</f>
        <v>93480.115929346197</v>
      </c>
      <c r="K82" s="9">
        <f t="shared" si="8"/>
        <v>-2887.830580605902</v>
      </c>
      <c r="L82" s="9">
        <f>+L81+M81-Sheet1!$S$22</f>
        <v>92947.747065341158</v>
      </c>
      <c r="M82" s="9">
        <f t="shared" si="6"/>
        <v>-2684.1734637371469</v>
      </c>
      <c r="N82" s="30">
        <f>+I82-Sheet1!$T$22</f>
        <v>-3.0808305806059023E-2</v>
      </c>
      <c r="O82" s="10">
        <f>+O81+P81-Sheet1!$S$22-Sheet1!$S$22</f>
        <v>77759.115929346197</v>
      </c>
      <c r="P82" s="10">
        <f t="shared" si="7"/>
        <v>-3080.8305806059025</v>
      </c>
      <c r="Q82" s="10">
        <f>+Q81+R81-Sheet1!$S$22-Sheet1!$S$22</f>
        <v>79332.837997084527</v>
      </c>
      <c r="R82" s="10">
        <f t="shared" si="5"/>
        <v>-2444.110333476719</v>
      </c>
    </row>
    <row r="83" spans="8:18" x14ac:dyDescent="0.3">
      <c r="H83" t="s">
        <v>94</v>
      </c>
      <c r="I83" s="7">
        <f>+Sheet1!G82</f>
        <v>-1.1453773491755319E-2</v>
      </c>
      <c r="J83" s="9">
        <f>+J82+K82-Sheet1!$S$22</f>
        <v>90586.28534874029</v>
      </c>
      <c r="K83" s="9">
        <f t="shared" si="8"/>
        <v>-1145.3773491755319</v>
      </c>
      <c r="L83" s="9">
        <f>+L82+M82-Sheet1!$S$22</f>
        <v>90257.573601604017</v>
      </c>
      <c r="M83" s="9">
        <f t="shared" si="6"/>
        <v>-1033.7898039482068</v>
      </c>
      <c r="N83" s="30">
        <f>+I83-Sheet1!$T$22</f>
        <v>-1.3383773491755319E-2</v>
      </c>
      <c r="O83" s="10">
        <f>+O82+P82-Sheet1!$S$22-Sheet1!$S$22</f>
        <v>74666.28534874029</v>
      </c>
      <c r="P83" s="10">
        <f t="shared" si="7"/>
        <v>-1338.3773491755319</v>
      </c>
      <c r="Q83" s="10">
        <f>+Q82+R82-Sheet1!$S$22-Sheet1!$S$22</f>
        <v>76876.727663607802</v>
      </c>
      <c r="R83" s="10">
        <f t="shared" si="5"/>
        <v>-1028.9007098370869</v>
      </c>
    </row>
    <row r="84" spans="8:18" x14ac:dyDescent="0.3">
      <c r="H84" t="s">
        <v>95</v>
      </c>
      <c r="I84" s="7">
        <f>+Sheet1!G83</f>
        <v>3.7824442415547964E-3</v>
      </c>
      <c r="J84" s="9">
        <f>+J83+K83-Sheet1!$S$22</f>
        <v>89434.907999564763</v>
      </c>
      <c r="K84" s="9">
        <f t="shared" si="8"/>
        <v>378.24442415547963</v>
      </c>
      <c r="L84" s="9">
        <f>+L83+M83-Sheet1!$S$22</f>
        <v>89217.783797655808</v>
      </c>
      <c r="M84" s="9">
        <f t="shared" si="6"/>
        <v>337.46129256972404</v>
      </c>
      <c r="N84" s="30">
        <f>+I84-Sheet1!$T$22</f>
        <v>1.8524442415547963E-3</v>
      </c>
      <c r="O84" s="10">
        <f>+O83+P83-Sheet1!$S$22-Sheet1!$S$22</f>
        <v>73315.907999564763</v>
      </c>
      <c r="P84" s="10">
        <f t="shared" si="7"/>
        <v>185.24442415547963</v>
      </c>
      <c r="Q84" s="10">
        <f>+Q83+R83-Sheet1!$S$22-Sheet1!$S$22</f>
        <v>75835.826953770709</v>
      </c>
      <c r="R84" s="10">
        <f t="shared" si="5"/>
        <v>140.48164094405857</v>
      </c>
    </row>
    <row r="85" spans="8:18" x14ac:dyDescent="0.3">
      <c r="H85" t="s">
        <v>96</v>
      </c>
      <c r="I85" s="7">
        <f>+Sheet1!G84</f>
        <v>7.9078981553650368E-3</v>
      </c>
      <c r="J85" s="9">
        <f>+J84+K84-Sheet1!$S$22</f>
        <v>89807.152423720239</v>
      </c>
      <c r="K85" s="9">
        <f t="shared" si="8"/>
        <v>790.78981553650374</v>
      </c>
      <c r="L85" s="9">
        <f>+L84+M84-Sheet1!$S$22</f>
        <v>89549.245090225537</v>
      </c>
      <c r="M85" s="9">
        <f t="shared" si="6"/>
        <v>708.14631006332615</v>
      </c>
      <c r="N85" s="30">
        <f>+I85-Sheet1!$T$22</f>
        <v>5.9778981553650365E-3</v>
      </c>
      <c r="O85" s="10">
        <f>+O84+P84-Sheet1!$S$22-Sheet1!$S$22</f>
        <v>73489.152423720239</v>
      </c>
      <c r="P85" s="10">
        <f t="shared" si="7"/>
        <v>597.78981553650362</v>
      </c>
      <c r="Q85" s="10">
        <f>+Q84+R84-Sheet1!$S$22-Sheet1!$S$22</f>
        <v>75964.308594714763</v>
      </c>
      <c r="R85" s="10">
        <f t="shared" si="5"/>
        <v>454.1069002219258</v>
      </c>
    </row>
    <row r="86" spans="8:18" x14ac:dyDescent="0.3">
      <c r="H86" t="s">
        <v>97</v>
      </c>
      <c r="I86" s="7">
        <f>+Sheet1!G85</f>
        <v>-8.3740632127728681E-3</v>
      </c>
      <c r="J86" s="9">
        <f>+J85+K85-Sheet1!$S$22</f>
        <v>90591.94223925675</v>
      </c>
      <c r="K86" s="9">
        <f t="shared" si="8"/>
        <v>-837.40632127728679</v>
      </c>
      <c r="L86" s="9">
        <f>+L85+M85-Sheet1!$S$22</f>
        <v>90251.391400288863</v>
      </c>
      <c r="M86" s="9">
        <f t="shared" si="6"/>
        <v>-755.77085662672459</v>
      </c>
      <c r="N86" s="30">
        <f>+I86-Sheet1!$T$22</f>
        <v>-1.0304063212772867E-2</v>
      </c>
      <c r="O86" s="10">
        <f>+O85+P85-Sheet1!$S$22-Sheet1!$S$22</f>
        <v>74074.942239256736</v>
      </c>
      <c r="P86" s="10">
        <f t="shared" si="7"/>
        <v>-1030.4063212772867</v>
      </c>
      <c r="Q86" s="10">
        <f>+Q85+R85-Sheet1!$S$22-Sheet1!$S$22</f>
        <v>76406.415494936693</v>
      </c>
      <c r="R86" s="10">
        <f t="shared" si="5"/>
        <v>-787.29653512121604</v>
      </c>
    </row>
    <row r="87" spans="8:18" x14ac:dyDescent="0.3">
      <c r="H87" t="s">
        <v>98</v>
      </c>
      <c r="I87" s="7">
        <f>+Sheet1!G86</f>
        <v>-2.6439051458228002E-3</v>
      </c>
      <c r="J87" s="9">
        <f>+J86+K86-Sheet1!$S$22</f>
        <v>89748.535917979461</v>
      </c>
      <c r="K87" s="9">
        <f t="shared" si="8"/>
        <v>-264.39051458228005</v>
      </c>
      <c r="L87" s="9">
        <f>+L86+M86-Sheet1!$S$22</f>
        <v>89489.620543662139</v>
      </c>
      <c r="M87" s="9">
        <f t="shared" si="6"/>
        <v>-236.60206825311812</v>
      </c>
      <c r="N87" s="30">
        <f>+I87-Sheet1!$T$22</f>
        <v>-4.5739051458228005E-3</v>
      </c>
      <c r="O87" s="10">
        <f>+O86+P86-Sheet1!$S$22-Sheet1!$S$22</f>
        <v>73032.535917979447</v>
      </c>
      <c r="P87" s="10">
        <f t="shared" si="7"/>
        <v>-457.39051458228005</v>
      </c>
      <c r="Q87" s="10">
        <f>+Q86+R86-Sheet1!$S$22-Sheet1!$S$22</f>
        <v>75607.118959815474</v>
      </c>
      <c r="R87" s="10">
        <f t="shared" si="5"/>
        <v>-345.81979047113663</v>
      </c>
    </row>
    <row r="88" spans="8:18" x14ac:dyDescent="0.3">
      <c r="H88" t="s">
        <v>99</v>
      </c>
      <c r="I88" s="7">
        <f>+Sheet1!G87</f>
        <v>1.707400919999337E-2</v>
      </c>
      <c r="J88" s="9">
        <f>+J87+K87-Sheet1!$S$22</f>
        <v>89478.145403397182</v>
      </c>
      <c r="K88" s="9">
        <f t="shared" si="8"/>
        <v>1707.400919999337</v>
      </c>
      <c r="L88" s="9">
        <f>+L87+M87-Sheet1!$S$22</f>
        <v>89247.018475409015</v>
      </c>
      <c r="M88" s="9">
        <f t="shared" si="6"/>
        <v>1523.8044145211118</v>
      </c>
      <c r="N88" s="30">
        <f>+I88-Sheet1!$T$22</f>
        <v>1.5144009199993371E-2</v>
      </c>
      <c r="O88" s="10">
        <f>+O87+P87-Sheet1!$S$22-Sheet1!$S$22</f>
        <v>72563.145403397168</v>
      </c>
      <c r="P88" s="10">
        <f t="shared" si="7"/>
        <v>1514.400919999337</v>
      </c>
      <c r="Q88" s="10">
        <f>+Q87+R87-Sheet1!$S$22-Sheet1!$S$22</f>
        <v>75249.299169344333</v>
      </c>
      <c r="R88" s="10">
        <f t="shared" si="5"/>
        <v>1139.5760789136041</v>
      </c>
    </row>
    <row r="89" spans="8:18" x14ac:dyDescent="0.3">
      <c r="H89" t="s">
        <v>100</v>
      </c>
      <c r="I89" s="7">
        <f>+Sheet1!G88</f>
        <v>4.6606137818703515E-3</v>
      </c>
      <c r="J89" s="9">
        <f>+J88+K88-Sheet1!$S$22</f>
        <v>91179.546323396513</v>
      </c>
      <c r="K89" s="9">
        <f t="shared" si="8"/>
        <v>466.06137818703513</v>
      </c>
      <c r="L89" s="9">
        <f>+L88+M88-Sheet1!$S$22</f>
        <v>90764.822889930132</v>
      </c>
      <c r="M89" s="9">
        <f t="shared" si="6"/>
        <v>423.01978446982991</v>
      </c>
      <c r="N89" s="30">
        <f>+I89-Sheet1!$T$22</f>
        <v>2.7306137818703512E-3</v>
      </c>
      <c r="O89" s="10">
        <f>+O88+P88-Sheet1!$S$22-Sheet1!$S$22</f>
        <v>74065.546323396498</v>
      </c>
      <c r="P89" s="10">
        <f t="shared" si="7"/>
        <v>273.06137818703513</v>
      </c>
      <c r="Q89" s="10">
        <f>+Q88+R88-Sheet1!$S$22-Sheet1!$S$22</f>
        <v>76376.875248257944</v>
      </c>
      <c r="R89" s="10">
        <f t="shared" si="5"/>
        <v>208.55574816908563</v>
      </c>
    </row>
    <row r="90" spans="8:18" x14ac:dyDescent="0.3">
      <c r="H90" t="s">
        <v>101</v>
      </c>
      <c r="I90" s="7">
        <f>+Sheet1!G89</f>
        <v>-2.7936136692166954E-3</v>
      </c>
      <c r="J90" s="9">
        <f>+J89+K89-Sheet1!$S$22</f>
        <v>91639.607701583547</v>
      </c>
      <c r="K90" s="9">
        <f t="shared" si="8"/>
        <v>-279.36136692166951</v>
      </c>
      <c r="L90" s="9">
        <f>+L89+M89-Sheet1!$S$22</f>
        <v>91181.842674399959</v>
      </c>
      <c r="M90" s="9">
        <f t="shared" si="6"/>
        <v>-254.72684207956993</v>
      </c>
      <c r="N90" s="30">
        <f>+I90-Sheet1!$T$22</f>
        <v>-4.7236136692166957E-3</v>
      </c>
      <c r="O90" s="10">
        <f>+O89+P89-Sheet1!$S$22-Sheet1!$S$22</f>
        <v>74326.607701583533</v>
      </c>
      <c r="P90" s="10">
        <f t="shared" si="7"/>
        <v>-472.36136692166957</v>
      </c>
      <c r="Q90" s="10">
        <f>+Q89+R89-Sheet1!$S$22-Sheet1!$S$22</f>
        <v>76573.430996427036</v>
      </c>
      <c r="R90" s="10">
        <f t="shared" si="5"/>
        <v>-361.70330535354418</v>
      </c>
    </row>
    <row r="91" spans="8:18" x14ac:dyDescent="0.3">
      <c r="H91" t="s">
        <v>102</v>
      </c>
      <c r="I91" s="7">
        <f>+Sheet1!G90</f>
        <v>1.0697697001083986E-2</v>
      </c>
      <c r="J91" s="9">
        <f>+J90+K90-Sheet1!$S$22</f>
        <v>91354.246334661875</v>
      </c>
      <c r="K91" s="9">
        <f t="shared" si="8"/>
        <v>1069.7697001083986</v>
      </c>
      <c r="L91" s="9">
        <f>+L90+M90-Sheet1!$S$22</f>
        <v>90921.115832320385</v>
      </c>
      <c r="M91" s="9">
        <f t="shared" si="6"/>
        <v>972.64654817462349</v>
      </c>
      <c r="N91" s="30">
        <f>+I91-Sheet1!$T$22</f>
        <v>8.7676970010839867E-3</v>
      </c>
      <c r="O91" s="10">
        <f>+O90+P90-Sheet1!$S$22-Sheet1!$S$22</f>
        <v>73842.246334661861</v>
      </c>
      <c r="P91" s="10">
        <f t="shared" si="7"/>
        <v>876.76970010839864</v>
      </c>
      <c r="Q91" s="10">
        <f>+Q90+R90-Sheet1!$S$22-Sheet1!$S$22</f>
        <v>76199.727691073494</v>
      </c>
      <c r="R91" s="10">
        <f t="shared" si="5"/>
        <v>668.09612396044145</v>
      </c>
    </row>
    <row r="92" spans="8:18" x14ac:dyDescent="0.3">
      <c r="H92" t="s">
        <v>103</v>
      </c>
      <c r="I92" s="7">
        <f>+Sheet1!G91</f>
        <v>4.0305028455350089E-4</v>
      </c>
      <c r="J92" s="9">
        <f>+J91+K91-Sheet1!$S$22</f>
        <v>92418.016034770277</v>
      </c>
      <c r="K92" s="9">
        <f t="shared" si="8"/>
        <v>40.30502845535009</v>
      </c>
      <c r="L92" s="9">
        <f>+L91+M91-Sheet1!$S$22</f>
        <v>91887.762380495013</v>
      </c>
      <c r="M92" s="9">
        <f t="shared" si="6"/>
        <v>37.035388774442993</v>
      </c>
      <c r="N92" s="30">
        <f>+I92-Sheet1!$T$22</f>
        <v>-1.5269497154464992E-3</v>
      </c>
      <c r="O92" s="10">
        <f>+O91+P91-Sheet1!$S$22-Sheet1!$S$22</f>
        <v>74707.016034770262</v>
      </c>
      <c r="P92" s="10">
        <f t="shared" si="7"/>
        <v>-152.69497154464992</v>
      </c>
      <c r="Q92" s="10">
        <f>+Q91+R91-Sheet1!$S$22-Sheet1!$S$22</f>
        <v>76855.823815033931</v>
      </c>
      <c r="R92" s="10">
        <f t="shared" si="5"/>
        <v>-117.35497830477235</v>
      </c>
    </row>
    <row r="93" spans="8:18" x14ac:dyDescent="0.3">
      <c r="H93" t="s">
        <v>104</v>
      </c>
      <c r="I93" s="7">
        <f>+Sheet1!G92</f>
        <v>-4.1735823517089635E-3</v>
      </c>
      <c r="J93" s="9">
        <f>+J92+K92-Sheet1!$S$22</f>
        <v>92452.321063225623</v>
      </c>
      <c r="K93" s="9">
        <f t="shared" si="8"/>
        <v>-417.35823517089636</v>
      </c>
      <c r="L93" s="9">
        <f>+L92+M92-Sheet1!$S$22</f>
        <v>91918.797769269455</v>
      </c>
      <c r="M93" s="9">
        <f t="shared" si="6"/>
        <v>-383.63067216012826</v>
      </c>
      <c r="N93" s="30">
        <f>+I93-Sheet1!$T$22</f>
        <v>-6.1035823517089638E-3</v>
      </c>
      <c r="O93" s="10">
        <f>+O92+P92-Sheet1!$S$22-Sheet1!$S$22</f>
        <v>74542.321063225609</v>
      </c>
      <c r="P93" s="10">
        <f t="shared" si="7"/>
        <v>-610.35823517089636</v>
      </c>
      <c r="Q93" s="10">
        <f>+Q92+R92-Sheet1!$S$22-Sheet1!$S$22</f>
        <v>76726.468836729153</v>
      </c>
      <c r="R93" s="10">
        <f t="shared" si="5"/>
        <v>-468.30632110080785</v>
      </c>
    </row>
    <row r="94" spans="8:18" x14ac:dyDescent="0.3">
      <c r="H94" t="s">
        <v>105</v>
      </c>
      <c r="I94" s="7">
        <f>+Sheet1!G93</f>
        <v>1.4236717789425928E-3</v>
      </c>
      <c r="J94" s="9">
        <f>+J93+K93-Sheet1!$S$22</f>
        <v>92028.962828054733</v>
      </c>
      <c r="K94" s="9">
        <f t="shared" si="8"/>
        <v>142.36717789425927</v>
      </c>
      <c r="L94" s="9">
        <f>+L93+M93-Sheet1!$S$22</f>
        <v>91529.167097109326</v>
      </c>
      <c r="M94" s="9">
        <f t="shared" si="6"/>
        <v>130.30749214627545</v>
      </c>
      <c r="N94" s="30">
        <f>+I94-Sheet1!$T$22</f>
        <v>-5.063282210574073E-4</v>
      </c>
      <c r="O94" s="10">
        <f>+O93+P93-Sheet1!$S$22-Sheet1!$S$22</f>
        <v>73919.962828054719</v>
      </c>
      <c r="P94" s="10">
        <f t="shared" si="7"/>
        <v>-50.632822105740729</v>
      </c>
      <c r="Q94" s="10">
        <f>+Q93+R93-Sheet1!$S$22-Sheet1!$S$22</f>
        <v>76246.162515628341</v>
      </c>
      <c r="R94" s="10">
        <f t="shared" si="5"/>
        <v>-38.605583828992067</v>
      </c>
    </row>
    <row r="95" spans="8:18" x14ac:dyDescent="0.3">
      <c r="H95" t="s">
        <v>106</v>
      </c>
      <c r="I95" s="7">
        <f>+Sheet1!G94</f>
        <v>5.6938238947045385E-3</v>
      </c>
      <c r="J95" s="9">
        <f>+J94+K94-Sheet1!$S$22</f>
        <v>92165.330005948999</v>
      </c>
      <c r="K95" s="9">
        <f t="shared" si="8"/>
        <v>569.38238947045386</v>
      </c>
      <c r="L95" s="9">
        <f>+L94+M94-Sheet1!$S$22</f>
        <v>91653.474589255595</v>
      </c>
      <c r="M95" s="9">
        <f t="shared" si="6"/>
        <v>521.85874364899871</v>
      </c>
      <c r="N95" s="30">
        <f>+I95-Sheet1!$T$22</f>
        <v>3.7638238947045382E-3</v>
      </c>
      <c r="O95" s="10">
        <f>+O94+P94-Sheet1!$S$22-Sheet1!$S$22</f>
        <v>73857.330005948985</v>
      </c>
      <c r="P95" s="10">
        <f t="shared" si="7"/>
        <v>376.3823894704538</v>
      </c>
      <c r="Q95" s="10">
        <f>+Q94+R94-Sheet1!$S$22-Sheet1!$S$22</f>
        <v>76195.55693179935</v>
      </c>
      <c r="R95" s="10">
        <f t="shared" si="5"/>
        <v>286.78665785022639</v>
      </c>
    </row>
    <row r="96" spans="8:18" x14ac:dyDescent="0.3">
      <c r="H96" t="s">
        <v>107</v>
      </c>
      <c r="I96" s="7">
        <f>+Sheet1!G95</f>
        <v>6.1991414109053705E-3</v>
      </c>
      <c r="J96" s="9">
        <f>+J95+K95-Sheet1!$S$22</f>
        <v>92728.712395419454</v>
      </c>
      <c r="K96" s="9">
        <f t="shared" si="8"/>
        <v>619.9141410905371</v>
      </c>
      <c r="L96" s="9">
        <f>+L95+M95-Sheet1!$S$22</f>
        <v>92169.3333329046</v>
      </c>
      <c r="M96" s="9">
        <f t="shared" si="6"/>
        <v>571.37073107954961</v>
      </c>
      <c r="N96" s="30">
        <f>+I96-Sheet1!$T$22</f>
        <v>4.2691414109053702E-3</v>
      </c>
      <c r="O96" s="10">
        <f>+O95+P95-Sheet1!$S$22-Sheet1!$S$22</f>
        <v>74221.712395419439</v>
      </c>
      <c r="P96" s="10">
        <f t="shared" si="7"/>
        <v>426.91414109053704</v>
      </c>
      <c r="Q96" s="10">
        <f>+Q95+R95-Sheet1!$S$22-Sheet1!$S$22</f>
        <v>76470.343589649579</v>
      </c>
      <c r="R96" s="10">
        <f t="shared" si="5"/>
        <v>326.46271052473503</v>
      </c>
    </row>
    <row r="97" spans="8:18" x14ac:dyDescent="0.3">
      <c r="H97" t="s">
        <v>108</v>
      </c>
      <c r="I97" s="7">
        <f>+Sheet1!G96</f>
        <v>1.2556025302775185E-2</v>
      </c>
      <c r="J97" s="9">
        <f>+J96+K96-Sheet1!$S$22</f>
        <v>93342.626536509997</v>
      </c>
      <c r="K97" s="9">
        <f t="shared" si="8"/>
        <v>1255.6025302775186</v>
      </c>
      <c r="L97" s="9">
        <f>+L96+M96-Sheet1!$S$22</f>
        <v>92734.704063984143</v>
      </c>
      <c r="M97" s="9">
        <f t="shared" si="6"/>
        <v>1164.3792906727538</v>
      </c>
      <c r="N97" s="30">
        <f>+I97-Sheet1!$T$22</f>
        <v>1.0626025302775186E-2</v>
      </c>
      <c r="O97" s="10">
        <f>+O96+P96-Sheet1!$S$22-Sheet1!$S$22</f>
        <v>74636.626536509983</v>
      </c>
      <c r="P97" s="10">
        <f t="shared" si="7"/>
        <v>1062.6025302775186</v>
      </c>
      <c r="Q97" s="10">
        <f>+Q96+R96-Sheet1!$S$22-Sheet1!$S$22</f>
        <v>76784.806300174314</v>
      </c>
      <c r="R97" s="10">
        <f t="shared" si="5"/>
        <v>815.91729461434375</v>
      </c>
    </row>
    <row r="98" spans="8:18" x14ac:dyDescent="0.3">
      <c r="H98" t="s">
        <v>109</v>
      </c>
      <c r="I98" s="7">
        <f>+Sheet1!G97</f>
        <v>-4.3382236945890516E-3</v>
      </c>
      <c r="J98" s="9">
        <f>+J97+K97-Sheet1!$S$22</f>
        <v>94592.22906678752</v>
      </c>
      <c r="K98" s="9">
        <f t="shared" si="8"/>
        <v>-433.82236945890514</v>
      </c>
      <c r="L98" s="9">
        <f>+L97+M97-Sheet1!$S$22</f>
        <v>93893.08335465689</v>
      </c>
      <c r="M98" s="9">
        <f t="shared" si="6"/>
        <v>-407.32919896719739</v>
      </c>
      <c r="N98" s="30">
        <f>+I98-Sheet1!$T$22</f>
        <v>-6.2682236945890519E-3</v>
      </c>
      <c r="O98" s="10">
        <f>+O97+P97-Sheet1!$S$22-Sheet1!$S$22</f>
        <v>75687.229066787506</v>
      </c>
      <c r="P98" s="10">
        <f t="shared" si="7"/>
        <v>-626.8223694589052</v>
      </c>
      <c r="Q98" s="10">
        <f>+Q97+R97-Sheet1!$S$22-Sheet1!$S$22</f>
        <v>77588.723594788651</v>
      </c>
      <c r="R98" s="10">
        <f t="shared" si="5"/>
        <v>-486.34347566977488</v>
      </c>
    </row>
    <row r="99" spans="8:18" x14ac:dyDescent="0.3">
      <c r="H99" t="s">
        <v>110</v>
      </c>
      <c r="I99" s="7">
        <f>+Sheet1!G98</f>
        <v>-9.3479968578162528E-3</v>
      </c>
      <c r="J99" s="9">
        <f>+J98+K98-Sheet1!$S$22</f>
        <v>94152.40669732861</v>
      </c>
      <c r="K99" s="9">
        <f t="shared" si="8"/>
        <v>-934.79968578162527</v>
      </c>
      <c r="L99" s="9">
        <f>+L98+M98-Sheet1!$S$22</f>
        <v>93479.75415568969</v>
      </c>
      <c r="M99" s="9">
        <f t="shared" si="6"/>
        <v>-873.84844811682308</v>
      </c>
      <c r="N99" s="30">
        <f>+I99-Sheet1!$T$22</f>
        <v>-1.1277996857816252E-2</v>
      </c>
      <c r="O99" s="10">
        <f>+O98+P98-Sheet1!$S$22-Sheet1!$S$22</f>
        <v>75048.406697328595</v>
      </c>
      <c r="P99" s="10">
        <f t="shared" si="7"/>
        <v>-1127.7996857816252</v>
      </c>
      <c r="Q99" s="10">
        <f>+Q98+R98-Sheet1!$S$22-Sheet1!$S$22</f>
        <v>77090.380119118883</v>
      </c>
      <c r="R99" s="10">
        <f t="shared" ref="R99:R130" si="9">Q99*N99</f>
        <v>-869.42506475128323</v>
      </c>
    </row>
    <row r="100" spans="8:18" x14ac:dyDescent="0.3">
      <c r="H100" t="s">
        <v>111</v>
      </c>
      <c r="I100" s="7">
        <f>+Sheet1!G99</f>
        <v>-1.4670499640658669E-2</v>
      </c>
      <c r="J100" s="9">
        <f>+J99+K99-Sheet1!$S$22</f>
        <v>93211.607011546977</v>
      </c>
      <c r="K100" s="9">
        <f t="shared" si="8"/>
        <v>-1467.0499640658668</v>
      </c>
      <c r="L100" s="9">
        <f>+L99+M99-Sheet1!$S$22</f>
        <v>92599.905707572863</v>
      </c>
      <c r="M100" s="9">
        <f t="shared" si="6"/>
        <v>-1358.4868834079743</v>
      </c>
      <c r="N100" s="30">
        <f>+I100-Sheet1!$T$22</f>
        <v>-1.660049964065867E-2</v>
      </c>
      <c r="O100" s="10">
        <f>+O99+P99-Sheet1!$S$22-Sheet1!$S$22</f>
        <v>73908.607011546963</v>
      </c>
      <c r="P100" s="10">
        <f t="shared" si="7"/>
        <v>-1660.049964065867</v>
      </c>
      <c r="Q100" s="10">
        <f>+Q99+R99-Sheet1!$S$22-Sheet1!$S$22</f>
        <v>76208.955054367601</v>
      </c>
      <c r="R100" s="10">
        <f t="shared" si="9"/>
        <v>-1265.1067309950022</v>
      </c>
    </row>
    <row r="101" spans="8:18" x14ac:dyDescent="0.3">
      <c r="H101" t="s">
        <v>112</v>
      </c>
      <c r="I101" s="7">
        <f>+Sheet1!G100</f>
        <v>-1.908032818164364E-3</v>
      </c>
      <c r="J101" s="9">
        <f>+J100+K100-Sheet1!$S$22</f>
        <v>91738.55704748111</v>
      </c>
      <c r="K101" s="9">
        <f t="shared" si="8"/>
        <v>-190.8032818164364</v>
      </c>
      <c r="L101" s="9">
        <f>+L100+M100-Sheet1!$S$22</f>
        <v>91235.418824164895</v>
      </c>
      <c r="M101" s="9">
        <f t="shared" si="6"/>
        <v>-174.08017329547741</v>
      </c>
      <c r="N101" s="30">
        <f>+I101-Sheet1!$T$22</f>
        <v>-3.8380328181643643E-3</v>
      </c>
      <c r="O101" s="10">
        <f>+O100+P100-Sheet1!$S$22-Sheet1!$S$22</f>
        <v>72236.557047481096</v>
      </c>
      <c r="P101" s="10">
        <f t="shared" si="7"/>
        <v>-383.80328181643642</v>
      </c>
      <c r="Q101" s="10">
        <f>+Q100+R100-Sheet1!$S$22-Sheet1!$S$22</f>
        <v>74931.8483233726</v>
      </c>
      <c r="R101" s="10">
        <f t="shared" si="9"/>
        <v>-287.59089299081842</v>
      </c>
    </row>
    <row r="102" spans="8:18" x14ac:dyDescent="0.3">
      <c r="H102" t="s">
        <v>113</v>
      </c>
      <c r="I102" s="7">
        <f>+Sheet1!G101</f>
        <v>-7.6969444058051931E-3</v>
      </c>
      <c r="J102" s="9">
        <f>+J101+K101-Sheet1!$S$22</f>
        <v>91541.753765664675</v>
      </c>
      <c r="K102" s="9">
        <f t="shared" si="8"/>
        <v>-769.69444058051931</v>
      </c>
      <c r="L102" s="9">
        <f>+L101+M101-Sheet1!$S$22</f>
        <v>91055.338650869424</v>
      </c>
      <c r="M102" s="9">
        <f t="shared" si="6"/>
        <v>-700.84787944750678</v>
      </c>
      <c r="N102" s="30">
        <f>+I102-Sheet1!$T$22</f>
        <v>-9.6269444058051934E-3</v>
      </c>
      <c r="O102" s="10">
        <f>+O101+P101-Sheet1!$S$22-Sheet1!$S$22</f>
        <v>71840.75376566466</v>
      </c>
      <c r="P102" s="10">
        <f t="shared" si="7"/>
        <v>-962.69444058051931</v>
      </c>
      <c r="Q102" s="10">
        <f>+Q101+R101-Sheet1!$S$22-Sheet1!$S$22</f>
        <v>74632.257430381782</v>
      </c>
      <c r="R102" s="10">
        <f t="shared" si="9"/>
        <v>-718.48059316202693</v>
      </c>
    </row>
    <row r="103" spans="8:18" x14ac:dyDescent="0.3">
      <c r="H103" t="s">
        <v>114</v>
      </c>
      <c r="I103" s="7">
        <f>+Sheet1!G102</f>
        <v>-2.7380346035714851E-2</v>
      </c>
      <c r="J103" s="9">
        <f>+J102+K102-Sheet1!$S$22</f>
        <v>90766.059325084148</v>
      </c>
      <c r="K103" s="9">
        <f t="shared" si="8"/>
        <v>-2738.0346035714851</v>
      </c>
      <c r="L103" s="9">
        <f>+L102+M102-Sheet1!$S$22</f>
        <v>90348.490771421915</v>
      </c>
      <c r="M103" s="9">
        <f t="shared" si="6"/>
        <v>-2473.7729411261216</v>
      </c>
      <c r="N103" s="30">
        <f>+I103-Sheet1!$T$22</f>
        <v>-2.9310346035714852E-2</v>
      </c>
      <c r="O103" s="10">
        <f>+O102+P102-Sheet1!$S$22-Sheet1!$S$22</f>
        <v>70866.059325084134</v>
      </c>
      <c r="P103" s="10">
        <f t="shared" si="7"/>
        <v>-2931.0346035714851</v>
      </c>
      <c r="Q103" s="10">
        <f>+Q102+R102-Sheet1!$S$22-Sheet1!$S$22</f>
        <v>73901.776837219761</v>
      </c>
      <c r="R103" s="10">
        <f t="shared" si="9"/>
        <v>-2166.0866517530881</v>
      </c>
    </row>
    <row r="104" spans="8:18" x14ac:dyDescent="0.3">
      <c r="H104" t="s">
        <v>115</v>
      </c>
      <c r="I104" s="7">
        <f>+Sheet1!G103</f>
        <v>1.2814399809274082E-2</v>
      </c>
      <c r="J104" s="9">
        <f>+J103+K103-Sheet1!$S$22</f>
        <v>88022.024721512658</v>
      </c>
      <c r="K104" s="9">
        <f t="shared" si="8"/>
        <v>1281.4399809274082</v>
      </c>
      <c r="L104" s="9">
        <f>+L103+M103-Sheet1!$S$22</f>
        <v>87868.717830295791</v>
      </c>
      <c r="M104" s="9">
        <f t="shared" si="6"/>
        <v>1125.9848810057006</v>
      </c>
      <c r="N104" s="30">
        <f>+I104-Sheet1!$T$22</f>
        <v>1.0884399809274083E-2</v>
      </c>
      <c r="O104" s="10">
        <f>+O103+P103-Sheet1!$S$22-Sheet1!$S$22</f>
        <v>67923.024721512644</v>
      </c>
      <c r="P104" s="10">
        <f t="shared" si="7"/>
        <v>1088.4399809274082</v>
      </c>
      <c r="Q104" s="10">
        <f>+Q103+R103-Sheet1!$S$22-Sheet1!$S$22</f>
        <v>71723.690185466679</v>
      </c>
      <c r="R104" s="10">
        <f t="shared" si="9"/>
        <v>780.66931977512695</v>
      </c>
    </row>
    <row r="105" spans="8:18" x14ac:dyDescent="0.3">
      <c r="H105" t="s">
        <v>116</v>
      </c>
      <c r="I105" s="7">
        <f>+Sheet1!G104</f>
        <v>1.0534077741493732E-2</v>
      </c>
      <c r="J105" s="9">
        <f>+J104+K104-Sheet1!$S$22</f>
        <v>89297.464702440062</v>
      </c>
      <c r="K105" s="9">
        <f t="shared" si="8"/>
        <v>1053.4077741493732</v>
      </c>
      <c r="L105" s="9">
        <f>+L104+M104-Sheet1!$S$22</f>
        <v>88988.702711301492</v>
      </c>
      <c r="M105" s="9">
        <f t="shared" si="6"/>
        <v>937.41391247552394</v>
      </c>
      <c r="N105" s="30">
        <f>+I105-Sheet1!$T$22</f>
        <v>8.6040777414937326E-3</v>
      </c>
      <c r="O105" s="10">
        <f>+O104+P104-Sheet1!$S$22-Sheet1!$S$22</f>
        <v>68999.464702440047</v>
      </c>
      <c r="P105" s="10">
        <f t="shared" si="7"/>
        <v>860.40777414937327</v>
      </c>
      <c r="Q105" s="10">
        <f>+Q104+R104-Sheet1!$S$22-Sheet1!$S$22</f>
        <v>72492.35950524181</v>
      </c>
      <c r="R105" s="10">
        <f t="shared" si="9"/>
        <v>623.72989684741265</v>
      </c>
    </row>
    <row r="106" spans="8:18" x14ac:dyDescent="0.3">
      <c r="H106" t="s">
        <v>117</v>
      </c>
      <c r="I106" s="7">
        <f>+Sheet1!G105</f>
        <v>-1.9960753050837037E-2</v>
      </c>
      <c r="J106" s="9">
        <f>+J105+K105-Sheet1!$S$22</f>
        <v>90344.872476589429</v>
      </c>
      <c r="K106" s="9">
        <f t="shared" si="8"/>
        <v>-1996.0753050837038</v>
      </c>
      <c r="L106" s="9">
        <f>+L105+M105-Sheet1!$S$22</f>
        <v>89920.116623777023</v>
      </c>
      <c r="M106" s="9">
        <f t="shared" si="6"/>
        <v>-1794.8732422296794</v>
      </c>
      <c r="N106" s="30">
        <f>+I106-Sheet1!$T$22</f>
        <v>-2.1890753050837038E-2</v>
      </c>
      <c r="O106" s="10">
        <f>+O105+P105-Sheet1!$S$22-Sheet1!$S$22</f>
        <v>69847.872476589415</v>
      </c>
      <c r="P106" s="10">
        <f t="shared" si="7"/>
        <v>-2189.0753050837038</v>
      </c>
      <c r="Q106" s="10">
        <f>+Q105+R105-Sheet1!$S$22-Sheet1!$S$22</f>
        <v>73104.089402089216</v>
      </c>
      <c r="R106" s="10">
        <f t="shared" si="9"/>
        <v>-1600.3035681074482</v>
      </c>
    </row>
    <row r="107" spans="8:18" x14ac:dyDescent="0.3">
      <c r="H107" t="s">
        <v>118</v>
      </c>
      <c r="I107" s="7">
        <f>+Sheet1!G106</f>
        <v>-3.5755426895861947E-3</v>
      </c>
      <c r="J107" s="9">
        <f>+J106+K106-Sheet1!$S$22</f>
        <v>88342.797171505721</v>
      </c>
      <c r="K107" s="9">
        <f t="shared" si="8"/>
        <v>-357.55426895861945</v>
      </c>
      <c r="L107" s="9">
        <f>+L106+M106-Sheet1!$S$22</f>
        <v>88119.243381547349</v>
      </c>
      <c r="M107" s="9">
        <f t="shared" si="6"/>
        <v>-315.07411648475829</v>
      </c>
      <c r="N107" s="30">
        <f>+I107-Sheet1!$T$22</f>
        <v>-5.505542689586195E-3</v>
      </c>
      <c r="O107" s="10">
        <f>+O106+P106-Sheet1!$S$22-Sheet1!$S$22</f>
        <v>67646.797171505707</v>
      </c>
      <c r="P107" s="10">
        <f t="shared" si="7"/>
        <v>-550.55426895861945</v>
      </c>
      <c r="Q107" s="10">
        <f>+Q106+R106-Sheet1!$S$22-Sheet1!$S$22</f>
        <v>71491.785833981761</v>
      </c>
      <c r="R107" s="10">
        <f t="shared" si="9"/>
        <v>-393.60107886374016</v>
      </c>
    </row>
    <row r="108" spans="8:18" x14ac:dyDescent="0.3">
      <c r="H108" t="s">
        <v>119</v>
      </c>
      <c r="I108" s="7">
        <f>+Sheet1!G107</f>
        <v>-2.3120180188244033E-3</v>
      </c>
      <c r="J108" s="9">
        <f>+J107+K107-Sheet1!$S$22</f>
        <v>87979.242902547106</v>
      </c>
      <c r="K108" s="9">
        <f t="shared" si="8"/>
        <v>-231.20180188244032</v>
      </c>
      <c r="L108" s="9">
        <f>+L107+M107-Sheet1!$S$22</f>
        <v>87798.169265062592</v>
      </c>
      <c r="M108" s="9">
        <f t="shared" si="6"/>
        <v>-202.99094936061962</v>
      </c>
      <c r="N108" s="30">
        <f>+I108-Sheet1!$T$22</f>
        <v>-4.2420180188244032E-3</v>
      </c>
      <c r="O108" s="10">
        <f>+O107+P107-Sheet1!$S$22-Sheet1!$S$22</f>
        <v>67084.242902547092</v>
      </c>
      <c r="P108" s="10">
        <f t="shared" si="7"/>
        <v>-424.20180188244029</v>
      </c>
      <c r="Q108" s="10">
        <f>+Q107+R107-Sheet1!$S$22-Sheet1!$S$22</f>
        <v>71086.184755118025</v>
      </c>
      <c r="R108" s="10">
        <f t="shared" si="9"/>
        <v>-301.54887662069126</v>
      </c>
    </row>
    <row r="109" spans="8:18" x14ac:dyDescent="0.3">
      <c r="H109" t="s">
        <v>120</v>
      </c>
      <c r="I109" s="7">
        <f>+Sheet1!G108</f>
        <v>5.0990741154896642E-3</v>
      </c>
      <c r="J109" s="9">
        <f>+J108+K108-Sheet1!$S$22</f>
        <v>87742.041100664661</v>
      </c>
      <c r="K109" s="9">
        <f t="shared" si="8"/>
        <v>509.90741154896642</v>
      </c>
      <c r="L109" s="9">
        <f>+L108+M108-Sheet1!$S$22</f>
        <v>87589.178315701967</v>
      </c>
      <c r="M109" s="9">
        <f t="shared" si="6"/>
        <v>446.62371194660449</v>
      </c>
      <c r="N109" s="30">
        <f>+I109-Sheet1!$T$22</f>
        <v>3.1690741154896639E-3</v>
      </c>
      <c r="O109" s="10">
        <f>+O108+P108-Sheet1!$S$22-Sheet1!$S$22</f>
        <v>66648.041100664646</v>
      </c>
      <c r="P109" s="10">
        <f t="shared" si="7"/>
        <v>316.90741154896637</v>
      </c>
      <c r="Q109" s="10">
        <f>+Q108+R108-Sheet1!$S$22-Sheet1!$S$22</f>
        <v>70772.635878497327</v>
      </c>
      <c r="R109" s="10">
        <f t="shared" si="9"/>
        <v>224.28372844752096</v>
      </c>
    </row>
    <row r="110" spans="8:18" x14ac:dyDescent="0.3">
      <c r="H110" t="s">
        <v>121</v>
      </c>
      <c r="I110" s="7">
        <f>+Sheet1!G109</f>
        <v>2.4622668536361091E-2</v>
      </c>
      <c r="J110" s="9">
        <f>+J109+K109-Sheet1!$S$22</f>
        <v>88245.948512213625</v>
      </c>
      <c r="K110" s="9">
        <f t="shared" si="8"/>
        <v>2462.2668536361093</v>
      </c>
      <c r="L110" s="9">
        <f>+L109+M109-Sheet1!$S$22</f>
        <v>88029.802027648577</v>
      </c>
      <c r="M110" s="9">
        <f t="shared" si="6"/>
        <v>2167.5286366482783</v>
      </c>
      <c r="N110" s="30">
        <f>+I110-Sheet1!$T$22</f>
        <v>2.269266853636109E-2</v>
      </c>
      <c r="O110" s="10">
        <f>+O109+P109-Sheet1!$S$22-Sheet1!$S$22</f>
        <v>66952.94851221361</v>
      </c>
      <c r="P110" s="10">
        <f t="shared" si="7"/>
        <v>2269.2668536361089</v>
      </c>
      <c r="Q110" s="10">
        <f>+Q109+R109-Sheet1!$S$22-Sheet1!$S$22</f>
        <v>70984.919606944852</v>
      </c>
      <c r="R110" s="10">
        <f t="shared" si="9"/>
        <v>1610.837251720639</v>
      </c>
    </row>
    <row r="111" spans="8:18" x14ac:dyDescent="0.3">
      <c r="H111" t="s">
        <v>122</v>
      </c>
      <c r="I111" s="7">
        <f>+Sheet1!G110</f>
        <v>-3.8119048721391843E-3</v>
      </c>
      <c r="J111" s="9">
        <f>+J110+K110-Sheet1!$S$22</f>
        <v>90702.215365849741</v>
      </c>
      <c r="K111" s="9">
        <f t="shared" si="8"/>
        <v>-381.1904872139184</v>
      </c>
      <c r="L111" s="9">
        <f>+L110+M110-Sheet1!$S$22</f>
        <v>90191.330664296853</v>
      </c>
      <c r="M111" s="9">
        <f t="shared" si="6"/>
        <v>-343.80077278394941</v>
      </c>
      <c r="N111" s="30">
        <f>+I111-Sheet1!$T$22</f>
        <v>-5.7419048721391846E-3</v>
      </c>
      <c r="O111" s="10">
        <f>+O110+P110-Sheet1!$S$22-Sheet1!$S$22</f>
        <v>69210.215365849726</v>
      </c>
      <c r="P111" s="10">
        <f t="shared" si="7"/>
        <v>-574.19048721391846</v>
      </c>
      <c r="Q111" s="10">
        <f>+Q110+R110-Sheet1!$S$22-Sheet1!$S$22</f>
        <v>72583.756858665496</v>
      </c>
      <c r="R111" s="10">
        <f t="shared" si="9"/>
        <v>-416.76902714493735</v>
      </c>
    </row>
    <row r="112" spans="8:18" x14ac:dyDescent="0.3">
      <c r="H112" t="s">
        <v>123</v>
      </c>
      <c r="I112" s="7">
        <f>+Sheet1!G111</f>
        <v>-6.4973056197075094E-3</v>
      </c>
      <c r="J112" s="9">
        <f>+J111+K111-Sheet1!$S$22</f>
        <v>90315.024878635828</v>
      </c>
      <c r="K112" s="9">
        <f t="shared" si="8"/>
        <v>-649.73056197075095</v>
      </c>
      <c r="L112" s="9">
        <f>+L111+M111-Sheet1!$S$22</f>
        <v>89841.52989151291</v>
      </c>
      <c r="M112" s="9">
        <f t="shared" si="6"/>
        <v>-583.72787704724703</v>
      </c>
      <c r="N112" s="30">
        <f>+I112-Sheet1!$T$22</f>
        <v>-8.4273056197075088E-3</v>
      </c>
      <c r="O112" s="10">
        <f>+O111+P111-Sheet1!$S$22-Sheet1!$S$22</f>
        <v>68624.024878635813</v>
      </c>
      <c r="P112" s="10">
        <f t="shared" si="7"/>
        <v>-842.73056197075084</v>
      </c>
      <c r="Q112" s="10">
        <f>+Q111+R111-Sheet1!$S$22-Sheet1!$S$22</f>
        <v>72154.987831520557</v>
      </c>
      <c r="R112" s="10">
        <f t="shared" si="9"/>
        <v>-608.0721344425001</v>
      </c>
    </row>
    <row r="113" spans="8:18" x14ac:dyDescent="0.3">
      <c r="H113" t="s">
        <v>124</v>
      </c>
      <c r="I113" s="7">
        <f>+Sheet1!G112</f>
        <v>-1.058064123253042E-2</v>
      </c>
      <c r="J113" s="9">
        <f>+J112+K112-Sheet1!$S$22</f>
        <v>89659.29431666508</v>
      </c>
      <c r="K113" s="9">
        <f t="shared" si="8"/>
        <v>-1058.064123253042</v>
      </c>
      <c r="L113" s="9">
        <f>+L112+M112-Sheet1!$S$22</f>
        <v>89251.802014465662</v>
      </c>
      <c r="M113" s="9">
        <f t="shared" si="6"/>
        <v>-944.34129647189695</v>
      </c>
      <c r="N113" s="30">
        <f>+I113-Sheet1!$T$22</f>
        <v>-1.251064123253042E-2</v>
      </c>
      <c r="O113" s="10">
        <f>+O112+P112-Sheet1!$S$22-Sheet1!$S$22</f>
        <v>67769.294316665066</v>
      </c>
      <c r="P113" s="10">
        <f t="shared" si="7"/>
        <v>-1251.064123253042</v>
      </c>
      <c r="Q113" s="10">
        <f>+Q112+R112-Sheet1!$S$22-Sheet1!$S$22</f>
        <v>71534.91569707806</v>
      </c>
      <c r="R113" s="10">
        <f t="shared" si="9"/>
        <v>-894.94766588545235</v>
      </c>
    </row>
    <row r="114" spans="8:18" x14ac:dyDescent="0.3">
      <c r="H114" t="s">
        <v>125</v>
      </c>
      <c r="I114" s="7">
        <f>+Sheet1!G113</f>
        <v>2.0933640360056575E-4</v>
      </c>
      <c r="J114" s="9">
        <f>+J113+K113-Sheet1!$S$22</f>
        <v>88595.230193412033</v>
      </c>
      <c r="K114" s="9">
        <f t="shared" si="8"/>
        <v>20.933640360056575</v>
      </c>
      <c r="L114" s="9">
        <f>+L113+M113-Sheet1!$S$22</f>
        <v>88301.460717993759</v>
      </c>
      <c r="M114" s="9">
        <f t="shared" si="6"/>
        <v>18.484710219381444</v>
      </c>
      <c r="N114" s="30">
        <f>+I114-Sheet1!$T$22</f>
        <v>-1.7206635963994343E-3</v>
      </c>
      <c r="O114" s="10">
        <f>+O113+P113-Sheet1!$S$22-Sheet1!$S$22</f>
        <v>66506.230193412019</v>
      </c>
      <c r="P114" s="10">
        <f t="shared" si="7"/>
        <v>-172.06635963994341</v>
      </c>
      <c r="Q114" s="10">
        <f>+Q113+R113-Sheet1!$S$22-Sheet1!$S$22</f>
        <v>70627.968031192606</v>
      </c>
      <c r="R114" s="10">
        <f t="shared" si="9"/>
        <v>-121.52697347893614</v>
      </c>
    </row>
    <row r="115" spans="8:18" x14ac:dyDescent="0.3">
      <c r="H115" t="s">
        <v>126</v>
      </c>
      <c r="I115" s="7">
        <f>+Sheet1!G114</f>
        <v>-8.9136156975353504E-3</v>
      </c>
      <c r="J115" s="9">
        <f>+J114+K114-Sheet1!$S$22</f>
        <v>88610.163833772094</v>
      </c>
      <c r="K115" s="9">
        <f t="shared" si="8"/>
        <v>-891.36156975353504</v>
      </c>
      <c r="L115" s="9">
        <f>+L114+M114-Sheet1!$S$22</f>
        <v>88313.945428213134</v>
      </c>
      <c r="M115" s="9">
        <f t="shared" si="6"/>
        <v>-787.19657028020083</v>
      </c>
      <c r="N115" s="30">
        <f>+I115-Sheet1!$T$22</f>
        <v>-1.084361569753535E-2</v>
      </c>
      <c r="O115" s="10">
        <f>+O114+P114-Sheet1!$S$22-Sheet1!$S$22</f>
        <v>66322.16383377208</v>
      </c>
      <c r="P115" s="10">
        <f t="shared" si="7"/>
        <v>-1084.3615697535349</v>
      </c>
      <c r="Q115" s="10">
        <f>+Q114+R114-Sheet1!$S$22-Sheet1!$S$22</f>
        <v>70494.441057713673</v>
      </c>
      <c r="R115" s="10">
        <f t="shared" si="9"/>
        <v>-764.41462764240441</v>
      </c>
    </row>
    <row r="116" spans="8:18" x14ac:dyDescent="0.3">
      <c r="H116" t="s">
        <v>127</v>
      </c>
      <c r="I116" s="7">
        <f>+Sheet1!G115</f>
        <v>-3.1846473029045662E-2</v>
      </c>
      <c r="J116" s="9">
        <f>+J115+K115-Sheet1!$S$22</f>
        <v>87712.802264018566</v>
      </c>
      <c r="K116" s="9">
        <f t="shared" si="8"/>
        <v>-3184.647302904566</v>
      </c>
      <c r="L116" s="9">
        <f>+L115+M115-Sheet1!$S$22</f>
        <v>87520.748857932937</v>
      </c>
      <c r="M116" s="9">
        <f t="shared" si="6"/>
        <v>-2787.2271679860401</v>
      </c>
      <c r="N116" s="30">
        <f>+I116-Sheet1!$T$22</f>
        <v>-3.3776473029045663E-2</v>
      </c>
      <c r="O116" s="10">
        <f>+O115+P115-Sheet1!$S$22-Sheet1!$S$22</f>
        <v>65225.802264018545</v>
      </c>
      <c r="P116" s="10">
        <f t="shared" si="7"/>
        <v>-3377.6473029045665</v>
      </c>
      <c r="Q116" s="10">
        <f>+Q115+R115-Sheet1!$S$22-Sheet1!$S$22</f>
        <v>69718.026430071273</v>
      </c>
      <c r="R116" s="10">
        <f t="shared" si="9"/>
        <v>-2354.8290393535949</v>
      </c>
    </row>
    <row r="117" spans="8:18" x14ac:dyDescent="0.3">
      <c r="H117" t="s">
        <v>128</v>
      </c>
      <c r="I117" s="7">
        <f>+Sheet1!G116</f>
        <v>2.5243685521166858E-2</v>
      </c>
      <c r="J117" s="9">
        <f>+J116+K116-Sheet1!$S$22</f>
        <v>84522.154961114007</v>
      </c>
      <c r="K117" s="9">
        <f t="shared" si="8"/>
        <v>2524.3685521166858</v>
      </c>
      <c r="L117" s="9">
        <f>+L116+M116-Sheet1!$S$22</f>
        <v>84727.521689946894</v>
      </c>
      <c r="M117" s="9">
        <f t="shared" si="6"/>
        <v>2138.8349125288632</v>
      </c>
      <c r="N117" s="30">
        <f>+I117-Sheet1!$T$22</f>
        <v>2.3313685521166857E-2</v>
      </c>
      <c r="O117" s="10">
        <f>+O116+P116-Sheet1!$S$22-Sheet1!$S$22</f>
        <v>61836.154961113978</v>
      </c>
      <c r="P117" s="10">
        <f t="shared" si="7"/>
        <v>2331.3685521166858</v>
      </c>
      <c r="Q117" s="10">
        <f>+Q116+R116-Sheet1!$S$22-Sheet1!$S$22</f>
        <v>67351.197390717673</v>
      </c>
      <c r="R117" s="10">
        <f t="shared" si="9"/>
        <v>1570.2046354412255</v>
      </c>
    </row>
    <row r="118" spans="8:18" x14ac:dyDescent="0.3">
      <c r="H118" t="s">
        <v>129</v>
      </c>
      <c r="I118" s="7">
        <f>+Sheet1!G117</f>
        <v>3.4776970572199255E-3</v>
      </c>
      <c r="J118" s="9">
        <f>+J117+K117-Sheet1!$S$22</f>
        <v>87040.523513230699</v>
      </c>
      <c r="K118" s="9">
        <f t="shared" si="8"/>
        <v>347.76970572199252</v>
      </c>
      <c r="L118" s="9">
        <f>+L117+M117-Sheet1!$S$22</f>
        <v>86860.35660247576</v>
      </c>
      <c r="M118" s="9">
        <f t="shared" si="6"/>
        <v>302.07400654550327</v>
      </c>
      <c r="N118" s="30">
        <f>+I118-Sheet1!$T$22</f>
        <v>1.5476970572199254E-3</v>
      </c>
      <c r="O118" s="10">
        <f>+O117+P117-Sheet1!$S$22-Sheet1!$S$22</f>
        <v>64155.523513230663</v>
      </c>
      <c r="P118" s="10">
        <f t="shared" si="7"/>
        <v>154.76970572199255</v>
      </c>
      <c r="Q118" s="10">
        <f>+Q117+R117-Sheet1!$S$22-Sheet1!$S$22</f>
        <v>68909.402026158903</v>
      </c>
      <c r="R118" s="10">
        <f t="shared" si="9"/>
        <v>106.6508787306709</v>
      </c>
    </row>
    <row r="119" spans="8:18" x14ac:dyDescent="0.3">
      <c r="H119" t="s">
        <v>130</v>
      </c>
      <c r="I119" s="7">
        <f>+Sheet1!G118</f>
        <v>7.8092461474385672E-3</v>
      </c>
      <c r="J119" s="9">
        <f>+J118+K118-Sheet1!$S$22</f>
        <v>87382.293218952691</v>
      </c>
      <c r="K119" s="9">
        <f t="shared" si="8"/>
        <v>780.92461474385675</v>
      </c>
      <c r="L119" s="9">
        <f>+L118+M118-Sheet1!$S$22</f>
        <v>87156.430609021263</v>
      </c>
      <c r="M119" s="9">
        <f t="shared" si="6"/>
        <v>680.62601995799616</v>
      </c>
      <c r="N119" s="30">
        <f>+I119-Sheet1!$T$22</f>
        <v>5.8792461474385669E-3</v>
      </c>
      <c r="O119" s="10">
        <f>+O118+P118-Sheet1!$S$22-Sheet1!$S$22</f>
        <v>64298.293218952655</v>
      </c>
      <c r="P119" s="10">
        <f t="shared" si="7"/>
        <v>587.92461474385664</v>
      </c>
      <c r="Q119" s="10">
        <f>+Q118+R118-Sheet1!$S$22-Sheet1!$S$22</f>
        <v>69004.05290488957</v>
      </c>
      <c r="R119" s="10">
        <f t="shared" si="9"/>
        <v>405.69181219871905</v>
      </c>
    </row>
    <row r="120" spans="8:18" x14ac:dyDescent="0.3">
      <c r="H120" t="s">
        <v>131</v>
      </c>
      <c r="I120" s="7">
        <f>+Sheet1!G119</f>
        <v>-1.7055749389796652E-2</v>
      </c>
      <c r="J120" s="9">
        <f>+J119+K119-Sheet1!$S$22</f>
        <v>88157.217833696544</v>
      </c>
      <c r="K120" s="9">
        <f t="shared" si="8"/>
        <v>-1705.5749389796651</v>
      </c>
      <c r="L120" s="9">
        <f>+L119+M119-Sheet1!$S$22</f>
        <v>87831.056628979262</v>
      </c>
      <c r="M120" s="9">
        <f t="shared" si="6"/>
        <v>-1498.0244905049083</v>
      </c>
      <c r="N120" s="30">
        <f>+I120-Sheet1!$T$22</f>
        <v>-1.8985749389796653E-2</v>
      </c>
      <c r="O120" s="10">
        <f>+O119+P119-Sheet1!$S$22-Sheet1!$S$22</f>
        <v>64874.217833696508</v>
      </c>
      <c r="P120" s="10">
        <f t="shared" si="7"/>
        <v>-1898.5749389796654</v>
      </c>
      <c r="Q120" s="10">
        <f>+Q119+R119-Sheet1!$S$22-Sheet1!$S$22</f>
        <v>69397.744717088295</v>
      </c>
      <c r="R120" s="10">
        <f t="shared" si="9"/>
        <v>-1317.5681894157231</v>
      </c>
    </row>
    <row r="121" spans="8:18" x14ac:dyDescent="0.3">
      <c r="H121" t="s">
        <v>132</v>
      </c>
      <c r="I121" s="7">
        <f>+Sheet1!G120</f>
        <v>-1.6742155851533021E-3</v>
      </c>
      <c r="J121" s="9">
        <f>+J120+K120-Sheet1!$S$22</f>
        <v>86445.642894716875</v>
      </c>
      <c r="K121" s="9">
        <f t="shared" si="8"/>
        <v>-167.42155851533022</v>
      </c>
      <c r="L121" s="9">
        <f>+L120+M120-Sheet1!$S$22</f>
        <v>86327.032138474358</v>
      </c>
      <c r="M121" s="9">
        <f t="shared" si="6"/>
        <v>-144.53006262626377</v>
      </c>
      <c r="N121" s="30">
        <f>+I121-Sheet1!$T$22</f>
        <v>-3.6042155851533021E-3</v>
      </c>
      <c r="O121" s="10">
        <f>+O120+P120-Sheet1!$S$22-Sheet1!$S$22</f>
        <v>62963.642894716846</v>
      </c>
      <c r="P121" s="10">
        <f t="shared" si="7"/>
        <v>-360.42155851533022</v>
      </c>
      <c r="Q121" s="10">
        <f>+Q120+R120-Sheet1!$S$22-Sheet1!$S$22</f>
        <v>68068.176527672578</v>
      </c>
      <c r="R121" s="10">
        <f t="shared" si="9"/>
        <v>-245.33238269400368</v>
      </c>
    </row>
    <row r="122" spans="8:18" x14ac:dyDescent="0.3">
      <c r="H122" t="s">
        <v>133</v>
      </c>
      <c r="I122" s="7">
        <f>+Sheet1!G121</f>
        <v>1.5023291344007868E-2</v>
      </c>
      <c r="J122" s="9">
        <f>+J121+K121-Sheet1!$S$22</f>
        <v>86272.221336201546</v>
      </c>
      <c r="K122" s="9">
        <f t="shared" si="8"/>
        <v>1502.3291344007869</v>
      </c>
      <c r="L122" s="9">
        <f>+L121+M121-Sheet1!$S$22</f>
        <v>86176.502075848097</v>
      </c>
      <c r="M122" s="9">
        <f t="shared" si="6"/>
        <v>1294.6546976929649</v>
      </c>
      <c r="N122" s="30">
        <f>+I122-Sheet1!$T$22</f>
        <v>1.3093291344007869E-2</v>
      </c>
      <c r="O122" s="10">
        <f>+O121+P121-Sheet1!$S$22-Sheet1!$S$22</f>
        <v>62591.221336201517</v>
      </c>
      <c r="P122" s="10">
        <f t="shared" si="7"/>
        <v>1309.3291344007869</v>
      </c>
      <c r="Q122" s="10">
        <f>+Q121+R121-Sheet1!$S$22-Sheet1!$S$22</f>
        <v>67810.844144978575</v>
      </c>
      <c r="R122" s="10">
        <f t="shared" si="9"/>
        <v>887.86713867331468</v>
      </c>
    </row>
    <row r="123" spans="8:18" x14ac:dyDescent="0.3">
      <c r="H123" t="s">
        <v>134</v>
      </c>
      <c r="I123" s="7">
        <f>+Sheet1!G122</f>
        <v>-7.4669557101135643E-3</v>
      </c>
      <c r="J123" s="9">
        <f>+J122+K122-Sheet1!$S$22</f>
        <v>87768.550470602335</v>
      </c>
      <c r="K123" s="9">
        <f t="shared" si="8"/>
        <v>-746.69557101135638</v>
      </c>
      <c r="L123" s="9">
        <f>+L122+M122-Sheet1!$S$22</f>
        <v>87465.156773541064</v>
      </c>
      <c r="M123" s="9">
        <f t="shared" si="6"/>
        <v>-653.09845180617049</v>
      </c>
      <c r="N123" s="30">
        <f>+I123-Sheet1!$T$22</f>
        <v>-9.3969557101135637E-3</v>
      </c>
      <c r="O123" s="10">
        <f>+O122+P122-Sheet1!$S$22-Sheet1!$S$22</f>
        <v>63888.550470602306</v>
      </c>
      <c r="P123" s="10">
        <f t="shared" si="7"/>
        <v>-939.69557101135638</v>
      </c>
      <c r="Q123" s="10">
        <f>+Q122+R122-Sheet1!$S$22-Sheet1!$S$22</f>
        <v>68686.711283651894</v>
      </c>
      <c r="R123" s="10">
        <f t="shared" si="9"/>
        <v>-645.44598380583443</v>
      </c>
    </row>
    <row r="124" spans="8:18" x14ac:dyDescent="0.3">
      <c r="H124" t="s">
        <v>135</v>
      </c>
      <c r="I124" s="7">
        <f>+Sheet1!G123</f>
        <v>-4.2453958383160701E-3</v>
      </c>
      <c r="J124" s="9">
        <f>+J123+K123-Sheet1!$S$22</f>
        <v>87015.85489959098</v>
      </c>
      <c r="K124" s="9">
        <f t="shared" si="8"/>
        <v>-424.53958383160699</v>
      </c>
      <c r="L124" s="9">
        <f>+L123+M123-Sheet1!$S$22</f>
        <v>86806.05832173489</v>
      </c>
      <c r="M124" s="9">
        <f t="shared" si="6"/>
        <v>-368.52607873971539</v>
      </c>
      <c r="N124" s="30">
        <f>+I124-Sheet1!$T$22</f>
        <v>-6.1753958383160704E-3</v>
      </c>
      <c r="O124" s="10">
        <f>+O123+P123-Sheet1!$S$22-Sheet1!$S$22</f>
        <v>62936.854899590951</v>
      </c>
      <c r="P124" s="10">
        <f t="shared" si="7"/>
        <v>-617.53958383160705</v>
      </c>
      <c r="Q124" s="10">
        <f>+Q123+R123-Sheet1!$S$22-Sheet1!$S$22</f>
        <v>68029.265299846054</v>
      </c>
      <c r="R124" s="10">
        <f t="shared" si="9"/>
        <v>-420.10764181636921</v>
      </c>
    </row>
    <row r="125" spans="8:18" x14ac:dyDescent="0.3">
      <c r="H125" t="s">
        <v>136</v>
      </c>
      <c r="I125" s="7">
        <f>+Sheet1!G124</f>
        <v>-7.7660623077150119E-4</v>
      </c>
      <c r="J125" s="9">
        <f>+J124+K124-Sheet1!$S$22</f>
        <v>86585.315315759377</v>
      </c>
      <c r="K125" s="9">
        <f t="shared" si="8"/>
        <v>-77.66062307715012</v>
      </c>
      <c r="L125" s="9">
        <f>+L124+M124-Sheet1!$S$22</f>
        <v>86431.532242995178</v>
      </c>
      <c r="M125" s="9">
        <f t="shared" si="6"/>
        <v>-67.123266475037966</v>
      </c>
      <c r="N125" s="30">
        <f>+I125-Sheet1!$T$22</f>
        <v>-2.7066062307715012E-3</v>
      </c>
      <c r="O125" s="10">
        <f>+O124+P124-Sheet1!$S$22-Sheet1!$S$22</f>
        <v>62307.315315759348</v>
      </c>
      <c r="P125" s="10">
        <f t="shared" si="7"/>
        <v>-270.66062307715009</v>
      </c>
      <c r="Q125" s="10">
        <f>+Q124+R124-Sheet1!$S$22-Sheet1!$S$22</f>
        <v>67597.157658029682</v>
      </c>
      <c r="R125" s="10">
        <f t="shared" si="9"/>
        <v>-182.95888809966664</v>
      </c>
    </row>
    <row r="126" spans="8:18" x14ac:dyDescent="0.3">
      <c r="H126" t="s">
        <v>137</v>
      </c>
      <c r="I126" s="7">
        <f>+Sheet1!G125</f>
        <v>-7.2977573828733088E-3</v>
      </c>
      <c r="J126" s="9">
        <f>+J125+K125-Sheet1!$S$22</f>
        <v>86501.654692682234</v>
      </c>
      <c r="K126" s="9">
        <f t="shared" si="8"/>
        <v>-729.77573828733091</v>
      </c>
      <c r="L126" s="9">
        <f>+L125+M125-Sheet1!$S$22</f>
        <v>86358.408976520135</v>
      </c>
      <c r="M126" s="9">
        <f t="shared" si="6"/>
        <v>-630.22271668159249</v>
      </c>
      <c r="N126" s="30">
        <f>+I126-Sheet1!$T$22</f>
        <v>-9.2277573828733091E-3</v>
      </c>
      <c r="O126" s="10">
        <f>+O125+P125-Sheet1!$S$22-Sheet1!$S$22</f>
        <v>62024.654692682197</v>
      </c>
      <c r="P126" s="10">
        <f t="shared" si="7"/>
        <v>-922.77573828733091</v>
      </c>
      <c r="Q126" s="10">
        <f>+Q125+R125-Sheet1!$S$22-Sheet1!$S$22</f>
        <v>67402.198769930023</v>
      </c>
      <c r="R126" s="10">
        <f t="shared" si="9"/>
        <v>-621.97113732111609</v>
      </c>
    </row>
    <row r="127" spans="8:18" x14ac:dyDescent="0.3">
      <c r="H127" t="s">
        <v>138</v>
      </c>
      <c r="I127" s="7">
        <f>+Sheet1!G126</f>
        <v>2.2855626170428574E-3</v>
      </c>
      <c r="J127" s="9">
        <f>+J126+K126-Sheet1!$S$22</f>
        <v>85765.87895439491</v>
      </c>
      <c r="K127" s="9">
        <f t="shared" si="8"/>
        <v>228.55626170428573</v>
      </c>
      <c r="L127" s="9">
        <f>+L126+M126-Sheet1!$S$22</f>
        <v>85722.186259838549</v>
      </c>
      <c r="M127" s="9">
        <f t="shared" si="6"/>
        <v>195.92342436667187</v>
      </c>
      <c r="N127" s="30">
        <f>+I127-Sheet1!$T$22</f>
        <v>3.5556261704285737E-4</v>
      </c>
      <c r="O127" s="10">
        <f>+O126+P126-Sheet1!$S$22-Sheet1!$S$22</f>
        <v>61089.878954394866</v>
      </c>
      <c r="P127" s="10">
        <f t="shared" si="7"/>
        <v>35.556261704285738</v>
      </c>
      <c r="Q127" s="10">
        <f>+Q126+R126-Sheet1!$S$22-Sheet1!$S$22</f>
        <v>66768.227632608905</v>
      </c>
      <c r="R127" s="10">
        <f t="shared" si="9"/>
        <v>23.740285752363647</v>
      </c>
    </row>
    <row r="128" spans="8:18" x14ac:dyDescent="0.3">
      <c r="H128" t="s">
        <v>139</v>
      </c>
      <c r="I128" s="7">
        <f>+Sheet1!G127</f>
        <v>-9.1305126215909839E-3</v>
      </c>
      <c r="J128" s="9">
        <f>+J127+K127-Sheet1!$S$22</f>
        <v>85988.435216099198</v>
      </c>
      <c r="K128" s="9">
        <f t="shared" si="8"/>
        <v>-913.05126215909843</v>
      </c>
      <c r="L128" s="9">
        <f>+L127+M127-Sheet1!$S$22</f>
        <v>85912.109684205221</v>
      </c>
      <c r="M128" s="9">
        <f t="shared" si="6"/>
        <v>-784.42160181914483</v>
      </c>
      <c r="N128" s="30">
        <f>+I128-Sheet1!$T$22</f>
        <v>-1.1060512621590983E-2</v>
      </c>
      <c r="O128" s="10">
        <f>+O127+P127-Sheet1!$S$22-Sheet1!$S$22</f>
        <v>61113.435216099155</v>
      </c>
      <c r="P128" s="10">
        <f t="shared" si="7"/>
        <v>-1106.0512621590983</v>
      </c>
      <c r="Q128" s="10">
        <f>+Q127+R127-Sheet1!$S$22-Sheet1!$S$22</f>
        <v>66779.967918361275</v>
      </c>
      <c r="R128" s="10">
        <f t="shared" si="9"/>
        <v>-738.6206780304758</v>
      </c>
    </row>
    <row r="129" spans="8:18" x14ac:dyDescent="0.3">
      <c r="H129" t="s">
        <v>140</v>
      </c>
      <c r="I129" s="7">
        <f>+Sheet1!G128</f>
        <v>-1.1335348506401104E-2</v>
      </c>
      <c r="J129" s="9">
        <f>+J128+K128-Sheet1!$S$22</f>
        <v>85069.383953940094</v>
      </c>
      <c r="K129" s="9">
        <f t="shared" si="8"/>
        <v>-1133.5348506401103</v>
      </c>
      <c r="L129" s="9">
        <f>+L128+M128-Sheet1!$S$22</f>
        <v>85121.68808238607</v>
      </c>
      <c r="M129" s="9">
        <f t="shared" si="6"/>
        <v>-964.88399986701552</v>
      </c>
      <c r="N129" s="30">
        <f>+I129-Sheet1!$T$22</f>
        <v>-1.3265348506401103E-2</v>
      </c>
      <c r="O129" s="10">
        <f>+O128+P128-Sheet1!$S$22-Sheet1!$S$22</f>
        <v>59995.383953940058</v>
      </c>
      <c r="P129" s="10">
        <f t="shared" si="7"/>
        <v>-1326.5348506401103</v>
      </c>
      <c r="Q129" s="10">
        <f>+Q128+R128-Sheet1!$S$22-Sheet1!$S$22</f>
        <v>66029.347240330797</v>
      </c>
      <c r="R129" s="10">
        <f t="shared" si="9"/>
        <v>-875.90230279316188</v>
      </c>
    </row>
    <row r="130" spans="8:18" x14ac:dyDescent="0.3">
      <c r="H130" t="s">
        <v>141</v>
      </c>
      <c r="I130" s="7">
        <f>+Sheet1!G129</f>
        <v>8.4690936893489256E-3</v>
      </c>
      <c r="J130" s="9">
        <f>+J129+K129-Sheet1!$S$22</f>
        <v>83929.849103299988</v>
      </c>
      <c r="K130" s="9">
        <f t="shared" si="8"/>
        <v>846.90936893489254</v>
      </c>
      <c r="L130" s="9">
        <f>+L129+M129-Sheet1!$S$22</f>
        <v>84150.804082519055</v>
      </c>
      <c r="M130" s="9">
        <f t="shared" si="6"/>
        <v>712.68104380889997</v>
      </c>
      <c r="N130" s="30">
        <f>+I130-Sheet1!$T$22</f>
        <v>6.5390936893489253E-3</v>
      </c>
      <c r="O130" s="10">
        <f>+O129+P129-Sheet1!$S$22-Sheet1!$S$22</f>
        <v>58656.849103299945</v>
      </c>
      <c r="P130" s="10">
        <f t="shared" si="7"/>
        <v>653.90936893489254</v>
      </c>
      <c r="Q130" s="10">
        <f>+Q129+R129-Sheet1!$S$22-Sheet1!$S$22</f>
        <v>65141.444937537635</v>
      </c>
      <c r="R130" s="10">
        <f t="shared" si="9"/>
        <v>425.96601150612287</v>
      </c>
    </row>
    <row r="131" spans="8:18" x14ac:dyDescent="0.3">
      <c r="H131" t="s">
        <v>142</v>
      </c>
      <c r="I131" s="7">
        <f>+Sheet1!G130</f>
        <v>8.4260850078434098E-3</v>
      </c>
      <c r="J131" s="9">
        <f>+J130+K130-Sheet1!$S$22</f>
        <v>84770.758472234884</v>
      </c>
      <c r="K131" s="9">
        <f t="shared" si="8"/>
        <v>842.608500784341</v>
      </c>
      <c r="L131" s="9">
        <f>+L130+M130-Sheet1!$S$22</f>
        <v>84857.485126327956</v>
      </c>
      <c r="M131" s="9">
        <f t="shared" si="6"/>
        <v>715.01638322624717</v>
      </c>
      <c r="N131" s="30">
        <f>+I131-Sheet1!$T$22</f>
        <v>6.4960850078434095E-3</v>
      </c>
      <c r="O131" s="10">
        <f>+O130+P130-Sheet1!$S$22-Sheet1!$S$22</f>
        <v>59298.75847223484</v>
      </c>
      <c r="P131" s="10">
        <f t="shared" si="7"/>
        <v>649.608500784341</v>
      </c>
      <c r="Q131" s="10">
        <f>+Q130+R130-Sheet1!$S$22-Sheet1!$S$22</f>
        <v>65555.410949043755</v>
      </c>
      <c r="R131" s="10">
        <f t="shared" ref="R131:R146" si="10">Q131*N131</f>
        <v>425.85352224909684</v>
      </c>
    </row>
    <row r="132" spans="8:18" x14ac:dyDescent="0.3">
      <c r="H132" t="s">
        <v>143</v>
      </c>
      <c r="I132" s="7">
        <f>+Sheet1!G131</f>
        <v>-4.0775027560898949E-3</v>
      </c>
      <c r="J132" s="9">
        <f>+J131+K131-Sheet1!$S$22</f>
        <v>85607.36697301922</v>
      </c>
      <c r="K132" s="9">
        <f t="shared" si="8"/>
        <v>-407.75027560898951</v>
      </c>
      <c r="L132" s="9">
        <f>+L131+M131-Sheet1!$S$22</f>
        <v>85566.501509554204</v>
      </c>
      <c r="M132" s="9">
        <f t="shared" ref="M132:M146" si="11">+L132*I132</f>
        <v>-348.89764573417744</v>
      </c>
      <c r="N132" s="30">
        <f>+I132-Sheet1!$T$22</f>
        <v>-6.0075027560898952E-3</v>
      </c>
      <c r="O132" s="10">
        <f>+O131+P131-Sheet1!$S$22-Sheet1!$S$22</f>
        <v>59936.366973019183</v>
      </c>
      <c r="P132" s="10">
        <f t="shared" ref="P132:P146" si="12">+$O$3*N132</f>
        <v>-600.75027560898957</v>
      </c>
      <c r="Q132" s="10">
        <f>+Q131+R131-Sheet1!$S$22-Sheet1!$S$22</f>
        <v>65969.264471292845</v>
      </c>
      <c r="R132" s="10">
        <f t="shared" si="10"/>
        <v>-396.31053812851496</v>
      </c>
    </row>
    <row r="133" spans="8:18" x14ac:dyDescent="0.3">
      <c r="H133" t="s">
        <v>144</v>
      </c>
      <c r="I133" s="7">
        <f>+Sheet1!G132</f>
        <v>-2.3765317489788679E-3</v>
      </c>
      <c r="J133" s="9">
        <f>+J132+K132-Sheet1!$S$22</f>
        <v>85193.616697410223</v>
      </c>
      <c r="K133" s="9">
        <f t="shared" ref="K133:K146" si="13">+$J$3*I133</f>
        <v>-237.6531748978868</v>
      </c>
      <c r="L133" s="9">
        <f>+L132+M132-Sheet1!$S$22</f>
        <v>85211.603863820026</v>
      </c>
      <c r="M133" s="9">
        <f t="shared" si="11"/>
        <v>-202.50808196377866</v>
      </c>
      <c r="N133" s="30">
        <f>+I133-Sheet1!$T$22</f>
        <v>-4.3065317489788682E-3</v>
      </c>
      <c r="O133" s="10">
        <f>+O132+P132-Sheet1!$S$22-Sheet1!$S$22</f>
        <v>59323.616697410194</v>
      </c>
      <c r="P133" s="10">
        <f t="shared" si="12"/>
        <v>-430.6531748978868</v>
      </c>
      <c r="Q133" s="10">
        <f>+Q132+R132-Sheet1!$S$22-Sheet1!$S$22</f>
        <v>65560.953933164332</v>
      </c>
      <c r="R133" s="10">
        <f t="shared" si="10"/>
        <v>-282.34032960651319</v>
      </c>
    </row>
    <row r="134" spans="8:18" x14ac:dyDescent="0.3">
      <c r="H134" t="s">
        <v>145</v>
      </c>
      <c r="I134" s="7">
        <f>+Sheet1!G133</f>
        <v>-9.1882261128208281E-3</v>
      </c>
      <c r="J134" s="9">
        <f>+J133+K133-Sheet1!$S$22</f>
        <v>84949.963522512335</v>
      </c>
      <c r="K134" s="9">
        <f t="shared" si="13"/>
        <v>-918.82261128208279</v>
      </c>
      <c r="L134" s="9">
        <f>+L133+M133-Sheet1!$S$22</f>
        <v>85003.095781856246</v>
      </c>
      <c r="M134" s="9">
        <f t="shared" si="11"/>
        <v>-781.02766433346153</v>
      </c>
      <c r="N134" s="30">
        <f>+I134-Sheet1!$T$22</f>
        <v>-1.1118226112820827E-2</v>
      </c>
      <c r="O134" s="10">
        <f>+O133+P133-Sheet1!$S$22-Sheet1!$S$22</f>
        <v>58880.963522512306</v>
      </c>
      <c r="P134" s="10">
        <f t="shared" si="12"/>
        <v>-1111.8226112820828</v>
      </c>
      <c r="Q134" s="10">
        <f>+Q133+R133-Sheet1!$S$22-Sheet1!$S$22</f>
        <v>65266.613603557817</v>
      </c>
      <c r="R134" s="10">
        <f t="shared" si="10"/>
        <v>-725.64896766246352</v>
      </c>
    </row>
    <row r="135" spans="8:18" x14ac:dyDescent="0.3">
      <c r="H135" t="s">
        <v>146</v>
      </c>
      <c r="I135" s="7">
        <f>+Sheet1!G134</f>
        <v>6.5300251708018172E-3</v>
      </c>
      <c r="J135" s="9">
        <f>+J134+K134-Sheet1!$S$22</f>
        <v>84025.14091123025</v>
      </c>
      <c r="K135" s="9">
        <f t="shared" si="13"/>
        <v>653.00251708018175</v>
      </c>
      <c r="L135" s="9">
        <f>+L134+M134-Sheet1!$S$22</f>
        <v>84216.06811752278</v>
      </c>
      <c r="M135" s="9">
        <f t="shared" si="11"/>
        <v>549.93304459338412</v>
      </c>
      <c r="N135" s="30">
        <f>+I135-Sheet1!$T$22</f>
        <v>4.6000251708018169E-3</v>
      </c>
      <c r="O135" s="10">
        <f>+O134+P134-Sheet1!$S$22-Sheet1!$S$22</f>
        <v>57757.140911230221</v>
      </c>
      <c r="P135" s="10">
        <f t="shared" si="12"/>
        <v>460.00251708018169</v>
      </c>
      <c r="Q135" s="10">
        <f>+Q134+R134-Sheet1!$S$22-Sheet1!$S$22</f>
        <v>64528.964635895354</v>
      </c>
      <c r="R135" s="10">
        <f t="shared" si="10"/>
        <v>296.83486157089891</v>
      </c>
    </row>
    <row r="136" spans="8:18" x14ac:dyDescent="0.3">
      <c r="H136" t="s">
        <v>147</v>
      </c>
      <c r="I136" s="7">
        <f>+Sheet1!G135</f>
        <v>1.5908137735550876E-4</v>
      </c>
      <c r="J136" s="9">
        <f>+J135+K135-Sheet1!$S$22</f>
        <v>84672.143428310432</v>
      </c>
      <c r="K136" s="9">
        <f t="shared" si="13"/>
        <v>15.908137735550875</v>
      </c>
      <c r="L136" s="9">
        <f>+L135+M135-Sheet1!$S$22</f>
        <v>84760.001162116168</v>
      </c>
      <c r="M136" s="9">
        <f t="shared" si="11"/>
        <v>13.483737729523963</v>
      </c>
      <c r="N136" s="30">
        <f>+I136-Sheet1!$T$22</f>
        <v>-1.7709186226444913E-3</v>
      </c>
      <c r="O136" s="10">
        <f>+O135+P135-Sheet1!$S$22-Sheet1!$S$22</f>
        <v>58205.143428310403</v>
      </c>
      <c r="P136" s="10">
        <f t="shared" si="12"/>
        <v>-177.09186226444913</v>
      </c>
      <c r="Q136" s="10">
        <f>+Q135+R135-Sheet1!$S$22-Sheet1!$S$22</f>
        <v>64813.799497466251</v>
      </c>
      <c r="R136" s="10">
        <f t="shared" si="10"/>
        <v>-114.77996453440916</v>
      </c>
    </row>
    <row r="137" spans="8:18" x14ac:dyDescent="0.3">
      <c r="H137" t="s">
        <v>148</v>
      </c>
      <c r="I137" s="7">
        <f>+Sheet1!G136</f>
        <v>-3.9927719551861231E-2</v>
      </c>
      <c r="J137" s="9">
        <f>+J136+K136-Sheet1!$S$22</f>
        <v>84682.051566045979</v>
      </c>
      <c r="K137" s="9">
        <f t="shared" si="13"/>
        <v>-3992.7719551861233</v>
      </c>
      <c r="L137" s="9">
        <f>+L136+M136-Sheet1!$S$22</f>
        <v>84767.484899845687</v>
      </c>
      <c r="M137" s="9">
        <f t="shared" si="11"/>
        <v>-3384.5723641976701</v>
      </c>
      <c r="N137" s="30">
        <f>+I137-Sheet1!$T$22</f>
        <v>-4.1857719551861232E-2</v>
      </c>
      <c r="O137" s="10">
        <f>+O136+P136-Sheet1!$S$22-Sheet1!$S$22</f>
        <v>58016.051566045957</v>
      </c>
      <c r="P137" s="10">
        <f t="shared" si="12"/>
        <v>-4185.7719551861228</v>
      </c>
      <c r="Q137" s="10">
        <f>+Q136+R136-Sheet1!$S$22-Sheet1!$S$22</f>
        <v>64687.019532931845</v>
      </c>
      <c r="R137" s="10">
        <f t="shared" si="10"/>
        <v>-2707.6511222552308</v>
      </c>
    </row>
    <row r="138" spans="8:18" x14ac:dyDescent="0.3">
      <c r="H138" t="s">
        <v>149</v>
      </c>
      <c r="I138" s="7">
        <f>+Sheet1!G137</f>
        <v>1.8140589569161005E-2</v>
      </c>
      <c r="J138" s="9">
        <f>+J137+K137-Sheet1!$S$22</f>
        <v>80683.279610859856</v>
      </c>
      <c r="K138" s="9">
        <f t="shared" si="13"/>
        <v>1814.0589569161004</v>
      </c>
      <c r="L138" s="9">
        <f>+L137+M137-Sheet1!$S$22</f>
        <v>81376.912535648022</v>
      </c>
      <c r="M138" s="9">
        <f t="shared" si="11"/>
        <v>1476.2251707147038</v>
      </c>
      <c r="N138" s="30">
        <f>+I138-Sheet1!$T$22</f>
        <v>1.6210589569161004E-2</v>
      </c>
      <c r="O138" s="10">
        <f>+O137+P137-Sheet1!$S$22-Sheet1!$S$22</f>
        <v>53818.279610859834</v>
      </c>
      <c r="P138" s="10">
        <f t="shared" si="12"/>
        <v>1621.0589569161004</v>
      </c>
      <c r="Q138" s="10">
        <f>+Q137+R137-Sheet1!$S$22-Sheet1!$S$22</f>
        <v>61967.368410676616</v>
      </c>
      <c r="R138" s="10">
        <f t="shared" si="10"/>
        <v>1004.5275759864714</v>
      </c>
    </row>
    <row r="139" spans="8:18" x14ac:dyDescent="0.3">
      <c r="H139" t="s">
        <v>150</v>
      </c>
      <c r="I139" s="7">
        <f>+Sheet1!G138</f>
        <v>1.9143491354324201E-2</v>
      </c>
      <c r="J139" s="9">
        <f>+J138+K138-Sheet1!$S$22</f>
        <v>82491.338567775951</v>
      </c>
      <c r="K139" s="9">
        <f t="shared" si="13"/>
        <v>1914.3491354324201</v>
      </c>
      <c r="L139" s="9">
        <f>+L138+M138-Sheet1!$S$22</f>
        <v>82847.13770636273</v>
      </c>
      <c r="M139" s="9">
        <f t="shared" si="11"/>
        <v>1585.9834644122614</v>
      </c>
      <c r="N139" s="30">
        <f>+I139-Sheet1!$T$22</f>
        <v>1.7213491354324199E-2</v>
      </c>
      <c r="O139" s="10">
        <f>+O138+P138-Sheet1!$S$22-Sheet1!$S$22</f>
        <v>55427.338567775936</v>
      </c>
      <c r="P139" s="10">
        <f t="shared" si="12"/>
        <v>1721.3491354324199</v>
      </c>
      <c r="Q139" s="10">
        <f>+Q138+R138-Sheet1!$S$22-Sheet1!$S$22</f>
        <v>62959.89598666309</v>
      </c>
      <c r="R139" s="10">
        <f t="shared" si="10"/>
        <v>1083.7596252355759</v>
      </c>
    </row>
    <row r="140" spans="8:18" x14ac:dyDescent="0.3">
      <c r="H140" t="s">
        <v>151</v>
      </c>
      <c r="I140" s="7">
        <f>+Sheet1!G139</f>
        <v>1.5850288512478255E-2</v>
      </c>
      <c r="J140" s="9">
        <f>+J139+K139-Sheet1!$S$22</f>
        <v>84399.687703208372</v>
      </c>
      <c r="K140" s="9">
        <f t="shared" si="13"/>
        <v>1585.0288512478255</v>
      </c>
      <c r="L140" s="9">
        <f>+L139+M139-Sheet1!$S$22</f>
        <v>84427.12117077499</v>
      </c>
      <c r="M140" s="9">
        <f t="shared" si="11"/>
        <v>1338.1942288347445</v>
      </c>
      <c r="N140" s="30">
        <f>+I140-Sheet1!$T$22</f>
        <v>1.3920288512478255E-2</v>
      </c>
      <c r="O140" s="10">
        <f>+O139+P139-Sheet1!$S$22-Sheet1!$S$22</f>
        <v>57136.687703208358</v>
      </c>
      <c r="P140" s="10">
        <f t="shared" si="12"/>
        <v>1392.0288512478255</v>
      </c>
      <c r="Q140" s="10">
        <f>+Q139+R139-Sheet1!$S$22-Sheet1!$S$22</f>
        <v>64031.655611898663</v>
      </c>
      <c r="R140" s="10">
        <f t="shared" si="10"/>
        <v>891.33912004927674</v>
      </c>
    </row>
    <row r="141" spans="8:18" x14ac:dyDescent="0.3">
      <c r="H141" t="s">
        <v>152</v>
      </c>
      <c r="I141" s="7">
        <f>+Sheet1!G140</f>
        <v>1.9805129094746647E-3</v>
      </c>
      <c r="J141" s="9">
        <f>+J140+K140-Sheet1!$S$22</f>
        <v>85978.716554456201</v>
      </c>
      <c r="K141" s="9">
        <f t="shared" si="13"/>
        <v>198.05129094746647</v>
      </c>
      <c r="L141" s="9">
        <f>+L140+M140-Sheet1!$S$22</f>
        <v>85759.315399609739</v>
      </c>
      <c r="M141" s="9">
        <f t="shared" si="11"/>
        <v>169.8474312566365</v>
      </c>
      <c r="N141" s="30">
        <f>+I141-Sheet1!$T$22</f>
        <v>5.0512909474664585E-5</v>
      </c>
      <c r="O141" s="10">
        <f>+O140+P140-Sheet1!$S$22-Sheet1!$S$22</f>
        <v>58516.716554456187</v>
      </c>
      <c r="P141" s="10">
        <f t="shared" si="12"/>
        <v>5.0512909474664589</v>
      </c>
      <c r="Q141" s="10">
        <f>+Q140+R140-Sheet1!$S$22-Sheet1!$S$22</f>
        <v>64910.99473194794</v>
      </c>
      <c r="R141" s="10">
        <f t="shared" si="10"/>
        <v>3.2788432008053161</v>
      </c>
    </row>
    <row r="142" spans="8:18" x14ac:dyDescent="0.3">
      <c r="H142" t="s">
        <v>153</v>
      </c>
      <c r="I142" s="7">
        <f>+Sheet1!G141</f>
        <v>-1.0410517070080229E-2</v>
      </c>
      <c r="J142" s="9">
        <f>+J141+K141-Sheet1!$S$22</f>
        <v>86170.767845403665</v>
      </c>
      <c r="K142" s="9">
        <f t="shared" si="13"/>
        <v>-1041.051707008023</v>
      </c>
      <c r="L142" s="9">
        <f>+L141+M141-Sheet1!$S$22</f>
        <v>85923.162830866378</v>
      </c>
      <c r="M142" s="9">
        <f t="shared" si="11"/>
        <v>-894.50455336601749</v>
      </c>
      <c r="N142" s="30">
        <f>+I142-Sheet1!$T$22</f>
        <v>-1.2340517070080229E-2</v>
      </c>
      <c r="O142" s="10">
        <f>+O141+P141-Sheet1!$S$22-Sheet1!$S$22</f>
        <v>58509.76784540365</v>
      </c>
      <c r="P142" s="10">
        <f t="shared" si="12"/>
        <v>-1234.051707008023</v>
      </c>
      <c r="Q142" s="10">
        <f>+Q141+R141-Sheet1!$S$22-Sheet1!$S$22</f>
        <v>64902.273575148742</v>
      </c>
      <c r="R142" s="10">
        <f t="shared" si="10"/>
        <v>-800.92761494113995</v>
      </c>
    </row>
    <row r="143" spans="8:18" x14ac:dyDescent="0.3">
      <c r="H143" t="s">
        <v>154</v>
      </c>
      <c r="I143" s="7">
        <f>+Sheet1!G142</f>
        <v>1.0381585497994013E-2</v>
      </c>
      <c r="J143" s="9">
        <f>+J142+K142-Sheet1!$S$22</f>
        <v>85123.716138395641</v>
      </c>
      <c r="K143" s="9">
        <f t="shared" si="13"/>
        <v>1038.1585497994013</v>
      </c>
      <c r="L143" s="9">
        <f>+L142+M142-Sheet1!$S$22</f>
        <v>85022.658277500363</v>
      </c>
      <c r="M143" s="9">
        <f t="shared" si="11"/>
        <v>882.6699961745984</v>
      </c>
      <c r="N143" s="30">
        <f>+I143-Sheet1!$T$22</f>
        <v>8.4515854979940134E-3</v>
      </c>
      <c r="O143" s="10">
        <f>+O142+P142-Sheet1!$S$22-Sheet1!$S$22</f>
        <v>57263.716138395626</v>
      </c>
      <c r="P143" s="10">
        <f t="shared" si="12"/>
        <v>845.15854979940138</v>
      </c>
      <c r="Q143" s="10">
        <f>+Q142+R142-Sheet1!$S$22-Sheet1!$S$22</f>
        <v>64089.345960207604</v>
      </c>
      <c r="R143" s="10">
        <f t="shared" si="10"/>
        <v>541.65658689321174</v>
      </c>
    </row>
    <row r="144" spans="8:18" x14ac:dyDescent="0.3">
      <c r="H144" t="s">
        <v>155</v>
      </c>
      <c r="I144" s="7">
        <f>+Sheet1!G143</f>
        <v>2.8455165119285468E-2</v>
      </c>
      <c r="J144" s="9">
        <f>+J143+K143-Sheet1!$S$22</f>
        <v>86155.874688195036</v>
      </c>
      <c r="K144" s="9">
        <f t="shared" si="13"/>
        <v>2845.5165119285466</v>
      </c>
      <c r="L144" s="9">
        <f>+L143+M143-Sheet1!$S$22</f>
        <v>85899.328273674968</v>
      </c>
      <c r="M144" s="9">
        <f t="shared" si="11"/>
        <v>2444.2795696631279</v>
      </c>
      <c r="N144" s="30">
        <f>+I144-Sheet1!$T$22</f>
        <v>2.6525165119285467E-2</v>
      </c>
      <c r="O144" s="10">
        <f>+O143+P143-Sheet1!$S$22-Sheet1!$S$22</f>
        <v>58096.874688195028</v>
      </c>
      <c r="P144" s="10">
        <f t="shared" si="12"/>
        <v>2652.5165119285466</v>
      </c>
      <c r="Q144" s="10">
        <f>+Q143+R143-Sheet1!$S$22-Sheet1!$S$22</f>
        <v>64619.002547100812</v>
      </c>
      <c r="R144" s="10">
        <f t="shared" si="10"/>
        <v>1714.0297124053773</v>
      </c>
    </row>
    <row r="145" spans="8:18" x14ac:dyDescent="0.3">
      <c r="H145" t="s">
        <v>156</v>
      </c>
      <c r="I145" s="7">
        <f>+Sheet1!G144</f>
        <v>-1.4011058996298545E-2</v>
      </c>
      <c r="J145" s="9">
        <f>+J144+K144-Sheet1!$S$22</f>
        <v>88995.391200123588</v>
      </c>
      <c r="K145" s="9">
        <f t="shared" si="13"/>
        <v>-1401.1058996298545</v>
      </c>
      <c r="L145" s="9">
        <f>+L144+M144-Sheet1!$S$22</f>
        <v>88337.60784333809</v>
      </c>
      <c r="M145" s="9">
        <f t="shared" si="11"/>
        <v>-1237.7034350848951</v>
      </c>
      <c r="N145" s="30">
        <f>+I145-Sheet1!$T$22</f>
        <v>-1.5941058996298545E-2</v>
      </c>
      <c r="O145" s="10">
        <f>+O144+P144-Sheet1!$S$22-Sheet1!$S$22</f>
        <v>60737.391200123573</v>
      </c>
      <c r="P145" s="10">
        <f t="shared" si="12"/>
        <v>-1594.1058996298545</v>
      </c>
      <c r="Q145" s="10">
        <f>+Q144+R144-Sheet1!$S$22-Sheet1!$S$22</f>
        <v>66321.032259506188</v>
      </c>
      <c r="R145" s="10">
        <f t="shared" si="10"/>
        <v>-1057.227487944207</v>
      </c>
    </row>
    <row r="146" spans="8:18" x14ac:dyDescent="0.3">
      <c r="H146" t="s">
        <v>157</v>
      </c>
      <c r="I146" s="7">
        <f>+Sheet1!G145</f>
        <v>3.1304709059078568E-3</v>
      </c>
      <c r="J146" s="9">
        <f>+J145+K145-Sheet1!$S$22</f>
        <v>87588.285300493735</v>
      </c>
      <c r="K146" s="9">
        <f t="shared" si="13"/>
        <v>313.04709059078567</v>
      </c>
      <c r="L146" s="9">
        <f>+L145+M145-Sheet1!$S$22</f>
        <v>87093.904408253191</v>
      </c>
      <c r="M146" s="9">
        <f t="shared" si="11"/>
        <v>272.64493383195662</v>
      </c>
      <c r="N146" s="30">
        <f>+I146-Sheet1!$T$22</f>
        <v>1.2004709059078567E-3</v>
      </c>
      <c r="O146" s="10">
        <f>+O145+P145-Sheet1!$S$22-Sheet1!$S$22</f>
        <v>59131.285300493721</v>
      </c>
      <c r="P146" s="10">
        <f t="shared" si="12"/>
        <v>120.04709059078567</v>
      </c>
      <c r="Q146" s="10">
        <f>+Q145+R145-Sheet1!$S$22-Sheet1!$S$22</f>
        <v>65251.804771561983</v>
      </c>
      <c r="R146" s="10">
        <f t="shared" si="10"/>
        <v>78.332893186239616</v>
      </c>
    </row>
    <row r="147" spans="8:18" x14ac:dyDescent="0.3">
      <c r="H147" t="s">
        <v>306</v>
      </c>
      <c r="I147" s="7">
        <f>+Sheet1!G146</f>
        <v>-3.8345617856822183E-3</v>
      </c>
      <c r="J147" s="9">
        <f>+J146+K146-Sheet1!$S$22</f>
        <v>87895.332391084521</v>
      </c>
      <c r="K147" s="9">
        <f t="shared" ref="K147:K169" si="14">+$J$3*I147</f>
        <v>-383.45617856822184</v>
      </c>
      <c r="L147" s="9">
        <f>+L146+M146-Sheet1!$S$22</f>
        <v>87360.549342085142</v>
      </c>
      <c r="M147" s="9">
        <f t="shared" ref="M147:M169" si="15">+L147*I147</f>
        <v>-334.98942408336552</v>
      </c>
      <c r="N147" s="30">
        <f>+I147-Sheet1!$T$22</f>
        <v>-5.7645617856822186E-3</v>
      </c>
      <c r="O147" s="10">
        <f>+O146+P146-Sheet1!$S$22-Sheet1!$S$22</f>
        <v>59239.332391084507</v>
      </c>
      <c r="P147" s="10">
        <f t="shared" ref="P147:P169" si="16">+$O$3*N147</f>
        <v>-576.45617856822184</v>
      </c>
      <c r="Q147" s="10">
        <f>+Q146+R146-Sheet1!$S$22-Sheet1!$S$22</f>
        <v>65318.137664748225</v>
      </c>
      <c r="R147" s="10">
        <f t="shared" ref="R147:R169" si="17">Q147*N147</f>
        <v>-376.53044029413803</v>
      </c>
    </row>
    <row r="148" spans="8:18" x14ac:dyDescent="0.3">
      <c r="H148" t="s">
        <v>307</v>
      </c>
      <c r="I148" s="7">
        <f>+Sheet1!G147</f>
        <v>1.737069482779351E-2</v>
      </c>
      <c r="J148" s="9">
        <f>+J147+K147-Sheet1!$S$22</f>
        <v>87505.876212516305</v>
      </c>
      <c r="K148" s="9">
        <f t="shared" si="14"/>
        <v>1737.0694827793509</v>
      </c>
      <c r="L148" s="9">
        <f>+L147+M147-Sheet1!$S$22</f>
        <v>87019.559918001774</v>
      </c>
      <c r="M148" s="9">
        <f t="shared" si="15"/>
        <v>1511.5902193845009</v>
      </c>
      <c r="N148" s="30">
        <f>+I148-Sheet1!$T$22</f>
        <v>1.544069482779351E-2</v>
      </c>
      <c r="O148" s="10">
        <f>+O147+P147-Sheet1!$S$22-Sheet1!$S$22</f>
        <v>58650.876212516283</v>
      </c>
      <c r="P148" s="10">
        <f t="shared" si="16"/>
        <v>1544.0694827793511</v>
      </c>
      <c r="Q148" s="10">
        <f>+Q147+R147-Sheet1!$S$22-Sheet1!$S$22</f>
        <v>64929.607224454085</v>
      </c>
      <c r="R148" s="10">
        <f t="shared" si="17"/>
        <v>1002.5582504412923</v>
      </c>
    </row>
    <row r="149" spans="8:18" x14ac:dyDescent="0.3">
      <c r="H149" t="s">
        <v>308</v>
      </c>
      <c r="I149" s="7">
        <f>+Sheet1!G148</f>
        <v>-2.0089559563242934E-3</v>
      </c>
      <c r="J149" s="9">
        <f>+J148+K148-Sheet1!$S$22</f>
        <v>89236.945695295653</v>
      </c>
      <c r="K149" s="9">
        <f t="shared" si="14"/>
        <v>-200.89559563242935</v>
      </c>
      <c r="L149" s="9">
        <f>+L148+M148-Sheet1!$S$22</f>
        <v>88525.15013738627</v>
      </c>
      <c r="M149" s="9">
        <f t="shared" si="15"/>
        <v>-177.8431276530045</v>
      </c>
      <c r="N149" s="30">
        <f>+I149-Sheet1!$T$22</f>
        <v>-3.9389559563242933E-3</v>
      </c>
      <c r="O149" s="10">
        <f>+O148+P148-Sheet1!$S$22-Sheet1!$S$22</f>
        <v>60182.945695295632</v>
      </c>
      <c r="P149" s="10">
        <f t="shared" si="16"/>
        <v>-393.89559563242932</v>
      </c>
      <c r="Q149" s="10">
        <f>+Q148+R148-Sheet1!$S$22-Sheet1!$S$22</f>
        <v>65920.165474895373</v>
      </c>
      <c r="R149" s="10">
        <f t="shared" si="17"/>
        <v>-259.65662843922217</v>
      </c>
    </row>
    <row r="150" spans="8:18" x14ac:dyDescent="0.3">
      <c r="H150" t="s">
        <v>309</v>
      </c>
      <c r="I150" s="7">
        <f>+Sheet1!G149</f>
        <v>1.2486444149897524E-2</v>
      </c>
      <c r="J150" s="9">
        <f>+J149+K149-Sheet1!$S$22</f>
        <v>89030.050099663218</v>
      </c>
      <c r="K150" s="9">
        <f t="shared" si="14"/>
        <v>1248.6444149897525</v>
      </c>
      <c r="L150" s="9">
        <f>+L149+M149-Sheet1!$S$22</f>
        <v>88341.307009733267</v>
      </c>
      <c r="M150" s="9">
        <f t="shared" si="15"/>
        <v>1103.068796105985</v>
      </c>
      <c r="N150" s="30">
        <f>+I150-Sheet1!$T$22</f>
        <v>1.0556444149897525E-2</v>
      </c>
      <c r="O150" s="10">
        <f>+O149+P149-Sheet1!$S$22-Sheet1!$S$22</f>
        <v>59777.050099663204</v>
      </c>
      <c r="P150" s="10">
        <f t="shared" si="16"/>
        <v>1055.6444149897525</v>
      </c>
      <c r="Q150" s="10">
        <f>+Q149+R149-Sheet1!$S$22-Sheet1!$S$22</f>
        <v>65648.508846456156</v>
      </c>
      <c r="R150" s="10">
        <f t="shared" si="17"/>
        <v>693.01481716166802</v>
      </c>
    </row>
    <row r="151" spans="8:18" x14ac:dyDescent="0.3">
      <c r="H151" t="s">
        <v>310</v>
      </c>
      <c r="I151" s="7">
        <f>+Sheet1!G150</f>
        <v>-3.7092213675472634E-3</v>
      </c>
      <c r="J151" s="9">
        <f>+J150+K150-Sheet1!$S$22</f>
        <v>90272.694514652976</v>
      </c>
      <c r="K151" s="9">
        <f t="shared" si="14"/>
        <v>-370.92213675472635</v>
      </c>
      <c r="L151" s="9">
        <f>+L150+M150-Sheet1!$S$22</f>
        <v>89438.375805839256</v>
      </c>
      <c r="M151" s="9">
        <f t="shared" si="15"/>
        <v>-331.74673461774114</v>
      </c>
      <c r="N151" s="30">
        <f>+I151-Sheet1!$T$22</f>
        <v>-5.6392213675472633E-3</v>
      </c>
      <c r="O151" s="10">
        <f>+O150+P150-Sheet1!$S$22-Sheet1!$S$22</f>
        <v>60820.694514652954</v>
      </c>
      <c r="P151" s="10">
        <f t="shared" si="16"/>
        <v>-563.92213675472635</v>
      </c>
      <c r="Q151" s="10">
        <f>+Q150+R150-Sheet1!$S$22-Sheet1!$S$22</f>
        <v>66329.523663617831</v>
      </c>
      <c r="R151" s="10">
        <f t="shared" si="17"/>
        <v>-374.04686714310549</v>
      </c>
    </row>
    <row r="152" spans="8:18" x14ac:dyDescent="0.3">
      <c r="H152" t="s">
        <v>311</v>
      </c>
      <c r="I152" s="7">
        <f>+Sheet1!G151</f>
        <v>3.0569354222392052E-3</v>
      </c>
      <c r="J152" s="9">
        <f>+J151+K151-Sheet1!$S$22</f>
        <v>89895.772377898247</v>
      </c>
      <c r="K152" s="9">
        <f t="shared" si="14"/>
        <v>305.69354222392053</v>
      </c>
      <c r="L152" s="9">
        <f>+L151+M151-Sheet1!$S$22</f>
        <v>89100.629071221512</v>
      </c>
      <c r="M152" s="9">
        <f t="shared" si="15"/>
        <v>272.37486915161332</v>
      </c>
      <c r="N152" s="30">
        <f>+I152-Sheet1!$T$22</f>
        <v>1.1269354222392051E-3</v>
      </c>
      <c r="O152" s="10">
        <f>+O151+P151-Sheet1!$S$22-Sheet1!$S$22</f>
        <v>60244.772377898225</v>
      </c>
      <c r="P152" s="10">
        <f t="shared" si="16"/>
        <v>112.69354222392052</v>
      </c>
      <c r="Q152" s="10">
        <f>+Q151+R151-Sheet1!$S$22-Sheet1!$S$22</f>
        <v>65943.47679647473</v>
      </c>
      <c r="R152" s="10">
        <f t="shared" si="17"/>
        <v>74.314039867556474</v>
      </c>
    </row>
    <row r="153" spans="8:18" x14ac:dyDescent="0.3">
      <c r="H153" t="s">
        <v>312</v>
      </c>
      <c r="I153" s="7">
        <f>+Sheet1!G152</f>
        <v>1.3000336875631483E-2</v>
      </c>
      <c r="J153" s="9">
        <f>+J152+K152-Sheet1!$S$22</f>
        <v>90195.465920122166</v>
      </c>
      <c r="K153" s="9">
        <f t="shared" si="14"/>
        <v>1300.0336875631483</v>
      </c>
      <c r="L153" s="9">
        <f>+L152+M152-Sheet1!$S$22</f>
        <v>89367.003940373121</v>
      </c>
      <c r="M153" s="9">
        <f t="shared" si="15"/>
        <v>1161.8011567907367</v>
      </c>
      <c r="N153" s="30">
        <f>+I153-Sheet1!$T$22</f>
        <v>1.1070336875631484E-2</v>
      </c>
      <c r="O153" s="10">
        <f>+O152+P152-Sheet1!$S$22-Sheet1!$S$22</f>
        <v>60345.465920122144</v>
      </c>
      <c r="P153" s="10">
        <f t="shared" si="16"/>
        <v>1107.0336875631483</v>
      </c>
      <c r="Q153" s="10">
        <f>+Q152+R152-Sheet1!$S$22-Sheet1!$S$22</f>
        <v>66005.79083634229</v>
      </c>
      <c r="R153" s="10">
        <f t="shared" si="17"/>
        <v>730.70634030077872</v>
      </c>
    </row>
    <row r="154" spans="8:18" x14ac:dyDescent="0.3">
      <c r="H154" t="s">
        <v>313</v>
      </c>
      <c r="I154" s="7">
        <f>+Sheet1!G153</f>
        <v>9.5679106994999777E-3</v>
      </c>
      <c r="J154" s="9">
        <f>+J153+K153-Sheet1!$S$22</f>
        <v>91489.499607685313</v>
      </c>
      <c r="K154" s="9">
        <f t="shared" si="14"/>
        <v>956.79106994999779</v>
      </c>
      <c r="L154" s="9">
        <f>+L153+M153-Sheet1!$S$22</f>
        <v>90522.805097163859</v>
      </c>
      <c r="M154" s="9">
        <f t="shared" si="15"/>
        <v>866.11411543790518</v>
      </c>
      <c r="N154" s="30">
        <f>+I154-Sheet1!$T$22</f>
        <v>7.6379106994999774E-3</v>
      </c>
      <c r="O154" s="10">
        <f>+O153+P153-Sheet1!$S$22-Sheet1!$S$22</f>
        <v>61440.499607685291</v>
      </c>
      <c r="P154" s="10">
        <f t="shared" si="16"/>
        <v>763.79106994999779</v>
      </c>
      <c r="Q154" s="10">
        <f>+Q153+R153-Sheet1!$S$22-Sheet1!$S$22</f>
        <v>66724.497176643068</v>
      </c>
      <c r="R154" s="10">
        <f t="shared" si="17"/>
        <v>509.63575090423814</v>
      </c>
    </row>
    <row r="155" spans="8:18" x14ac:dyDescent="0.3">
      <c r="H155" t="s">
        <v>314</v>
      </c>
      <c r="I155" s="7">
        <f>+Sheet1!G154</f>
        <v>-2.7951280449720135E-3</v>
      </c>
      <c r="J155" s="9">
        <f>+J154+K154-Sheet1!$S$22</f>
        <v>92440.290677635305</v>
      </c>
      <c r="K155" s="9">
        <f t="shared" si="14"/>
        <v>-279.51280449720133</v>
      </c>
      <c r="L155" s="9">
        <f>+L154+M154-Sheet1!$S$22</f>
        <v>91382.919212601759</v>
      </c>
      <c r="M155" s="9">
        <f t="shared" si="15"/>
        <v>-255.426960322555</v>
      </c>
      <c r="N155" s="30">
        <f>+I155-Sheet1!$T$22</f>
        <v>-4.7251280449720134E-3</v>
      </c>
      <c r="O155" s="10">
        <f>+O154+P154-Sheet1!$S$22-Sheet1!$S$22</f>
        <v>62192.29067763529</v>
      </c>
      <c r="P155" s="10">
        <f t="shared" si="16"/>
        <v>-472.51280449720133</v>
      </c>
      <c r="Q155" s="10">
        <f>+Q154+R154-Sheet1!$S$22-Sheet1!$S$22</f>
        <v>67222.132927547311</v>
      </c>
      <c r="R155" s="10">
        <f t="shared" si="17"/>
        <v>-317.63318553879043</v>
      </c>
    </row>
    <row r="156" spans="8:18" x14ac:dyDescent="0.3">
      <c r="H156" t="s">
        <v>315</v>
      </c>
      <c r="I156" s="7">
        <f>+Sheet1!G155</f>
        <v>-8.0893562739179411E-3</v>
      </c>
      <c r="J156" s="9">
        <f>+J155+K155-Sheet1!$S$22</f>
        <v>92154.777873138097</v>
      </c>
      <c r="K156" s="9">
        <f t="shared" si="14"/>
        <v>-808.93562739179413</v>
      </c>
      <c r="L156" s="9">
        <f>+L155+M155-Sheet1!$S$22</f>
        <v>91121.492252279204</v>
      </c>
      <c r="M156" s="9">
        <f t="shared" si="15"/>
        <v>-737.11421503973986</v>
      </c>
      <c r="N156" s="30">
        <f>+I156-Sheet1!$T$22</f>
        <v>-1.0019356273917941E-2</v>
      </c>
      <c r="O156" s="10">
        <f>+O155+P155-Sheet1!$S$22-Sheet1!$S$22</f>
        <v>61707.777873138089</v>
      </c>
      <c r="P156" s="10">
        <f t="shared" si="16"/>
        <v>-1001.935627391794</v>
      </c>
      <c r="Q156" s="10">
        <f>+Q155+R155-Sheet1!$S$22-Sheet1!$S$22</f>
        <v>66892.499742008527</v>
      </c>
      <c r="R156" s="10">
        <f t="shared" si="17"/>
        <v>-670.21978696814733</v>
      </c>
    </row>
    <row r="157" spans="8:18" x14ac:dyDescent="0.3">
      <c r="H157" t="s">
        <v>316</v>
      </c>
      <c r="I157" s="7">
        <f>+Sheet1!G156</f>
        <v>3.2510759513267834E-3</v>
      </c>
      <c r="J157" s="9">
        <f>+J156+K156-Sheet1!$S$22</f>
        <v>91339.842245746302</v>
      </c>
      <c r="K157" s="9">
        <f t="shared" si="14"/>
        <v>325.10759513267834</v>
      </c>
      <c r="L157" s="9">
        <f>+L156+M156-Sheet1!$S$22</f>
        <v>90378.378037239469</v>
      </c>
      <c r="M157" s="9">
        <f t="shared" si="15"/>
        <v>293.82697135678995</v>
      </c>
      <c r="N157" s="30">
        <f>+I157-Sheet1!$T$22</f>
        <v>1.3210759513267833E-3</v>
      </c>
      <c r="O157" s="10">
        <f>+O156+P156-Sheet1!$S$22-Sheet1!$S$22</f>
        <v>60693.842245746295</v>
      </c>
      <c r="P157" s="10">
        <f t="shared" si="16"/>
        <v>132.10759513267834</v>
      </c>
      <c r="Q157" s="10">
        <f>+Q156+R156-Sheet1!$S$22-Sheet1!$S$22</f>
        <v>66210.279955040387</v>
      </c>
      <c r="R157" s="10">
        <f t="shared" si="17"/>
        <v>87.468808579217637</v>
      </c>
    </row>
    <row r="158" spans="8:18" x14ac:dyDescent="0.3">
      <c r="H158" t="s">
        <v>317</v>
      </c>
      <c r="I158" s="7">
        <f>+Sheet1!G157</f>
        <v>1.5892801495792799E-3</v>
      </c>
      <c r="J158" s="9">
        <f>+J157+K157-Sheet1!$S$22</f>
        <v>91658.94984087898</v>
      </c>
      <c r="K158" s="9">
        <f t="shared" si="14"/>
        <v>158.92801495792799</v>
      </c>
      <c r="L158" s="9">
        <f>+L157+M157-Sheet1!$S$22</f>
        <v>90666.205008596255</v>
      </c>
      <c r="M158" s="9">
        <f t="shared" si="15"/>
        <v>144.09399985784751</v>
      </c>
      <c r="N158" s="30">
        <f>+I158-Sheet1!$T$22</f>
        <v>-3.4071985042072013E-4</v>
      </c>
      <c r="O158" s="10">
        <f>+O157+P157-Sheet1!$S$22-Sheet1!$S$22</f>
        <v>60813.949840878973</v>
      </c>
      <c r="P158" s="10">
        <f t="shared" si="16"/>
        <v>-34.071985042072015</v>
      </c>
      <c r="Q158" s="10">
        <f>+Q157+R157-Sheet1!$S$22-Sheet1!$S$22</f>
        <v>66285.748763619602</v>
      </c>
      <c r="R158" s="10">
        <f t="shared" si="17"/>
        <v>-22.584870403765905</v>
      </c>
    </row>
    <row r="159" spans="8:18" x14ac:dyDescent="0.3">
      <c r="H159" t="s">
        <v>318</v>
      </c>
      <c r="I159" s="7">
        <f>+Sheet1!G158</f>
        <v>1.2252151141040052E-2</v>
      </c>
      <c r="J159" s="9">
        <f>+J158+K158-Sheet1!$S$22</f>
        <v>91811.877855836909</v>
      </c>
      <c r="K159" s="9">
        <f t="shared" si="14"/>
        <v>1225.2151141040051</v>
      </c>
      <c r="L159" s="9">
        <f>+L158+M158-Sheet1!$S$22</f>
        <v>90804.299008454109</v>
      </c>
      <c r="M159" s="9">
        <f t="shared" si="15"/>
        <v>1112.547995707773</v>
      </c>
      <c r="N159" s="30">
        <f>+I159-Sheet1!$T$22</f>
        <v>1.0322151141040053E-2</v>
      </c>
      <c r="O159" s="10">
        <f>+O158+P158-Sheet1!$S$22-Sheet1!$S$22</f>
        <v>60767.877855836901</v>
      </c>
      <c r="P159" s="10">
        <f t="shared" si="16"/>
        <v>1032.2151141040054</v>
      </c>
      <c r="Q159" s="10">
        <f>+Q158+R158-Sheet1!$S$22-Sheet1!$S$22</f>
        <v>66251.163893215838</v>
      </c>
      <c r="R159" s="10">
        <f t="shared" si="17"/>
        <v>683.85452697558947</v>
      </c>
    </row>
    <row r="160" spans="8:18" x14ac:dyDescent="0.3">
      <c r="H160" t="s">
        <v>319</v>
      </c>
      <c r="I160" s="7">
        <f>+Sheet1!G159</f>
        <v>-6.9329601831828232E-3</v>
      </c>
      <c r="J160" s="9">
        <f>+J159+K159-Sheet1!$S$22</f>
        <v>93031.092969940917</v>
      </c>
      <c r="K160" s="9">
        <f t="shared" si="14"/>
        <v>-693.29601831828234</v>
      </c>
      <c r="L160" s="9">
        <f>+L159+M159-Sheet1!$S$22</f>
        <v>91910.847004161886</v>
      </c>
      <c r="M160" s="9">
        <f t="shared" si="15"/>
        <v>-637.21424268246267</v>
      </c>
      <c r="N160" s="30">
        <f>+I160-Sheet1!$T$22</f>
        <v>-8.8629601831828227E-3</v>
      </c>
      <c r="O160" s="10">
        <f>+O159+P159-Sheet1!$S$22-Sheet1!$S$22</f>
        <v>61788.09296994091</v>
      </c>
      <c r="P160" s="10">
        <f t="shared" si="16"/>
        <v>-886.29601831828222</v>
      </c>
      <c r="Q160" s="10">
        <f>+Q159+R159-Sheet1!$S$22-Sheet1!$S$22</f>
        <v>66923.018420191424</v>
      </c>
      <c r="R160" s="10">
        <f t="shared" si="17"/>
        <v>-593.13604759656721</v>
      </c>
    </row>
    <row r="161" spans="8:18" x14ac:dyDescent="0.3">
      <c r="H161" t="s">
        <v>320</v>
      </c>
      <c r="I161" s="7">
        <f>+Sheet1!G160</f>
        <v>-1.2678338288266946E-2</v>
      </c>
      <c r="J161" s="9">
        <f>+J160+K160-Sheet1!$S$22</f>
        <v>92331.796951622629</v>
      </c>
      <c r="K161" s="9">
        <f t="shared" si="14"/>
        <v>-1267.8338288266946</v>
      </c>
      <c r="L161" s="9">
        <f>+L160+M160-Sheet1!$S$22</f>
        <v>91267.632761479428</v>
      </c>
      <c r="M161" s="9">
        <f t="shared" si="15"/>
        <v>-1157.1219229193514</v>
      </c>
      <c r="N161" s="30">
        <f>+I161-Sheet1!$T$22</f>
        <v>-1.4608338288266945E-2</v>
      </c>
      <c r="O161" s="10">
        <f>+O160+P160-Sheet1!$S$22-Sheet1!$S$22</f>
        <v>60889.796951622629</v>
      </c>
      <c r="P161" s="10">
        <f t="shared" si="16"/>
        <v>-1460.8338288266946</v>
      </c>
      <c r="Q161" s="10">
        <f>+Q160+R160-Sheet1!$S$22-Sheet1!$S$22</f>
        <v>66317.88237259486</v>
      </c>
      <c r="R161" s="10">
        <f t="shared" si="17"/>
        <v>-968.79406026036099</v>
      </c>
    </row>
    <row r="162" spans="8:18" x14ac:dyDescent="0.3">
      <c r="H162" t="s">
        <v>321</v>
      </c>
      <c r="I162" s="7">
        <f>+Sheet1!G161</f>
        <v>9.3557009862660634E-3</v>
      </c>
      <c r="J162" s="9">
        <f>+J161+K161-Sheet1!$S$22</f>
        <v>91057.963122795933</v>
      </c>
      <c r="K162" s="9">
        <f t="shared" si="14"/>
        <v>935.5700986266063</v>
      </c>
      <c r="L162" s="9">
        <f>+L161+M161-Sheet1!$S$22</f>
        <v>90104.510838560076</v>
      </c>
      <c r="M162" s="9">
        <f t="shared" si="15"/>
        <v>842.99086091933771</v>
      </c>
      <c r="N162" s="30">
        <f>+I162-Sheet1!$T$22</f>
        <v>7.4257009862660631E-3</v>
      </c>
      <c r="O162" s="10">
        <f>+O161+P161-Sheet1!$S$22-Sheet1!$S$22</f>
        <v>59416.963122795933</v>
      </c>
      <c r="P162" s="10">
        <f t="shared" si="16"/>
        <v>742.5700986266063</v>
      </c>
      <c r="Q162" s="10">
        <f>+Q161+R161-Sheet1!$S$22-Sheet1!$S$22</f>
        <v>65337.088312334497</v>
      </c>
      <c r="R162" s="10">
        <f t="shared" si="17"/>
        <v>485.17368112065515</v>
      </c>
    </row>
    <row r="163" spans="8:18" x14ac:dyDescent="0.3">
      <c r="H163" t="s">
        <v>322</v>
      </c>
      <c r="I163" s="7">
        <f>+Sheet1!G162</f>
        <v>-9.8661355319838596E-3</v>
      </c>
      <c r="J163" s="9">
        <f>+J162+K162-Sheet1!$S$22</f>
        <v>91987.533221422535</v>
      </c>
      <c r="K163" s="9">
        <f t="shared" si="14"/>
        <v>-986.61355319838594</v>
      </c>
      <c r="L163" s="9">
        <f>+L162+M162-Sheet1!$S$22</f>
        <v>90941.501699479413</v>
      </c>
      <c r="M163" s="9">
        <f t="shared" si="15"/>
        <v>-897.24118124920437</v>
      </c>
      <c r="N163" s="30">
        <f>+I163-Sheet1!$T$22</f>
        <v>-1.1796135531983859E-2</v>
      </c>
      <c r="O163" s="10">
        <f>+O162+P162-Sheet1!$S$22-Sheet1!$S$22</f>
        <v>60147.533221422542</v>
      </c>
      <c r="P163" s="10">
        <f t="shared" si="16"/>
        <v>-1179.6135531983859</v>
      </c>
      <c r="Q163" s="10">
        <f>+Q162+R162-Sheet1!$S$22-Sheet1!$S$22</f>
        <v>65810.261993455148</v>
      </c>
      <c r="R163" s="10">
        <f t="shared" si="17"/>
        <v>-776.30676987016318</v>
      </c>
    </row>
    <row r="164" spans="8:18" x14ac:dyDescent="0.3">
      <c r="H164" t="s">
        <v>323</v>
      </c>
      <c r="I164" s="7">
        <f>+Sheet1!G163</f>
        <v>3.8539553752535469E-2</v>
      </c>
      <c r="J164" s="9">
        <f>+J163+K163-Sheet1!$S$22</f>
        <v>90994.919668224145</v>
      </c>
      <c r="K164" s="9">
        <f t="shared" si="14"/>
        <v>3853.9553752535467</v>
      </c>
      <c r="L164" s="9">
        <f>+L163+M163-Sheet1!$S$22</f>
        <v>90038.260518230207</v>
      </c>
      <c r="M164" s="9">
        <f t="shared" si="15"/>
        <v>3470.0343810271252</v>
      </c>
      <c r="N164" s="30">
        <f>+I164-Sheet1!$T$22</f>
        <v>3.6609553752535468E-2</v>
      </c>
      <c r="O164" s="10">
        <f>+O163+P163-Sheet1!$S$22-Sheet1!$S$22</f>
        <v>58955.919668224153</v>
      </c>
      <c r="P164" s="10">
        <f t="shared" si="16"/>
        <v>3660.9553752535467</v>
      </c>
      <c r="Q164" s="10">
        <f>+Q163+R163-Sheet1!$S$22-Sheet1!$S$22</f>
        <v>65021.955223584984</v>
      </c>
      <c r="R164" s="10">
        <f t="shared" si="17"/>
        <v>2380.4247648527889</v>
      </c>
    </row>
    <row r="165" spans="8:18" x14ac:dyDescent="0.3">
      <c r="H165" t="s">
        <v>324</v>
      </c>
      <c r="I165" s="7">
        <f>+Sheet1!G164</f>
        <v>4.6349581609479952E-3</v>
      </c>
      <c r="J165" s="9">
        <f>+J164+K164-Sheet1!$S$22</f>
        <v>94842.875043477688</v>
      </c>
      <c r="K165" s="9">
        <f t="shared" si="14"/>
        <v>463.49581609479952</v>
      </c>
      <c r="L165" s="9">
        <f>+L164+M164-Sheet1!$S$22</f>
        <v>93502.294899257337</v>
      </c>
      <c r="M165" s="9">
        <f t="shared" si="15"/>
        <v>433.37922481067892</v>
      </c>
      <c r="N165" s="30">
        <f>+I165-Sheet1!$T$22</f>
        <v>2.7049581609479949E-3</v>
      </c>
      <c r="O165" s="10">
        <f>+O164+P164-Sheet1!$S$22-Sheet1!$S$22</f>
        <v>62604.875043477703</v>
      </c>
      <c r="P165" s="10">
        <f t="shared" si="16"/>
        <v>270.49581609479947</v>
      </c>
      <c r="Q165" s="10">
        <f>+Q164+R164-Sheet1!$S$22-Sheet1!$S$22</f>
        <v>67390.37998843778</v>
      </c>
      <c r="R165" s="10">
        <f t="shared" si="17"/>
        <v>182.2881583191112</v>
      </c>
    </row>
    <row r="166" spans="8:18" x14ac:dyDescent="0.3">
      <c r="H166" t="s">
        <v>325</v>
      </c>
      <c r="I166" s="7">
        <f>+Sheet1!G165</f>
        <v>5.1611317624650757E-3</v>
      </c>
      <c r="J166" s="9">
        <f>+J165+K165-Sheet1!$S$22</f>
        <v>95300.370859572489</v>
      </c>
      <c r="K166" s="9">
        <f t="shared" si="14"/>
        <v>516.11317624650758</v>
      </c>
      <c r="L166" s="9">
        <f>+L165+M165-Sheet1!$S$22</f>
        <v>93929.674124068013</v>
      </c>
      <c r="M166" s="9">
        <f t="shared" si="15"/>
        <v>484.78342455972137</v>
      </c>
      <c r="N166" s="30">
        <f>+I166-Sheet1!$T$22</f>
        <v>3.2311317624650754E-3</v>
      </c>
      <c r="O166" s="10">
        <f>+O165+P165-Sheet1!$S$22-Sheet1!$S$22</f>
        <v>62863.370859572504</v>
      </c>
      <c r="P166" s="10">
        <f t="shared" si="16"/>
        <v>323.11317624650752</v>
      </c>
      <c r="Q166" s="10">
        <f>+Q165+R165-Sheet1!$S$22-Sheet1!$S$22</f>
        <v>67560.668146756885</v>
      </c>
      <c r="R166" s="10">
        <f t="shared" si="17"/>
        <v>218.29742074234866</v>
      </c>
    </row>
    <row r="167" spans="8:18" x14ac:dyDescent="0.3">
      <c r="H167" t="s">
        <v>326</v>
      </c>
      <c r="I167" s="7">
        <f>+Sheet1!G166</f>
        <v>1.9609060845534002E-2</v>
      </c>
      <c r="J167" s="9">
        <f>+J166+K166-Sheet1!$S$22</f>
        <v>95810.484035818998</v>
      </c>
      <c r="K167" s="9">
        <f t="shared" si="14"/>
        <v>1960.9060845534002</v>
      </c>
      <c r="L167" s="9">
        <f>+L166+M166-Sheet1!$S$22</f>
        <v>94408.457548627732</v>
      </c>
      <c r="M167" s="9">
        <f t="shared" si="15"/>
        <v>1851.261188404055</v>
      </c>
      <c r="N167" s="30">
        <f>+I167-Sheet1!$T$22</f>
        <v>1.7679060845534E-2</v>
      </c>
      <c r="O167" s="10">
        <f>+O166+P166-Sheet1!$S$22-Sheet1!$S$22</f>
        <v>63174.484035819012</v>
      </c>
      <c r="P167" s="10">
        <f t="shared" si="16"/>
        <v>1767.9060845534</v>
      </c>
      <c r="Q167" s="10">
        <f>+Q166+R166-Sheet1!$S$22-Sheet1!$S$22</f>
        <v>67766.965567499239</v>
      </c>
      <c r="R167" s="10">
        <f t="shared" si="17"/>
        <v>1198.0563075850266</v>
      </c>
    </row>
    <row r="168" spans="8:18" x14ac:dyDescent="0.3">
      <c r="H168" t="s">
        <v>327</v>
      </c>
      <c r="I168" s="7">
        <f>+Sheet1!G167</f>
        <v>-5.7819299473539372E-4</v>
      </c>
      <c r="J168" s="9">
        <f>+J167+K167-Sheet1!$S$22</f>
        <v>97765.390120372394</v>
      </c>
      <c r="K168" s="9">
        <f t="shared" si="14"/>
        <v>-57.819299473539374</v>
      </c>
      <c r="L168" s="9">
        <f>+L167+M167-Sheet1!$S$22</f>
        <v>96253.718737031784</v>
      </c>
      <c r="M168" s="9">
        <f t="shared" si="15"/>
        <v>-55.653225890982689</v>
      </c>
      <c r="N168" s="30">
        <f>+I168-Sheet1!$T$22</f>
        <v>-2.5081929947353937E-3</v>
      </c>
      <c r="O168" s="10">
        <f>+O167+P167-Sheet1!$S$22-Sheet1!$S$22</f>
        <v>64930.390120372409</v>
      </c>
      <c r="P168" s="10">
        <f t="shared" si="16"/>
        <v>-250.81929947353936</v>
      </c>
      <c r="Q168" s="10">
        <f>+Q167+R167-Sheet1!$S$22-Sheet1!$S$22</f>
        <v>68953.021875084261</v>
      </c>
      <c r="R168" s="10">
        <f t="shared" si="17"/>
        <v>-172.94748643292272</v>
      </c>
    </row>
    <row r="169" spans="8:18" x14ac:dyDescent="0.3">
      <c r="H169" t="s">
        <v>328</v>
      </c>
      <c r="I169" s="7">
        <f>+Sheet1!G168</f>
        <v>3.8886272841888703E-3</v>
      </c>
      <c r="J169" s="9">
        <f>+J168+K168-Sheet1!$S$22</f>
        <v>97701.570820898851</v>
      </c>
      <c r="K169" s="9">
        <f t="shared" si="14"/>
        <v>388.86272841888706</v>
      </c>
      <c r="L169" s="9">
        <f>+L168+M168-Sheet1!$S$22</f>
        <v>96192.065511140798</v>
      </c>
      <c r="M169" s="9">
        <f t="shared" si="15"/>
        <v>374.05509046910532</v>
      </c>
      <c r="N169" s="30">
        <f>+I169-Sheet1!$T$22</f>
        <v>1.9586272841888705E-3</v>
      </c>
      <c r="O169" s="10">
        <f>+O168+P168-Sheet1!$S$22-Sheet1!$S$22</f>
        <v>64667.570820898873</v>
      </c>
      <c r="P169" s="10">
        <f t="shared" si="16"/>
        <v>195.86272841888706</v>
      </c>
      <c r="Q169" s="10">
        <f>+Q168+R168-Sheet1!$S$22-Sheet1!$S$22</f>
        <v>68768.074388651337</v>
      </c>
      <c r="R169" s="10">
        <f t="shared" si="17"/>
        <v>134.69102677874238</v>
      </c>
    </row>
    <row r="170" spans="8:18" x14ac:dyDescent="0.3">
      <c r="I170" s="7"/>
      <c r="J170" s="9"/>
      <c r="K170" s="9"/>
      <c r="L170" s="9"/>
      <c r="M170" s="9"/>
      <c r="N170" s="30"/>
      <c r="O170" s="10"/>
      <c r="P170" s="10"/>
      <c r="Q170" s="10"/>
      <c r="R170" s="10"/>
    </row>
    <row r="171" spans="8:18" x14ac:dyDescent="0.3">
      <c r="I171" s="7"/>
      <c r="J171" s="9"/>
      <c r="K171" s="9"/>
      <c r="L171" s="9"/>
      <c r="M171" s="9"/>
      <c r="N171" s="30"/>
      <c r="O171" s="10"/>
      <c r="P171" s="10"/>
      <c r="Q171" s="10"/>
      <c r="R171" s="10"/>
    </row>
    <row r="172" spans="8:18" x14ac:dyDescent="0.3">
      <c r="I172" s="7"/>
      <c r="J172" s="9"/>
      <c r="K172" s="9"/>
      <c r="L172" s="9"/>
      <c r="M172" s="9"/>
      <c r="N172" s="30"/>
      <c r="O172" s="10"/>
      <c r="P172" s="10"/>
      <c r="Q172" s="10"/>
      <c r="R172" s="10"/>
    </row>
    <row r="173" spans="8:18" x14ac:dyDescent="0.3">
      <c r="I173" s="7"/>
      <c r="J173" s="9"/>
      <c r="K173" s="9"/>
      <c r="L173" s="9"/>
      <c r="M173" s="9"/>
      <c r="N173" s="30"/>
      <c r="O173" s="10"/>
      <c r="P173" s="10"/>
      <c r="Q173" s="10"/>
      <c r="R173" s="10"/>
    </row>
    <row r="174" spans="8:18" x14ac:dyDescent="0.3">
      <c r="I174" s="7"/>
      <c r="J174" s="9"/>
      <c r="K174" s="9"/>
      <c r="L174" s="9"/>
      <c r="M174" s="9"/>
      <c r="N174" s="30"/>
      <c r="O174" s="10"/>
      <c r="P174" s="10"/>
      <c r="Q174" s="10"/>
      <c r="R174" s="10"/>
    </row>
    <row r="175" spans="8:18" x14ac:dyDescent="0.3">
      <c r="I175" s="7"/>
      <c r="J175" s="9"/>
      <c r="K175" s="9"/>
      <c r="L175" s="9"/>
      <c r="M175" s="9"/>
      <c r="N175" s="30"/>
      <c r="O175" s="10"/>
      <c r="P175" s="10"/>
      <c r="Q175" s="10"/>
      <c r="R175" s="10"/>
    </row>
    <row r="176" spans="8:18" x14ac:dyDescent="0.3">
      <c r="I176" s="7"/>
      <c r="J176" s="9"/>
      <c r="K176" s="9"/>
      <c r="L176" s="9"/>
      <c r="M176" s="9"/>
      <c r="N176" s="30"/>
      <c r="O176" s="10"/>
      <c r="P176" s="10"/>
      <c r="Q176" s="10"/>
      <c r="R176" s="10"/>
    </row>
    <row r="177" spans="9:18" x14ac:dyDescent="0.3">
      <c r="I177" s="7"/>
      <c r="J177" s="9"/>
      <c r="K177" s="9"/>
      <c r="L177" s="9"/>
      <c r="M177" s="9"/>
      <c r="N177" s="30"/>
      <c r="O177" s="10"/>
      <c r="P177" s="10"/>
      <c r="Q177" s="10"/>
      <c r="R177" s="10"/>
    </row>
    <row r="178" spans="9:18" x14ac:dyDescent="0.3">
      <c r="I178" s="7"/>
      <c r="J178" s="9"/>
      <c r="K178" s="9"/>
      <c r="L178" s="9"/>
      <c r="M178" s="9"/>
      <c r="N178" s="30"/>
      <c r="O178" s="10"/>
      <c r="P178" s="10"/>
      <c r="Q178" s="10"/>
      <c r="R178" s="10"/>
    </row>
    <row r="179" spans="9:18" x14ac:dyDescent="0.3">
      <c r="I179" s="7"/>
      <c r="J179" s="9"/>
      <c r="K179" s="9"/>
      <c r="L179" s="9"/>
      <c r="M179" s="9"/>
      <c r="N179" s="30"/>
      <c r="O179" s="10"/>
      <c r="P179" s="10"/>
      <c r="Q179" s="10"/>
      <c r="R179" s="10"/>
    </row>
    <row r="180" spans="9:18" x14ac:dyDescent="0.3">
      <c r="I180" s="7"/>
      <c r="J180" s="9"/>
      <c r="K180" s="9"/>
      <c r="L180" s="9"/>
      <c r="M180" s="9"/>
      <c r="N180" s="30"/>
      <c r="O180" s="10"/>
      <c r="P180" s="10"/>
      <c r="Q180" s="10"/>
      <c r="R180" s="10"/>
    </row>
    <row r="181" spans="9:18" x14ac:dyDescent="0.3">
      <c r="I181" s="7"/>
      <c r="J181" s="9"/>
      <c r="K181" s="9"/>
      <c r="L181" s="9"/>
      <c r="M181" s="9"/>
      <c r="N181" s="30"/>
      <c r="O181" s="10"/>
      <c r="P181" s="10"/>
      <c r="Q181" s="10"/>
      <c r="R181" s="10"/>
    </row>
    <row r="182" spans="9:18" x14ac:dyDescent="0.3">
      <c r="I182" s="7"/>
      <c r="J182" s="9"/>
      <c r="K182" s="9"/>
      <c r="L182" s="9"/>
      <c r="M182" s="9"/>
      <c r="N182" s="30"/>
      <c r="O182" s="10"/>
      <c r="P182" s="10"/>
      <c r="Q182" s="10"/>
      <c r="R182" s="10"/>
    </row>
    <row r="183" spans="9:18" x14ac:dyDescent="0.3">
      <c r="I183" s="7"/>
      <c r="J183" s="9"/>
      <c r="K183" s="9"/>
      <c r="L183" s="9"/>
      <c r="M183" s="9"/>
      <c r="N183" s="30"/>
      <c r="O183" s="10"/>
      <c r="P183" s="10"/>
      <c r="Q183" s="10"/>
      <c r="R183" s="10"/>
    </row>
    <row r="184" spans="9:18" x14ac:dyDescent="0.3">
      <c r="I184" s="7"/>
      <c r="J184" s="9"/>
      <c r="K184" s="9"/>
      <c r="L184" s="9"/>
      <c r="M184" s="9"/>
      <c r="N184" s="30"/>
      <c r="O184" s="10"/>
      <c r="P184" s="10"/>
      <c r="Q184" s="10"/>
      <c r="R184" s="10"/>
    </row>
    <row r="185" spans="9:18" x14ac:dyDescent="0.3">
      <c r="I185" s="7"/>
      <c r="J185" s="9"/>
      <c r="K185" s="9"/>
      <c r="L185" s="9"/>
      <c r="M185" s="9"/>
      <c r="N185" s="30"/>
      <c r="O185" s="10"/>
      <c r="P185" s="10"/>
      <c r="Q185" s="10"/>
      <c r="R185" s="10"/>
    </row>
    <row r="186" spans="9:18" x14ac:dyDescent="0.3">
      <c r="I186" s="7"/>
      <c r="J186" s="9"/>
      <c r="K186" s="9"/>
      <c r="L186" s="9"/>
      <c r="M186" s="9"/>
      <c r="N186" s="30"/>
      <c r="O186" s="10"/>
      <c r="P186" s="10"/>
      <c r="Q186" s="10"/>
      <c r="R186" s="10"/>
    </row>
    <row r="187" spans="9:18" x14ac:dyDescent="0.3">
      <c r="I187" s="7"/>
      <c r="J187" s="9"/>
      <c r="K187" s="9"/>
      <c r="L187" s="9"/>
      <c r="M187" s="9"/>
      <c r="N187" s="30"/>
      <c r="O187" s="10"/>
      <c r="P187" s="10"/>
      <c r="Q187" s="10"/>
      <c r="R187" s="10"/>
    </row>
    <row r="188" spans="9:18" x14ac:dyDescent="0.3">
      <c r="I188" s="7"/>
      <c r="J188" s="9"/>
      <c r="K188" s="9"/>
      <c r="L188" s="9"/>
      <c r="M188" s="9"/>
      <c r="N188" s="30"/>
      <c r="O188" s="10"/>
      <c r="P188" s="10"/>
      <c r="Q188" s="10"/>
      <c r="R188" s="10"/>
    </row>
    <row r="189" spans="9:18" x14ac:dyDescent="0.3">
      <c r="I189" s="7"/>
      <c r="J189" s="9"/>
      <c r="K189" s="9"/>
      <c r="L189" s="9"/>
      <c r="M189" s="9"/>
      <c r="N189" s="30"/>
      <c r="O189" s="10"/>
      <c r="P189" s="10"/>
      <c r="Q189" s="10"/>
      <c r="R189" s="10"/>
    </row>
    <row r="190" spans="9:18" x14ac:dyDescent="0.3">
      <c r="I190" s="7"/>
      <c r="J190" s="9"/>
      <c r="K190" s="9"/>
      <c r="L190" s="9"/>
      <c r="M190" s="9"/>
      <c r="N190" s="30"/>
      <c r="O190" s="10"/>
      <c r="P190" s="10"/>
      <c r="Q190" s="10"/>
      <c r="R190" s="10"/>
    </row>
    <row r="191" spans="9:18" x14ac:dyDescent="0.3">
      <c r="I191" s="7"/>
      <c r="J191" s="9"/>
      <c r="K191" s="9"/>
      <c r="L191" s="9"/>
      <c r="M191" s="9"/>
      <c r="N191" s="30"/>
      <c r="O191" s="10"/>
      <c r="P191" s="10"/>
      <c r="Q191" s="10"/>
      <c r="R191" s="10"/>
    </row>
    <row r="192" spans="9:18" x14ac:dyDescent="0.3">
      <c r="I192" s="7"/>
      <c r="J192" s="9"/>
      <c r="K192" s="9"/>
      <c r="L192" s="9"/>
      <c r="M192" s="9"/>
      <c r="N192" s="30"/>
      <c r="O192" s="10"/>
      <c r="P192" s="10"/>
      <c r="Q192" s="10"/>
      <c r="R192" s="10"/>
    </row>
    <row r="193" spans="9:18" x14ac:dyDescent="0.3">
      <c r="I193" s="7"/>
      <c r="J193" s="9"/>
      <c r="K193" s="9"/>
      <c r="L193" s="9"/>
      <c r="M193" s="9"/>
      <c r="N193" s="30"/>
      <c r="O193" s="10"/>
      <c r="P193" s="10"/>
      <c r="Q193" s="10"/>
      <c r="R193" s="10"/>
    </row>
    <row r="194" spans="9:18" x14ac:dyDescent="0.3">
      <c r="I194" s="7"/>
      <c r="J194" s="9"/>
      <c r="K194" s="9"/>
      <c r="L194" s="9"/>
      <c r="M194" s="9"/>
      <c r="N194" s="30"/>
      <c r="O194" s="10"/>
      <c r="P194" s="10"/>
      <c r="Q194" s="10"/>
      <c r="R194" s="10"/>
    </row>
    <row r="195" spans="9:18" x14ac:dyDescent="0.3">
      <c r="I195" s="7"/>
      <c r="J195" s="9"/>
      <c r="K195" s="9"/>
      <c r="L195" s="9"/>
      <c r="M195" s="9"/>
      <c r="N195" s="30"/>
      <c r="O195" s="10"/>
      <c r="P195" s="10"/>
      <c r="Q195" s="10"/>
      <c r="R195" s="10"/>
    </row>
    <row r="196" spans="9:18" x14ac:dyDescent="0.3">
      <c r="I196" s="7"/>
      <c r="J196" s="9"/>
      <c r="K196" s="9"/>
      <c r="L196" s="9"/>
      <c r="M196" s="9"/>
      <c r="N196" s="30"/>
      <c r="O196" s="10"/>
      <c r="P196" s="10"/>
      <c r="Q196" s="10"/>
      <c r="R196" s="10"/>
    </row>
    <row r="197" spans="9:18" x14ac:dyDescent="0.3">
      <c r="I197" s="7"/>
      <c r="J197" s="9"/>
      <c r="K197" s="9"/>
      <c r="L197" s="9"/>
      <c r="M197" s="9"/>
      <c r="N197" s="30"/>
      <c r="O197" s="10"/>
      <c r="P197" s="10"/>
      <c r="Q197" s="10"/>
      <c r="R197" s="10"/>
    </row>
    <row r="198" spans="9:18" x14ac:dyDescent="0.3">
      <c r="I198" s="7"/>
      <c r="J198" s="9"/>
      <c r="K198" s="9"/>
      <c r="L198" s="9"/>
      <c r="M198" s="9"/>
      <c r="N198" s="30"/>
      <c r="O198" s="10"/>
      <c r="P198" s="10"/>
      <c r="Q198" s="10"/>
      <c r="R198" s="10"/>
    </row>
    <row r="199" spans="9:18" x14ac:dyDescent="0.3">
      <c r="I199" s="7"/>
      <c r="J199" s="9"/>
      <c r="K199" s="9"/>
      <c r="L199" s="9"/>
      <c r="M199" s="9"/>
      <c r="N199" s="30"/>
      <c r="O199" s="10"/>
      <c r="P199" s="10"/>
      <c r="Q199" s="10"/>
      <c r="R199" s="10"/>
    </row>
    <row r="200" spans="9:18" x14ac:dyDescent="0.3">
      <c r="I200" s="7"/>
      <c r="J200" s="9"/>
      <c r="K200" s="9"/>
      <c r="L200" s="9"/>
      <c r="M200" s="9"/>
      <c r="N200" s="30"/>
      <c r="O200" s="10"/>
      <c r="P200" s="10"/>
      <c r="Q200" s="10"/>
      <c r="R200" s="10"/>
    </row>
    <row r="201" spans="9:18" x14ac:dyDescent="0.3">
      <c r="I201" s="7"/>
      <c r="J201" s="9"/>
      <c r="K201" s="9"/>
      <c r="L201" s="9"/>
      <c r="M201" s="9"/>
      <c r="N201" s="30"/>
      <c r="O201" s="10"/>
      <c r="P201" s="10"/>
      <c r="Q201" s="10"/>
      <c r="R201" s="10"/>
    </row>
    <row r="202" spans="9:18" x14ac:dyDescent="0.3">
      <c r="I202" s="7"/>
      <c r="J202" s="9"/>
      <c r="K202" s="9"/>
      <c r="L202" s="9"/>
      <c r="M202" s="9"/>
      <c r="N202" s="30"/>
      <c r="O202" s="10"/>
      <c r="P202" s="10"/>
      <c r="Q202" s="10"/>
      <c r="R202" s="10"/>
    </row>
    <row r="203" spans="9:18" x14ac:dyDescent="0.3">
      <c r="I203" s="7"/>
      <c r="J203" s="9"/>
      <c r="K203" s="9"/>
      <c r="L203" s="9"/>
      <c r="M203" s="9"/>
      <c r="N203" s="30"/>
      <c r="O203" s="10"/>
      <c r="P203" s="10"/>
      <c r="Q203" s="10"/>
      <c r="R203" s="10"/>
    </row>
    <row r="204" spans="9:18" x14ac:dyDescent="0.3">
      <c r="I204" s="7"/>
      <c r="J204" s="9"/>
      <c r="K204" s="9"/>
      <c r="L204" s="9"/>
      <c r="M204" s="9"/>
      <c r="N204" s="30"/>
      <c r="O204" s="10"/>
      <c r="P204" s="10"/>
      <c r="Q204" s="10"/>
      <c r="R204" s="10"/>
    </row>
    <row r="205" spans="9:18" x14ac:dyDescent="0.3">
      <c r="I205" s="7"/>
      <c r="J205" s="9"/>
      <c r="K205" s="9"/>
      <c r="L205" s="9"/>
      <c r="M205" s="9"/>
      <c r="N205" s="30"/>
      <c r="O205" s="10"/>
      <c r="P205" s="10"/>
      <c r="Q205" s="10"/>
      <c r="R205" s="10"/>
    </row>
    <row r="206" spans="9:18" x14ac:dyDescent="0.3">
      <c r="I206" s="7"/>
      <c r="J206" s="9"/>
      <c r="K206" s="9"/>
      <c r="L206" s="9"/>
      <c r="M206" s="9"/>
      <c r="N206" s="30"/>
      <c r="O206" s="10"/>
      <c r="P206" s="10"/>
      <c r="Q206" s="10"/>
      <c r="R206" s="10"/>
    </row>
    <row r="207" spans="9:18" x14ac:dyDescent="0.3">
      <c r="I207" s="7"/>
      <c r="J207" s="9"/>
      <c r="K207" s="9"/>
      <c r="L207" s="9"/>
      <c r="M207" s="9"/>
      <c r="N207" s="30"/>
      <c r="O207" s="10"/>
      <c r="P207" s="10"/>
      <c r="Q207" s="10"/>
      <c r="R207" s="10"/>
    </row>
    <row r="208" spans="9:18" x14ac:dyDescent="0.3">
      <c r="I208" s="7"/>
      <c r="J208" s="9"/>
      <c r="K208" s="9"/>
      <c r="L208" s="9"/>
      <c r="M208" s="9"/>
      <c r="N208" s="30"/>
      <c r="O208" s="10"/>
      <c r="P208" s="10"/>
      <c r="Q208" s="10"/>
      <c r="R208" s="10"/>
    </row>
    <row r="209" spans="9:18" x14ac:dyDescent="0.3">
      <c r="I209" s="7"/>
      <c r="J209" s="9"/>
      <c r="K209" s="9"/>
      <c r="L209" s="9"/>
      <c r="M209" s="9"/>
      <c r="N209" s="30"/>
      <c r="O209" s="10"/>
      <c r="P209" s="10"/>
      <c r="Q209" s="10"/>
      <c r="R209" s="10"/>
    </row>
    <row r="210" spans="9:18" x14ac:dyDescent="0.3">
      <c r="I210" s="7"/>
      <c r="J210" s="9"/>
      <c r="K210" s="9"/>
      <c r="L210" s="9"/>
      <c r="M210" s="9"/>
      <c r="N210" s="30"/>
      <c r="O210" s="10"/>
      <c r="P210" s="10"/>
      <c r="Q210" s="10"/>
      <c r="R210" s="10"/>
    </row>
    <row r="211" spans="9:18" x14ac:dyDescent="0.3">
      <c r="I211" s="7"/>
      <c r="J211" s="9"/>
      <c r="K211" s="9"/>
      <c r="L211" s="9"/>
      <c r="M211" s="9"/>
      <c r="N211" s="30"/>
      <c r="O211" s="10"/>
      <c r="P211" s="10"/>
      <c r="Q211" s="10"/>
      <c r="R211" s="10"/>
    </row>
    <row r="212" spans="9:18" x14ac:dyDescent="0.3">
      <c r="I212" s="7"/>
      <c r="J212" s="9"/>
      <c r="K212" s="9"/>
      <c r="L212" s="9"/>
      <c r="M212" s="9"/>
      <c r="N212" s="30"/>
      <c r="O212" s="10"/>
      <c r="P212" s="10"/>
      <c r="Q212" s="10"/>
      <c r="R212" s="10"/>
    </row>
    <row r="213" spans="9:18" x14ac:dyDescent="0.3">
      <c r="I213" s="7"/>
      <c r="J213" s="9"/>
      <c r="K213" s="9"/>
      <c r="L213" s="9"/>
      <c r="M213" s="9"/>
      <c r="N213" s="30"/>
      <c r="O213" s="10"/>
      <c r="P213" s="10"/>
      <c r="Q213" s="10"/>
      <c r="R213" s="10"/>
    </row>
    <row r="214" spans="9:18" x14ac:dyDescent="0.3">
      <c r="I214" s="7"/>
      <c r="J214" s="9"/>
      <c r="K214" s="9"/>
      <c r="L214" s="9"/>
      <c r="M214" s="9"/>
      <c r="N214" s="30"/>
      <c r="O214" s="10"/>
      <c r="P214" s="10"/>
      <c r="Q214" s="10"/>
      <c r="R214" s="10"/>
    </row>
    <row r="215" spans="9:18" x14ac:dyDescent="0.3">
      <c r="I215" s="7"/>
      <c r="J215" s="9"/>
      <c r="K215" s="9"/>
      <c r="L215" s="9"/>
      <c r="M215" s="9"/>
      <c r="N215" s="30"/>
      <c r="O215" s="10"/>
      <c r="P215" s="10"/>
      <c r="Q215" s="10"/>
      <c r="R215" s="10"/>
    </row>
    <row r="216" spans="9:18" x14ac:dyDescent="0.3">
      <c r="I216" s="7"/>
      <c r="J216" s="9"/>
      <c r="K216" s="9"/>
      <c r="L216" s="9"/>
      <c r="M216" s="9"/>
      <c r="N216" s="30"/>
      <c r="O216" s="10"/>
      <c r="P216" s="10"/>
      <c r="Q216" s="10"/>
      <c r="R216" s="10"/>
    </row>
    <row r="217" spans="9:18" x14ac:dyDescent="0.3">
      <c r="I217" s="7"/>
      <c r="J217" s="9"/>
      <c r="K217" s="9"/>
      <c r="L217" s="9"/>
      <c r="M217" s="9"/>
      <c r="N217" s="30"/>
      <c r="O217" s="10"/>
      <c r="P217" s="10"/>
      <c r="Q217" s="10"/>
      <c r="R217" s="10"/>
    </row>
    <row r="218" spans="9:18" x14ac:dyDescent="0.3">
      <c r="I218" s="7"/>
      <c r="J218" s="9"/>
      <c r="K218" s="9"/>
      <c r="L218" s="9"/>
      <c r="M218" s="9"/>
      <c r="N218" s="30"/>
      <c r="O218" s="10"/>
      <c r="P218" s="10"/>
      <c r="Q218" s="10"/>
      <c r="R218" s="10"/>
    </row>
    <row r="219" spans="9:18" x14ac:dyDescent="0.3">
      <c r="I219" s="7"/>
      <c r="J219" s="9"/>
      <c r="K219" s="9"/>
      <c r="L219" s="9"/>
      <c r="M219" s="9"/>
      <c r="N219" s="30"/>
      <c r="O219" s="10"/>
      <c r="P219" s="10"/>
      <c r="Q219" s="10"/>
      <c r="R219" s="10"/>
    </row>
    <row r="220" spans="9:18" x14ac:dyDescent="0.3">
      <c r="I220" s="7"/>
      <c r="J220" s="9"/>
      <c r="K220" s="9"/>
      <c r="L220" s="9"/>
      <c r="M220" s="9"/>
      <c r="N220" s="30"/>
      <c r="O220" s="10"/>
      <c r="P220" s="10"/>
      <c r="Q220" s="10"/>
      <c r="R220" s="10"/>
    </row>
    <row r="221" spans="9:18" x14ac:dyDescent="0.3">
      <c r="I221" s="7"/>
      <c r="J221" s="9"/>
      <c r="K221" s="9"/>
      <c r="L221" s="9"/>
      <c r="M221" s="9"/>
      <c r="N221" s="30"/>
      <c r="O221" s="10"/>
      <c r="P221" s="10"/>
      <c r="Q221" s="10"/>
      <c r="R221" s="10"/>
    </row>
    <row r="222" spans="9:18" x14ac:dyDescent="0.3">
      <c r="I222" s="7"/>
      <c r="J222" s="9"/>
      <c r="K222" s="9"/>
      <c r="L222" s="9"/>
      <c r="M222" s="9"/>
      <c r="N222" s="30"/>
      <c r="O222" s="10"/>
      <c r="P222" s="10"/>
      <c r="Q222" s="10"/>
      <c r="R222" s="10"/>
    </row>
    <row r="223" spans="9:18" x14ac:dyDescent="0.3">
      <c r="I223" s="7"/>
      <c r="J223" s="9"/>
      <c r="K223" s="9"/>
      <c r="L223" s="9"/>
      <c r="M223" s="9"/>
      <c r="N223" s="30"/>
      <c r="O223" s="10"/>
      <c r="P223" s="10"/>
      <c r="Q223" s="10"/>
      <c r="R223" s="10"/>
    </row>
    <row r="224" spans="9:18" x14ac:dyDescent="0.3">
      <c r="I224" s="7"/>
      <c r="J224" s="9"/>
      <c r="K224" s="9"/>
      <c r="L224" s="9"/>
      <c r="M224" s="9"/>
      <c r="N224" s="30"/>
      <c r="O224" s="10"/>
      <c r="P224" s="10"/>
      <c r="Q224" s="10"/>
      <c r="R224" s="10"/>
    </row>
    <row r="225" spans="9:18" x14ac:dyDescent="0.3">
      <c r="I225" s="7"/>
      <c r="J225" s="9"/>
      <c r="K225" s="9"/>
      <c r="L225" s="9"/>
      <c r="M225" s="9"/>
      <c r="N225" s="30"/>
      <c r="O225" s="10"/>
      <c r="P225" s="10"/>
      <c r="Q225" s="10"/>
      <c r="R225" s="10"/>
    </row>
    <row r="226" spans="9:18" x14ac:dyDescent="0.3">
      <c r="I226" s="7"/>
      <c r="J226" s="9"/>
      <c r="K226" s="9"/>
      <c r="L226" s="9"/>
      <c r="M226" s="9"/>
      <c r="N226" s="30"/>
      <c r="O226" s="10"/>
      <c r="P226" s="10"/>
      <c r="Q226" s="10"/>
      <c r="R226" s="10"/>
    </row>
    <row r="227" spans="9:18" x14ac:dyDescent="0.3">
      <c r="I227" s="7"/>
      <c r="J227" s="9"/>
      <c r="K227" s="9"/>
      <c r="L227" s="9"/>
      <c r="M227" s="9"/>
      <c r="N227" s="30"/>
      <c r="O227" s="10"/>
      <c r="P227" s="10"/>
      <c r="Q227" s="10"/>
      <c r="R227" s="10"/>
    </row>
    <row r="228" spans="9:18" x14ac:dyDescent="0.3">
      <c r="I228" s="7"/>
      <c r="J228" s="9"/>
      <c r="K228" s="9"/>
      <c r="L228" s="9"/>
      <c r="M228" s="9"/>
      <c r="N228" s="30"/>
      <c r="O228" s="10"/>
      <c r="P228" s="10"/>
      <c r="Q228" s="10"/>
      <c r="R228" s="10"/>
    </row>
    <row r="229" spans="9:18" x14ac:dyDescent="0.3">
      <c r="I229" s="7"/>
      <c r="J229" s="9"/>
      <c r="K229" s="9"/>
      <c r="L229" s="9"/>
      <c r="M229" s="9"/>
      <c r="N229" s="30"/>
      <c r="O229" s="10"/>
      <c r="P229" s="10"/>
      <c r="Q229" s="10"/>
      <c r="R229" s="10"/>
    </row>
    <row r="230" spans="9:18" x14ac:dyDescent="0.3">
      <c r="I230" s="7"/>
      <c r="J230" s="9"/>
      <c r="K230" s="9"/>
      <c r="L230" s="9"/>
      <c r="M230" s="9"/>
      <c r="N230" s="30"/>
      <c r="O230" s="10"/>
      <c r="P230" s="10"/>
      <c r="Q230" s="10"/>
      <c r="R230" s="10"/>
    </row>
    <row r="231" spans="9:18" x14ac:dyDescent="0.3">
      <c r="I231" s="7"/>
      <c r="J231" s="9"/>
      <c r="K231" s="9"/>
      <c r="L231" s="9"/>
      <c r="M231" s="9"/>
      <c r="N231" s="30"/>
      <c r="O231" s="10"/>
      <c r="P231" s="10"/>
      <c r="Q231" s="10"/>
      <c r="R231" s="10"/>
    </row>
    <row r="232" spans="9:18" x14ac:dyDescent="0.3">
      <c r="I232" s="7"/>
      <c r="J232" s="9"/>
      <c r="K232" s="9"/>
      <c r="L232" s="9"/>
      <c r="M232" s="9"/>
      <c r="N232" s="30"/>
      <c r="O232" s="10"/>
      <c r="P232" s="10"/>
      <c r="Q232" s="10"/>
      <c r="R232" s="10"/>
    </row>
    <row r="233" spans="9:18" x14ac:dyDescent="0.3">
      <c r="I233" s="7"/>
      <c r="J233" s="9"/>
      <c r="K233" s="9"/>
      <c r="L233" s="9"/>
      <c r="M233" s="9"/>
      <c r="N233" s="30"/>
      <c r="O233" s="10"/>
      <c r="P233" s="10"/>
      <c r="Q233" s="10"/>
      <c r="R233" s="10"/>
    </row>
    <row r="234" spans="9:18" x14ac:dyDescent="0.3">
      <c r="I234" s="7"/>
      <c r="J234" s="9"/>
      <c r="K234" s="9"/>
      <c r="L234" s="9"/>
      <c r="M234" s="9"/>
      <c r="N234" s="30"/>
      <c r="O234" s="10"/>
      <c r="P234" s="10"/>
      <c r="Q234" s="10"/>
      <c r="R234" s="10"/>
    </row>
    <row r="235" spans="9:18" x14ac:dyDescent="0.3">
      <c r="I235" s="7"/>
      <c r="J235" s="9"/>
      <c r="K235" s="9"/>
      <c r="L235" s="9"/>
      <c r="M235" s="9"/>
      <c r="N235" s="30"/>
      <c r="O235" s="10"/>
      <c r="P235" s="10"/>
      <c r="Q235" s="10"/>
      <c r="R235" s="10"/>
    </row>
    <row r="236" spans="9:18" x14ac:dyDescent="0.3">
      <c r="I236" s="7"/>
      <c r="J236" s="9"/>
      <c r="K236" s="9"/>
      <c r="L236" s="9"/>
      <c r="M236" s="9"/>
      <c r="N236" s="30"/>
      <c r="O236" s="10"/>
      <c r="P236" s="10"/>
      <c r="Q236" s="10"/>
      <c r="R236" s="10"/>
    </row>
    <row r="237" spans="9:18" x14ac:dyDescent="0.3">
      <c r="I237" s="7"/>
      <c r="J237" s="9"/>
      <c r="K237" s="9"/>
      <c r="L237" s="9"/>
      <c r="M237" s="9"/>
      <c r="N237" s="30"/>
      <c r="O237" s="10"/>
      <c r="P237" s="10"/>
      <c r="Q237" s="10"/>
      <c r="R237" s="10"/>
    </row>
    <row r="238" spans="9:18" x14ac:dyDescent="0.3">
      <c r="I238" s="7"/>
      <c r="J238" s="9"/>
      <c r="K238" s="9"/>
      <c r="L238" s="9"/>
      <c r="M238" s="9"/>
      <c r="N238" s="30"/>
      <c r="O238" s="10"/>
      <c r="P238" s="10"/>
      <c r="Q238" s="10"/>
      <c r="R238" s="10"/>
    </row>
    <row r="239" spans="9:18" x14ac:dyDescent="0.3">
      <c r="I239" s="7"/>
      <c r="J239" s="9"/>
      <c r="K239" s="9"/>
      <c r="L239" s="9"/>
      <c r="M239" s="9"/>
      <c r="N239" s="30"/>
      <c r="O239" s="10"/>
      <c r="P239" s="10"/>
      <c r="Q239" s="10"/>
      <c r="R239" s="10"/>
    </row>
    <row r="240" spans="9:18" x14ac:dyDescent="0.3">
      <c r="I240" s="7"/>
      <c r="J240" s="9"/>
      <c r="K240" s="9"/>
      <c r="L240" s="9"/>
      <c r="M240" s="9"/>
      <c r="N240" s="30"/>
      <c r="O240" s="10"/>
      <c r="P240" s="10"/>
      <c r="Q240" s="10"/>
      <c r="R240" s="10"/>
    </row>
    <row r="241" spans="9:18" x14ac:dyDescent="0.3">
      <c r="I241" s="7"/>
      <c r="J241" s="9"/>
      <c r="K241" s="9"/>
      <c r="L241" s="9"/>
      <c r="M241" s="9"/>
      <c r="N241" s="30"/>
      <c r="O241" s="10"/>
      <c r="P241" s="10"/>
      <c r="Q241" s="10"/>
      <c r="R241" s="10"/>
    </row>
    <row r="242" spans="9:18" x14ac:dyDescent="0.3">
      <c r="I242" s="7"/>
      <c r="J242" s="9"/>
      <c r="K242" s="9"/>
      <c r="L242" s="9"/>
      <c r="M242" s="9"/>
      <c r="N242" s="30"/>
      <c r="O242" s="10"/>
      <c r="P242" s="10"/>
      <c r="Q242" s="10"/>
      <c r="R242" s="10"/>
    </row>
    <row r="243" spans="9:18" x14ac:dyDescent="0.3">
      <c r="I243" s="7"/>
      <c r="J243" s="9"/>
      <c r="K243" s="9"/>
      <c r="L243" s="9"/>
      <c r="M243" s="9"/>
      <c r="N243" s="30"/>
      <c r="O243" s="10"/>
      <c r="P243" s="10"/>
      <c r="Q243" s="10"/>
      <c r="R243" s="10"/>
    </row>
    <row r="244" spans="9:18" x14ac:dyDescent="0.3">
      <c r="I244" s="7"/>
      <c r="J244" s="9"/>
      <c r="K244" s="9"/>
      <c r="L244" s="9"/>
      <c r="M244" s="9"/>
      <c r="N244" s="30"/>
      <c r="O244" s="10"/>
      <c r="P244" s="10"/>
      <c r="Q244" s="10"/>
      <c r="R244" s="10"/>
    </row>
    <row r="245" spans="9:18" x14ac:dyDescent="0.3">
      <c r="I245" s="7"/>
      <c r="J245" s="9"/>
      <c r="K245" s="9"/>
      <c r="L245" s="9"/>
      <c r="M245" s="9"/>
      <c r="N245" s="30"/>
      <c r="O245" s="10"/>
      <c r="P245" s="10"/>
      <c r="Q245" s="10"/>
      <c r="R245" s="10"/>
    </row>
    <row r="246" spans="9:18" x14ac:dyDescent="0.3">
      <c r="I246" s="7"/>
      <c r="J246" s="9"/>
      <c r="K246" s="9"/>
      <c r="L246" s="9"/>
      <c r="M246" s="9"/>
      <c r="N246" s="30"/>
      <c r="O246" s="10"/>
      <c r="P246" s="10"/>
      <c r="Q246" s="10"/>
      <c r="R246" s="10"/>
    </row>
    <row r="247" spans="9:18" x14ac:dyDescent="0.3">
      <c r="I247" s="7"/>
      <c r="J247" s="9"/>
      <c r="K247" s="9"/>
      <c r="L247" s="9"/>
      <c r="M247" s="9"/>
      <c r="N247" s="30"/>
      <c r="O247" s="10"/>
      <c r="P247" s="10"/>
      <c r="Q247" s="10"/>
      <c r="R247" s="10"/>
    </row>
    <row r="248" spans="9:18" x14ac:dyDescent="0.3">
      <c r="I248" s="7"/>
      <c r="J248" s="9"/>
      <c r="K248" s="9"/>
      <c r="L248" s="9"/>
      <c r="M248" s="9"/>
      <c r="N248" s="30"/>
      <c r="O248" s="10"/>
      <c r="P248" s="10"/>
      <c r="Q248" s="10"/>
      <c r="R248" s="10"/>
    </row>
    <row r="249" spans="9:18" x14ac:dyDescent="0.3">
      <c r="I249" s="7"/>
      <c r="J249" s="9"/>
      <c r="K249" s="9"/>
      <c r="L249" s="9"/>
      <c r="M249" s="9"/>
      <c r="N249" s="30"/>
      <c r="O249" s="10"/>
      <c r="P249" s="10"/>
      <c r="Q249" s="10"/>
      <c r="R249" s="10"/>
    </row>
    <row r="250" spans="9:18" x14ac:dyDescent="0.3">
      <c r="I250" s="7"/>
      <c r="J250" s="9"/>
      <c r="K250" s="9"/>
      <c r="L250" s="9"/>
      <c r="M250" s="9"/>
      <c r="N250" s="30"/>
      <c r="O250" s="10"/>
      <c r="P250" s="10"/>
      <c r="Q250" s="10"/>
      <c r="R250" s="10"/>
    </row>
    <row r="251" spans="9:18" x14ac:dyDescent="0.3">
      <c r="I251" s="7"/>
      <c r="J251" s="9"/>
      <c r="K251" s="9"/>
      <c r="L251" s="9"/>
      <c r="M251" s="9"/>
      <c r="N251" s="30"/>
      <c r="O251" s="10"/>
      <c r="P251" s="10"/>
      <c r="Q251" s="10"/>
      <c r="R251" s="10"/>
    </row>
    <row r="252" spans="9:18" x14ac:dyDescent="0.3">
      <c r="I252" s="7"/>
      <c r="J252" s="9"/>
      <c r="K252" s="9"/>
      <c r="L252" s="9"/>
      <c r="M252" s="9"/>
      <c r="N252" s="30"/>
      <c r="O252" s="10"/>
      <c r="P252" s="10"/>
      <c r="Q252" s="10"/>
      <c r="R252" s="10"/>
    </row>
    <row r="253" spans="9:18" x14ac:dyDescent="0.3">
      <c r="I253" s="7"/>
      <c r="J253" s="9"/>
      <c r="K253" s="9"/>
      <c r="L253" s="9"/>
      <c r="M253" s="9"/>
      <c r="N253" s="30"/>
      <c r="O253" s="10"/>
      <c r="P253" s="10"/>
      <c r="Q253" s="10"/>
      <c r="R253" s="10"/>
    </row>
    <row r="254" spans="9:18" x14ac:dyDescent="0.3">
      <c r="I254" s="7"/>
      <c r="J254" s="9"/>
      <c r="K254" s="9"/>
      <c r="L254" s="9"/>
      <c r="M254" s="9"/>
      <c r="N254" s="30"/>
      <c r="O254" s="10"/>
      <c r="P254" s="10"/>
      <c r="Q254" s="10"/>
      <c r="R254" s="10"/>
    </row>
    <row r="255" spans="9:18" x14ac:dyDescent="0.3">
      <c r="I255" s="7"/>
      <c r="J255" s="9"/>
      <c r="K255" s="9"/>
      <c r="L255" s="9"/>
      <c r="M255" s="9"/>
      <c r="N255" s="30"/>
      <c r="O255" s="10"/>
      <c r="P255" s="10"/>
      <c r="Q255" s="10"/>
      <c r="R255" s="10"/>
    </row>
    <row r="256" spans="9:18" x14ac:dyDescent="0.3">
      <c r="I256" s="7"/>
      <c r="J256" s="9"/>
      <c r="K256" s="9"/>
      <c r="L256" s="9"/>
      <c r="M256" s="9"/>
      <c r="N256" s="30"/>
      <c r="O256" s="10"/>
      <c r="P256" s="10"/>
      <c r="Q256" s="10"/>
      <c r="R256" s="10"/>
    </row>
    <row r="257" spans="9:18" x14ac:dyDescent="0.3">
      <c r="I257" s="7"/>
      <c r="J257" s="9"/>
      <c r="K257" s="9"/>
      <c r="L257" s="9"/>
      <c r="M257" s="9"/>
      <c r="N257" s="30"/>
      <c r="O257" s="10"/>
      <c r="P257" s="10"/>
      <c r="Q257" s="10"/>
      <c r="R257" s="10"/>
    </row>
    <row r="258" spans="9:18" x14ac:dyDescent="0.3">
      <c r="I258" s="7"/>
      <c r="J258" s="9"/>
      <c r="K258" s="9"/>
      <c r="L258" s="9"/>
      <c r="M258" s="9"/>
      <c r="N258" s="30"/>
      <c r="O258" s="10"/>
      <c r="P258" s="10"/>
      <c r="Q258" s="10"/>
      <c r="R258" s="10"/>
    </row>
    <row r="259" spans="9:18" x14ac:dyDescent="0.3">
      <c r="I259" s="7"/>
      <c r="J259" s="9"/>
      <c r="K259" s="9"/>
      <c r="L259" s="9"/>
      <c r="M259" s="9"/>
      <c r="N259" s="30"/>
      <c r="O259" s="10"/>
      <c r="P259" s="10"/>
      <c r="Q259" s="10"/>
      <c r="R259" s="10"/>
    </row>
    <row r="260" spans="9:18" x14ac:dyDescent="0.3">
      <c r="I260" s="7"/>
      <c r="J260" s="9"/>
      <c r="K260" s="9"/>
      <c r="L260" s="9"/>
      <c r="M260" s="9"/>
      <c r="N260" s="30"/>
      <c r="O260" s="10"/>
      <c r="P260" s="10"/>
      <c r="Q260" s="10"/>
      <c r="R260" s="10"/>
    </row>
    <row r="261" spans="9:18" x14ac:dyDescent="0.3">
      <c r="I261" s="7"/>
      <c r="J261" s="9"/>
      <c r="K261" s="9"/>
      <c r="L261" s="9"/>
      <c r="M261" s="9"/>
      <c r="N261" s="30"/>
      <c r="O261" s="10"/>
      <c r="P261" s="10"/>
      <c r="Q261" s="10"/>
      <c r="R261" s="10"/>
    </row>
    <row r="262" spans="9:18" x14ac:dyDescent="0.3">
      <c r="I262" s="7"/>
      <c r="J262" s="9"/>
      <c r="K262" s="9"/>
      <c r="L262" s="9"/>
      <c r="M262" s="9"/>
      <c r="N262" s="30"/>
      <c r="O262" s="10"/>
      <c r="P262" s="10"/>
      <c r="Q262" s="10"/>
      <c r="R262" s="10"/>
    </row>
    <row r="263" spans="9:18" x14ac:dyDescent="0.3">
      <c r="I263" s="7"/>
      <c r="J263" s="9"/>
      <c r="K263" s="9"/>
      <c r="L263" s="9"/>
      <c r="M263" s="9"/>
      <c r="N263" s="30"/>
      <c r="O263" s="10"/>
      <c r="P263" s="10"/>
      <c r="Q263" s="10"/>
      <c r="R263" s="10"/>
    </row>
    <row r="264" spans="9:18" x14ac:dyDescent="0.3">
      <c r="I264" s="7"/>
      <c r="J264" s="9"/>
      <c r="K264" s="9"/>
      <c r="L264" s="9"/>
      <c r="M264" s="9"/>
      <c r="N264" s="30"/>
      <c r="O264" s="10"/>
      <c r="P264" s="10"/>
      <c r="Q264" s="10"/>
      <c r="R264" s="10"/>
    </row>
    <row r="265" spans="9:18" x14ac:dyDescent="0.3">
      <c r="I265" s="7"/>
      <c r="J265" s="9"/>
      <c r="K265" s="9"/>
      <c r="L265" s="9"/>
      <c r="M265" s="9"/>
      <c r="N265" s="30"/>
      <c r="O265" s="10"/>
      <c r="P265" s="10"/>
      <c r="Q265" s="10"/>
      <c r="R265" s="10"/>
    </row>
    <row r="266" spans="9:18" x14ac:dyDescent="0.3">
      <c r="I266" s="7"/>
      <c r="J266" s="9"/>
      <c r="K266" s="9"/>
      <c r="L266" s="9"/>
      <c r="M266" s="9"/>
      <c r="N266" s="30"/>
      <c r="O266" s="10"/>
      <c r="P266" s="10"/>
      <c r="Q266" s="10"/>
      <c r="R266" s="10"/>
    </row>
    <row r="267" spans="9:18" x14ac:dyDescent="0.3">
      <c r="I267" s="7"/>
      <c r="J267" s="9"/>
      <c r="K267" s="9"/>
      <c r="L267" s="9"/>
      <c r="M267" s="9"/>
      <c r="N267" s="30"/>
      <c r="O267" s="10"/>
      <c r="P267" s="10"/>
      <c r="Q267" s="10"/>
      <c r="R267" s="10"/>
    </row>
    <row r="268" spans="9:18" x14ac:dyDescent="0.3">
      <c r="I268" s="7"/>
      <c r="J268" s="9"/>
      <c r="K268" s="9"/>
      <c r="L268" s="9"/>
      <c r="M268" s="9"/>
      <c r="N268" s="30"/>
      <c r="O268" s="10"/>
      <c r="P268" s="10"/>
      <c r="Q268" s="10"/>
      <c r="R268" s="10"/>
    </row>
    <row r="269" spans="9:18" x14ac:dyDescent="0.3">
      <c r="I269" s="7"/>
      <c r="J269" s="9"/>
      <c r="K269" s="9"/>
      <c r="L269" s="9"/>
      <c r="M269" s="9"/>
      <c r="N269" s="30"/>
      <c r="O269" s="10"/>
      <c r="P269" s="10"/>
      <c r="Q269" s="10"/>
      <c r="R269" s="10"/>
    </row>
    <row r="270" spans="9:18" x14ac:dyDescent="0.3">
      <c r="I270" s="7"/>
      <c r="J270" s="9"/>
      <c r="K270" s="9"/>
      <c r="L270" s="9"/>
      <c r="M270" s="9"/>
      <c r="N270" s="30"/>
      <c r="O270" s="10"/>
      <c r="P270" s="10"/>
      <c r="Q270" s="10"/>
      <c r="R270" s="10"/>
    </row>
    <row r="271" spans="9:18" x14ac:dyDescent="0.3">
      <c r="I271" s="7"/>
      <c r="J271" s="9"/>
      <c r="K271" s="9"/>
      <c r="L271" s="9"/>
      <c r="M271" s="9"/>
      <c r="N271" s="30"/>
      <c r="O271" s="10"/>
      <c r="P271" s="10"/>
      <c r="Q271" s="10"/>
      <c r="R271" s="10"/>
    </row>
    <row r="272" spans="9:18" x14ac:dyDescent="0.3">
      <c r="I272" s="7"/>
      <c r="J272" s="9"/>
      <c r="K272" s="9"/>
      <c r="L272" s="9"/>
      <c r="M272" s="9"/>
      <c r="N272" s="30"/>
      <c r="O272" s="10"/>
      <c r="P272" s="10"/>
      <c r="Q272" s="10"/>
      <c r="R272" s="10"/>
    </row>
    <row r="273" spans="9:18" x14ac:dyDescent="0.3">
      <c r="I273" s="7"/>
      <c r="J273" s="9"/>
      <c r="K273" s="9"/>
      <c r="L273" s="9"/>
      <c r="M273" s="9"/>
      <c r="N273" s="30"/>
      <c r="O273" s="10"/>
      <c r="P273" s="10"/>
      <c r="Q273" s="10"/>
      <c r="R273" s="10"/>
    </row>
    <row r="274" spans="9:18" x14ac:dyDescent="0.3">
      <c r="I274" s="7"/>
      <c r="J274" s="9"/>
      <c r="K274" s="9"/>
      <c r="L274" s="9"/>
      <c r="M274" s="9"/>
      <c r="N274" s="30"/>
      <c r="O274" s="10"/>
      <c r="P274" s="10"/>
      <c r="Q274" s="10"/>
      <c r="R274" s="10"/>
    </row>
    <row r="275" spans="9:18" x14ac:dyDescent="0.3">
      <c r="I275" s="7"/>
      <c r="J275" s="9"/>
      <c r="K275" s="9"/>
      <c r="L275" s="9"/>
      <c r="M275" s="9"/>
      <c r="N275" s="30"/>
      <c r="O275" s="10"/>
      <c r="P275" s="10"/>
      <c r="Q275" s="10"/>
      <c r="R275" s="10"/>
    </row>
    <row r="276" spans="9:18" x14ac:dyDescent="0.3">
      <c r="I276" s="7"/>
      <c r="J276" s="9"/>
      <c r="K276" s="9"/>
      <c r="L276" s="9"/>
      <c r="M276" s="9"/>
      <c r="N276" s="30"/>
      <c r="O276" s="10"/>
      <c r="P276" s="10"/>
      <c r="Q276" s="10"/>
      <c r="R276" s="10"/>
    </row>
    <row r="277" spans="9:18" x14ac:dyDescent="0.3">
      <c r="I277" s="7"/>
      <c r="J277" s="9"/>
      <c r="K277" s="9"/>
      <c r="L277" s="9"/>
      <c r="M277" s="9"/>
      <c r="N277" s="30"/>
      <c r="O277" s="10"/>
      <c r="P277" s="10"/>
      <c r="Q277" s="10"/>
      <c r="R277" s="10"/>
    </row>
    <row r="278" spans="9:18" x14ac:dyDescent="0.3">
      <c r="I278" s="7"/>
      <c r="J278" s="9"/>
      <c r="K278" s="9"/>
      <c r="L278" s="9"/>
      <c r="M278" s="9"/>
      <c r="N278" s="30"/>
      <c r="O278" s="10"/>
      <c r="P278" s="10"/>
      <c r="Q278" s="10"/>
      <c r="R278" s="10"/>
    </row>
    <row r="279" spans="9:18" x14ac:dyDescent="0.3">
      <c r="I279" s="7"/>
      <c r="J279" s="9"/>
      <c r="K279" s="9"/>
      <c r="L279" s="9"/>
      <c r="M279" s="9"/>
      <c r="N279" s="30"/>
      <c r="O279" s="10"/>
      <c r="P279" s="10"/>
      <c r="Q279" s="10"/>
      <c r="R279" s="10"/>
    </row>
    <row r="280" spans="9:18" x14ac:dyDescent="0.3">
      <c r="I280" s="7"/>
      <c r="J280" s="9"/>
      <c r="K280" s="9"/>
      <c r="L280" s="9"/>
      <c r="M280" s="9"/>
      <c r="N280" s="30"/>
      <c r="O280" s="10"/>
      <c r="P280" s="10"/>
      <c r="Q280" s="10"/>
      <c r="R280" s="10"/>
    </row>
    <row r="281" spans="9:18" x14ac:dyDescent="0.3">
      <c r="I281" s="7"/>
      <c r="J281" s="9"/>
      <c r="K281" s="9"/>
      <c r="L281" s="9"/>
      <c r="M281" s="9"/>
      <c r="N281" s="30"/>
      <c r="O281" s="10"/>
      <c r="P281" s="10"/>
      <c r="Q281" s="10"/>
      <c r="R281" s="10"/>
    </row>
    <row r="282" spans="9:18" x14ac:dyDescent="0.3">
      <c r="I282" s="7"/>
      <c r="J282" s="9"/>
      <c r="K282" s="9"/>
      <c r="L282" s="9"/>
      <c r="M282" s="9"/>
      <c r="N282" s="30"/>
      <c r="O282" s="10"/>
      <c r="P282" s="10"/>
      <c r="Q282" s="10"/>
      <c r="R282" s="10"/>
    </row>
    <row r="283" spans="9:18" x14ac:dyDescent="0.3">
      <c r="I283" s="7"/>
      <c r="J283" s="9"/>
      <c r="K283" s="9"/>
      <c r="L283" s="9"/>
      <c r="M283" s="9"/>
      <c r="N283" s="30"/>
      <c r="O283" s="10"/>
      <c r="P283" s="10"/>
      <c r="Q283" s="10"/>
      <c r="R283" s="10"/>
    </row>
    <row r="284" spans="9:18" x14ac:dyDescent="0.3">
      <c r="I284" s="7"/>
      <c r="J284" s="9"/>
      <c r="K284" s="9"/>
      <c r="L284" s="9"/>
      <c r="M284" s="9"/>
      <c r="N284" s="30"/>
      <c r="O284" s="10"/>
      <c r="P284" s="10"/>
      <c r="Q284" s="10"/>
      <c r="R284" s="10"/>
    </row>
    <row r="285" spans="9:18" x14ac:dyDescent="0.3">
      <c r="I285" s="7"/>
      <c r="J285" s="9"/>
      <c r="K285" s="9"/>
      <c r="L285" s="9"/>
      <c r="M285" s="9"/>
      <c r="N285" s="30"/>
      <c r="O285" s="10"/>
      <c r="P285" s="10"/>
      <c r="Q285" s="10"/>
      <c r="R285" s="10"/>
    </row>
    <row r="286" spans="9:18" x14ac:dyDescent="0.3">
      <c r="I286" s="7"/>
      <c r="J286" s="9"/>
      <c r="K286" s="9"/>
      <c r="L286" s="9"/>
      <c r="M286" s="9"/>
      <c r="N286" s="30"/>
      <c r="O286" s="10"/>
      <c r="P286" s="10"/>
      <c r="Q286" s="10"/>
      <c r="R286" s="10"/>
    </row>
    <row r="287" spans="9:18" x14ac:dyDescent="0.3">
      <c r="I287" s="7"/>
      <c r="J287" s="9"/>
      <c r="K287" s="9"/>
      <c r="L287" s="9"/>
      <c r="M287" s="9"/>
      <c r="N287" s="30"/>
      <c r="O287" s="10"/>
      <c r="P287" s="10"/>
      <c r="Q287" s="10"/>
      <c r="R287" s="10"/>
    </row>
    <row r="288" spans="9:18" x14ac:dyDescent="0.3">
      <c r="I288" s="7"/>
      <c r="J288" s="9"/>
      <c r="K288" s="9"/>
      <c r="L288" s="9"/>
      <c r="M288" s="9"/>
      <c r="N288" s="30"/>
      <c r="O288" s="10"/>
      <c r="P288" s="10"/>
      <c r="Q288" s="10"/>
      <c r="R288" s="10"/>
    </row>
    <row r="289" spans="9:18" x14ac:dyDescent="0.3">
      <c r="I289" s="7"/>
      <c r="J289" s="9"/>
      <c r="K289" s="9"/>
      <c r="L289" s="9"/>
      <c r="M289" s="9"/>
      <c r="N289" s="30"/>
      <c r="O289" s="10"/>
      <c r="P289" s="10"/>
      <c r="Q289" s="10"/>
      <c r="R289" s="10"/>
    </row>
    <row r="290" spans="9:18" x14ac:dyDescent="0.3">
      <c r="I290" s="7"/>
      <c r="J290" s="9"/>
      <c r="K290" s="9"/>
      <c r="L290" s="9"/>
      <c r="M290" s="9"/>
      <c r="N290" s="30"/>
      <c r="O290" s="10"/>
      <c r="P290" s="10"/>
      <c r="Q290" s="10"/>
      <c r="R290" s="10"/>
    </row>
    <row r="291" spans="9:18" x14ac:dyDescent="0.3">
      <c r="I291" s="7"/>
      <c r="J291" s="9"/>
      <c r="K291" s="9"/>
      <c r="L291" s="9"/>
      <c r="M291" s="9"/>
      <c r="N291" s="30"/>
      <c r="O291" s="10"/>
      <c r="P291" s="10"/>
      <c r="Q291" s="10"/>
      <c r="R291" s="10"/>
    </row>
    <row r="292" spans="9:18" x14ac:dyDescent="0.3">
      <c r="I292" s="7"/>
      <c r="J292" s="9"/>
      <c r="K292" s="9"/>
      <c r="L292" s="9"/>
      <c r="M292" s="9"/>
      <c r="N292" s="30"/>
      <c r="O292" s="10"/>
      <c r="P292" s="10"/>
      <c r="Q292" s="10"/>
      <c r="R292" s="10"/>
    </row>
    <row r="293" spans="9:18" x14ac:dyDescent="0.3">
      <c r="I293" s="7"/>
      <c r="J293" s="9"/>
      <c r="K293" s="9"/>
      <c r="L293" s="9"/>
      <c r="M293" s="9"/>
      <c r="N293" s="30"/>
      <c r="O293" s="10"/>
      <c r="P293" s="10"/>
      <c r="Q293" s="10"/>
      <c r="R293" s="10"/>
    </row>
    <row r="294" spans="9:18" x14ac:dyDescent="0.3">
      <c r="I294" s="7"/>
      <c r="J294" s="9"/>
      <c r="K294" s="9"/>
      <c r="L294" s="9"/>
      <c r="M294" s="9"/>
      <c r="N294" s="30"/>
      <c r="O294" s="10"/>
      <c r="P294" s="10"/>
      <c r="Q294" s="10"/>
      <c r="R294" s="10"/>
    </row>
    <row r="295" spans="9:18" x14ac:dyDescent="0.3">
      <c r="I295" s="7"/>
      <c r="J295" s="9"/>
      <c r="K295" s="9"/>
      <c r="L295" s="9"/>
      <c r="M295" s="9"/>
      <c r="N295" s="30"/>
      <c r="O295" s="10"/>
      <c r="P295" s="10"/>
      <c r="Q295" s="10"/>
      <c r="R295" s="10"/>
    </row>
    <row r="296" spans="9:18" x14ac:dyDescent="0.3">
      <c r="I296" s="7"/>
      <c r="J296" s="9"/>
      <c r="K296" s="9"/>
      <c r="L296" s="9"/>
      <c r="M296" s="9"/>
      <c r="N296" s="30"/>
      <c r="O296" s="10"/>
      <c r="P296" s="10"/>
      <c r="Q296" s="10"/>
      <c r="R296" s="10"/>
    </row>
    <row r="297" spans="9:18" x14ac:dyDescent="0.3">
      <c r="I297" s="7"/>
      <c r="J297" s="9"/>
      <c r="K297" s="9"/>
      <c r="L297" s="9"/>
      <c r="M297" s="9"/>
      <c r="N297" s="30"/>
      <c r="O297" s="10"/>
      <c r="P297" s="10"/>
      <c r="Q297" s="10"/>
      <c r="R297" s="10"/>
    </row>
    <row r="298" spans="9:18" x14ac:dyDescent="0.3">
      <c r="I298" s="7"/>
      <c r="J298" s="9"/>
      <c r="K298" s="9"/>
      <c r="L298" s="9"/>
      <c r="M298" s="9"/>
      <c r="N298" s="30"/>
      <c r="O298" s="10"/>
      <c r="P298" s="10"/>
      <c r="Q298" s="10"/>
      <c r="R298" s="10"/>
    </row>
    <row r="299" spans="9:18" x14ac:dyDescent="0.3">
      <c r="I299" s="7"/>
      <c r="J299" s="9"/>
      <c r="K299" s="9"/>
      <c r="L299" s="9"/>
      <c r="M299" s="9"/>
      <c r="N299" s="30"/>
      <c r="O299" s="10"/>
      <c r="P299" s="10"/>
      <c r="Q299" s="10"/>
      <c r="R299" s="10"/>
    </row>
    <row r="300" spans="9:18" x14ac:dyDescent="0.3">
      <c r="I300" s="7"/>
      <c r="J300" s="9"/>
      <c r="K300" s="9"/>
      <c r="L300" s="9"/>
      <c r="M300" s="9"/>
      <c r="N300" s="30"/>
      <c r="O300" s="10"/>
      <c r="P300" s="10"/>
      <c r="Q300" s="10"/>
      <c r="R300" s="10"/>
    </row>
    <row r="301" spans="9:18" x14ac:dyDescent="0.3">
      <c r="I301" s="7"/>
      <c r="J301" s="9"/>
      <c r="K301" s="9"/>
      <c r="L301" s="9"/>
      <c r="M301" s="9"/>
      <c r="N301" s="30"/>
      <c r="O301" s="10"/>
      <c r="P301" s="10"/>
      <c r="Q301" s="10"/>
      <c r="R301" s="10"/>
    </row>
    <row r="302" spans="9:18" x14ac:dyDescent="0.3">
      <c r="I302" s="7"/>
      <c r="J302" s="9"/>
      <c r="K302" s="9"/>
      <c r="L302" s="9"/>
      <c r="M302" s="9"/>
      <c r="N302" s="30"/>
      <c r="O302" s="10"/>
      <c r="P302" s="10"/>
      <c r="Q302" s="10"/>
      <c r="R302" s="10"/>
    </row>
    <row r="303" spans="9:18" x14ac:dyDescent="0.3">
      <c r="I303" s="7"/>
      <c r="J303" s="9"/>
      <c r="K303" s="9"/>
      <c r="L303" s="9"/>
      <c r="M303" s="9"/>
      <c r="N303" s="30"/>
      <c r="O303" s="10"/>
      <c r="P303" s="10"/>
      <c r="Q303" s="10"/>
      <c r="R303" s="10"/>
    </row>
    <row r="304" spans="9:18" x14ac:dyDescent="0.3">
      <c r="I304" s="7"/>
      <c r="J304" s="9"/>
      <c r="K304" s="9"/>
      <c r="L304" s="9"/>
      <c r="M304" s="9"/>
      <c r="N304" s="30"/>
      <c r="O304" s="10"/>
      <c r="P304" s="10"/>
      <c r="Q304" s="10"/>
      <c r="R304" s="10"/>
    </row>
    <row r="305" spans="9:18" x14ac:dyDescent="0.3">
      <c r="I305" s="7"/>
      <c r="J305" s="9"/>
      <c r="K305" s="9"/>
      <c r="L305" s="9"/>
      <c r="M305" s="9"/>
      <c r="N305" s="30"/>
      <c r="O305" s="10"/>
      <c r="P305" s="10"/>
      <c r="Q305" s="10"/>
      <c r="R305" s="10"/>
    </row>
    <row r="306" spans="9:18" x14ac:dyDescent="0.3">
      <c r="I306" s="7"/>
      <c r="J306" s="9"/>
      <c r="K306" s="9"/>
      <c r="L306" s="9"/>
      <c r="M306" s="9"/>
      <c r="N306" s="30"/>
      <c r="O306" s="10"/>
      <c r="P306" s="10"/>
      <c r="Q306" s="10"/>
      <c r="R306" s="10"/>
    </row>
    <row r="307" spans="9:18" x14ac:dyDescent="0.3">
      <c r="I307" s="7"/>
      <c r="J307" s="9"/>
      <c r="K307" s="9"/>
      <c r="L307" s="9"/>
      <c r="M307" s="9"/>
      <c r="N307" s="30"/>
      <c r="O307" s="10"/>
      <c r="P307" s="10"/>
      <c r="Q307" s="10"/>
      <c r="R307" s="10"/>
    </row>
    <row r="308" spans="9:18" x14ac:dyDescent="0.3">
      <c r="I308" s="7"/>
      <c r="J308" s="9"/>
      <c r="K308" s="9"/>
      <c r="L308" s="9"/>
      <c r="M308" s="9"/>
      <c r="N308" s="30"/>
      <c r="O308" s="10"/>
      <c r="P308" s="10"/>
      <c r="Q308" s="10"/>
      <c r="R308" s="10"/>
    </row>
    <row r="309" spans="9:18" x14ac:dyDescent="0.3">
      <c r="I309" s="7"/>
      <c r="J309" s="9"/>
      <c r="K309" s="9"/>
      <c r="L309" s="9"/>
      <c r="M309" s="9"/>
      <c r="N309" s="30"/>
      <c r="O309" s="10"/>
      <c r="P309" s="10"/>
      <c r="Q309" s="10"/>
      <c r="R309" s="10"/>
    </row>
    <row r="310" spans="9:18" x14ac:dyDescent="0.3">
      <c r="I310" s="7"/>
      <c r="J310" s="9"/>
      <c r="K310" s="9"/>
      <c r="L310" s="9"/>
      <c r="M310" s="9"/>
      <c r="N310" s="30"/>
      <c r="O310" s="10"/>
      <c r="P310" s="10"/>
      <c r="Q310" s="10"/>
      <c r="R310" s="10"/>
    </row>
    <row r="311" spans="9:18" x14ac:dyDescent="0.3">
      <c r="I311" s="7"/>
      <c r="J311" s="9"/>
      <c r="K311" s="9"/>
      <c r="L311" s="9"/>
      <c r="M311" s="9"/>
      <c r="N311" s="30"/>
      <c r="O311" s="10"/>
      <c r="P311" s="10"/>
      <c r="Q311" s="10"/>
      <c r="R311" s="10"/>
    </row>
    <row r="312" spans="9:18" x14ac:dyDescent="0.3">
      <c r="I312" s="7"/>
      <c r="J312" s="9"/>
      <c r="K312" s="9"/>
      <c r="L312" s="9"/>
      <c r="M312" s="9"/>
      <c r="N312" s="30"/>
      <c r="O312" s="10"/>
      <c r="P312" s="10"/>
      <c r="Q312" s="10"/>
      <c r="R312" s="10"/>
    </row>
    <row r="313" spans="9:18" x14ac:dyDescent="0.3">
      <c r="I313" s="7"/>
      <c r="J313" s="9"/>
      <c r="K313" s="9"/>
      <c r="L313" s="9"/>
      <c r="M313" s="9"/>
      <c r="N313" s="30"/>
      <c r="O313" s="10"/>
      <c r="P313" s="10"/>
      <c r="Q313" s="10"/>
      <c r="R313" s="10"/>
    </row>
    <row r="314" spans="9:18" x14ac:dyDescent="0.3">
      <c r="I314" s="7"/>
      <c r="J314" s="9"/>
      <c r="K314" s="9"/>
      <c r="L314" s="9"/>
      <c r="M314" s="9"/>
      <c r="N314" s="30"/>
      <c r="O314" s="10"/>
      <c r="P314" s="10"/>
      <c r="Q314" s="10"/>
      <c r="R314" s="10"/>
    </row>
    <row r="315" spans="9:18" x14ac:dyDescent="0.3">
      <c r="I315" s="7"/>
      <c r="J315" s="9"/>
      <c r="K315" s="9"/>
      <c r="L315" s="9"/>
      <c r="M315" s="9"/>
      <c r="N315" s="30"/>
      <c r="O315" s="10"/>
      <c r="P315" s="10"/>
      <c r="Q315" s="10"/>
      <c r="R315" s="10"/>
    </row>
    <row r="316" spans="9:18" x14ac:dyDescent="0.3">
      <c r="I316" s="7"/>
      <c r="J316" s="9"/>
      <c r="K316" s="9"/>
      <c r="L316" s="9"/>
      <c r="M316" s="9"/>
      <c r="N316" s="30"/>
      <c r="O316" s="10"/>
      <c r="P316" s="10"/>
      <c r="Q316" s="10"/>
      <c r="R316" s="10"/>
    </row>
    <row r="317" spans="9:18" x14ac:dyDescent="0.3">
      <c r="I317" s="7"/>
      <c r="J317" s="9"/>
      <c r="K317" s="9"/>
      <c r="L317" s="9"/>
      <c r="M317" s="9"/>
      <c r="N317" s="30"/>
      <c r="O317" s="10"/>
      <c r="P317" s="10"/>
      <c r="Q317" s="10"/>
      <c r="R317" s="10"/>
    </row>
    <row r="318" spans="9:18" x14ac:dyDescent="0.3">
      <c r="I318" s="7"/>
      <c r="J318" s="9"/>
      <c r="K318" s="9"/>
      <c r="L318" s="9"/>
      <c r="M318" s="9"/>
      <c r="N318" s="30"/>
      <c r="O318" s="10"/>
      <c r="P318" s="10"/>
      <c r="Q318" s="10"/>
      <c r="R318" s="10"/>
    </row>
    <row r="319" spans="9:18" x14ac:dyDescent="0.3">
      <c r="I319" s="7"/>
      <c r="J319" s="9"/>
      <c r="K319" s="9"/>
      <c r="L319" s="9"/>
      <c r="M319" s="9"/>
      <c r="N319" s="30"/>
      <c r="O319" s="10"/>
      <c r="P319" s="10"/>
      <c r="Q319" s="10"/>
      <c r="R319" s="10"/>
    </row>
    <row r="320" spans="9:18" x14ac:dyDescent="0.3">
      <c r="I320" s="7"/>
      <c r="J320" s="9"/>
      <c r="K320" s="9"/>
      <c r="L320" s="9"/>
      <c r="M320" s="9"/>
      <c r="N320" s="30"/>
      <c r="O320" s="10"/>
      <c r="P320" s="10"/>
      <c r="Q320" s="10"/>
      <c r="R320" s="10"/>
    </row>
    <row r="321" spans="9:18" x14ac:dyDescent="0.3">
      <c r="I321" s="7"/>
      <c r="J321" s="9"/>
      <c r="K321" s="9"/>
      <c r="L321" s="9"/>
      <c r="M321" s="9"/>
      <c r="N321" s="30"/>
      <c r="O321" s="10"/>
      <c r="P321" s="10"/>
      <c r="Q321" s="10"/>
      <c r="R321" s="10"/>
    </row>
    <row r="322" spans="9:18" x14ac:dyDescent="0.3">
      <c r="I322" s="7"/>
      <c r="J322" s="9"/>
      <c r="K322" s="9"/>
      <c r="L322" s="9"/>
      <c r="M322" s="9"/>
      <c r="N322" s="30"/>
      <c r="O322" s="10"/>
      <c r="P322" s="10"/>
      <c r="Q322" s="10"/>
      <c r="R322" s="10"/>
    </row>
    <row r="323" spans="9:18" x14ac:dyDescent="0.3">
      <c r="I323" s="7"/>
      <c r="J323" s="9"/>
      <c r="K323" s="9"/>
      <c r="L323" s="9"/>
      <c r="M323" s="9"/>
      <c r="N323" s="30"/>
      <c r="O323" s="10"/>
      <c r="P323" s="10"/>
      <c r="Q323" s="10"/>
      <c r="R323" s="10"/>
    </row>
    <row r="324" spans="9:18" x14ac:dyDescent="0.3">
      <c r="I324" s="7"/>
      <c r="J324" s="9"/>
      <c r="K324" s="9"/>
      <c r="L324" s="9"/>
      <c r="M324" s="9"/>
      <c r="N324" s="30"/>
      <c r="O324" s="10"/>
      <c r="P324" s="10"/>
      <c r="Q324" s="10"/>
      <c r="R324" s="10"/>
    </row>
    <row r="325" spans="9:18" x14ac:dyDescent="0.3">
      <c r="I325" s="7"/>
      <c r="J325" s="9"/>
      <c r="K325" s="9"/>
      <c r="L325" s="9"/>
      <c r="M325" s="9"/>
      <c r="N325" s="30"/>
      <c r="O325" s="10"/>
      <c r="P325" s="10"/>
      <c r="Q325" s="10"/>
      <c r="R325" s="10"/>
    </row>
    <row r="326" spans="9:18" x14ac:dyDescent="0.3">
      <c r="I326" s="7"/>
      <c r="J326" s="9"/>
      <c r="K326" s="9"/>
      <c r="L326" s="9"/>
      <c r="M326" s="9"/>
      <c r="N326" s="30"/>
      <c r="O326" s="10"/>
      <c r="P326" s="10"/>
      <c r="Q326" s="10"/>
      <c r="R326" s="10"/>
    </row>
    <row r="327" spans="9:18" x14ac:dyDescent="0.3">
      <c r="I327" s="7"/>
      <c r="J327" s="9"/>
      <c r="K327" s="9"/>
      <c r="L327" s="9"/>
      <c r="M327" s="9"/>
      <c r="N327" s="30"/>
      <c r="O327" s="10"/>
      <c r="P327" s="10"/>
      <c r="Q327" s="10"/>
      <c r="R327" s="10"/>
    </row>
    <row r="328" spans="9:18" x14ac:dyDescent="0.3">
      <c r="I328" s="7"/>
      <c r="J328" s="9"/>
      <c r="K328" s="9"/>
      <c r="L328" s="9"/>
      <c r="M328" s="9"/>
      <c r="N328" s="30"/>
      <c r="O328" s="10"/>
      <c r="P328" s="10"/>
      <c r="Q328" s="10"/>
      <c r="R328" s="10"/>
    </row>
    <row r="329" spans="9:18" x14ac:dyDescent="0.3">
      <c r="I329" s="7"/>
      <c r="J329" s="9"/>
      <c r="K329" s="9"/>
      <c r="L329" s="9"/>
      <c r="M329" s="9"/>
      <c r="N329" s="30"/>
      <c r="O329" s="10"/>
      <c r="P329" s="10"/>
      <c r="Q329" s="10"/>
      <c r="R329" s="10"/>
    </row>
    <row r="330" spans="9:18" x14ac:dyDescent="0.3">
      <c r="I330" s="7"/>
      <c r="J330" s="9"/>
      <c r="K330" s="9"/>
      <c r="L330" s="9"/>
      <c r="M330" s="9"/>
      <c r="N330" s="30"/>
      <c r="O330" s="10"/>
      <c r="P330" s="10"/>
      <c r="Q330" s="10"/>
      <c r="R330" s="10"/>
    </row>
    <row r="331" spans="9:18" x14ac:dyDescent="0.3">
      <c r="I331" s="7"/>
      <c r="J331" s="9"/>
      <c r="K331" s="9"/>
      <c r="L331" s="9"/>
      <c r="M331" s="9"/>
      <c r="N331" s="30"/>
      <c r="O331" s="10"/>
      <c r="P331" s="10"/>
      <c r="Q331" s="10"/>
      <c r="R331" s="10"/>
    </row>
    <row r="332" spans="9:18" x14ac:dyDescent="0.3">
      <c r="I332" s="7"/>
      <c r="J332" s="9"/>
      <c r="K332" s="9"/>
      <c r="L332" s="9"/>
      <c r="M332" s="9"/>
      <c r="N332" s="30"/>
      <c r="O332" s="10"/>
      <c r="P332" s="10"/>
      <c r="Q332" s="10"/>
      <c r="R332" s="10"/>
    </row>
    <row r="333" spans="9:18" x14ac:dyDescent="0.3">
      <c r="I333" s="7"/>
      <c r="J333" s="9"/>
      <c r="K333" s="9"/>
      <c r="L333" s="9"/>
      <c r="M333" s="9"/>
      <c r="N333" s="30"/>
      <c r="O333" s="10"/>
      <c r="P333" s="10"/>
      <c r="Q333" s="10"/>
      <c r="R333" s="10"/>
    </row>
    <row r="334" spans="9:18" x14ac:dyDescent="0.3">
      <c r="I334" s="7"/>
      <c r="J334" s="9"/>
      <c r="K334" s="9"/>
      <c r="L334" s="9"/>
      <c r="M334" s="9"/>
      <c r="N334" s="30"/>
      <c r="O334" s="10"/>
      <c r="P334" s="10"/>
      <c r="Q334" s="10"/>
      <c r="R334" s="10"/>
    </row>
    <row r="335" spans="9:18" x14ac:dyDescent="0.3">
      <c r="I335" s="7"/>
      <c r="J335" s="9"/>
      <c r="K335" s="9"/>
      <c r="L335" s="9"/>
      <c r="M335" s="9"/>
      <c r="N335" s="30"/>
      <c r="O335" s="10"/>
      <c r="P335" s="10"/>
      <c r="Q335" s="10"/>
      <c r="R335" s="10"/>
    </row>
    <row r="336" spans="9:18" x14ac:dyDescent="0.3">
      <c r="I336" s="7"/>
      <c r="J336" s="9"/>
      <c r="K336" s="9"/>
      <c r="L336" s="9"/>
      <c r="M336" s="9"/>
      <c r="N336" s="30"/>
      <c r="O336" s="10"/>
      <c r="P336" s="10"/>
      <c r="Q336" s="10"/>
      <c r="R336" s="10"/>
    </row>
    <row r="337" spans="9:18" x14ac:dyDescent="0.3">
      <c r="I337" s="7"/>
      <c r="J337" s="9"/>
      <c r="K337" s="9"/>
      <c r="L337" s="9"/>
      <c r="M337" s="9"/>
      <c r="N337" s="30"/>
      <c r="O337" s="10"/>
      <c r="P337" s="10"/>
      <c r="Q337" s="10"/>
      <c r="R337" s="10"/>
    </row>
    <row r="338" spans="9:18" x14ac:dyDescent="0.3">
      <c r="I338" s="7"/>
      <c r="J338" s="9"/>
      <c r="K338" s="9"/>
      <c r="L338" s="9"/>
      <c r="M338" s="9"/>
      <c r="N338" s="30"/>
      <c r="O338" s="10"/>
      <c r="P338" s="10"/>
      <c r="Q338" s="10"/>
      <c r="R338" s="10"/>
    </row>
    <row r="339" spans="9:18" x14ac:dyDescent="0.3">
      <c r="I339" s="7"/>
      <c r="J339" s="9"/>
      <c r="K339" s="9"/>
      <c r="L339" s="9"/>
      <c r="M339" s="9"/>
      <c r="N339" s="30"/>
      <c r="O339" s="10"/>
      <c r="P339" s="10"/>
      <c r="Q339" s="10"/>
      <c r="R339" s="10"/>
    </row>
    <row r="340" spans="9:18" x14ac:dyDescent="0.3">
      <c r="I340" s="7"/>
      <c r="J340" s="9"/>
      <c r="K340" s="9"/>
      <c r="L340" s="9"/>
      <c r="M340" s="9"/>
      <c r="N340" s="30"/>
      <c r="O340" s="10"/>
      <c r="P340" s="10"/>
      <c r="Q340" s="10"/>
      <c r="R340" s="10"/>
    </row>
    <row r="341" spans="9:18" x14ac:dyDescent="0.3">
      <c r="I341" s="7"/>
      <c r="J341" s="9"/>
      <c r="K341" s="9"/>
      <c r="L341" s="9"/>
      <c r="M341" s="9"/>
      <c r="N341" s="30"/>
      <c r="O341" s="10"/>
      <c r="P341" s="10"/>
      <c r="Q341" s="10"/>
      <c r="R341" s="10"/>
    </row>
    <row r="342" spans="9:18" x14ac:dyDescent="0.3">
      <c r="I342" s="7"/>
      <c r="J342" s="9"/>
      <c r="K342" s="9"/>
      <c r="L342" s="9"/>
      <c r="M342" s="9"/>
      <c r="N342" s="30"/>
      <c r="O342" s="10"/>
      <c r="P342" s="10"/>
      <c r="Q342" s="10"/>
      <c r="R342" s="10"/>
    </row>
    <row r="343" spans="9:18" x14ac:dyDescent="0.3">
      <c r="I343" s="7"/>
      <c r="J343" s="9"/>
      <c r="K343" s="9"/>
      <c r="L343" s="9"/>
      <c r="M343" s="9"/>
      <c r="N343" s="30"/>
      <c r="O343" s="10"/>
      <c r="P343" s="10"/>
      <c r="Q343" s="10"/>
      <c r="R343" s="10"/>
    </row>
    <row r="344" spans="9:18" x14ac:dyDescent="0.3">
      <c r="I344" s="7"/>
      <c r="J344" s="9"/>
      <c r="K344" s="9"/>
      <c r="L344" s="9"/>
      <c r="M344" s="9"/>
      <c r="N344" s="30"/>
      <c r="O344" s="10"/>
      <c r="P344" s="10"/>
      <c r="Q344" s="10"/>
      <c r="R344" s="10"/>
    </row>
    <row r="345" spans="9:18" x14ac:dyDescent="0.3">
      <c r="I345" s="7"/>
      <c r="J345" s="9"/>
      <c r="K345" s="9"/>
      <c r="L345" s="9"/>
      <c r="M345" s="9"/>
      <c r="N345" s="30"/>
      <c r="O345" s="10"/>
      <c r="P345" s="10"/>
      <c r="Q345" s="10"/>
      <c r="R345" s="10"/>
    </row>
    <row r="346" spans="9:18" x14ac:dyDescent="0.3">
      <c r="I346" s="7"/>
      <c r="J346" s="9"/>
      <c r="K346" s="9"/>
      <c r="L346" s="9"/>
      <c r="M346" s="9"/>
      <c r="N346" s="30"/>
      <c r="O346" s="10"/>
      <c r="P346" s="10"/>
      <c r="Q346" s="10"/>
      <c r="R346" s="10"/>
    </row>
    <row r="347" spans="9:18" x14ac:dyDescent="0.3">
      <c r="I347" s="7"/>
      <c r="J347" s="9"/>
      <c r="K347" s="9"/>
      <c r="L347" s="9"/>
      <c r="M347" s="9"/>
      <c r="N347" s="30"/>
      <c r="O347" s="10"/>
      <c r="P347" s="10"/>
      <c r="Q347" s="10"/>
      <c r="R347" s="10"/>
    </row>
    <row r="348" spans="9:18" x14ac:dyDescent="0.3">
      <c r="I348" s="7"/>
      <c r="J348" s="9"/>
      <c r="K348" s="9"/>
      <c r="L348" s="9"/>
      <c r="M348" s="9"/>
      <c r="N348" s="30"/>
      <c r="O348" s="10"/>
      <c r="P348" s="10"/>
      <c r="Q348" s="10"/>
      <c r="R348" s="10"/>
    </row>
    <row r="349" spans="9:18" x14ac:dyDescent="0.3">
      <c r="I349" s="7"/>
      <c r="J349" s="9"/>
      <c r="K349" s="9"/>
      <c r="L349" s="9"/>
      <c r="M349" s="9"/>
      <c r="N349" s="30"/>
      <c r="O349" s="10"/>
      <c r="P349" s="10"/>
      <c r="Q349" s="10"/>
      <c r="R349" s="10"/>
    </row>
    <row r="350" spans="9:18" x14ac:dyDescent="0.3">
      <c r="I350" s="7"/>
      <c r="J350" s="9"/>
      <c r="K350" s="9"/>
      <c r="L350" s="9"/>
      <c r="M350" s="9"/>
      <c r="N350" s="30"/>
      <c r="O350" s="10"/>
      <c r="P350" s="10"/>
      <c r="Q350" s="10"/>
      <c r="R350" s="10"/>
    </row>
    <row r="351" spans="9:18" x14ac:dyDescent="0.3">
      <c r="I351" s="7"/>
      <c r="J351" s="9"/>
      <c r="K351" s="9"/>
      <c r="L351" s="9"/>
      <c r="M351" s="9"/>
      <c r="N351" s="30"/>
      <c r="O351" s="10"/>
      <c r="P351" s="10"/>
      <c r="Q351" s="10"/>
      <c r="R351" s="10"/>
    </row>
    <row r="352" spans="9:18" x14ac:dyDescent="0.3">
      <c r="I352" s="7"/>
      <c r="J352" s="9"/>
      <c r="K352" s="9"/>
      <c r="L352" s="9"/>
      <c r="M352" s="9"/>
      <c r="N352" s="30"/>
      <c r="O352" s="10"/>
      <c r="P352" s="10"/>
      <c r="Q352" s="10"/>
      <c r="R352" s="10"/>
    </row>
    <row r="353" spans="9:18" x14ac:dyDescent="0.3">
      <c r="I353" s="7"/>
      <c r="J353" s="9"/>
      <c r="K353" s="9"/>
      <c r="L353" s="9"/>
      <c r="M353" s="9"/>
      <c r="N353" s="30"/>
      <c r="O353" s="10"/>
      <c r="P353" s="10"/>
      <c r="Q353" s="10"/>
      <c r="R353" s="10"/>
    </row>
    <row r="354" spans="9:18" x14ac:dyDescent="0.3">
      <c r="I354" s="7"/>
      <c r="J354" s="9"/>
      <c r="K354" s="9"/>
      <c r="L354" s="9"/>
      <c r="M354" s="9"/>
      <c r="N354" s="30"/>
      <c r="O354" s="10"/>
      <c r="P354" s="10"/>
      <c r="Q354" s="10"/>
      <c r="R354" s="10"/>
    </row>
    <row r="355" spans="9:18" x14ac:dyDescent="0.3">
      <c r="I355" s="7"/>
      <c r="J355" s="9"/>
      <c r="K355" s="9"/>
      <c r="L355" s="9"/>
      <c r="M355" s="9"/>
      <c r="N355" s="30"/>
      <c r="O355" s="10"/>
      <c r="P355" s="10"/>
      <c r="Q355" s="10"/>
      <c r="R355" s="10"/>
    </row>
    <row r="356" spans="9:18" x14ac:dyDescent="0.3">
      <c r="I356" s="7"/>
      <c r="J356" s="9"/>
      <c r="K356" s="9"/>
      <c r="L356" s="9"/>
      <c r="M356" s="9"/>
      <c r="N356" s="30"/>
      <c r="O356" s="10"/>
      <c r="P356" s="10"/>
      <c r="Q356" s="10"/>
      <c r="R356" s="10"/>
    </row>
    <row r="357" spans="9:18" x14ac:dyDescent="0.3">
      <c r="I357" s="7"/>
      <c r="J357" s="9"/>
      <c r="K357" s="9"/>
      <c r="L357" s="9"/>
      <c r="M357" s="9"/>
      <c r="N357" s="30"/>
      <c r="O357" s="10"/>
      <c r="P357" s="10"/>
      <c r="Q357" s="10"/>
      <c r="R357" s="10"/>
    </row>
    <row r="358" spans="9:18" x14ac:dyDescent="0.3">
      <c r="I358" s="7"/>
      <c r="J358" s="9"/>
      <c r="K358" s="9"/>
      <c r="L358" s="9"/>
      <c r="M358" s="9"/>
      <c r="N358" s="30"/>
      <c r="O358" s="10"/>
      <c r="P358" s="10"/>
      <c r="Q358" s="10"/>
      <c r="R358" s="10"/>
    </row>
    <row r="359" spans="9:18" x14ac:dyDescent="0.3">
      <c r="I359" s="7"/>
      <c r="J359" s="9"/>
      <c r="K359" s="9"/>
      <c r="L359" s="9"/>
      <c r="M359" s="9"/>
      <c r="N359" s="30"/>
      <c r="O359" s="10"/>
      <c r="P359" s="10"/>
      <c r="Q359" s="10"/>
      <c r="R359" s="10"/>
    </row>
    <row r="360" spans="9:18" x14ac:dyDescent="0.3">
      <c r="I360" s="7"/>
      <c r="J360" s="9"/>
      <c r="K360" s="9"/>
      <c r="L360" s="9"/>
      <c r="M360" s="9"/>
      <c r="N360" s="30"/>
      <c r="O360" s="10"/>
      <c r="P360" s="10"/>
      <c r="Q360" s="10"/>
      <c r="R360" s="10"/>
    </row>
    <row r="361" spans="9:18" x14ac:dyDescent="0.3">
      <c r="I361" s="7"/>
      <c r="J361" s="9"/>
      <c r="K361" s="9"/>
      <c r="L361" s="9"/>
      <c r="M361" s="9"/>
      <c r="N361" s="30"/>
      <c r="O361" s="10"/>
      <c r="P361" s="10"/>
      <c r="Q361" s="10"/>
      <c r="R361" s="10"/>
    </row>
    <row r="362" spans="9:18" x14ac:dyDescent="0.3">
      <c r="I362" s="7"/>
      <c r="J362" s="9"/>
      <c r="K362" s="9"/>
      <c r="L362" s="9"/>
      <c r="M362" s="9"/>
      <c r="N362" s="30"/>
      <c r="O362" s="10"/>
      <c r="P362" s="10"/>
      <c r="Q362" s="10"/>
      <c r="R362" s="10"/>
    </row>
    <row r="363" spans="9:18" x14ac:dyDescent="0.3">
      <c r="I363" s="7"/>
      <c r="J363" s="9"/>
      <c r="K363" s="9"/>
      <c r="L363" s="9"/>
      <c r="M363" s="9"/>
      <c r="N363" s="30"/>
      <c r="O363" s="10"/>
      <c r="P363" s="10"/>
      <c r="Q363" s="10"/>
      <c r="R363" s="10"/>
    </row>
    <row r="364" spans="9:18" x14ac:dyDescent="0.3">
      <c r="I364" s="7"/>
      <c r="J364" s="9"/>
      <c r="K364" s="9"/>
      <c r="L364" s="9"/>
      <c r="M364" s="9"/>
      <c r="N364" s="30"/>
      <c r="O364" s="10"/>
      <c r="P364" s="10"/>
      <c r="Q364" s="10"/>
      <c r="R364" s="10"/>
    </row>
    <row r="365" spans="9:18" x14ac:dyDescent="0.3">
      <c r="I365" s="7"/>
      <c r="J365" s="9"/>
      <c r="K365" s="9"/>
      <c r="L365" s="9"/>
      <c r="M365" s="9"/>
      <c r="N365" s="30"/>
      <c r="O365" s="10"/>
      <c r="P365" s="10"/>
      <c r="Q365" s="10"/>
      <c r="R365" s="10"/>
    </row>
    <row r="366" spans="9:18" x14ac:dyDescent="0.3">
      <c r="I366" s="7"/>
      <c r="J366" s="9"/>
      <c r="K366" s="9"/>
      <c r="L366" s="9"/>
      <c r="M366" s="9"/>
      <c r="N366" s="30"/>
      <c r="O366" s="10"/>
      <c r="P366" s="10"/>
      <c r="Q366" s="10"/>
      <c r="R366" s="10"/>
    </row>
    <row r="367" spans="9:18" x14ac:dyDescent="0.3">
      <c r="I367" s="7"/>
      <c r="J367" s="9"/>
      <c r="K367" s="9"/>
      <c r="L367" s="9"/>
      <c r="M367" s="9"/>
      <c r="N367" s="30"/>
      <c r="O367" s="10"/>
      <c r="P367" s="10"/>
      <c r="Q367" s="10"/>
      <c r="R367" s="10"/>
    </row>
    <row r="368" spans="9:18" x14ac:dyDescent="0.3">
      <c r="I368" s="7"/>
      <c r="J368" s="9"/>
      <c r="K368" s="9"/>
      <c r="L368" s="9"/>
      <c r="M368" s="9"/>
      <c r="N368" s="30"/>
      <c r="O368" s="10"/>
      <c r="P368" s="10"/>
      <c r="Q368" s="10"/>
      <c r="R368" s="10"/>
    </row>
    <row r="369" spans="9:18" x14ac:dyDescent="0.3">
      <c r="I369" s="7"/>
      <c r="J369" s="9"/>
      <c r="K369" s="9"/>
      <c r="L369" s="9"/>
      <c r="M369" s="9"/>
      <c r="N369" s="30"/>
      <c r="O369" s="10"/>
      <c r="P369" s="10"/>
      <c r="Q369" s="10"/>
      <c r="R369" s="10"/>
    </row>
    <row r="370" spans="9:18" x14ac:dyDescent="0.3">
      <c r="I370" s="7"/>
      <c r="J370" s="9"/>
      <c r="K370" s="9"/>
      <c r="L370" s="9"/>
      <c r="M370" s="9"/>
      <c r="N370" s="30"/>
      <c r="O370" s="10"/>
      <c r="P370" s="10"/>
      <c r="Q370" s="10"/>
      <c r="R370" s="10"/>
    </row>
    <row r="371" spans="9:18" x14ac:dyDescent="0.3">
      <c r="I371" s="7"/>
      <c r="J371" s="9"/>
      <c r="K371" s="9"/>
      <c r="L371" s="9"/>
      <c r="M371" s="9"/>
      <c r="N371" s="30"/>
      <c r="O371" s="10"/>
      <c r="P371" s="10"/>
      <c r="Q371" s="10"/>
      <c r="R371" s="10"/>
    </row>
    <row r="372" spans="9:18" x14ac:dyDescent="0.3">
      <c r="I372" s="7"/>
      <c r="J372" s="9"/>
      <c r="K372" s="9"/>
      <c r="L372" s="9"/>
      <c r="M372" s="9"/>
      <c r="N372" s="30"/>
      <c r="O372" s="10"/>
      <c r="P372" s="10"/>
      <c r="Q372" s="10"/>
      <c r="R372" s="10"/>
    </row>
    <row r="373" spans="9:18" x14ac:dyDescent="0.3">
      <c r="I373" s="7"/>
      <c r="J373" s="9"/>
      <c r="K373" s="9"/>
      <c r="L373" s="9"/>
      <c r="M373" s="9"/>
      <c r="N373" s="30"/>
      <c r="O373" s="10"/>
      <c r="P373" s="10"/>
      <c r="Q373" s="10"/>
      <c r="R373" s="10"/>
    </row>
    <row r="374" spans="9:18" x14ac:dyDescent="0.3">
      <c r="I374" s="7"/>
      <c r="J374" s="9"/>
      <c r="K374" s="9"/>
      <c r="L374" s="9"/>
      <c r="M374" s="9"/>
      <c r="N374" s="30"/>
      <c r="O374" s="10"/>
      <c r="P374" s="10"/>
      <c r="Q374" s="10"/>
      <c r="R374" s="10"/>
    </row>
    <row r="375" spans="9:18" x14ac:dyDescent="0.3">
      <c r="I375" s="7"/>
      <c r="J375" s="9"/>
      <c r="K375" s="9"/>
      <c r="L375" s="9"/>
      <c r="M375" s="9"/>
      <c r="N375" s="30"/>
      <c r="O375" s="10"/>
      <c r="P375" s="10"/>
      <c r="Q375" s="10"/>
      <c r="R375" s="10"/>
    </row>
    <row r="376" spans="9:18" x14ac:dyDescent="0.3">
      <c r="I376" s="7"/>
      <c r="J376" s="9"/>
      <c r="K376" s="9"/>
      <c r="L376" s="9"/>
      <c r="M376" s="9"/>
      <c r="N376" s="30"/>
      <c r="O376" s="10"/>
      <c r="P376" s="10"/>
      <c r="Q376" s="10"/>
      <c r="R376" s="10"/>
    </row>
    <row r="377" spans="9:18" x14ac:dyDescent="0.3">
      <c r="I377" s="7"/>
      <c r="J377" s="9"/>
      <c r="K377" s="9"/>
      <c r="L377" s="9"/>
      <c r="M377" s="9"/>
      <c r="N377" s="30"/>
      <c r="O377" s="10"/>
      <c r="P377" s="10"/>
      <c r="Q377" s="10"/>
      <c r="R377" s="10"/>
    </row>
    <row r="378" spans="9:18" x14ac:dyDescent="0.3">
      <c r="I378" s="7"/>
      <c r="J378" s="9"/>
      <c r="K378" s="9"/>
      <c r="L378" s="9"/>
      <c r="M378" s="9"/>
      <c r="N378" s="30"/>
      <c r="O378" s="10"/>
      <c r="P378" s="10"/>
      <c r="Q378" s="10"/>
      <c r="R378" s="10"/>
    </row>
    <row r="379" spans="9:18" x14ac:dyDescent="0.3">
      <c r="I379" s="7"/>
      <c r="J379" s="9"/>
      <c r="K379" s="9"/>
      <c r="L379" s="9"/>
      <c r="M379" s="9"/>
      <c r="N379" s="4"/>
    </row>
    <row r="380" spans="9:18" x14ac:dyDescent="0.3">
      <c r="I380" s="7"/>
      <c r="J380" s="9"/>
      <c r="K380" s="9"/>
      <c r="L380" s="9"/>
      <c r="M380" s="9"/>
      <c r="N380" s="4"/>
    </row>
    <row r="381" spans="9:18" x14ac:dyDescent="0.3">
      <c r="I381" s="7"/>
      <c r="J381" s="9"/>
      <c r="K381" s="9"/>
      <c r="L381" s="9"/>
      <c r="M381" s="9"/>
      <c r="N381" s="4"/>
    </row>
    <row r="382" spans="9:18" x14ac:dyDescent="0.3">
      <c r="I382" s="7"/>
      <c r="J382" s="9"/>
      <c r="K382" s="9"/>
      <c r="L382" s="9"/>
      <c r="M382" s="9"/>
      <c r="N382" s="4"/>
    </row>
    <row r="383" spans="9:18" x14ac:dyDescent="0.3">
      <c r="I383" s="7"/>
      <c r="J383" s="9"/>
      <c r="K383" s="9"/>
      <c r="L383" s="9"/>
      <c r="M383" s="9"/>
      <c r="N383" s="4"/>
    </row>
    <row r="384" spans="9:18" x14ac:dyDescent="0.3">
      <c r="I384" s="7"/>
      <c r="J384" s="9"/>
      <c r="K384" s="9"/>
      <c r="L384" s="9"/>
      <c r="M384" s="9"/>
      <c r="N384" s="4"/>
    </row>
    <row r="385" spans="9:14" x14ac:dyDescent="0.3">
      <c r="I385" s="7"/>
      <c r="J385" s="9"/>
      <c r="K385" s="9"/>
      <c r="L385" s="9"/>
      <c r="M385" s="9"/>
      <c r="N385" s="4"/>
    </row>
    <row r="386" spans="9:14" x14ac:dyDescent="0.3">
      <c r="I386" s="7"/>
      <c r="J386" s="9"/>
      <c r="K386" s="9"/>
      <c r="L386" s="9"/>
      <c r="M386" s="9"/>
      <c r="N386" s="4"/>
    </row>
    <row r="387" spans="9:14" x14ac:dyDescent="0.3">
      <c r="I387" s="7"/>
      <c r="J387" s="9"/>
      <c r="K387" s="9"/>
      <c r="L387" s="9"/>
      <c r="M387" s="9"/>
      <c r="N387" s="4"/>
    </row>
    <row r="388" spans="9:14" x14ac:dyDescent="0.3">
      <c r="I388" s="7"/>
      <c r="J388" s="9"/>
      <c r="K388" s="9"/>
      <c r="L388" s="9"/>
      <c r="M388" s="9"/>
      <c r="N388" s="4"/>
    </row>
    <row r="389" spans="9:14" x14ac:dyDescent="0.3">
      <c r="I389" s="7"/>
      <c r="J389" s="9"/>
      <c r="K389" s="9"/>
      <c r="L389" s="9"/>
      <c r="M389" s="9"/>
      <c r="N389" s="4"/>
    </row>
    <row r="390" spans="9:14" x14ac:dyDescent="0.3">
      <c r="I390" s="7"/>
      <c r="J390" s="9"/>
      <c r="K390" s="9"/>
      <c r="L390" s="9"/>
      <c r="M390" s="9"/>
      <c r="N390" s="4"/>
    </row>
    <row r="391" spans="9:14" x14ac:dyDescent="0.3">
      <c r="I391" s="7"/>
      <c r="J391" s="9"/>
      <c r="K391" s="9"/>
      <c r="L391" s="9"/>
      <c r="M391" s="9"/>
      <c r="N391" s="4"/>
    </row>
    <row r="392" spans="9:14" x14ac:dyDescent="0.3">
      <c r="I392" s="7"/>
      <c r="J392" s="9"/>
      <c r="K392" s="9"/>
      <c r="L392" s="9"/>
      <c r="M392" s="9"/>
      <c r="N392" s="4"/>
    </row>
    <row r="393" spans="9:14" x14ac:dyDescent="0.3">
      <c r="I393" s="7"/>
      <c r="J393" s="9"/>
      <c r="K393" s="9"/>
      <c r="L393" s="9"/>
      <c r="M393" s="9"/>
      <c r="N393" s="4"/>
    </row>
    <row r="394" spans="9:14" x14ac:dyDescent="0.3">
      <c r="I394" s="7"/>
      <c r="J394" s="9"/>
      <c r="K394" s="9"/>
      <c r="L394" s="9"/>
      <c r="M394" s="9"/>
      <c r="N394" s="4"/>
    </row>
    <row r="395" spans="9:14" x14ac:dyDescent="0.3">
      <c r="I395" s="7"/>
      <c r="J395" s="9"/>
      <c r="K395" s="9"/>
      <c r="L395" s="9"/>
      <c r="M395" s="9"/>
      <c r="N395" s="4"/>
    </row>
    <row r="396" spans="9:14" x14ac:dyDescent="0.3">
      <c r="I396" s="7"/>
      <c r="J396" s="9"/>
      <c r="K396" s="9"/>
      <c r="L396" s="9"/>
      <c r="M396" s="9"/>
      <c r="N396" s="4"/>
    </row>
    <row r="397" spans="9:14" x14ac:dyDescent="0.3">
      <c r="I397" s="7"/>
      <c r="J397" s="9"/>
      <c r="K397" s="9"/>
      <c r="L397" s="9"/>
      <c r="M397" s="9"/>
      <c r="N397" s="4"/>
    </row>
    <row r="398" spans="9:14" x14ac:dyDescent="0.3">
      <c r="I398" s="7"/>
      <c r="J398" s="9"/>
      <c r="K398" s="9"/>
      <c r="L398" s="9"/>
      <c r="M398" s="9"/>
      <c r="N398" s="4"/>
    </row>
    <row r="399" spans="9:14" x14ac:dyDescent="0.3">
      <c r="I399" s="7"/>
      <c r="J399" s="9"/>
      <c r="K399" s="9"/>
      <c r="L399" s="9"/>
      <c r="M399" s="9"/>
      <c r="N399" s="4"/>
    </row>
    <row r="400" spans="9:14" x14ac:dyDescent="0.3">
      <c r="I400" s="7"/>
      <c r="J400" s="9"/>
      <c r="K400" s="9"/>
      <c r="L400" s="9"/>
      <c r="M400" s="9"/>
      <c r="N400" s="4"/>
    </row>
    <row r="401" spans="9:14" x14ac:dyDescent="0.3">
      <c r="I401" s="7"/>
      <c r="J401" s="9"/>
      <c r="K401" s="9"/>
      <c r="L401" s="9"/>
      <c r="M401" s="9"/>
      <c r="N401" s="4"/>
    </row>
    <row r="402" spans="9:14" x14ac:dyDescent="0.3">
      <c r="I402" s="7"/>
      <c r="J402" s="9"/>
      <c r="K402" s="9"/>
      <c r="L402" s="9"/>
      <c r="M402" s="9"/>
      <c r="N402" s="4"/>
    </row>
    <row r="403" spans="9:14" x14ac:dyDescent="0.3">
      <c r="I403" s="7"/>
      <c r="J403" s="9"/>
      <c r="K403" s="9"/>
      <c r="L403" s="9"/>
      <c r="M403" s="9"/>
      <c r="N403" s="4"/>
    </row>
    <row r="404" spans="9:14" x14ac:dyDescent="0.3">
      <c r="I404" s="7"/>
      <c r="J404" s="9"/>
      <c r="K404" s="9"/>
      <c r="L404" s="9"/>
      <c r="M404" s="9"/>
      <c r="N404" s="4"/>
    </row>
    <row r="405" spans="9:14" x14ac:dyDescent="0.3">
      <c r="I405" s="7"/>
      <c r="J405" s="9"/>
      <c r="K405" s="9"/>
      <c r="L405" s="9"/>
      <c r="M405" s="9"/>
      <c r="N405" s="4"/>
    </row>
    <row r="406" spans="9:14" x14ac:dyDescent="0.3">
      <c r="I406" s="7"/>
      <c r="J406" s="9"/>
      <c r="K406" s="9"/>
      <c r="L406" s="9"/>
      <c r="M406" s="9"/>
      <c r="N406" s="4"/>
    </row>
    <row r="407" spans="9:14" x14ac:dyDescent="0.3">
      <c r="I407" s="7"/>
      <c r="J407" s="9"/>
      <c r="K407" s="9"/>
      <c r="L407" s="9"/>
      <c r="M407" s="9"/>
      <c r="N407" s="4"/>
    </row>
    <row r="408" spans="9:14" x14ac:dyDescent="0.3">
      <c r="I408" s="7"/>
      <c r="J408" s="9"/>
      <c r="K408" s="9"/>
      <c r="L408" s="9"/>
      <c r="M408" s="9"/>
      <c r="N408" s="4"/>
    </row>
    <row r="409" spans="9:14" x14ac:dyDescent="0.3">
      <c r="I409" s="7"/>
      <c r="J409" s="9"/>
      <c r="K409" s="9"/>
      <c r="L409" s="9"/>
      <c r="M409" s="9"/>
      <c r="N409" s="4"/>
    </row>
    <row r="410" spans="9:14" x14ac:dyDescent="0.3">
      <c r="I410" s="7"/>
      <c r="J410" s="9"/>
      <c r="K410" s="9"/>
      <c r="L410" s="9"/>
      <c r="M410" s="9"/>
      <c r="N410" s="4"/>
    </row>
    <row r="411" spans="9:14" x14ac:dyDescent="0.3">
      <c r="I411" s="7"/>
      <c r="J411" s="9"/>
      <c r="K411" s="9"/>
      <c r="L411" s="9"/>
      <c r="M411" s="9"/>
      <c r="N411" s="4"/>
    </row>
    <row r="412" spans="9:14" x14ac:dyDescent="0.3">
      <c r="I412" s="7"/>
      <c r="J412" s="9"/>
      <c r="K412" s="9"/>
      <c r="L412" s="9"/>
      <c r="M412" s="9"/>
      <c r="N412" s="4"/>
    </row>
    <row r="413" spans="9:14" x14ac:dyDescent="0.3">
      <c r="I413" s="7"/>
      <c r="J413" s="9"/>
      <c r="K413" s="9"/>
      <c r="L413" s="9"/>
      <c r="M413" s="9"/>
      <c r="N413" s="4"/>
    </row>
    <row r="414" spans="9:14" x14ac:dyDescent="0.3">
      <c r="I414" s="7"/>
      <c r="J414" s="9"/>
      <c r="K414" s="9"/>
      <c r="L414" s="9"/>
      <c r="M414" s="9"/>
      <c r="N414" s="4"/>
    </row>
    <row r="415" spans="9:14" x14ac:dyDescent="0.3">
      <c r="I415" s="7"/>
      <c r="J415" s="9"/>
      <c r="K415" s="9"/>
      <c r="L415" s="9"/>
      <c r="M415" s="9"/>
      <c r="N415" s="4"/>
    </row>
    <row r="416" spans="9:14" x14ac:dyDescent="0.3">
      <c r="I416" s="7"/>
      <c r="J416" s="9"/>
      <c r="K416" s="9"/>
      <c r="L416" s="9"/>
      <c r="M416" s="9"/>
      <c r="N416" s="4"/>
    </row>
    <row r="417" spans="9:14" x14ac:dyDescent="0.3">
      <c r="I417" s="7"/>
      <c r="J417" s="9"/>
      <c r="K417" s="9"/>
      <c r="L417" s="9"/>
      <c r="M417" s="9"/>
      <c r="N417" s="4"/>
    </row>
    <row r="418" spans="9:14" x14ac:dyDescent="0.3">
      <c r="I418" s="7"/>
      <c r="J418" s="9"/>
      <c r="K418" s="9"/>
      <c r="L418" s="9"/>
      <c r="M418" s="9"/>
      <c r="N418" s="4"/>
    </row>
    <row r="419" spans="9:14" x14ac:dyDescent="0.3">
      <c r="I419" s="7"/>
      <c r="J419" s="9"/>
      <c r="K419" s="9"/>
      <c r="L419" s="9"/>
      <c r="M419" s="9"/>
      <c r="N419" s="4"/>
    </row>
    <row r="420" spans="9:14" x14ac:dyDescent="0.3">
      <c r="I420" s="7"/>
      <c r="J420" s="9"/>
      <c r="K420" s="9"/>
      <c r="L420" s="9"/>
      <c r="M420" s="9"/>
      <c r="N420" s="4"/>
    </row>
    <row r="421" spans="9:14" x14ac:dyDescent="0.3">
      <c r="I421" s="7"/>
      <c r="J421" s="9"/>
      <c r="K421" s="9"/>
      <c r="L421" s="9"/>
      <c r="M421" s="9"/>
      <c r="N421" s="4"/>
    </row>
    <row r="422" spans="9:14" x14ac:dyDescent="0.3">
      <c r="I422" s="7"/>
      <c r="J422" s="9"/>
      <c r="K422" s="9"/>
      <c r="L422" s="9"/>
      <c r="M422" s="9"/>
      <c r="N422" s="4"/>
    </row>
    <row r="423" spans="9:14" x14ac:dyDescent="0.3">
      <c r="I423" s="7"/>
      <c r="J423" s="9"/>
      <c r="K423" s="9"/>
      <c r="L423" s="9"/>
      <c r="M423" s="9"/>
      <c r="N423" s="4"/>
    </row>
    <row r="424" spans="9:14" x14ac:dyDescent="0.3">
      <c r="I424" s="7"/>
      <c r="J424" s="9"/>
      <c r="K424" s="9"/>
      <c r="L424" s="9"/>
      <c r="M424" s="9"/>
      <c r="N424" s="4"/>
    </row>
    <row r="425" spans="9:14" x14ac:dyDescent="0.3">
      <c r="I425" s="7"/>
      <c r="J425" s="9"/>
      <c r="K425" s="9"/>
      <c r="L425" s="9"/>
      <c r="M425" s="9"/>
      <c r="N425" s="4"/>
    </row>
    <row r="426" spans="9:14" x14ac:dyDescent="0.3">
      <c r="I426" s="7"/>
      <c r="J426" s="9"/>
      <c r="K426" s="9"/>
      <c r="L426" s="9"/>
      <c r="M426" s="9"/>
      <c r="N426" s="4"/>
    </row>
    <row r="427" spans="9:14" x14ac:dyDescent="0.3">
      <c r="I427" s="7"/>
      <c r="J427" s="9"/>
      <c r="K427" s="9"/>
      <c r="L427" s="9"/>
      <c r="M427" s="9"/>
      <c r="N427" s="4"/>
    </row>
    <row r="428" spans="9:14" x14ac:dyDescent="0.3">
      <c r="I428" s="7"/>
      <c r="J428" s="9"/>
      <c r="K428" s="9"/>
      <c r="L428" s="9"/>
      <c r="M428" s="9"/>
      <c r="N428" s="4"/>
    </row>
    <row r="429" spans="9:14" x14ac:dyDescent="0.3">
      <c r="I429" s="7"/>
      <c r="J429" s="9"/>
      <c r="K429" s="9"/>
      <c r="L429" s="9"/>
      <c r="M429" s="9"/>
      <c r="N429" s="4"/>
    </row>
    <row r="430" spans="9:14" x14ac:dyDescent="0.3">
      <c r="I430" s="7"/>
      <c r="J430" s="9"/>
      <c r="K430" s="9"/>
      <c r="L430" s="9"/>
      <c r="M430" s="9"/>
      <c r="N430" s="4"/>
    </row>
    <row r="431" spans="9:14" x14ac:dyDescent="0.3">
      <c r="I431" s="7"/>
      <c r="J431" s="9"/>
      <c r="K431" s="9"/>
      <c r="L431" s="9"/>
      <c r="M431" s="9"/>
      <c r="N431" s="4"/>
    </row>
    <row r="432" spans="9:14" x14ac:dyDescent="0.3">
      <c r="I432" s="7"/>
      <c r="J432" s="9"/>
      <c r="K432" s="9"/>
      <c r="L432" s="9"/>
      <c r="M432" s="9"/>
      <c r="N432" s="4"/>
    </row>
    <row r="433" spans="9:14" x14ac:dyDescent="0.3">
      <c r="I433" s="7"/>
      <c r="J433" s="9"/>
      <c r="K433" s="9"/>
      <c r="L433" s="9"/>
      <c r="M433" s="9"/>
      <c r="N433" s="4"/>
    </row>
    <row r="434" spans="9:14" x14ac:dyDescent="0.3">
      <c r="I434" s="7"/>
      <c r="J434" s="9"/>
      <c r="K434" s="9"/>
      <c r="L434" s="9"/>
      <c r="M434" s="9"/>
      <c r="N434" s="4"/>
    </row>
    <row r="435" spans="9:14" x14ac:dyDescent="0.3">
      <c r="I435" s="7"/>
      <c r="J435" s="9"/>
      <c r="K435" s="9"/>
      <c r="L435" s="9"/>
      <c r="M435" s="9"/>
      <c r="N435" s="4"/>
    </row>
    <row r="436" spans="9:14" x14ac:dyDescent="0.3">
      <c r="I436" s="7"/>
      <c r="J436" s="9"/>
      <c r="K436" s="9"/>
      <c r="L436" s="9"/>
      <c r="M436" s="9"/>
      <c r="N436" s="4"/>
    </row>
    <row r="437" spans="9:14" x14ac:dyDescent="0.3">
      <c r="I437" s="7"/>
      <c r="J437" s="9"/>
      <c r="K437" s="9"/>
      <c r="L437" s="9"/>
      <c r="M437" s="9"/>
      <c r="N437" s="4"/>
    </row>
    <row r="438" spans="9:14" x14ac:dyDescent="0.3">
      <c r="I438" s="7"/>
      <c r="J438" s="9"/>
      <c r="K438" s="9"/>
      <c r="L438" s="9"/>
      <c r="M438" s="9"/>
      <c r="N438" s="4"/>
    </row>
    <row r="439" spans="9:14" x14ac:dyDescent="0.3">
      <c r="I439" s="7"/>
      <c r="J439" s="9"/>
      <c r="K439" s="9"/>
      <c r="L439" s="9"/>
      <c r="M439" s="9"/>
      <c r="N439" s="4"/>
    </row>
    <row r="440" spans="9:14" x14ac:dyDescent="0.3">
      <c r="I440" s="7"/>
      <c r="J440" s="9"/>
      <c r="K440" s="9"/>
      <c r="L440" s="9"/>
      <c r="M440" s="9"/>
      <c r="N440" s="4"/>
    </row>
    <row r="441" spans="9:14" x14ac:dyDescent="0.3">
      <c r="I441" s="7"/>
      <c r="J441" s="9"/>
      <c r="K441" s="9"/>
      <c r="L441" s="9"/>
      <c r="M441" s="9"/>
      <c r="N441" s="4"/>
    </row>
    <row r="442" spans="9:14" x14ac:dyDescent="0.3">
      <c r="I442" s="7"/>
      <c r="J442" s="9"/>
      <c r="K442" s="9"/>
      <c r="L442" s="9"/>
      <c r="M442" s="9"/>
      <c r="N442" s="4"/>
    </row>
    <row r="443" spans="9:14" x14ac:dyDescent="0.3">
      <c r="I443" s="7"/>
      <c r="J443" s="9"/>
      <c r="K443" s="9"/>
      <c r="L443" s="9"/>
      <c r="M443" s="9"/>
      <c r="N443" s="4"/>
    </row>
    <row r="444" spans="9:14" x14ac:dyDescent="0.3">
      <c r="I444" s="7"/>
      <c r="J444" s="9"/>
      <c r="K444" s="9"/>
      <c r="L444" s="9"/>
      <c r="M444" s="9"/>
      <c r="N444" s="4"/>
    </row>
    <row r="445" spans="9:14" x14ac:dyDescent="0.3">
      <c r="I445" s="7"/>
      <c r="J445" s="9"/>
      <c r="K445" s="9"/>
      <c r="L445" s="9"/>
      <c r="M445" s="9"/>
      <c r="N445" s="4"/>
    </row>
    <row r="446" spans="9:14" x14ac:dyDescent="0.3">
      <c r="I446" s="7"/>
      <c r="J446" s="9"/>
      <c r="K446" s="9"/>
      <c r="L446" s="9"/>
      <c r="M446" s="9"/>
      <c r="N446" s="4"/>
    </row>
    <row r="447" spans="9:14" x14ac:dyDescent="0.3">
      <c r="I447" s="7"/>
      <c r="J447" s="9"/>
      <c r="K447" s="9"/>
      <c r="L447" s="9"/>
      <c r="M447" s="9"/>
      <c r="N447" s="4"/>
    </row>
    <row r="448" spans="9:14" x14ac:dyDescent="0.3">
      <c r="I448" s="7"/>
      <c r="J448" s="9"/>
      <c r="K448" s="9"/>
      <c r="L448" s="9"/>
      <c r="M448" s="9"/>
      <c r="N448" s="4"/>
    </row>
    <row r="449" spans="9:14" x14ac:dyDescent="0.3">
      <c r="I449" s="7"/>
      <c r="J449" s="9"/>
      <c r="K449" s="9"/>
      <c r="L449" s="9"/>
      <c r="M449" s="9"/>
      <c r="N449" s="4"/>
    </row>
    <row r="450" spans="9:14" x14ac:dyDescent="0.3">
      <c r="I450" s="7"/>
      <c r="J450" s="9"/>
      <c r="K450" s="9"/>
      <c r="L450" s="9"/>
      <c r="M450" s="9"/>
      <c r="N450" s="4"/>
    </row>
    <row r="451" spans="9:14" x14ac:dyDescent="0.3">
      <c r="I451" s="7"/>
      <c r="J451" s="9"/>
      <c r="K451" s="9"/>
      <c r="L451" s="9"/>
      <c r="M451" s="9"/>
      <c r="N451" s="4"/>
    </row>
    <row r="452" spans="9:14" x14ac:dyDescent="0.3">
      <c r="I452" s="7"/>
      <c r="J452" s="9"/>
      <c r="K452" s="9"/>
      <c r="L452" s="9"/>
      <c r="M452" s="9"/>
      <c r="N452" s="4"/>
    </row>
    <row r="453" spans="9:14" x14ac:dyDescent="0.3">
      <c r="I453" s="7"/>
      <c r="J453" s="9"/>
      <c r="K453" s="9"/>
      <c r="L453" s="9"/>
      <c r="M453" s="9"/>
      <c r="N453" s="4"/>
    </row>
    <row r="454" spans="9:14" x14ac:dyDescent="0.3">
      <c r="I454" s="7"/>
      <c r="J454" s="9"/>
      <c r="K454" s="9"/>
      <c r="L454" s="9"/>
      <c r="M454" s="9"/>
      <c r="N454" s="4"/>
    </row>
    <row r="455" spans="9:14" x14ac:dyDescent="0.3">
      <c r="I455" s="7"/>
      <c r="J455" s="9"/>
      <c r="K455" s="9"/>
      <c r="L455" s="9"/>
      <c r="M455" s="9"/>
      <c r="N455" s="4"/>
    </row>
    <row r="456" spans="9:14" x14ac:dyDescent="0.3">
      <c r="I456" s="7"/>
      <c r="J456" s="9"/>
      <c r="K456" s="9"/>
      <c r="L456" s="9"/>
      <c r="M456" s="9"/>
      <c r="N456" s="4"/>
    </row>
    <row r="457" spans="9:14" x14ac:dyDescent="0.3">
      <c r="I457" s="7"/>
      <c r="J457" s="9"/>
      <c r="K457" s="9"/>
      <c r="L457" s="9"/>
      <c r="M457" s="9"/>
      <c r="N457" s="4"/>
    </row>
    <row r="458" spans="9:14" x14ac:dyDescent="0.3">
      <c r="I458" s="7"/>
      <c r="J458" s="9"/>
      <c r="K458" s="9"/>
      <c r="L458" s="9"/>
      <c r="M458" s="9"/>
      <c r="N458" s="4"/>
    </row>
    <row r="459" spans="9:14" x14ac:dyDescent="0.3">
      <c r="I459" s="7"/>
      <c r="J459" s="9"/>
      <c r="K459" s="9"/>
      <c r="L459" s="9"/>
      <c r="M459" s="9"/>
      <c r="N459" s="4"/>
    </row>
    <row r="460" spans="9:14" x14ac:dyDescent="0.3">
      <c r="I460" s="7"/>
      <c r="J460" s="9"/>
      <c r="K460" s="9"/>
      <c r="L460" s="9"/>
      <c r="M460" s="9"/>
      <c r="N460" s="4"/>
    </row>
    <row r="461" spans="9:14" x14ac:dyDescent="0.3">
      <c r="I461" s="7"/>
      <c r="J461" s="9"/>
      <c r="K461" s="9"/>
      <c r="L461" s="9"/>
      <c r="M461" s="9"/>
      <c r="N461" s="4"/>
    </row>
    <row r="462" spans="9:14" x14ac:dyDescent="0.3">
      <c r="I462" s="7"/>
      <c r="J462" s="9"/>
      <c r="K462" s="9"/>
      <c r="L462" s="9"/>
      <c r="M462" s="9"/>
      <c r="N462" s="4"/>
    </row>
    <row r="463" spans="9:14" x14ac:dyDescent="0.3">
      <c r="I463" s="7"/>
      <c r="J463" s="9"/>
      <c r="K463" s="9"/>
      <c r="L463" s="9"/>
      <c r="M463" s="9"/>
      <c r="N463" s="4"/>
    </row>
    <row r="464" spans="9:14" x14ac:dyDescent="0.3">
      <c r="I464" s="7"/>
      <c r="J464" s="9"/>
      <c r="K464" s="9"/>
      <c r="L464" s="9"/>
      <c r="M464" s="9"/>
      <c r="N464" s="4"/>
    </row>
    <row r="465" spans="9:14" x14ac:dyDescent="0.3">
      <c r="I465" s="7"/>
      <c r="J465" s="9"/>
      <c r="K465" s="9"/>
      <c r="L465" s="9"/>
      <c r="M465" s="9"/>
      <c r="N465" s="4"/>
    </row>
    <row r="466" spans="9:14" x14ac:dyDescent="0.3">
      <c r="I466" s="7"/>
      <c r="J466" s="9"/>
      <c r="K466" s="9"/>
      <c r="L466" s="9"/>
      <c r="M466" s="9"/>
      <c r="N466" s="4"/>
    </row>
    <row r="467" spans="9:14" x14ac:dyDescent="0.3">
      <c r="I467" s="7"/>
      <c r="J467" s="9"/>
      <c r="K467" s="9"/>
      <c r="L467" s="9"/>
      <c r="M467" s="9"/>
      <c r="N467" s="4"/>
    </row>
    <row r="468" spans="9:14" x14ac:dyDescent="0.3">
      <c r="I468" s="7"/>
      <c r="J468" s="9"/>
      <c r="K468" s="9"/>
      <c r="L468" s="9"/>
      <c r="M468" s="9"/>
      <c r="N468" s="4"/>
    </row>
    <row r="469" spans="9:14" x14ac:dyDescent="0.3">
      <c r="I469" s="7"/>
      <c r="J469" s="9"/>
      <c r="K469" s="9"/>
      <c r="L469" s="9"/>
      <c r="M469" s="9"/>
      <c r="N469" s="4"/>
    </row>
    <row r="470" spans="9:14" x14ac:dyDescent="0.3">
      <c r="I470" s="7"/>
      <c r="J470" s="9"/>
      <c r="K470" s="9"/>
      <c r="L470" s="9"/>
      <c r="M470" s="9"/>
      <c r="N470" s="4"/>
    </row>
    <row r="471" spans="9:14" x14ac:dyDescent="0.3">
      <c r="I471" s="7"/>
      <c r="J471" s="9"/>
      <c r="K471" s="9"/>
      <c r="L471" s="9"/>
      <c r="M471" s="9"/>
      <c r="N471" s="4"/>
    </row>
    <row r="472" spans="9:14" x14ac:dyDescent="0.3">
      <c r="I472" s="7"/>
      <c r="J472" s="9"/>
      <c r="K472" s="9"/>
      <c r="L472" s="9"/>
      <c r="M472" s="9"/>
      <c r="N472" s="4"/>
    </row>
    <row r="473" spans="9:14" x14ac:dyDescent="0.3">
      <c r="I473" s="7"/>
      <c r="J473" s="9"/>
      <c r="K473" s="9"/>
      <c r="L473" s="9"/>
      <c r="M473" s="9"/>
      <c r="N473" s="4"/>
    </row>
    <row r="474" spans="9:14" x14ac:dyDescent="0.3">
      <c r="I474" s="7"/>
      <c r="J474" s="9"/>
      <c r="K474" s="9"/>
      <c r="L474" s="9"/>
      <c r="M474" s="9"/>
      <c r="N474" s="4"/>
    </row>
    <row r="475" spans="9:14" x14ac:dyDescent="0.3">
      <c r="I475" s="7"/>
      <c r="J475" s="9"/>
      <c r="K475" s="9"/>
      <c r="L475" s="9"/>
      <c r="M475" s="9"/>
      <c r="N475" s="4"/>
    </row>
    <row r="476" spans="9:14" x14ac:dyDescent="0.3">
      <c r="I476" s="7"/>
      <c r="J476" s="9"/>
      <c r="K476" s="9"/>
      <c r="L476" s="9"/>
      <c r="M476" s="9"/>
      <c r="N476" s="4"/>
    </row>
    <row r="477" spans="9:14" x14ac:dyDescent="0.3">
      <c r="I477" s="7"/>
      <c r="J477" s="9"/>
      <c r="K477" s="9"/>
      <c r="L477" s="9"/>
      <c r="M477" s="9"/>
      <c r="N477" s="4"/>
    </row>
    <row r="478" spans="9:14" x14ac:dyDescent="0.3">
      <c r="I478" s="7"/>
      <c r="J478" s="9"/>
      <c r="K478" s="9"/>
      <c r="L478" s="9"/>
      <c r="M478" s="9"/>
      <c r="N478" s="4"/>
    </row>
    <row r="479" spans="9:14" x14ac:dyDescent="0.3">
      <c r="I479" s="7"/>
      <c r="J479" s="9"/>
      <c r="K479" s="9"/>
      <c r="L479" s="9"/>
      <c r="M479" s="9"/>
      <c r="N479" s="4"/>
    </row>
    <row r="480" spans="9:14" x14ac:dyDescent="0.3">
      <c r="I480" s="7"/>
      <c r="J480" s="9"/>
      <c r="K480" s="9"/>
      <c r="L480" s="9"/>
      <c r="M480" s="9"/>
      <c r="N480" s="4"/>
    </row>
    <row r="481" spans="9:14" x14ac:dyDescent="0.3">
      <c r="I481" s="7"/>
      <c r="J481" s="9"/>
      <c r="K481" s="9"/>
      <c r="L481" s="9"/>
      <c r="M481" s="9"/>
      <c r="N481" s="4"/>
    </row>
    <row r="482" spans="9:14" x14ac:dyDescent="0.3">
      <c r="I482" s="7"/>
      <c r="J482" s="9"/>
      <c r="K482" s="9"/>
      <c r="L482" s="9"/>
      <c r="M482" s="9"/>
      <c r="N482" s="4"/>
    </row>
    <row r="483" spans="9:14" x14ac:dyDescent="0.3">
      <c r="I483" s="7"/>
      <c r="J483" s="9"/>
      <c r="K483" s="9"/>
      <c r="L483" s="9"/>
      <c r="M483" s="9"/>
      <c r="N483" s="4"/>
    </row>
    <row r="484" spans="9:14" x14ac:dyDescent="0.3">
      <c r="I484" s="7"/>
      <c r="J484" s="9"/>
      <c r="K484" s="9"/>
      <c r="L484" s="9"/>
      <c r="M484" s="9"/>
      <c r="N484" s="4"/>
    </row>
    <row r="485" spans="9:14" x14ac:dyDescent="0.3">
      <c r="I485" s="7"/>
      <c r="J485" s="9"/>
      <c r="K485" s="9"/>
      <c r="L485" s="9"/>
      <c r="M485" s="9"/>
      <c r="N485" s="4"/>
    </row>
    <row r="486" spans="9:14" x14ac:dyDescent="0.3">
      <c r="I486" s="7"/>
      <c r="J486" s="9"/>
      <c r="K486" s="9"/>
      <c r="L486" s="9"/>
      <c r="M486" s="9"/>
      <c r="N486" s="4"/>
    </row>
    <row r="487" spans="9:14" x14ac:dyDescent="0.3">
      <c r="I487" s="7"/>
      <c r="J487" s="9"/>
      <c r="K487" s="9"/>
      <c r="L487" s="9"/>
      <c r="M487" s="9"/>
      <c r="N487" s="4"/>
    </row>
    <row r="488" spans="9:14" x14ac:dyDescent="0.3">
      <c r="I488" s="7"/>
      <c r="J488" s="9"/>
      <c r="K488" s="9"/>
      <c r="L488" s="9"/>
      <c r="M488" s="9"/>
      <c r="N488" s="4"/>
    </row>
    <row r="489" spans="9:14" x14ac:dyDescent="0.3">
      <c r="I489" s="7"/>
      <c r="J489" s="9"/>
      <c r="K489" s="9"/>
      <c r="L489" s="9"/>
      <c r="M489" s="9"/>
      <c r="N489" s="4"/>
    </row>
    <row r="490" spans="9:14" x14ac:dyDescent="0.3">
      <c r="I490" s="7"/>
      <c r="J490" s="9"/>
      <c r="K490" s="9"/>
      <c r="L490" s="9"/>
      <c r="M490" s="9"/>
      <c r="N490" s="4"/>
    </row>
    <row r="491" spans="9:14" x14ac:dyDescent="0.3">
      <c r="I491" s="7"/>
      <c r="J491" s="9"/>
      <c r="K491" s="9"/>
      <c r="L491" s="9"/>
      <c r="M491" s="9"/>
      <c r="N491" s="4"/>
    </row>
    <row r="492" spans="9:14" x14ac:dyDescent="0.3">
      <c r="I492" s="7"/>
      <c r="J492" s="9"/>
      <c r="K492" s="9"/>
      <c r="L492" s="9"/>
      <c r="M492" s="9"/>
      <c r="N492" s="4"/>
    </row>
    <row r="493" spans="9:14" x14ac:dyDescent="0.3">
      <c r="I493" s="7"/>
      <c r="J493" s="9"/>
      <c r="K493" s="9"/>
      <c r="L493" s="9"/>
      <c r="M493" s="9"/>
      <c r="N493" s="4"/>
    </row>
    <row r="494" spans="9:14" x14ac:dyDescent="0.3">
      <c r="I494" s="7"/>
      <c r="J494" s="9"/>
      <c r="K494" s="9"/>
      <c r="L494" s="9"/>
      <c r="M494" s="9"/>
      <c r="N494" s="4"/>
    </row>
    <row r="495" spans="9:14" x14ac:dyDescent="0.3">
      <c r="I495" s="7"/>
      <c r="J495" s="9"/>
      <c r="K495" s="9"/>
      <c r="L495" s="9"/>
      <c r="M495" s="9"/>
      <c r="N495" s="4"/>
    </row>
    <row r="496" spans="9:14" x14ac:dyDescent="0.3">
      <c r="I496" s="7"/>
      <c r="J496" s="9"/>
      <c r="K496" s="9"/>
      <c r="L496" s="9"/>
      <c r="M496" s="9"/>
      <c r="N496" s="4"/>
    </row>
    <row r="497" spans="9:14" x14ac:dyDescent="0.3">
      <c r="I497" s="7"/>
      <c r="J497" s="9"/>
      <c r="K497" s="9"/>
      <c r="L497" s="9"/>
      <c r="M497" s="9"/>
      <c r="N497" s="4"/>
    </row>
    <row r="498" spans="9:14" x14ac:dyDescent="0.3">
      <c r="I498" s="7"/>
      <c r="J498" s="9"/>
      <c r="K498" s="9"/>
      <c r="L498" s="9"/>
      <c r="M498" s="9"/>
      <c r="N498" s="4"/>
    </row>
    <row r="499" spans="9:14" x14ac:dyDescent="0.3">
      <c r="I499" s="7"/>
      <c r="J499" s="9"/>
      <c r="K499" s="9"/>
      <c r="L499" s="9"/>
      <c r="M499" s="9"/>
      <c r="N499" s="4"/>
    </row>
    <row r="500" spans="9:14" x14ac:dyDescent="0.3">
      <c r="I500" s="7"/>
      <c r="J500" s="9"/>
      <c r="K500" s="9"/>
      <c r="L500" s="9"/>
      <c r="M500" s="9"/>
      <c r="N500" s="4"/>
    </row>
    <row r="501" spans="9:14" x14ac:dyDescent="0.3">
      <c r="I501" s="7"/>
      <c r="J501" s="9"/>
      <c r="K501" s="9"/>
      <c r="L501" s="9"/>
      <c r="M501" s="9"/>
      <c r="N501" s="4"/>
    </row>
    <row r="502" spans="9:14" x14ac:dyDescent="0.3">
      <c r="I502" s="7"/>
      <c r="J502" s="9"/>
      <c r="K502" s="9"/>
      <c r="L502" s="9"/>
      <c r="M502" s="9"/>
      <c r="N502" s="4"/>
    </row>
    <row r="503" spans="9:14" x14ac:dyDescent="0.3">
      <c r="I503" s="7"/>
      <c r="J503" s="9"/>
      <c r="K503" s="9"/>
      <c r="L503" s="9"/>
      <c r="M503" s="9"/>
      <c r="N503" s="4"/>
    </row>
    <row r="504" spans="9:14" x14ac:dyDescent="0.3">
      <c r="I504" s="7"/>
      <c r="J504" s="9"/>
      <c r="K504" s="9"/>
      <c r="L504" s="9"/>
      <c r="M504" s="9"/>
      <c r="N504" s="4"/>
    </row>
    <row r="505" spans="9:14" x14ac:dyDescent="0.3">
      <c r="I505" s="7"/>
      <c r="J505" s="9"/>
      <c r="K505" s="9"/>
      <c r="L505" s="9"/>
      <c r="M505" s="9"/>
      <c r="N505" s="4"/>
    </row>
    <row r="506" spans="9:14" x14ac:dyDescent="0.3">
      <c r="I506" s="7"/>
      <c r="J506" s="9"/>
      <c r="K506" s="9"/>
      <c r="L506" s="9"/>
      <c r="M506" s="9"/>
      <c r="N506" s="4"/>
    </row>
    <row r="507" spans="9:14" x14ac:dyDescent="0.3">
      <c r="I507" s="7"/>
      <c r="J507" s="9"/>
      <c r="K507" s="9"/>
      <c r="L507" s="9"/>
      <c r="M507" s="9"/>
      <c r="N507" s="4"/>
    </row>
    <row r="508" spans="9:14" x14ac:dyDescent="0.3">
      <c r="I508" s="7"/>
      <c r="J508" s="9"/>
      <c r="K508" s="9"/>
      <c r="L508" s="9"/>
      <c r="M508" s="9"/>
      <c r="N508" s="4"/>
    </row>
    <row r="509" spans="9:14" x14ac:dyDescent="0.3">
      <c r="I509" s="7"/>
      <c r="J509" s="9"/>
      <c r="K509" s="9"/>
      <c r="L509" s="9"/>
      <c r="M509" s="9"/>
      <c r="N509" s="4"/>
    </row>
    <row r="510" spans="9:14" x14ac:dyDescent="0.3">
      <c r="I510" s="7"/>
      <c r="J510" s="9"/>
      <c r="K510" s="9"/>
      <c r="L510" s="9"/>
      <c r="M510" s="9"/>
      <c r="N510" s="4"/>
    </row>
    <row r="511" spans="9:14" x14ac:dyDescent="0.3">
      <c r="I511" s="7"/>
      <c r="J511" s="9"/>
      <c r="K511" s="9"/>
      <c r="L511" s="9"/>
      <c r="M511" s="9"/>
      <c r="N511" s="4"/>
    </row>
    <row r="512" spans="9:14" x14ac:dyDescent="0.3">
      <c r="I512" s="7"/>
      <c r="J512" s="9"/>
      <c r="K512" s="9"/>
      <c r="L512" s="9"/>
      <c r="M512" s="9"/>
      <c r="N512" s="4"/>
    </row>
    <row r="513" spans="9:14" x14ac:dyDescent="0.3">
      <c r="I513" s="7"/>
      <c r="J513" s="9"/>
      <c r="K513" s="9"/>
      <c r="L513" s="9"/>
      <c r="M513" s="9"/>
      <c r="N513" s="4"/>
    </row>
    <row r="514" spans="9:14" x14ac:dyDescent="0.3">
      <c r="I514" s="7"/>
      <c r="J514" s="9"/>
      <c r="K514" s="9"/>
      <c r="L514" s="9"/>
      <c r="M514" s="9"/>
      <c r="N514" s="4"/>
    </row>
    <row r="515" spans="9:14" x14ac:dyDescent="0.3">
      <c r="I515" s="7"/>
      <c r="J515" s="9"/>
      <c r="K515" s="9"/>
      <c r="L515" s="9"/>
      <c r="M515" s="9"/>
      <c r="N515" s="4"/>
    </row>
    <row r="516" spans="9:14" x14ac:dyDescent="0.3">
      <c r="I516" s="7"/>
      <c r="J516" s="9"/>
      <c r="K516" s="9"/>
      <c r="L516" s="9"/>
      <c r="M516" s="9"/>
      <c r="N516" s="4"/>
    </row>
    <row r="517" spans="9:14" x14ac:dyDescent="0.3">
      <c r="I517" s="7"/>
      <c r="J517" s="9"/>
      <c r="K517" s="9"/>
      <c r="L517" s="9"/>
      <c r="M517" s="9"/>
      <c r="N517" s="4"/>
    </row>
    <row r="518" spans="9:14" x14ac:dyDescent="0.3">
      <c r="I518" s="7"/>
      <c r="J518" s="9"/>
      <c r="K518" s="9"/>
      <c r="L518" s="9"/>
      <c r="M518" s="9"/>
      <c r="N518" s="4"/>
    </row>
    <row r="519" spans="9:14" x14ac:dyDescent="0.3">
      <c r="I519" s="7"/>
      <c r="J519" s="9"/>
      <c r="K519" s="9"/>
      <c r="L519" s="9"/>
      <c r="M519" s="9"/>
      <c r="N519" s="4"/>
    </row>
    <row r="520" spans="9:14" x14ac:dyDescent="0.3">
      <c r="I520" s="7"/>
      <c r="J520" s="9"/>
      <c r="K520" s="9"/>
      <c r="L520" s="9"/>
      <c r="M520" s="9"/>
      <c r="N520" s="4"/>
    </row>
    <row r="521" spans="9:14" x14ac:dyDescent="0.3">
      <c r="I521" s="7"/>
      <c r="J521" s="9"/>
      <c r="K521" s="9"/>
      <c r="L521" s="9"/>
      <c r="M521" s="9"/>
      <c r="N521" s="4"/>
    </row>
    <row r="522" spans="9:14" x14ac:dyDescent="0.3">
      <c r="I522" s="7"/>
      <c r="J522" s="9"/>
      <c r="K522" s="9"/>
      <c r="L522" s="9"/>
      <c r="M522" s="9"/>
      <c r="N522" s="4"/>
    </row>
    <row r="523" spans="9:14" x14ac:dyDescent="0.3">
      <c r="I523" s="7"/>
      <c r="J523" s="9"/>
      <c r="K523" s="9"/>
      <c r="L523" s="9"/>
      <c r="M523" s="9"/>
      <c r="N523" s="4"/>
    </row>
    <row r="524" spans="9:14" x14ac:dyDescent="0.3">
      <c r="I524" s="7"/>
      <c r="J524" s="9"/>
      <c r="K524" s="9"/>
      <c r="L524" s="9"/>
      <c r="M524" s="9"/>
      <c r="N524" s="4"/>
    </row>
    <row r="525" spans="9:14" x14ac:dyDescent="0.3">
      <c r="I525" s="7"/>
      <c r="J525" s="9"/>
      <c r="K525" s="9"/>
      <c r="L525" s="9"/>
      <c r="M525" s="9"/>
      <c r="N525" s="4"/>
    </row>
    <row r="526" spans="9:14" x14ac:dyDescent="0.3">
      <c r="I526" s="7"/>
      <c r="J526" s="9"/>
      <c r="K526" s="9"/>
      <c r="L526" s="9"/>
      <c r="M526" s="9"/>
      <c r="N526" s="4"/>
    </row>
    <row r="527" spans="9:14" x14ac:dyDescent="0.3">
      <c r="I527" s="7"/>
      <c r="J527" s="9"/>
      <c r="K527" s="9"/>
      <c r="L527" s="9"/>
      <c r="M527" s="9"/>
      <c r="N527" s="4"/>
    </row>
    <row r="528" spans="9:14" x14ac:dyDescent="0.3">
      <c r="I528" s="7"/>
      <c r="J528" s="9"/>
      <c r="K528" s="9"/>
      <c r="L528" s="9"/>
      <c r="M528" s="9"/>
      <c r="N528" s="4"/>
    </row>
    <row r="529" spans="9:14" x14ac:dyDescent="0.3">
      <c r="I529" s="7"/>
      <c r="J529" s="9"/>
      <c r="K529" s="9"/>
      <c r="L529" s="9"/>
      <c r="M529" s="9"/>
      <c r="N529" s="4"/>
    </row>
    <row r="530" spans="9:14" x14ac:dyDescent="0.3">
      <c r="I530" s="7"/>
      <c r="J530" s="9"/>
      <c r="K530" s="9"/>
      <c r="L530" s="9"/>
      <c r="M530" s="9"/>
      <c r="N530" s="4"/>
    </row>
    <row r="531" spans="9:14" x14ac:dyDescent="0.3">
      <c r="I531" s="7"/>
      <c r="J531" s="9"/>
      <c r="K531" s="9"/>
      <c r="L531" s="9"/>
      <c r="M531" s="9"/>
      <c r="N531" s="4"/>
    </row>
    <row r="532" spans="9:14" x14ac:dyDescent="0.3">
      <c r="I532" s="7"/>
      <c r="J532" s="9"/>
      <c r="K532" s="9"/>
      <c r="L532" s="9"/>
      <c r="M532" s="9"/>
      <c r="N532" s="4"/>
    </row>
    <row r="533" spans="9:14" x14ac:dyDescent="0.3">
      <c r="I533" s="7"/>
      <c r="J533" s="9"/>
      <c r="K533" s="9"/>
      <c r="L533" s="9"/>
      <c r="M533" s="9"/>
      <c r="N533" s="4"/>
    </row>
    <row r="534" spans="9:14" x14ac:dyDescent="0.3">
      <c r="I534" s="7"/>
      <c r="J534" s="9"/>
      <c r="K534" s="9"/>
      <c r="L534" s="9"/>
      <c r="M534" s="9"/>
      <c r="N534" s="4"/>
    </row>
    <row r="535" spans="9:14" x14ac:dyDescent="0.3">
      <c r="I535" s="7"/>
      <c r="J535" s="9"/>
      <c r="K535" s="9"/>
      <c r="L535" s="9"/>
      <c r="M535" s="9"/>
      <c r="N535" s="4"/>
    </row>
    <row r="536" spans="9:14" x14ac:dyDescent="0.3">
      <c r="I536" s="7"/>
      <c r="J536" s="9"/>
      <c r="K536" s="9"/>
      <c r="L536" s="9"/>
      <c r="M536" s="9"/>
      <c r="N536" s="4"/>
    </row>
    <row r="537" spans="9:14" x14ac:dyDescent="0.3">
      <c r="I537" s="7"/>
      <c r="J537" s="9"/>
      <c r="K537" s="9"/>
      <c r="L537" s="9"/>
      <c r="M537" s="9"/>
      <c r="N537" s="4"/>
    </row>
    <row r="538" spans="9:14" x14ac:dyDescent="0.3">
      <c r="I538" s="7"/>
      <c r="J538" s="9"/>
      <c r="K538" s="9"/>
      <c r="L538" s="9"/>
      <c r="M538" s="9"/>
      <c r="N538" s="4"/>
    </row>
    <row r="539" spans="9:14" x14ac:dyDescent="0.3">
      <c r="I539" s="7"/>
      <c r="J539" s="9"/>
      <c r="K539" s="9"/>
      <c r="L539" s="9"/>
      <c r="M539" s="9"/>
      <c r="N539" s="4"/>
    </row>
    <row r="540" spans="9:14" x14ac:dyDescent="0.3">
      <c r="I540" s="7"/>
      <c r="J540" s="9"/>
      <c r="K540" s="9"/>
      <c r="L540" s="9"/>
      <c r="M540" s="9"/>
      <c r="N540" s="4"/>
    </row>
    <row r="541" spans="9:14" x14ac:dyDescent="0.3">
      <c r="I541" s="7"/>
      <c r="J541" s="9"/>
      <c r="K541" s="9"/>
      <c r="L541" s="9"/>
      <c r="M541" s="9"/>
      <c r="N541" s="4"/>
    </row>
    <row r="542" spans="9:14" x14ac:dyDescent="0.3">
      <c r="I542" s="7"/>
      <c r="J542" s="9"/>
      <c r="K542" s="9"/>
      <c r="L542" s="9"/>
      <c r="M542" s="9"/>
      <c r="N542" s="4"/>
    </row>
    <row r="543" spans="9:14" x14ac:dyDescent="0.3">
      <c r="I543" s="7"/>
      <c r="J543" s="9"/>
      <c r="K543" s="9"/>
      <c r="L543" s="9"/>
      <c r="M543" s="9"/>
      <c r="N543" s="4"/>
    </row>
    <row r="544" spans="9:14" x14ac:dyDescent="0.3">
      <c r="I544" s="7"/>
      <c r="J544" s="9"/>
      <c r="K544" s="9"/>
      <c r="L544" s="9"/>
      <c r="M544" s="9"/>
      <c r="N544" s="4"/>
    </row>
    <row r="545" spans="9:14" x14ac:dyDescent="0.3">
      <c r="I545" s="7"/>
      <c r="J545" s="9"/>
      <c r="K545" s="9"/>
      <c r="L545" s="9"/>
      <c r="M545" s="9"/>
      <c r="N545" s="4"/>
    </row>
    <row r="546" spans="9:14" x14ac:dyDescent="0.3">
      <c r="I546" s="7"/>
      <c r="J546" s="9"/>
      <c r="K546" s="9"/>
      <c r="L546" s="9"/>
      <c r="M546" s="9"/>
      <c r="N546" s="4"/>
    </row>
    <row r="547" spans="9:14" x14ac:dyDescent="0.3">
      <c r="I547" s="7"/>
      <c r="J547" s="9"/>
      <c r="K547" s="9"/>
      <c r="L547" s="9"/>
      <c r="M547" s="9"/>
      <c r="N547" s="4"/>
    </row>
    <row r="548" spans="9:14" x14ac:dyDescent="0.3">
      <c r="I548" s="7"/>
      <c r="J548" s="9"/>
      <c r="K548" s="9"/>
      <c r="L548" s="9"/>
      <c r="M548" s="9"/>
      <c r="N548" s="4"/>
    </row>
    <row r="549" spans="9:14" x14ac:dyDescent="0.3">
      <c r="I549" s="7"/>
      <c r="J549" s="9"/>
      <c r="K549" s="9"/>
      <c r="L549" s="9"/>
      <c r="M549" s="9"/>
      <c r="N549" s="4"/>
    </row>
    <row r="550" spans="9:14" x14ac:dyDescent="0.3">
      <c r="I550" s="7"/>
      <c r="J550" s="9"/>
      <c r="K550" s="9"/>
      <c r="L550" s="9"/>
      <c r="M550" s="9"/>
      <c r="N550" s="4"/>
    </row>
    <row r="551" spans="9:14" x14ac:dyDescent="0.3">
      <c r="I551" s="7"/>
      <c r="J551" s="9"/>
      <c r="K551" s="9"/>
      <c r="L551" s="9"/>
      <c r="M551" s="9"/>
      <c r="N551" s="4"/>
    </row>
    <row r="552" spans="9:14" x14ac:dyDescent="0.3">
      <c r="I552" s="7"/>
      <c r="J552" s="9"/>
      <c r="K552" s="9"/>
      <c r="L552" s="9"/>
      <c r="M552" s="9"/>
      <c r="N552" s="4"/>
    </row>
    <row r="553" spans="9:14" x14ac:dyDescent="0.3">
      <c r="I553" s="7"/>
      <c r="J553" s="9"/>
      <c r="K553" s="9"/>
      <c r="L553" s="9"/>
      <c r="M553" s="9"/>
      <c r="N553" s="4"/>
    </row>
    <row r="554" spans="9:14" x14ac:dyDescent="0.3">
      <c r="I554" s="7"/>
      <c r="J554" s="9"/>
      <c r="K554" s="9"/>
      <c r="L554" s="9"/>
      <c r="M554" s="9"/>
      <c r="N554" s="4"/>
    </row>
    <row r="555" spans="9:14" x14ac:dyDescent="0.3">
      <c r="I555" s="7"/>
      <c r="J555" s="9"/>
      <c r="K555" s="9"/>
      <c r="L555" s="9"/>
      <c r="M555" s="9"/>
      <c r="N555" s="4"/>
    </row>
    <row r="556" spans="9:14" x14ac:dyDescent="0.3">
      <c r="I556" s="7"/>
      <c r="J556" s="9"/>
      <c r="K556" s="9"/>
      <c r="L556" s="9"/>
      <c r="M556" s="9"/>
      <c r="N556" s="4"/>
    </row>
    <row r="557" spans="9:14" x14ac:dyDescent="0.3">
      <c r="I557" s="7"/>
      <c r="J557" s="9"/>
      <c r="K557" s="9"/>
      <c r="L557" s="9"/>
      <c r="M557" s="9"/>
      <c r="N557" s="4"/>
    </row>
    <row r="558" spans="9:14" x14ac:dyDescent="0.3">
      <c r="I558" s="7"/>
      <c r="J558" s="9"/>
      <c r="K558" s="9"/>
      <c r="L558" s="9"/>
      <c r="M558" s="9"/>
      <c r="N558" s="4"/>
    </row>
    <row r="559" spans="9:14" x14ac:dyDescent="0.3">
      <c r="I559" s="7"/>
      <c r="J559" s="9"/>
      <c r="K559" s="9"/>
      <c r="L559" s="9"/>
      <c r="M559" s="9"/>
      <c r="N559" s="4"/>
    </row>
    <row r="560" spans="9:14" x14ac:dyDescent="0.3">
      <c r="I560" s="7"/>
      <c r="J560" s="9"/>
      <c r="K560" s="9"/>
      <c r="L560" s="9"/>
      <c r="M560" s="9"/>
      <c r="N560" s="4"/>
    </row>
    <row r="561" spans="9:14" x14ac:dyDescent="0.3">
      <c r="I561" s="7"/>
      <c r="J561" s="9"/>
      <c r="K561" s="9"/>
      <c r="L561" s="9"/>
      <c r="M561" s="9"/>
      <c r="N561" s="4"/>
    </row>
    <row r="562" spans="9:14" x14ac:dyDescent="0.3">
      <c r="I562" s="7"/>
      <c r="J562" s="9"/>
      <c r="K562" s="9"/>
      <c r="L562" s="9"/>
      <c r="M562" s="9"/>
      <c r="N562" s="4"/>
    </row>
    <row r="563" spans="9:14" x14ac:dyDescent="0.3">
      <c r="I563" s="7"/>
      <c r="J563" s="9"/>
      <c r="K563" s="9"/>
      <c r="L563" s="9"/>
      <c r="M563" s="9"/>
      <c r="N563" s="4"/>
    </row>
    <row r="564" spans="9:14" x14ac:dyDescent="0.3">
      <c r="I564" s="7"/>
      <c r="J564" s="9"/>
      <c r="K564" s="9"/>
      <c r="L564" s="9"/>
      <c r="M564" s="9"/>
      <c r="N564" s="4"/>
    </row>
    <row r="565" spans="9:14" x14ac:dyDescent="0.3">
      <c r="I565" s="7"/>
      <c r="J565" s="9"/>
      <c r="K565" s="9"/>
      <c r="L565" s="9"/>
      <c r="M565" s="9"/>
      <c r="N565" s="4"/>
    </row>
    <row r="566" spans="9:14" x14ac:dyDescent="0.3">
      <c r="I566" s="7"/>
      <c r="J566" s="9"/>
      <c r="K566" s="9"/>
      <c r="L566" s="9"/>
      <c r="M566" s="9"/>
      <c r="N566" s="4"/>
    </row>
    <row r="567" spans="9:14" x14ac:dyDescent="0.3">
      <c r="I567" s="7"/>
      <c r="J567" s="9"/>
      <c r="K567" s="9"/>
      <c r="L567" s="9"/>
      <c r="M567" s="9"/>
      <c r="N567" s="4"/>
    </row>
    <row r="568" spans="9:14" x14ac:dyDescent="0.3">
      <c r="I568" s="7"/>
      <c r="J568" s="9"/>
      <c r="K568" s="9"/>
      <c r="L568" s="9"/>
      <c r="M568" s="9"/>
      <c r="N568" s="4"/>
    </row>
    <row r="569" spans="9:14" x14ac:dyDescent="0.3">
      <c r="I569" s="7"/>
      <c r="J569" s="9"/>
      <c r="K569" s="9"/>
      <c r="L569" s="9"/>
      <c r="M569" s="9"/>
      <c r="N569" s="4"/>
    </row>
    <row r="570" spans="9:14" x14ac:dyDescent="0.3">
      <c r="I570" s="7"/>
      <c r="J570" s="9"/>
      <c r="K570" s="9"/>
      <c r="L570" s="9"/>
      <c r="M570" s="9"/>
      <c r="N570" s="4"/>
    </row>
    <row r="571" spans="9:14" x14ac:dyDescent="0.3">
      <c r="I571" s="7"/>
      <c r="J571" s="9"/>
      <c r="K571" s="9"/>
      <c r="L571" s="9"/>
      <c r="M571" s="9"/>
      <c r="N571" s="4"/>
    </row>
    <row r="572" spans="9:14" x14ac:dyDescent="0.3">
      <c r="I572" s="7"/>
      <c r="J572" s="9"/>
      <c r="K572" s="9"/>
      <c r="L572" s="9"/>
      <c r="M572" s="9"/>
      <c r="N572" s="4"/>
    </row>
    <row r="573" spans="9:14" x14ac:dyDescent="0.3">
      <c r="I573" s="7"/>
      <c r="J573" s="9"/>
      <c r="K573" s="9"/>
      <c r="L573" s="9"/>
      <c r="M573" s="9"/>
      <c r="N573" s="4"/>
    </row>
    <row r="574" spans="9:14" x14ac:dyDescent="0.3">
      <c r="I574" s="7"/>
      <c r="J574" s="9"/>
      <c r="K574" s="9"/>
      <c r="L574" s="9"/>
      <c r="M574" s="9"/>
      <c r="N574" s="4"/>
    </row>
    <row r="575" spans="9:14" x14ac:dyDescent="0.3">
      <c r="I575" s="7"/>
      <c r="J575" s="9"/>
      <c r="K575" s="9"/>
      <c r="L575" s="9"/>
      <c r="M575" s="9"/>
      <c r="N575" s="4"/>
    </row>
    <row r="576" spans="9:14" x14ac:dyDescent="0.3">
      <c r="I576" s="7"/>
      <c r="J576" s="9"/>
      <c r="K576" s="9"/>
      <c r="L576" s="9"/>
      <c r="M576" s="9"/>
      <c r="N576" s="4"/>
    </row>
    <row r="577" spans="9:14" x14ac:dyDescent="0.3">
      <c r="I577" s="7"/>
      <c r="J577" s="9"/>
      <c r="K577" s="9"/>
      <c r="L577" s="9"/>
      <c r="M577" s="9"/>
      <c r="N577" s="4"/>
    </row>
    <row r="578" spans="9:14" x14ac:dyDescent="0.3">
      <c r="I578" s="7"/>
      <c r="J578" s="9"/>
      <c r="K578" s="9"/>
      <c r="L578" s="9"/>
      <c r="M578" s="9"/>
      <c r="N578" s="4"/>
    </row>
    <row r="579" spans="9:14" x14ac:dyDescent="0.3">
      <c r="I579" s="7"/>
      <c r="J579" s="9"/>
      <c r="K579" s="9"/>
      <c r="L579" s="9"/>
      <c r="M579" s="9"/>
      <c r="N579" s="4"/>
    </row>
    <row r="580" spans="9:14" x14ac:dyDescent="0.3">
      <c r="I580" s="7"/>
      <c r="J580" s="9"/>
      <c r="K580" s="9"/>
      <c r="L580" s="9"/>
      <c r="M580" s="9"/>
      <c r="N580" s="4"/>
    </row>
    <row r="581" spans="9:14" x14ac:dyDescent="0.3">
      <c r="I581" s="7"/>
      <c r="J581" s="9"/>
      <c r="K581" s="9"/>
      <c r="L581" s="9"/>
      <c r="M581" s="9"/>
      <c r="N581" s="4"/>
    </row>
    <row r="582" spans="9:14" x14ac:dyDescent="0.3">
      <c r="I582" s="7"/>
      <c r="J582" s="9"/>
      <c r="K582" s="9"/>
      <c r="L582" s="9"/>
      <c r="M582" s="9"/>
      <c r="N582" s="4"/>
    </row>
    <row r="583" spans="9:14" x14ac:dyDescent="0.3">
      <c r="I583" s="7"/>
      <c r="J583" s="9"/>
      <c r="K583" s="9"/>
      <c r="L583" s="9"/>
      <c r="M583" s="9"/>
      <c r="N583" s="4"/>
    </row>
    <row r="584" spans="9:14" x14ac:dyDescent="0.3">
      <c r="I584" s="7"/>
      <c r="J584" s="9"/>
      <c r="K584" s="9"/>
      <c r="L584" s="9"/>
      <c r="M584" s="9"/>
      <c r="N584" s="4"/>
    </row>
    <row r="585" spans="9:14" x14ac:dyDescent="0.3">
      <c r="I585" s="7"/>
      <c r="J585" s="9"/>
      <c r="K585" s="9"/>
      <c r="L585" s="9"/>
      <c r="M585" s="9"/>
      <c r="N585" s="4"/>
    </row>
    <row r="586" spans="9:14" x14ac:dyDescent="0.3">
      <c r="I586" s="7"/>
      <c r="J586" s="9"/>
      <c r="K586" s="9"/>
      <c r="L586" s="9"/>
      <c r="M586" s="9"/>
      <c r="N586" s="4"/>
    </row>
    <row r="587" spans="9:14" x14ac:dyDescent="0.3">
      <c r="I587" s="7"/>
      <c r="J587" s="9"/>
      <c r="K587" s="9"/>
      <c r="L587" s="9"/>
      <c r="M587" s="9"/>
      <c r="N587" s="4"/>
    </row>
    <row r="588" spans="9:14" x14ac:dyDescent="0.3">
      <c r="I588" s="7"/>
      <c r="J588" s="9"/>
      <c r="K588" s="9"/>
      <c r="L588" s="9"/>
      <c r="M588" s="9"/>
      <c r="N588" s="4"/>
    </row>
    <row r="589" spans="9:14" x14ac:dyDescent="0.3">
      <c r="I589" s="7"/>
      <c r="J589" s="9"/>
      <c r="K589" s="9"/>
      <c r="L589" s="9"/>
      <c r="M589" s="9"/>
      <c r="N589" s="4"/>
    </row>
    <row r="590" spans="9:14" x14ac:dyDescent="0.3">
      <c r="I590" s="7"/>
      <c r="J590" s="9"/>
      <c r="K590" s="9"/>
      <c r="L590" s="9"/>
      <c r="M590" s="9"/>
      <c r="N590" s="4"/>
    </row>
    <row r="591" spans="9:14" x14ac:dyDescent="0.3">
      <c r="I591" s="7"/>
      <c r="J591" s="9"/>
      <c r="K591" s="9"/>
      <c r="L591" s="9"/>
      <c r="M591" s="9"/>
      <c r="N591" s="4"/>
    </row>
    <row r="592" spans="9:14" x14ac:dyDescent="0.3">
      <c r="I592" s="7"/>
      <c r="J592" s="9"/>
      <c r="K592" s="9"/>
      <c r="L592" s="9"/>
      <c r="M592" s="9"/>
      <c r="N592" s="4"/>
    </row>
    <row r="593" spans="9:14" x14ac:dyDescent="0.3">
      <c r="I593" s="7"/>
      <c r="J593" s="9"/>
      <c r="K593" s="9"/>
      <c r="L593" s="9"/>
      <c r="M593" s="9"/>
      <c r="N593" s="4"/>
    </row>
    <row r="594" spans="9:14" x14ac:dyDescent="0.3">
      <c r="I594" s="7"/>
      <c r="J594" s="9"/>
      <c r="K594" s="9"/>
      <c r="L594" s="9"/>
      <c r="M594" s="9"/>
      <c r="N594" s="4"/>
    </row>
    <row r="595" spans="9:14" x14ac:dyDescent="0.3">
      <c r="I595" s="7"/>
      <c r="J595" s="9"/>
      <c r="K595" s="9"/>
      <c r="L595" s="9"/>
      <c r="M595" s="9"/>
      <c r="N595" s="4"/>
    </row>
    <row r="596" spans="9:14" x14ac:dyDescent="0.3">
      <c r="I596" s="7"/>
      <c r="J596" s="9"/>
      <c r="K596" s="9"/>
      <c r="L596" s="9"/>
      <c r="M596" s="9"/>
      <c r="N596" s="4"/>
    </row>
    <row r="597" spans="9:14" x14ac:dyDescent="0.3">
      <c r="I597" s="7"/>
      <c r="J597" s="9"/>
      <c r="K597" s="9"/>
      <c r="L597" s="9"/>
      <c r="M597" s="9"/>
      <c r="N597" s="4"/>
    </row>
    <row r="598" spans="9:14" x14ac:dyDescent="0.3">
      <c r="I598" s="7"/>
      <c r="J598" s="9"/>
      <c r="K598" s="9"/>
      <c r="L598" s="9"/>
      <c r="M598" s="9"/>
      <c r="N598" s="4"/>
    </row>
    <row r="599" spans="9:14" x14ac:dyDescent="0.3">
      <c r="I599" s="7"/>
      <c r="J599" s="9"/>
      <c r="K599" s="9"/>
      <c r="L599" s="9"/>
      <c r="M599" s="9"/>
      <c r="N599" s="4"/>
    </row>
    <row r="600" spans="9:14" x14ac:dyDescent="0.3">
      <c r="I600" s="7"/>
      <c r="J600" s="9"/>
      <c r="K600" s="9"/>
      <c r="L600" s="9"/>
      <c r="M600" s="9"/>
      <c r="N600" s="4"/>
    </row>
    <row r="601" spans="9:14" x14ac:dyDescent="0.3">
      <c r="I601" s="7"/>
      <c r="J601" s="9"/>
      <c r="K601" s="9"/>
      <c r="L601" s="9"/>
      <c r="M601" s="9"/>
      <c r="N601" s="4"/>
    </row>
    <row r="602" spans="9:14" x14ac:dyDescent="0.3">
      <c r="I602" s="7"/>
      <c r="J602" s="9"/>
      <c r="K602" s="9"/>
      <c r="L602" s="9"/>
      <c r="M602" s="9"/>
      <c r="N602" s="4"/>
    </row>
    <row r="603" spans="9:14" x14ac:dyDescent="0.3">
      <c r="I603" s="7"/>
      <c r="J603" s="9"/>
      <c r="K603" s="9"/>
      <c r="L603" s="9"/>
      <c r="M603" s="9"/>
      <c r="N603" s="4"/>
    </row>
    <row r="604" spans="9:14" x14ac:dyDescent="0.3">
      <c r="I604" s="7"/>
      <c r="J604" s="9"/>
      <c r="K604" s="9"/>
      <c r="L604" s="9"/>
      <c r="M604" s="9"/>
      <c r="N604" s="4"/>
    </row>
    <row r="605" spans="9:14" x14ac:dyDescent="0.3">
      <c r="I605" s="7"/>
      <c r="J605" s="9"/>
      <c r="K605" s="9"/>
      <c r="L605" s="9"/>
      <c r="M605" s="9"/>
      <c r="N605" s="4"/>
    </row>
    <row r="606" spans="9:14" x14ac:dyDescent="0.3">
      <c r="I606" s="7"/>
      <c r="J606" s="9"/>
      <c r="K606" s="9"/>
      <c r="L606" s="9"/>
      <c r="M606" s="9"/>
      <c r="N606" s="4"/>
    </row>
    <row r="607" spans="9:14" x14ac:dyDescent="0.3">
      <c r="I607" s="7"/>
      <c r="J607" s="9"/>
      <c r="K607" s="9"/>
      <c r="L607" s="9"/>
      <c r="M607" s="9"/>
      <c r="N607" s="4"/>
    </row>
    <row r="608" spans="9:14" x14ac:dyDescent="0.3">
      <c r="I608" s="7"/>
      <c r="J608" s="9"/>
      <c r="K608" s="9"/>
      <c r="L608" s="9"/>
      <c r="M608" s="9"/>
      <c r="N608" s="4"/>
    </row>
    <row r="609" spans="9:14" x14ac:dyDescent="0.3">
      <c r="I609" s="7"/>
      <c r="J609" s="9"/>
      <c r="K609" s="9"/>
      <c r="L609" s="9"/>
      <c r="M609" s="9"/>
      <c r="N609" s="4"/>
    </row>
    <row r="610" spans="9:14" x14ac:dyDescent="0.3">
      <c r="I610" s="7"/>
      <c r="J610" s="9"/>
      <c r="K610" s="9"/>
      <c r="L610" s="9"/>
      <c r="M610" s="9"/>
      <c r="N610" s="4"/>
    </row>
    <row r="611" spans="9:14" x14ac:dyDescent="0.3">
      <c r="I611" s="7"/>
      <c r="J611" s="9"/>
      <c r="K611" s="9"/>
      <c r="L611" s="9"/>
      <c r="M611" s="9"/>
      <c r="N611" s="4"/>
    </row>
    <row r="612" spans="9:14" x14ac:dyDescent="0.3">
      <c r="I612" s="7"/>
      <c r="J612" s="9"/>
      <c r="K612" s="9"/>
      <c r="L612" s="9"/>
      <c r="M612" s="9"/>
      <c r="N612" s="4"/>
    </row>
    <row r="613" spans="9:14" x14ac:dyDescent="0.3">
      <c r="I613" s="7"/>
      <c r="J613" s="9"/>
      <c r="K613" s="9"/>
      <c r="L613" s="9"/>
      <c r="M613" s="9"/>
      <c r="N613" s="4"/>
    </row>
    <row r="614" spans="9:14" x14ac:dyDescent="0.3">
      <c r="I614" s="7"/>
      <c r="J614" s="9"/>
      <c r="K614" s="9"/>
      <c r="L614" s="9"/>
      <c r="M614" s="9"/>
      <c r="N614" s="4"/>
    </row>
    <row r="615" spans="9:14" x14ac:dyDescent="0.3">
      <c r="I615" s="7"/>
      <c r="J615" s="9"/>
      <c r="K615" s="9"/>
      <c r="L615" s="9"/>
      <c r="M615" s="9"/>
      <c r="N615" s="4"/>
    </row>
    <row r="616" spans="9:14" x14ac:dyDescent="0.3">
      <c r="I616" s="7"/>
      <c r="J616" s="9"/>
      <c r="K616" s="9"/>
      <c r="L616" s="9"/>
      <c r="M616" s="9"/>
      <c r="N616" s="4"/>
    </row>
    <row r="617" spans="9:14" x14ac:dyDescent="0.3">
      <c r="I617" s="7"/>
      <c r="J617" s="9"/>
      <c r="K617" s="9"/>
      <c r="L617" s="9"/>
      <c r="M617" s="9"/>
      <c r="N617" s="4"/>
    </row>
    <row r="618" spans="9:14" x14ac:dyDescent="0.3">
      <c r="I618" s="7"/>
      <c r="J618" s="9"/>
      <c r="K618" s="9"/>
      <c r="L618" s="9"/>
      <c r="M618" s="9"/>
      <c r="N618" s="4"/>
    </row>
    <row r="619" spans="9:14" x14ac:dyDescent="0.3">
      <c r="I619" s="7"/>
      <c r="J619" s="9"/>
      <c r="K619" s="9"/>
      <c r="L619" s="9"/>
      <c r="M619" s="9"/>
      <c r="N619" s="4"/>
    </row>
    <row r="620" spans="9:14" x14ac:dyDescent="0.3">
      <c r="I620" s="7"/>
      <c r="J620" s="9"/>
      <c r="K620" s="9"/>
      <c r="L620" s="9"/>
      <c r="M620" s="9"/>
      <c r="N620" s="4"/>
    </row>
    <row r="621" spans="9:14" x14ac:dyDescent="0.3">
      <c r="I621" s="7"/>
      <c r="J621" s="9"/>
      <c r="K621" s="9"/>
      <c r="L621" s="9"/>
      <c r="M621" s="9"/>
      <c r="N621" s="4"/>
    </row>
    <row r="622" spans="9:14" x14ac:dyDescent="0.3">
      <c r="I622" s="7"/>
      <c r="J622" s="9"/>
      <c r="K622" s="9"/>
      <c r="L622" s="9"/>
      <c r="M622" s="9"/>
      <c r="N622" s="4"/>
    </row>
    <row r="623" spans="9:14" x14ac:dyDescent="0.3">
      <c r="I623" s="7"/>
      <c r="J623" s="9"/>
      <c r="K623" s="9"/>
      <c r="L623" s="9"/>
      <c r="M623" s="9"/>
      <c r="N623" s="4"/>
    </row>
    <row r="624" spans="9:14" x14ac:dyDescent="0.3">
      <c r="I624" s="7"/>
      <c r="J624" s="9"/>
      <c r="K624" s="9"/>
      <c r="L624" s="9"/>
      <c r="M624" s="9"/>
      <c r="N624" s="4"/>
    </row>
    <row r="625" spans="9:14" x14ac:dyDescent="0.3">
      <c r="I625" s="7"/>
      <c r="J625" s="9"/>
      <c r="K625" s="9"/>
      <c r="L625" s="9"/>
      <c r="M625" s="9"/>
      <c r="N625" s="4"/>
    </row>
    <row r="626" spans="9:14" x14ac:dyDescent="0.3">
      <c r="I626" s="7"/>
      <c r="J626" s="9"/>
      <c r="K626" s="9"/>
      <c r="L626" s="9"/>
      <c r="M626" s="9"/>
      <c r="N626" s="4"/>
    </row>
    <row r="627" spans="9:14" x14ac:dyDescent="0.3">
      <c r="I627" s="7"/>
      <c r="J627" s="9"/>
      <c r="K627" s="9"/>
      <c r="L627" s="9"/>
      <c r="M627" s="9"/>
      <c r="N627" s="4"/>
    </row>
    <row r="628" spans="9:14" x14ac:dyDescent="0.3">
      <c r="I628" s="7"/>
      <c r="J628" s="9"/>
      <c r="K628" s="9"/>
      <c r="L628" s="9"/>
      <c r="M628" s="9"/>
      <c r="N628" s="4"/>
    </row>
    <row r="629" spans="9:14" x14ac:dyDescent="0.3">
      <c r="I629" s="7"/>
      <c r="J629" s="9"/>
      <c r="K629" s="9"/>
      <c r="L629" s="9"/>
      <c r="M629" s="9"/>
      <c r="N629" s="4"/>
    </row>
    <row r="630" spans="9:14" x14ac:dyDescent="0.3">
      <c r="I630" s="7"/>
      <c r="J630" s="9"/>
      <c r="K630" s="9"/>
      <c r="L630" s="9"/>
      <c r="M630" s="9"/>
      <c r="N630" s="4"/>
    </row>
    <row r="631" spans="9:14" x14ac:dyDescent="0.3">
      <c r="I631" s="7"/>
      <c r="J631" s="9"/>
      <c r="K631" s="9"/>
      <c r="L631" s="9"/>
      <c r="M631" s="9"/>
      <c r="N631" s="4"/>
    </row>
    <row r="632" spans="9:14" x14ac:dyDescent="0.3">
      <c r="I632" s="7"/>
      <c r="J632" s="9"/>
      <c r="K632" s="9"/>
      <c r="L632" s="9"/>
      <c r="M632" s="9"/>
      <c r="N632" s="4"/>
    </row>
    <row r="633" spans="9:14" x14ac:dyDescent="0.3">
      <c r="I633" s="7"/>
      <c r="J633" s="9"/>
      <c r="K633" s="9"/>
      <c r="L633" s="9"/>
      <c r="M633" s="9"/>
      <c r="N633" s="4"/>
    </row>
    <row r="634" spans="9:14" x14ac:dyDescent="0.3">
      <c r="I634" s="7"/>
      <c r="J634" s="9"/>
      <c r="K634" s="9"/>
      <c r="L634" s="9"/>
      <c r="M634" s="9"/>
      <c r="N634" s="4"/>
    </row>
    <row r="635" spans="9:14" x14ac:dyDescent="0.3">
      <c r="I635" s="7"/>
      <c r="J635" s="9"/>
      <c r="K635" s="9"/>
      <c r="L635" s="9"/>
      <c r="M635" s="9"/>
      <c r="N635" s="4"/>
    </row>
    <row r="636" spans="9:14" x14ac:dyDescent="0.3">
      <c r="I636" s="7"/>
      <c r="J636" s="9"/>
      <c r="K636" s="9"/>
      <c r="L636" s="9"/>
      <c r="M636" s="9"/>
      <c r="N636" s="4"/>
    </row>
    <row r="637" spans="9:14" x14ac:dyDescent="0.3">
      <c r="I637" s="7"/>
      <c r="J637" s="9"/>
      <c r="K637" s="9"/>
      <c r="L637" s="9"/>
      <c r="M637" s="9"/>
      <c r="N637" s="4"/>
    </row>
    <row r="638" spans="9:14" x14ac:dyDescent="0.3">
      <c r="I638" s="7"/>
      <c r="J638" s="9"/>
      <c r="K638" s="9"/>
      <c r="L638" s="9"/>
      <c r="M638" s="9"/>
      <c r="N638" s="4"/>
    </row>
    <row r="639" spans="9:14" x14ac:dyDescent="0.3">
      <c r="I639" s="7"/>
      <c r="J639" s="9"/>
      <c r="K639" s="9"/>
      <c r="L639" s="9"/>
      <c r="M639" s="9"/>
      <c r="N639" s="4"/>
    </row>
    <row r="640" spans="9:14" x14ac:dyDescent="0.3">
      <c r="I640" s="7"/>
      <c r="J640" s="9"/>
      <c r="K640" s="9"/>
      <c r="L640" s="9"/>
      <c r="M640" s="9"/>
      <c r="N640" s="4"/>
    </row>
    <row r="641" spans="9:14" x14ac:dyDescent="0.3">
      <c r="I641" s="7"/>
      <c r="J641" s="9"/>
      <c r="K641" s="9"/>
      <c r="L641" s="9"/>
      <c r="M641" s="9"/>
      <c r="N641" s="4"/>
    </row>
    <row r="642" spans="9:14" x14ac:dyDescent="0.3">
      <c r="I642" s="7"/>
      <c r="J642" s="9"/>
      <c r="K642" s="9"/>
      <c r="L642" s="9"/>
      <c r="M642" s="9"/>
      <c r="N642" s="4"/>
    </row>
    <row r="643" spans="9:14" x14ac:dyDescent="0.3">
      <c r="I643" s="7"/>
      <c r="J643" s="9"/>
      <c r="K643" s="9"/>
      <c r="L643" s="9"/>
      <c r="M643" s="9"/>
      <c r="N643" s="4"/>
    </row>
    <row r="644" spans="9:14" x14ac:dyDescent="0.3">
      <c r="I644" s="7"/>
      <c r="J644" s="9"/>
      <c r="K644" s="9"/>
      <c r="L644" s="9"/>
      <c r="M644" s="9"/>
      <c r="N644" s="4"/>
    </row>
    <row r="645" spans="9:14" x14ac:dyDescent="0.3">
      <c r="I645" s="7"/>
      <c r="J645" s="9"/>
      <c r="K645" s="9"/>
      <c r="L645" s="9"/>
      <c r="M645" s="9"/>
      <c r="N645" s="4"/>
    </row>
    <row r="646" spans="9:14" x14ac:dyDescent="0.3">
      <c r="I646" s="7"/>
      <c r="J646" s="9"/>
      <c r="K646" s="9"/>
      <c r="L646" s="9"/>
      <c r="M646" s="9"/>
      <c r="N646" s="4"/>
    </row>
    <row r="647" spans="9:14" x14ac:dyDescent="0.3">
      <c r="I647" s="7"/>
      <c r="J647" s="9"/>
      <c r="K647" s="9"/>
      <c r="L647" s="9"/>
      <c r="M647" s="9"/>
      <c r="N647" s="4"/>
    </row>
    <row r="648" spans="9:14" x14ac:dyDescent="0.3">
      <c r="I648" s="7"/>
      <c r="J648" s="9"/>
      <c r="K648" s="9"/>
      <c r="L648" s="9"/>
      <c r="M648" s="9"/>
      <c r="N648" s="4"/>
    </row>
    <row r="649" spans="9:14" x14ac:dyDescent="0.3">
      <c r="I649" s="7"/>
      <c r="J649" s="9"/>
      <c r="K649" s="9"/>
      <c r="L649" s="9"/>
      <c r="M649" s="9"/>
      <c r="N649" s="4"/>
    </row>
    <row r="650" spans="9:14" x14ac:dyDescent="0.3">
      <c r="I650" s="7"/>
      <c r="J650" s="9"/>
      <c r="K650" s="9"/>
      <c r="L650" s="9"/>
      <c r="M650" s="9"/>
      <c r="N650" s="4"/>
    </row>
    <row r="651" spans="9:14" x14ac:dyDescent="0.3">
      <c r="I651" s="7"/>
      <c r="J651" s="9"/>
      <c r="K651" s="9"/>
      <c r="L651" s="9"/>
      <c r="M651" s="9"/>
      <c r="N651" s="4"/>
    </row>
    <row r="652" spans="9:14" x14ac:dyDescent="0.3">
      <c r="I652" s="7"/>
      <c r="J652" s="9"/>
      <c r="K652" s="9"/>
      <c r="L652" s="9"/>
      <c r="M652" s="9"/>
      <c r="N652" s="4"/>
    </row>
    <row r="653" spans="9:14" x14ac:dyDescent="0.3">
      <c r="I653" s="7"/>
      <c r="J653" s="9"/>
      <c r="K653" s="9"/>
      <c r="L653" s="9"/>
      <c r="M653" s="9"/>
      <c r="N653" s="4"/>
    </row>
    <row r="654" spans="9:14" x14ac:dyDescent="0.3">
      <c r="I654" s="7"/>
      <c r="J654" s="9"/>
      <c r="K654" s="9"/>
      <c r="L654" s="9"/>
      <c r="M654" s="9"/>
      <c r="N654" s="4"/>
    </row>
    <row r="655" spans="9:14" x14ac:dyDescent="0.3">
      <c r="I655" s="7"/>
      <c r="J655" s="9"/>
      <c r="K655" s="9"/>
      <c r="L655" s="9"/>
      <c r="M655" s="9"/>
      <c r="N655" s="4"/>
    </row>
    <row r="656" spans="9:14" x14ac:dyDescent="0.3">
      <c r="I656" s="7"/>
      <c r="J656" s="9"/>
      <c r="K656" s="9"/>
      <c r="L656" s="9"/>
      <c r="M656" s="9"/>
      <c r="N656" s="4"/>
    </row>
    <row r="657" spans="9:14" x14ac:dyDescent="0.3">
      <c r="I657" s="7"/>
      <c r="J657" s="9"/>
      <c r="K657" s="9"/>
      <c r="L657" s="9"/>
      <c r="M657" s="9"/>
      <c r="N657" s="4"/>
    </row>
    <row r="658" spans="9:14" x14ac:dyDescent="0.3">
      <c r="I658" s="7"/>
      <c r="J658" s="9"/>
      <c r="K658" s="9"/>
      <c r="L658" s="9"/>
      <c r="M658" s="9"/>
      <c r="N658" s="4"/>
    </row>
    <row r="659" spans="9:14" x14ac:dyDescent="0.3">
      <c r="I659" s="7"/>
      <c r="J659" s="9"/>
      <c r="K659" s="9"/>
      <c r="L659" s="9"/>
      <c r="M659" s="9"/>
      <c r="N659" s="4"/>
    </row>
    <row r="660" spans="9:14" x14ac:dyDescent="0.3">
      <c r="I660" s="7"/>
      <c r="J660" s="9"/>
      <c r="K660" s="9"/>
      <c r="L660" s="9"/>
      <c r="M660" s="9"/>
      <c r="N660" s="4"/>
    </row>
    <row r="661" spans="9:14" x14ac:dyDescent="0.3">
      <c r="I661" s="7"/>
      <c r="J661" s="9"/>
      <c r="K661" s="9"/>
      <c r="L661" s="9"/>
      <c r="M661" s="9"/>
      <c r="N661" s="4"/>
    </row>
    <row r="662" spans="9:14" x14ac:dyDescent="0.3">
      <c r="I662" s="7"/>
      <c r="J662" s="9"/>
      <c r="K662" s="9"/>
      <c r="L662" s="9"/>
      <c r="M662" s="9"/>
      <c r="N662" s="4"/>
    </row>
    <row r="663" spans="9:14" x14ac:dyDescent="0.3">
      <c r="I663" s="7"/>
      <c r="J663" s="9"/>
      <c r="K663" s="9"/>
      <c r="L663" s="9"/>
      <c r="M663" s="9"/>
      <c r="N663" s="4"/>
    </row>
    <row r="664" spans="9:14" x14ac:dyDescent="0.3">
      <c r="I664" s="7"/>
      <c r="J664" s="9"/>
      <c r="K664" s="9"/>
      <c r="L664" s="9"/>
      <c r="M664" s="9"/>
      <c r="N664" s="4"/>
    </row>
    <row r="665" spans="9:14" x14ac:dyDescent="0.3">
      <c r="I665" s="7"/>
      <c r="J665" s="9"/>
      <c r="K665" s="9"/>
      <c r="L665" s="9"/>
      <c r="M665" s="9"/>
      <c r="N665" s="4"/>
    </row>
    <row r="666" spans="9:14" x14ac:dyDescent="0.3">
      <c r="I666" s="7"/>
      <c r="J666" s="9"/>
      <c r="K666" s="9"/>
      <c r="L666" s="9"/>
      <c r="M666" s="9"/>
      <c r="N666" s="4"/>
    </row>
    <row r="667" spans="9:14" x14ac:dyDescent="0.3">
      <c r="I667" s="7"/>
      <c r="J667" s="9"/>
      <c r="K667" s="9"/>
      <c r="L667" s="9"/>
      <c r="M667" s="9"/>
      <c r="N667" s="4"/>
    </row>
    <row r="668" spans="9:14" x14ac:dyDescent="0.3">
      <c r="I668" s="7"/>
      <c r="J668" s="9"/>
      <c r="K668" s="9"/>
      <c r="L668" s="9"/>
      <c r="M668" s="9"/>
      <c r="N668" s="4"/>
    </row>
    <row r="669" spans="9:14" x14ac:dyDescent="0.3">
      <c r="I669" s="7"/>
      <c r="J669" s="9"/>
      <c r="K669" s="9"/>
      <c r="L669" s="9"/>
      <c r="M669" s="9"/>
      <c r="N669" s="4"/>
    </row>
    <row r="670" spans="9:14" x14ac:dyDescent="0.3">
      <c r="I670" s="7"/>
      <c r="J670" s="9"/>
      <c r="K670" s="9"/>
      <c r="L670" s="9"/>
      <c r="M670" s="9"/>
      <c r="N670" s="4"/>
    </row>
    <row r="671" spans="9:14" x14ac:dyDescent="0.3">
      <c r="I671" s="7"/>
      <c r="J671" s="9"/>
      <c r="K671" s="9"/>
      <c r="L671" s="9"/>
      <c r="M671" s="9"/>
      <c r="N671" s="4"/>
    </row>
    <row r="672" spans="9:14" x14ac:dyDescent="0.3">
      <c r="I672" s="7"/>
      <c r="J672" s="9"/>
      <c r="K672" s="9"/>
      <c r="L672" s="9"/>
      <c r="M672" s="9"/>
      <c r="N672" s="4"/>
    </row>
    <row r="673" spans="9:14" x14ac:dyDescent="0.3">
      <c r="I673" s="7"/>
      <c r="J673" s="9"/>
      <c r="K673" s="9"/>
      <c r="L673" s="9"/>
      <c r="M673" s="9"/>
      <c r="N673" s="4"/>
    </row>
    <row r="674" spans="9:14" x14ac:dyDescent="0.3">
      <c r="I674" s="7"/>
      <c r="J674" s="9"/>
      <c r="K674" s="9"/>
      <c r="L674" s="9"/>
      <c r="M674" s="9"/>
      <c r="N674" s="4"/>
    </row>
    <row r="675" spans="9:14" x14ac:dyDescent="0.3">
      <c r="I675" s="7"/>
      <c r="J675" s="9"/>
      <c r="K675" s="9"/>
      <c r="L675" s="9"/>
      <c r="M675" s="9"/>
      <c r="N675" s="4"/>
    </row>
    <row r="676" spans="9:14" x14ac:dyDescent="0.3">
      <c r="I676" s="7"/>
      <c r="J676" s="9"/>
      <c r="K676" s="9"/>
      <c r="L676" s="9"/>
      <c r="M676" s="9"/>
      <c r="N676" s="4"/>
    </row>
    <row r="677" spans="9:14" x14ac:dyDescent="0.3">
      <c r="I677" s="7"/>
      <c r="J677" s="9"/>
      <c r="K677" s="9"/>
      <c r="L677" s="9"/>
      <c r="M677" s="9"/>
      <c r="N677" s="4"/>
    </row>
    <row r="678" spans="9:14" x14ac:dyDescent="0.3">
      <c r="I678" s="7"/>
      <c r="J678" s="9"/>
      <c r="K678" s="9"/>
      <c r="L678" s="9"/>
      <c r="M678" s="9"/>
      <c r="N678" s="4"/>
    </row>
    <row r="679" spans="9:14" x14ac:dyDescent="0.3">
      <c r="I679" s="7"/>
      <c r="J679" s="9"/>
      <c r="K679" s="9"/>
      <c r="L679" s="9"/>
      <c r="M679" s="9"/>
      <c r="N679" s="4"/>
    </row>
    <row r="680" spans="9:14" x14ac:dyDescent="0.3">
      <c r="I680" s="7"/>
      <c r="J680" s="9"/>
      <c r="K680" s="9"/>
      <c r="L680" s="9"/>
      <c r="M680" s="9"/>
      <c r="N680" s="4"/>
    </row>
    <row r="681" spans="9:14" x14ac:dyDescent="0.3">
      <c r="I681" s="7"/>
      <c r="J681" s="9"/>
      <c r="K681" s="9"/>
      <c r="L681" s="9"/>
      <c r="M681" s="9"/>
      <c r="N681" s="4"/>
    </row>
    <row r="682" spans="9:14" x14ac:dyDescent="0.3">
      <c r="I682" s="7"/>
      <c r="J682" s="9"/>
      <c r="K682" s="9"/>
      <c r="L682" s="9"/>
      <c r="M682" s="9"/>
      <c r="N682" s="4"/>
    </row>
    <row r="683" spans="9:14" x14ac:dyDescent="0.3">
      <c r="I683" s="7"/>
      <c r="J683" s="9"/>
      <c r="K683" s="9"/>
      <c r="L683" s="9"/>
      <c r="M683" s="9"/>
      <c r="N683" s="4"/>
    </row>
    <row r="684" spans="9:14" x14ac:dyDescent="0.3">
      <c r="I684" s="7"/>
      <c r="J684" s="9"/>
      <c r="K684" s="9"/>
      <c r="L684" s="9"/>
      <c r="M684" s="9"/>
      <c r="N684" s="4"/>
    </row>
    <row r="685" spans="9:14" x14ac:dyDescent="0.3">
      <c r="I685" s="7"/>
      <c r="J685" s="9"/>
      <c r="K685" s="9"/>
      <c r="L685" s="9"/>
      <c r="M685" s="9"/>
      <c r="N685" s="4"/>
    </row>
    <row r="686" spans="9:14" x14ac:dyDescent="0.3">
      <c r="I686" s="7"/>
      <c r="J686" s="9"/>
      <c r="K686" s="9"/>
      <c r="L686" s="9"/>
      <c r="M686" s="9"/>
      <c r="N686" s="4"/>
    </row>
    <row r="687" spans="9:14" x14ac:dyDescent="0.3">
      <c r="I687" s="7"/>
      <c r="J687" s="9"/>
      <c r="K687" s="9"/>
      <c r="L687" s="9"/>
      <c r="M687" s="9"/>
      <c r="N687" s="4"/>
    </row>
    <row r="688" spans="9:14" x14ac:dyDescent="0.3">
      <c r="I688" s="7"/>
      <c r="J688" s="9"/>
      <c r="K688" s="9"/>
      <c r="L688" s="9"/>
      <c r="M688" s="9"/>
      <c r="N688" s="4"/>
    </row>
    <row r="689" spans="9:14" x14ac:dyDescent="0.3">
      <c r="I689" s="7"/>
      <c r="J689" s="9"/>
      <c r="K689" s="9"/>
      <c r="L689" s="9"/>
      <c r="M689" s="9"/>
      <c r="N689" s="4"/>
    </row>
    <row r="690" spans="9:14" x14ac:dyDescent="0.3">
      <c r="I690" s="7"/>
      <c r="J690" s="9"/>
      <c r="K690" s="9"/>
      <c r="L690" s="9"/>
      <c r="M690" s="9"/>
      <c r="N690" s="4"/>
    </row>
    <row r="691" spans="9:14" x14ac:dyDescent="0.3">
      <c r="I691" s="7"/>
      <c r="J691" s="9"/>
      <c r="K691" s="9"/>
      <c r="L691" s="9"/>
      <c r="M691" s="9"/>
      <c r="N691" s="4"/>
    </row>
    <row r="692" spans="9:14" x14ac:dyDescent="0.3">
      <c r="I692" s="7"/>
      <c r="J692" s="9"/>
      <c r="K692" s="9"/>
      <c r="L692" s="9"/>
      <c r="M692" s="9"/>
      <c r="N692" s="4"/>
    </row>
    <row r="693" spans="9:14" x14ac:dyDescent="0.3">
      <c r="I693" s="7"/>
      <c r="J693" s="9"/>
      <c r="K693" s="9"/>
      <c r="L693" s="9"/>
      <c r="M693" s="9"/>
      <c r="N693" s="4"/>
    </row>
    <row r="694" spans="9:14" x14ac:dyDescent="0.3">
      <c r="I694" s="7"/>
      <c r="J694" s="9"/>
      <c r="K694" s="9"/>
      <c r="L694" s="9"/>
      <c r="M694" s="9"/>
      <c r="N694" s="4"/>
    </row>
    <row r="695" spans="9:14" x14ac:dyDescent="0.3">
      <c r="I695" s="7"/>
      <c r="J695" s="9"/>
      <c r="K695" s="9"/>
      <c r="L695" s="9"/>
      <c r="M695" s="9"/>
      <c r="N695" s="4"/>
    </row>
    <row r="696" spans="9:14" x14ac:dyDescent="0.3">
      <c r="I696" s="7"/>
      <c r="J696" s="9"/>
      <c r="K696" s="9"/>
      <c r="L696" s="9"/>
      <c r="M696" s="9"/>
      <c r="N696" s="4"/>
    </row>
    <row r="697" spans="9:14" x14ac:dyDescent="0.3">
      <c r="I697" s="7"/>
      <c r="J697" s="9"/>
      <c r="K697" s="9"/>
      <c r="L697" s="9"/>
      <c r="M697" s="9"/>
      <c r="N697" s="4"/>
    </row>
    <row r="698" spans="9:14" x14ac:dyDescent="0.3">
      <c r="I698" s="7"/>
      <c r="J698" s="9"/>
      <c r="K698" s="9"/>
      <c r="L698" s="9"/>
      <c r="M698" s="9"/>
      <c r="N698" s="4"/>
    </row>
    <row r="699" spans="9:14" x14ac:dyDescent="0.3">
      <c r="I699" s="7"/>
      <c r="J699" s="9"/>
      <c r="K699" s="9"/>
      <c r="L699" s="9"/>
      <c r="M699" s="9"/>
      <c r="N699" s="4"/>
    </row>
    <row r="700" spans="9:14" x14ac:dyDescent="0.3">
      <c r="I700" s="7"/>
      <c r="J700" s="9"/>
      <c r="K700" s="9"/>
      <c r="L700" s="9"/>
      <c r="M700" s="9"/>
      <c r="N700" s="4"/>
    </row>
    <row r="701" spans="9:14" x14ac:dyDescent="0.3">
      <c r="I701" s="7"/>
      <c r="J701" s="9"/>
      <c r="K701" s="9"/>
      <c r="L701" s="9"/>
      <c r="M701" s="9"/>
      <c r="N701" s="4"/>
    </row>
    <row r="702" spans="9:14" x14ac:dyDescent="0.3">
      <c r="I702" s="7"/>
      <c r="J702" s="9"/>
      <c r="K702" s="9"/>
      <c r="L702" s="9"/>
      <c r="M702" s="9"/>
      <c r="N702" s="4"/>
    </row>
    <row r="703" spans="9:14" x14ac:dyDescent="0.3">
      <c r="I703" s="7"/>
      <c r="J703" s="9"/>
      <c r="K703" s="9"/>
      <c r="L703" s="9"/>
      <c r="M703" s="9"/>
      <c r="N703" s="4"/>
    </row>
    <row r="704" spans="9:14" x14ac:dyDescent="0.3">
      <c r="I704" s="7"/>
      <c r="J704" s="9"/>
      <c r="K704" s="9"/>
      <c r="L704" s="9"/>
      <c r="M704" s="9"/>
      <c r="N704" s="4"/>
    </row>
    <row r="705" spans="9:14" x14ac:dyDescent="0.3">
      <c r="I705" s="7"/>
      <c r="J705" s="9"/>
      <c r="K705" s="9"/>
      <c r="L705" s="9"/>
      <c r="M705" s="9"/>
      <c r="N705" s="4"/>
    </row>
    <row r="706" spans="9:14" x14ac:dyDescent="0.3">
      <c r="I706" s="7"/>
      <c r="J706" s="9"/>
      <c r="K706" s="9"/>
      <c r="L706" s="9"/>
      <c r="M706" s="9"/>
      <c r="N706" s="4"/>
    </row>
    <row r="707" spans="9:14" x14ac:dyDescent="0.3">
      <c r="I707" s="7"/>
      <c r="J707" s="9"/>
      <c r="K707" s="9"/>
      <c r="L707" s="9"/>
      <c r="M707" s="9"/>
      <c r="N707" s="4"/>
    </row>
    <row r="708" spans="9:14" x14ac:dyDescent="0.3">
      <c r="I708" s="7"/>
      <c r="J708" s="9"/>
      <c r="K708" s="9"/>
      <c r="L708" s="9"/>
      <c r="M708" s="9"/>
      <c r="N708" s="4"/>
    </row>
    <row r="709" spans="9:14" x14ac:dyDescent="0.3">
      <c r="I709" s="7"/>
      <c r="J709" s="9"/>
      <c r="K709" s="9"/>
      <c r="L709" s="9"/>
      <c r="M709" s="9"/>
      <c r="N709" s="4"/>
    </row>
    <row r="710" spans="9:14" x14ac:dyDescent="0.3">
      <c r="I710" s="7"/>
      <c r="J710" s="9"/>
      <c r="K710" s="9"/>
      <c r="L710" s="9"/>
      <c r="M710" s="9"/>
      <c r="N710" s="4"/>
    </row>
    <row r="711" spans="9:14" x14ac:dyDescent="0.3">
      <c r="I711" s="7"/>
      <c r="J711" s="9"/>
      <c r="K711" s="9"/>
      <c r="L711" s="9"/>
      <c r="M711" s="9"/>
      <c r="N711" s="4"/>
    </row>
    <row r="712" spans="9:14" x14ac:dyDescent="0.3">
      <c r="I712" s="7"/>
      <c r="J712" s="9"/>
      <c r="K712" s="9"/>
      <c r="L712" s="9"/>
      <c r="M712" s="9"/>
      <c r="N712" s="4"/>
    </row>
    <row r="713" spans="9:14" x14ac:dyDescent="0.3">
      <c r="I713" s="7"/>
      <c r="J713" s="9"/>
      <c r="K713" s="9"/>
      <c r="L713" s="9"/>
      <c r="M713" s="9"/>
      <c r="N713" s="4"/>
    </row>
    <row r="714" spans="9:14" x14ac:dyDescent="0.3">
      <c r="I714" s="7"/>
      <c r="J714" s="9"/>
      <c r="K714" s="9"/>
      <c r="L714" s="9"/>
      <c r="M714" s="9"/>
      <c r="N714" s="4"/>
    </row>
    <row r="715" spans="9:14" x14ac:dyDescent="0.3">
      <c r="I715" s="7"/>
      <c r="J715" s="9"/>
      <c r="K715" s="9"/>
      <c r="L715" s="9"/>
      <c r="M715" s="9"/>
      <c r="N715" s="4"/>
    </row>
    <row r="716" spans="9:14" x14ac:dyDescent="0.3">
      <c r="I716" s="7"/>
      <c r="J716" s="9"/>
      <c r="K716" s="9"/>
      <c r="L716" s="9"/>
      <c r="M716" s="9"/>
      <c r="N716" s="4"/>
    </row>
    <row r="717" spans="9:14" x14ac:dyDescent="0.3">
      <c r="I717" s="7"/>
      <c r="J717" s="9"/>
      <c r="K717" s="9"/>
      <c r="L717" s="9"/>
      <c r="M717" s="9"/>
      <c r="N717" s="4"/>
    </row>
    <row r="718" spans="9:14" x14ac:dyDescent="0.3">
      <c r="I718" s="7"/>
      <c r="J718" s="9"/>
      <c r="K718" s="9"/>
      <c r="L718" s="9"/>
      <c r="M718" s="9"/>
      <c r="N718" s="4"/>
    </row>
    <row r="719" spans="9:14" x14ac:dyDescent="0.3">
      <c r="I719" s="7"/>
      <c r="J719" s="9"/>
      <c r="K719" s="9"/>
      <c r="L719" s="9"/>
      <c r="M719" s="9"/>
      <c r="N719" s="4"/>
    </row>
    <row r="720" spans="9:14" x14ac:dyDescent="0.3">
      <c r="I720" s="7"/>
      <c r="J720" s="9"/>
      <c r="K720" s="9"/>
      <c r="L720" s="9"/>
      <c r="M720" s="9"/>
      <c r="N720" s="4"/>
    </row>
    <row r="721" spans="9:14" x14ac:dyDescent="0.3">
      <c r="I721" s="7"/>
      <c r="J721" s="9"/>
      <c r="K721" s="9"/>
      <c r="L721" s="9"/>
      <c r="M721" s="9"/>
      <c r="N721" s="4"/>
    </row>
    <row r="722" spans="9:14" x14ac:dyDescent="0.3">
      <c r="I722" s="7"/>
      <c r="J722" s="9"/>
      <c r="K722" s="9"/>
      <c r="L722" s="9"/>
      <c r="M722" s="9"/>
      <c r="N722" s="4"/>
    </row>
    <row r="723" spans="9:14" x14ac:dyDescent="0.3">
      <c r="I723" s="7"/>
      <c r="J723" s="9"/>
      <c r="K723" s="9"/>
      <c r="L723" s="9"/>
      <c r="M723" s="9"/>
      <c r="N723" s="4"/>
    </row>
    <row r="724" spans="9:14" x14ac:dyDescent="0.3">
      <c r="I724" s="7"/>
      <c r="J724" s="9"/>
      <c r="K724" s="9"/>
      <c r="L724" s="9"/>
      <c r="M724" s="9"/>
      <c r="N724" s="4"/>
    </row>
    <row r="725" spans="9:14" x14ac:dyDescent="0.3">
      <c r="I725" s="7"/>
      <c r="J725" s="9"/>
      <c r="K725" s="9"/>
      <c r="L725" s="9"/>
      <c r="M725" s="9"/>
      <c r="N725" s="4"/>
    </row>
    <row r="726" spans="9:14" x14ac:dyDescent="0.3">
      <c r="I726" s="7"/>
      <c r="J726" s="9"/>
      <c r="K726" s="9"/>
      <c r="L726" s="9"/>
      <c r="M726" s="9"/>
      <c r="N726" s="4"/>
    </row>
    <row r="727" spans="9:14" x14ac:dyDescent="0.3">
      <c r="I727" s="7"/>
      <c r="J727" s="9"/>
      <c r="K727" s="9"/>
      <c r="L727" s="9"/>
      <c r="M727" s="9"/>
      <c r="N727" s="4"/>
    </row>
    <row r="728" spans="9:14" x14ac:dyDescent="0.3">
      <c r="I728" s="7"/>
      <c r="J728" s="9"/>
      <c r="K728" s="9"/>
      <c r="L728" s="9"/>
      <c r="M728" s="9"/>
      <c r="N728" s="4"/>
    </row>
    <row r="729" spans="9:14" x14ac:dyDescent="0.3">
      <c r="I729" s="7"/>
      <c r="J729" s="9"/>
      <c r="K729" s="9"/>
      <c r="L729" s="9"/>
      <c r="M729" s="9"/>
      <c r="N729" s="4"/>
    </row>
    <row r="730" spans="9:14" x14ac:dyDescent="0.3">
      <c r="I730" s="7"/>
      <c r="J730" s="9"/>
      <c r="K730" s="9"/>
      <c r="L730" s="9"/>
      <c r="M730" s="9"/>
      <c r="N730" s="4"/>
    </row>
    <row r="731" spans="9:14" x14ac:dyDescent="0.3">
      <c r="I731" s="7"/>
      <c r="J731" s="9"/>
      <c r="K731" s="9"/>
      <c r="L731" s="9"/>
      <c r="M731" s="9"/>
      <c r="N731" s="4"/>
    </row>
    <row r="732" spans="9:14" x14ac:dyDescent="0.3">
      <c r="I732" s="7"/>
      <c r="J732" s="9"/>
      <c r="K732" s="9"/>
      <c r="L732" s="9"/>
      <c r="M732" s="9"/>
      <c r="N732" s="4"/>
    </row>
    <row r="733" spans="9:14" x14ac:dyDescent="0.3">
      <c r="I733" s="7"/>
      <c r="J733" s="9"/>
      <c r="K733" s="9"/>
      <c r="L733" s="9"/>
      <c r="M733" s="9"/>
      <c r="N733" s="4"/>
    </row>
    <row r="734" spans="9:14" x14ac:dyDescent="0.3">
      <c r="I734" s="7"/>
      <c r="J734" s="9"/>
      <c r="K734" s="9"/>
      <c r="L734" s="9"/>
      <c r="M734" s="9"/>
      <c r="N734" s="4"/>
    </row>
    <row r="735" spans="9:14" x14ac:dyDescent="0.3">
      <c r="I735" s="7"/>
      <c r="J735" s="9"/>
      <c r="K735" s="9"/>
      <c r="L735" s="9"/>
      <c r="M735" s="9"/>
      <c r="N735" s="4"/>
    </row>
    <row r="736" spans="9:14" x14ac:dyDescent="0.3">
      <c r="I736" s="7"/>
      <c r="J736" s="9"/>
      <c r="K736" s="9"/>
      <c r="L736" s="9"/>
      <c r="M736" s="9"/>
      <c r="N736" s="4"/>
    </row>
    <row r="737" spans="9:14" x14ac:dyDescent="0.3">
      <c r="I737" s="7"/>
      <c r="J737" s="9"/>
      <c r="K737" s="9"/>
      <c r="L737" s="9"/>
      <c r="M737" s="9"/>
      <c r="N737" s="4"/>
    </row>
    <row r="738" spans="9:14" x14ac:dyDescent="0.3">
      <c r="I738" s="7"/>
      <c r="J738" s="9"/>
      <c r="K738" s="9"/>
      <c r="L738" s="9"/>
      <c r="M738" s="9"/>
      <c r="N738" s="4"/>
    </row>
    <row r="739" spans="9:14" x14ac:dyDescent="0.3">
      <c r="I739" s="7"/>
      <c r="J739" s="9"/>
      <c r="K739" s="9"/>
      <c r="L739" s="9"/>
      <c r="M739" s="9"/>
      <c r="N739" s="4"/>
    </row>
    <row r="740" spans="9:14" x14ac:dyDescent="0.3">
      <c r="I740" s="7"/>
      <c r="J740" s="9"/>
      <c r="K740" s="9"/>
      <c r="L740" s="9"/>
      <c r="M740" s="9"/>
      <c r="N740" s="4"/>
    </row>
    <row r="741" spans="9:14" x14ac:dyDescent="0.3">
      <c r="I741" s="7"/>
      <c r="J741" s="9"/>
      <c r="K741" s="9"/>
      <c r="L741" s="9"/>
      <c r="M741" s="9"/>
      <c r="N741" s="4"/>
    </row>
    <row r="742" spans="9:14" x14ac:dyDescent="0.3">
      <c r="I742" s="7"/>
      <c r="J742" s="9"/>
      <c r="K742" s="9"/>
      <c r="L742" s="9"/>
      <c r="M742" s="9"/>
      <c r="N742" s="4"/>
    </row>
    <row r="743" spans="9:14" x14ac:dyDescent="0.3">
      <c r="I743" s="7"/>
      <c r="J743" s="9"/>
      <c r="K743" s="9"/>
      <c r="L743" s="9"/>
      <c r="M743" s="9"/>
      <c r="N743" s="4"/>
    </row>
    <row r="744" spans="9:14" x14ac:dyDescent="0.3">
      <c r="I744" s="7"/>
      <c r="J744" s="9"/>
      <c r="K744" s="9"/>
      <c r="L744" s="9"/>
      <c r="M744" s="9"/>
      <c r="N744" s="4"/>
    </row>
    <row r="745" spans="9:14" x14ac:dyDescent="0.3">
      <c r="I745" s="7"/>
      <c r="J745" s="9"/>
      <c r="K745" s="9"/>
      <c r="L745" s="9"/>
      <c r="M745" s="9"/>
      <c r="N745" s="4"/>
    </row>
    <row r="746" spans="9:14" x14ac:dyDescent="0.3">
      <c r="I746" s="7"/>
      <c r="J746" s="9"/>
      <c r="K746" s="9"/>
      <c r="L746" s="9"/>
      <c r="M746" s="9"/>
      <c r="N746" s="4"/>
    </row>
    <row r="747" spans="9:14" x14ac:dyDescent="0.3">
      <c r="I747" s="7"/>
      <c r="J747" s="9"/>
      <c r="K747" s="9"/>
      <c r="L747" s="9"/>
      <c r="M747" s="9"/>
      <c r="N747" s="4"/>
    </row>
    <row r="748" spans="9:14" x14ac:dyDescent="0.3">
      <c r="I748" s="7"/>
      <c r="J748" s="9"/>
      <c r="K748" s="9"/>
      <c r="L748" s="9"/>
      <c r="M748" s="9"/>
      <c r="N748" s="4"/>
    </row>
    <row r="749" spans="9:14" x14ac:dyDescent="0.3">
      <c r="I749" s="7"/>
      <c r="J749" s="9"/>
      <c r="K749" s="9"/>
      <c r="L749" s="9"/>
      <c r="M749" s="9"/>
      <c r="N749" s="4"/>
    </row>
    <row r="750" spans="9:14" x14ac:dyDescent="0.3">
      <c r="I750" s="7"/>
      <c r="J750" s="9"/>
      <c r="K750" s="9"/>
      <c r="L750" s="9"/>
      <c r="M750" s="9"/>
      <c r="N750" s="4"/>
    </row>
    <row r="751" spans="9:14" x14ac:dyDescent="0.3">
      <c r="I751" s="7"/>
      <c r="J751" s="9"/>
      <c r="K751" s="9"/>
      <c r="L751" s="9"/>
      <c r="M751" s="9"/>
      <c r="N751" s="4"/>
    </row>
    <row r="752" spans="9:14" x14ac:dyDescent="0.3">
      <c r="I752" s="7"/>
      <c r="J752" s="9"/>
      <c r="K752" s="9"/>
      <c r="L752" s="9"/>
      <c r="M752" s="9"/>
      <c r="N752" s="4"/>
    </row>
    <row r="753" spans="9:14" x14ac:dyDescent="0.3">
      <c r="I753" s="7"/>
      <c r="J753" s="9"/>
      <c r="K753" s="9"/>
      <c r="L753" s="9"/>
      <c r="M753" s="9"/>
      <c r="N753" s="4"/>
    </row>
    <row r="754" spans="9:14" x14ac:dyDescent="0.3">
      <c r="I754" s="7"/>
      <c r="J754" s="9"/>
      <c r="K754" s="9"/>
      <c r="L754" s="9"/>
      <c r="M754" s="9"/>
      <c r="N754" s="4"/>
    </row>
    <row r="755" spans="9:14" x14ac:dyDescent="0.3">
      <c r="I755" s="7"/>
      <c r="J755" s="9"/>
      <c r="K755" s="9"/>
      <c r="L755" s="9"/>
      <c r="M755" s="9"/>
      <c r="N755" s="4"/>
    </row>
    <row r="756" spans="9:14" x14ac:dyDescent="0.3">
      <c r="I756" s="7"/>
      <c r="J756" s="9"/>
      <c r="K756" s="9"/>
      <c r="L756" s="9"/>
      <c r="M756" s="9"/>
      <c r="N756" s="4"/>
    </row>
    <row r="757" spans="9:14" x14ac:dyDescent="0.3">
      <c r="I757" s="7"/>
      <c r="J757" s="9"/>
      <c r="K757" s="9"/>
      <c r="L757" s="9"/>
      <c r="M757" s="9"/>
      <c r="N757" s="4"/>
    </row>
    <row r="758" spans="9:14" x14ac:dyDescent="0.3">
      <c r="I758" s="7"/>
      <c r="J758" s="9"/>
      <c r="K758" s="9"/>
      <c r="L758" s="9"/>
      <c r="M758" s="9"/>
      <c r="N758" s="4"/>
    </row>
    <row r="759" spans="9:14" x14ac:dyDescent="0.3">
      <c r="I759" s="7"/>
      <c r="J759" s="9"/>
      <c r="K759" s="9"/>
      <c r="L759" s="9"/>
      <c r="M759" s="9"/>
      <c r="N759" s="4"/>
    </row>
    <row r="760" spans="9:14" x14ac:dyDescent="0.3">
      <c r="I760" s="7"/>
      <c r="J760" s="9"/>
      <c r="K760" s="9"/>
      <c r="L760" s="9"/>
      <c r="M760" s="9"/>
      <c r="N760" s="4"/>
    </row>
    <row r="761" spans="9:14" x14ac:dyDescent="0.3">
      <c r="I761" s="7"/>
      <c r="J761" s="9"/>
      <c r="K761" s="9"/>
      <c r="L761" s="9"/>
      <c r="M761" s="9"/>
      <c r="N761" s="4"/>
    </row>
    <row r="762" spans="9:14" x14ac:dyDescent="0.3">
      <c r="I762" s="7"/>
      <c r="J762" s="9"/>
      <c r="K762" s="9"/>
      <c r="L762" s="9"/>
      <c r="M762" s="9"/>
      <c r="N762" s="4"/>
    </row>
    <row r="763" spans="9:14" x14ac:dyDescent="0.3">
      <c r="I763" s="7"/>
      <c r="J763" s="9"/>
      <c r="K763" s="9"/>
      <c r="L763" s="9"/>
      <c r="M763" s="9"/>
      <c r="N763" s="4"/>
    </row>
    <row r="764" spans="9:14" x14ac:dyDescent="0.3">
      <c r="I764" s="7"/>
      <c r="J764" s="9"/>
      <c r="K764" s="9"/>
      <c r="L764" s="9"/>
      <c r="M764" s="9"/>
      <c r="N764" s="4"/>
    </row>
    <row r="765" spans="9:14" x14ac:dyDescent="0.3">
      <c r="I765" s="7"/>
      <c r="J765" s="9"/>
      <c r="K765" s="9"/>
      <c r="L765" s="9"/>
      <c r="M765" s="9"/>
      <c r="N765" s="4"/>
    </row>
    <row r="766" spans="9:14" x14ac:dyDescent="0.3">
      <c r="I766" s="7"/>
      <c r="J766" s="9"/>
      <c r="K766" s="9"/>
      <c r="L766" s="9"/>
      <c r="M766" s="9"/>
      <c r="N766" s="4"/>
    </row>
    <row r="767" spans="9:14" x14ac:dyDescent="0.3">
      <c r="I767" s="7"/>
      <c r="J767" s="9"/>
      <c r="K767" s="9"/>
      <c r="L767" s="9"/>
      <c r="M767" s="9"/>
      <c r="N767" s="4"/>
    </row>
    <row r="768" spans="9:14" x14ac:dyDescent="0.3">
      <c r="I768" s="7"/>
      <c r="J768" s="9"/>
      <c r="K768" s="9"/>
      <c r="L768" s="9"/>
      <c r="M768" s="9"/>
      <c r="N768" s="4"/>
    </row>
    <row r="769" spans="9:14" x14ac:dyDescent="0.3">
      <c r="I769" s="7"/>
      <c r="J769" s="9"/>
      <c r="K769" s="9"/>
      <c r="L769" s="9"/>
      <c r="M769" s="9"/>
      <c r="N769" s="4"/>
    </row>
    <row r="770" spans="9:14" x14ac:dyDescent="0.3">
      <c r="I770" s="7"/>
      <c r="J770" s="9"/>
      <c r="K770" s="9"/>
      <c r="L770" s="9"/>
      <c r="M770" s="9"/>
      <c r="N770" s="4"/>
    </row>
    <row r="771" spans="9:14" x14ac:dyDescent="0.3">
      <c r="I771" s="7"/>
      <c r="J771" s="9"/>
      <c r="K771" s="9"/>
      <c r="L771" s="9"/>
      <c r="M771" s="9"/>
      <c r="N771" s="4"/>
    </row>
    <row r="772" spans="9:14" x14ac:dyDescent="0.3">
      <c r="I772" s="7"/>
      <c r="J772" s="9"/>
      <c r="K772" s="9"/>
      <c r="L772" s="9"/>
      <c r="M772" s="9"/>
      <c r="N772" s="4"/>
    </row>
    <row r="773" spans="9:14" x14ac:dyDescent="0.3">
      <c r="I773" s="7"/>
      <c r="J773" s="9"/>
      <c r="K773" s="9"/>
      <c r="L773" s="9"/>
      <c r="M773" s="9"/>
      <c r="N773" s="4"/>
    </row>
    <row r="774" spans="9:14" x14ac:dyDescent="0.3">
      <c r="I774" s="7"/>
      <c r="J774" s="9"/>
      <c r="K774" s="9"/>
      <c r="L774" s="9"/>
      <c r="M774" s="9"/>
      <c r="N774" s="4"/>
    </row>
    <row r="775" spans="9:14" x14ac:dyDescent="0.3">
      <c r="I775" s="7"/>
      <c r="J775" s="9"/>
      <c r="K775" s="9"/>
      <c r="L775" s="9"/>
      <c r="M775" s="9"/>
      <c r="N775" s="4"/>
    </row>
    <row r="776" spans="9:14" x14ac:dyDescent="0.3">
      <c r="I776" s="7"/>
      <c r="J776" s="9"/>
      <c r="K776" s="9"/>
      <c r="L776" s="9"/>
      <c r="M776" s="9"/>
      <c r="N776" s="4"/>
    </row>
    <row r="777" spans="9:14" x14ac:dyDescent="0.3">
      <c r="I777" s="7"/>
      <c r="J777" s="9"/>
      <c r="K777" s="9"/>
      <c r="L777" s="9"/>
      <c r="M777" s="9"/>
      <c r="N777" s="4"/>
    </row>
    <row r="778" spans="9:14" x14ac:dyDescent="0.3">
      <c r="I778" s="7"/>
      <c r="J778" s="9"/>
      <c r="K778" s="9"/>
      <c r="L778" s="9"/>
      <c r="M778" s="9"/>
      <c r="N778" s="4"/>
    </row>
    <row r="779" spans="9:14" x14ac:dyDescent="0.3">
      <c r="I779" s="7"/>
      <c r="J779" s="9"/>
      <c r="K779" s="9"/>
      <c r="L779" s="9"/>
      <c r="M779" s="9"/>
      <c r="N779" s="4"/>
    </row>
    <row r="780" spans="9:14" x14ac:dyDescent="0.3">
      <c r="I780" s="7"/>
      <c r="J780" s="9"/>
      <c r="K780" s="9"/>
      <c r="L780" s="9"/>
      <c r="M780" s="9"/>
      <c r="N780" s="4"/>
    </row>
    <row r="781" spans="9:14" x14ac:dyDescent="0.3">
      <c r="I781" s="7"/>
      <c r="J781" s="9"/>
      <c r="K781" s="9"/>
      <c r="L781" s="9"/>
      <c r="M781" s="9"/>
      <c r="N781" s="4"/>
    </row>
    <row r="782" spans="9:14" x14ac:dyDescent="0.3">
      <c r="I782" s="7"/>
      <c r="J782" s="9"/>
      <c r="K782" s="9"/>
      <c r="L782" s="9"/>
      <c r="M782" s="9"/>
      <c r="N782" s="4"/>
    </row>
    <row r="783" spans="9:14" x14ac:dyDescent="0.3">
      <c r="I783" s="7"/>
      <c r="J783" s="9"/>
      <c r="K783" s="9"/>
      <c r="L783" s="9"/>
      <c r="M783" s="9"/>
      <c r="N783" s="4"/>
    </row>
    <row r="784" spans="9:14" x14ac:dyDescent="0.3">
      <c r="I784" s="7"/>
      <c r="J784" s="9"/>
      <c r="K784" s="9"/>
      <c r="L784" s="9"/>
      <c r="M784" s="9"/>
      <c r="N784" s="4"/>
    </row>
    <row r="785" spans="9:14" x14ac:dyDescent="0.3">
      <c r="I785" s="7"/>
      <c r="J785" s="9"/>
      <c r="K785" s="9"/>
      <c r="L785" s="9"/>
      <c r="M785" s="9"/>
      <c r="N785" s="4"/>
    </row>
    <row r="786" spans="9:14" x14ac:dyDescent="0.3">
      <c r="I786" s="7"/>
      <c r="J786" s="9"/>
      <c r="K786" s="9"/>
      <c r="L786" s="9"/>
      <c r="M786" s="9"/>
      <c r="N786" s="4"/>
    </row>
    <row r="787" spans="9:14" x14ac:dyDescent="0.3">
      <c r="I787" s="7"/>
      <c r="J787" s="9"/>
      <c r="K787" s="9"/>
      <c r="L787" s="9"/>
      <c r="M787" s="9"/>
      <c r="N787" s="4"/>
    </row>
    <row r="788" spans="9:14" x14ac:dyDescent="0.3">
      <c r="I788" s="7"/>
      <c r="J788" s="9"/>
      <c r="K788" s="9"/>
      <c r="L788" s="9"/>
      <c r="M788" s="9"/>
      <c r="N788" s="4"/>
    </row>
    <row r="789" spans="9:14" x14ac:dyDescent="0.3">
      <c r="I789" s="7"/>
      <c r="J789" s="9"/>
      <c r="K789" s="9"/>
      <c r="L789" s="9"/>
      <c r="M789" s="9"/>
      <c r="N789" s="4"/>
    </row>
    <row r="790" spans="9:14" x14ac:dyDescent="0.3">
      <c r="I790" s="7"/>
      <c r="J790" s="9"/>
      <c r="K790" s="9"/>
      <c r="L790" s="9"/>
      <c r="M790" s="9"/>
      <c r="N790" s="4"/>
    </row>
    <row r="791" spans="9:14" x14ac:dyDescent="0.3">
      <c r="I791" s="7"/>
      <c r="J791" s="9"/>
      <c r="K791" s="9"/>
      <c r="L791" s="9"/>
      <c r="M791" s="9"/>
      <c r="N791" s="4"/>
    </row>
    <row r="792" spans="9:14" x14ac:dyDescent="0.3">
      <c r="I792" s="7"/>
      <c r="J792" s="9"/>
      <c r="K792" s="9"/>
      <c r="L792" s="9"/>
      <c r="M792" s="9"/>
      <c r="N792" s="4"/>
    </row>
    <row r="793" spans="9:14" x14ac:dyDescent="0.3">
      <c r="I793" s="7"/>
      <c r="J793" s="9"/>
      <c r="K793" s="9"/>
      <c r="L793" s="9"/>
      <c r="M793" s="9"/>
      <c r="N793" s="4"/>
    </row>
    <row r="794" spans="9:14" x14ac:dyDescent="0.3">
      <c r="I794" s="7"/>
      <c r="J794" s="9"/>
      <c r="K794" s="9"/>
      <c r="L794" s="9"/>
      <c r="M794" s="9"/>
      <c r="N794" s="4"/>
    </row>
    <row r="795" spans="9:14" x14ac:dyDescent="0.3">
      <c r="I795" s="7"/>
      <c r="J795" s="9"/>
      <c r="K795" s="9"/>
      <c r="L795" s="9"/>
      <c r="M795" s="9"/>
      <c r="N795" s="4"/>
    </row>
    <row r="796" spans="9:14" x14ac:dyDescent="0.3">
      <c r="I796" s="7"/>
      <c r="J796" s="9"/>
      <c r="K796" s="9"/>
      <c r="L796" s="9"/>
      <c r="M796" s="9"/>
      <c r="N796" s="4"/>
    </row>
    <row r="797" spans="9:14" x14ac:dyDescent="0.3">
      <c r="I797" s="7"/>
      <c r="J797" s="9"/>
      <c r="K797" s="9"/>
      <c r="L797" s="9"/>
      <c r="M797" s="9"/>
      <c r="N797" s="4"/>
    </row>
    <row r="798" spans="9:14" x14ac:dyDescent="0.3">
      <c r="I798" s="7"/>
      <c r="J798" s="9"/>
      <c r="K798" s="9"/>
      <c r="L798" s="9"/>
      <c r="M798" s="9"/>
      <c r="N798" s="4"/>
    </row>
    <row r="799" spans="9:14" x14ac:dyDescent="0.3">
      <c r="I799" s="7"/>
      <c r="J799" s="9"/>
      <c r="K799" s="9"/>
      <c r="L799" s="9"/>
      <c r="M799" s="9"/>
      <c r="N799" s="4"/>
    </row>
    <row r="800" spans="9:14" x14ac:dyDescent="0.3">
      <c r="I800" s="7"/>
      <c r="J800" s="9"/>
      <c r="K800" s="9"/>
      <c r="L800" s="9"/>
      <c r="M800" s="9"/>
      <c r="N800" s="4"/>
    </row>
    <row r="801" spans="9:14" x14ac:dyDescent="0.3">
      <c r="I801" s="7"/>
      <c r="J801" s="9"/>
      <c r="K801" s="9"/>
      <c r="L801" s="9"/>
      <c r="M801" s="9"/>
      <c r="N801" s="4"/>
    </row>
    <row r="802" spans="9:14" x14ac:dyDescent="0.3">
      <c r="I802" s="7"/>
      <c r="J802" s="9"/>
      <c r="K802" s="9"/>
      <c r="L802" s="9"/>
      <c r="M802" s="9"/>
      <c r="N802" s="4"/>
    </row>
    <row r="803" spans="9:14" x14ac:dyDescent="0.3">
      <c r="I803" s="7"/>
      <c r="J803" s="9"/>
      <c r="K803" s="9"/>
      <c r="L803" s="9"/>
      <c r="M803" s="9"/>
      <c r="N803" s="4"/>
    </row>
    <row r="804" spans="9:14" x14ac:dyDescent="0.3">
      <c r="I804" s="7"/>
      <c r="J804" s="9"/>
      <c r="K804" s="9"/>
      <c r="L804" s="9"/>
      <c r="M804" s="9"/>
      <c r="N804" s="4"/>
    </row>
    <row r="805" spans="9:14" x14ac:dyDescent="0.3">
      <c r="I805" s="7"/>
      <c r="J805" s="9"/>
      <c r="K805" s="9"/>
      <c r="L805" s="9"/>
      <c r="M805" s="9"/>
      <c r="N805" s="4"/>
    </row>
    <row r="806" spans="9:14" x14ac:dyDescent="0.3">
      <c r="I806" s="7"/>
      <c r="J806" s="9"/>
      <c r="K806" s="9"/>
      <c r="L806" s="9"/>
      <c r="M806" s="9"/>
      <c r="N806" s="4"/>
    </row>
    <row r="807" spans="9:14" x14ac:dyDescent="0.3">
      <c r="I807" s="7"/>
      <c r="J807" s="9"/>
      <c r="K807" s="9"/>
      <c r="L807" s="9"/>
      <c r="M807" s="9"/>
      <c r="N807" s="4"/>
    </row>
    <row r="808" spans="9:14" x14ac:dyDescent="0.3">
      <c r="I808" s="7"/>
      <c r="J808" s="9"/>
      <c r="K808" s="9"/>
      <c r="L808" s="9"/>
      <c r="M808" s="9"/>
      <c r="N808" s="4"/>
    </row>
    <row r="809" spans="9:14" x14ac:dyDescent="0.3">
      <c r="I809" s="7"/>
      <c r="J809" s="9"/>
      <c r="K809" s="9"/>
      <c r="L809" s="9"/>
      <c r="M809" s="9"/>
      <c r="N809" s="4"/>
    </row>
    <row r="810" spans="9:14" x14ac:dyDescent="0.3">
      <c r="I810" s="7"/>
      <c r="J810" s="9"/>
      <c r="K810" s="9"/>
      <c r="L810" s="9"/>
      <c r="M810" s="9"/>
      <c r="N810" s="4"/>
    </row>
    <row r="811" spans="9:14" x14ac:dyDescent="0.3">
      <c r="I811" s="7"/>
      <c r="J811" s="9"/>
      <c r="K811" s="9"/>
      <c r="L811" s="9"/>
      <c r="M811" s="9"/>
      <c r="N811" s="4"/>
    </row>
    <row r="812" spans="9:14" x14ac:dyDescent="0.3">
      <c r="I812" s="7"/>
      <c r="J812" s="9"/>
      <c r="K812" s="9"/>
      <c r="L812" s="9"/>
      <c r="M812" s="9"/>
      <c r="N812" s="4"/>
    </row>
    <row r="813" spans="9:14" x14ac:dyDescent="0.3">
      <c r="I813" s="7"/>
      <c r="J813" s="9"/>
      <c r="K813" s="9"/>
      <c r="L813" s="9"/>
      <c r="M813" s="9"/>
      <c r="N813" s="4"/>
    </row>
    <row r="814" spans="9:14" x14ac:dyDescent="0.3">
      <c r="I814" s="7"/>
      <c r="J814" s="9"/>
      <c r="K814" s="9"/>
      <c r="L814" s="9"/>
      <c r="M814" s="9"/>
      <c r="N814" s="4"/>
    </row>
    <row r="815" spans="9:14" x14ac:dyDescent="0.3">
      <c r="I815" s="7"/>
      <c r="J815" s="9"/>
      <c r="K815" s="9"/>
      <c r="L815" s="9"/>
      <c r="M815" s="9"/>
      <c r="N815" s="4"/>
    </row>
    <row r="816" spans="9:14" x14ac:dyDescent="0.3">
      <c r="I816" s="7"/>
      <c r="J816" s="9"/>
      <c r="K816" s="9"/>
      <c r="L816" s="9"/>
      <c r="M816" s="9"/>
      <c r="N816" s="4"/>
    </row>
    <row r="817" spans="9:14" x14ac:dyDescent="0.3">
      <c r="I817" s="7"/>
      <c r="J817" s="9"/>
      <c r="K817" s="9"/>
      <c r="L817" s="9"/>
      <c r="M817" s="9"/>
      <c r="N817" s="4"/>
    </row>
    <row r="818" spans="9:14" x14ac:dyDescent="0.3">
      <c r="I818" s="7"/>
      <c r="J818" s="9"/>
      <c r="K818" s="9"/>
      <c r="L818" s="9"/>
      <c r="M818" s="9"/>
      <c r="N818" s="4"/>
    </row>
    <row r="819" spans="9:14" x14ac:dyDescent="0.3">
      <c r="I819" s="7"/>
      <c r="J819" s="9"/>
      <c r="K819" s="9"/>
      <c r="L819" s="9"/>
      <c r="M819" s="9"/>
      <c r="N819" s="4"/>
    </row>
    <row r="820" spans="9:14" x14ac:dyDescent="0.3">
      <c r="I820" s="7"/>
      <c r="J820" s="9"/>
      <c r="K820" s="9"/>
      <c r="L820" s="9"/>
      <c r="M820" s="9"/>
      <c r="N820" s="4"/>
    </row>
    <row r="821" spans="9:14" x14ac:dyDescent="0.3">
      <c r="I821" s="7"/>
      <c r="J821" s="9"/>
      <c r="K821" s="9"/>
      <c r="L821" s="9"/>
      <c r="M821" s="9"/>
      <c r="N821" s="4"/>
    </row>
    <row r="822" spans="9:14" x14ac:dyDescent="0.3">
      <c r="I822" s="7"/>
      <c r="J822" s="9"/>
      <c r="K822" s="9"/>
      <c r="L822" s="9"/>
      <c r="M822" s="9"/>
      <c r="N822" s="4"/>
    </row>
    <row r="823" spans="9:14" x14ac:dyDescent="0.3">
      <c r="I823" s="7"/>
      <c r="J823" s="9"/>
      <c r="K823" s="9"/>
      <c r="L823" s="9"/>
      <c r="M823" s="9"/>
      <c r="N823" s="4"/>
    </row>
    <row r="824" spans="9:14" x14ac:dyDescent="0.3">
      <c r="I824" s="7"/>
      <c r="J824" s="9"/>
      <c r="K824" s="9"/>
      <c r="L824" s="9"/>
      <c r="M824" s="9"/>
      <c r="N824" s="4"/>
    </row>
    <row r="825" spans="9:14" x14ac:dyDescent="0.3">
      <c r="I825" s="7"/>
      <c r="J825" s="9"/>
      <c r="K825" s="9"/>
      <c r="L825" s="9"/>
      <c r="M825" s="9"/>
      <c r="N825" s="4"/>
    </row>
    <row r="826" spans="9:14" x14ac:dyDescent="0.3">
      <c r="I826" s="7"/>
      <c r="J826" s="9"/>
      <c r="K826" s="9"/>
      <c r="L826" s="9"/>
      <c r="M826" s="9"/>
      <c r="N826" s="4"/>
    </row>
    <row r="827" spans="9:14" x14ac:dyDescent="0.3">
      <c r="I827" s="7"/>
      <c r="J827" s="9"/>
      <c r="K827" s="9"/>
      <c r="L827" s="9"/>
      <c r="M827" s="9"/>
      <c r="N827" s="4"/>
    </row>
    <row r="828" spans="9:14" x14ac:dyDescent="0.3">
      <c r="I828" s="7"/>
      <c r="J828" s="9"/>
      <c r="K828" s="9"/>
      <c r="L828" s="9"/>
      <c r="M828" s="9"/>
      <c r="N828" s="4"/>
    </row>
    <row r="829" spans="9:14" x14ac:dyDescent="0.3">
      <c r="I829" s="7"/>
      <c r="J829" s="9"/>
      <c r="K829" s="9"/>
      <c r="L829" s="9"/>
      <c r="M829" s="9"/>
      <c r="N829" s="4"/>
    </row>
    <row r="830" spans="9:14" x14ac:dyDescent="0.3">
      <c r="I830" s="7"/>
      <c r="J830" s="9"/>
      <c r="K830" s="9"/>
      <c r="L830" s="9"/>
      <c r="M830" s="9"/>
      <c r="N830" s="4"/>
    </row>
    <row r="831" spans="9:14" x14ac:dyDescent="0.3">
      <c r="I831" s="7"/>
      <c r="J831" s="9"/>
      <c r="K831" s="9"/>
      <c r="L831" s="9"/>
      <c r="M831" s="9"/>
      <c r="N831" s="4"/>
    </row>
    <row r="832" spans="9:14" x14ac:dyDescent="0.3">
      <c r="I832" s="7"/>
      <c r="J832" s="9"/>
      <c r="K832" s="9"/>
      <c r="L832" s="9"/>
      <c r="M832" s="9"/>
      <c r="N832" s="4"/>
    </row>
    <row r="833" spans="9:14" x14ac:dyDescent="0.3">
      <c r="I833" s="7"/>
      <c r="J833" s="9"/>
      <c r="K833" s="9"/>
      <c r="L833" s="9"/>
      <c r="M833" s="9"/>
      <c r="N833" s="4"/>
    </row>
    <row r="834" spans="9:14" x14ac:dyDescent="0.3">
      <c r="I834" s="7"/>
      <c r="J834" s="9"/>
      <c r="K834" s="9"/>
      <c r="L834" s="9"/>
      <c r="M834" s="9"/>
      <c r="N834" s="4"/>
    </row>
    <row r="835" spans="9:14" x14ac:dyDescent="0.3">
      <c r="I835" s="7"/>
      <c r="J835" s="9"/>
      <c r="K835" s="9"/>
      <c r="L835" s="9"/>
      <c r="M835" s="9"/>
      <c r="N835" s="4"/>
    </row>
    <row r="836" spans="9:14" x14ac:dyDescent="0.3">
      <c r="I836" s="7"/>
      <c r="J836" s="9"/>
      <c r="K836" s="9"/>
      <c r="L836" s="9"/>
      <c r="M836" s="9"/>
      <c r="N836" s="4"/>
    </row>
    <row r="837" spans="9:14" x14ac:dyDescent="0.3">
      <c r="I837" s="7"/>
      <c r="J837" s="9"/>
      <c r="K837" s="9"/>
      <c r="L837" s="9"/>
      <c r="M837" s="9"/>
      <c r="N837" s="4"/>
    </row>
    <row r="838" spans="9:14" x14ac:dyDescent="0.3">
      <c r="I838" s="7"/>
      <c r="J838" s="9"/>
      <c r="K838" s="9"/>
      <c r="L838" s="9"/>
      <c r="M838" s="9"/>
      <c r="N838" s="4"/>
    </row>
    <row r="839" spans="9:14" x14ac:dyDescent="0.3">
      <c r="I839" s="7"/>
      <c r="J839" s="9"/>
      <c r="K839" s="9"/>
      <c r="L839" s="9"/>
      <c r="M839" s="9"/>
      <c r="N839" s="4"/>
    </row>
    <row r="840" spans="9:14" x14ac:dyDescent="0.3">
      <c r="I840" s="7"/>
      <c r="J840" s="9"/>
      <c r="K840" s="9"/>
      <c r="L840" s="9"/>
      <c r="M840" s="9"/>
      <c r="N840" s="4"/>
    </row>
    <row r="841" spans="9:14" x14ac:dyDescent="0.3">
      <c r="I841" s="7"/>
      <c r="J841" s="9"/>
      <c r="K841" s="9"/>
      <c r="L841" s="9"/>
      <c r="M841" s="9"/>
      <c r="N841" s="4"/>
    </row>
    <row r="842" spans="9:14" x14ac:dyDescent="0.3">
      <c r="I842" s="7"/>
      <c r="J842" s="9"/>
      <c r="K842" s="9"/>
      <c r="L842" s="9"/>
      <c r="M842" s="9"/>
      <c r="N842" s="4"/>
    </row>
    <row r="843" spans="9:14" x14ac:dyDescent="0.3">
      <c r="I843" s="7"/>
      <c r="J843" s="9"/>
      <c r="K843" s="9"/>
      <c r="L843" s="9"/>
      <c r="M843" s="9"/>
      <c r="N843" s="4"/>
    </row>
    <row r="844" spans="9:14" x14ac:dyDescent="0.3">
      <c r="I844" s="7"/>
      <c r="J844" s="9"/>
      <c r="K844" s="9"/>
      <c r="L844" s="9"/>
      <c r="M844" s="9"/>
      <c r="N844" s="4"/>
    </row>
    <row r="845" spans="9:14" x14ac:dyDescent="0.3">
      <c r="I845" s="7"/>
      <c r="J845" s="9"/>
      <c r="K845" s="9"/>
      <c r="L845" s="9"/>
      <c r="M845" s="9"/>
      <c r="N845" s="4"/>
    </row>
    <row r="846" spans="9:14" x14ac:dyDescent="0.3">
      <c r="I846" s="7"/>
      <c r="J846" s="9"/>
      <c r="K846" s="9"/>
      <c r="L846" s="9"/>
      <c r="M846" s="9"/>
      <c r="N846" s="4"/>
    </row>
    <row r="847" spans="9:14" x14ac:dyDescent="0.3">
      <c r="I847" s="7"/>
      <c r="J847" s="9"/>
      <c r="K847" s="9"/>
      <c r="L847" s="9"/>
      <c r="M847" s="9"/>
      <c r="N847" s="4"/>
    </row>
    <row r="848" spans="9:14" x14ac:dyDescent="0.3">
      <c r="I848" s="7"/>
      <c r="J848" s="9"/>
      <c r="K848" s="9"/>
      <c r="L848" s="9"/>
      <c r="M848" s="9"/>
      <c r="N848" s="4"/>
    </row>
    <row r="849" spans="9:14" x14ac:dyDescent="0.3">
      <c r="I849" s="7"/>
      <c r="J849" s="9"/>
      <c r="K849" s="9"/>
      <c r="L849" s="9"/>
      <c r="M849" s="9"/>
      <c r="N849" s="4"/>
    </row>
    <row r="850" spans="9:14" x14ac:dyDescent="0.3">
      <c r="I850" s="7"/>
      <c r="J850" s="9"/>
      <c r="K850" s="9"/>
      <c r="L850" s="9"/>
      <c r="M850" s="9"/>
      <c r="N850" s="4"/>
    </row>
    <row r="851" spans="9:14" x14ac:dyDescent="0.3">
      <c r="I851" s="7"/>
      <c r="J851" s="9"/>
      <c r="K851" s="9"/>
      <c r="L851" s="9"/>
      <c r="M851" s="9"/>
      <c r="N851" s="4"/>
    </row>
    <row r="852" spans="9:14" x14ac:dyDescent="0.3">
      <c r="I852" s="7"/>
      <c r="J852" s="9"/>
      <c r="K852" s="9"/>
      <c r="L852" s="9"/>
      <c r="M852" s="9"/>
      <c r="N852" s="4"/>
    </row>
    <row r="853" spans="9:14" x14ac:dyDescent="0.3">
      <c r="I853" s="7"/>
      <c r="J853" s="9"/>
      <c r="K853" s="9"/>
      <c r="L853" s="9"/>
      <c r="M853" s="9"/>
      <c r="N853" s="4"/>
    </row>
    <row r="854" spans="9:14" x14ac:dyDescent="0.3">
      <c r="I854" s="7"/>
      <c r="J854" s="9"/>
      <c r="K854" s="9"/>
      <c r="L854" s="9"/>
      <c r="M854" s="9"/>
      <c r="N854" s="4"/>
    </row>
    <row r="855" spans="9:14" x14ac:dyDescent="0.3">
      <c r="I855" s="7"/>
      <c r="J855" s="9"/>
      <c r="K855" s="9"/>
      <c r="L855" s="9"/>
      <c r="M855" s="9"/>
      <c r="N855" s="4"/>
    </row>
    <row r="856" spans="9:14" x14ac:dyDescent="0.3">
      <c r="I856" s="7"/>
      <c r="J856" s="9"/>
      <c r="K856" s="9"/>
      <c r="L856" s="9"/>
      <c r="M856" s="9"/>
      <c r="N856" s="4"/>
    </row>
    <row r="857" spans="9:14" x14ac:dyDescent="0.3">
      <c r="I857" s="7"/>
      <c r="J857" s="9"/>
      <c r="K857" s="9"/>
      <c r="L857" s="9"/>
      <c r="M857" s="9"/>
      <c r="N857" s="4"/>
    </row>
    <row r="858" spans="9:14" x14ac:dyDescent="0.3">
      <c r="I858" s="7"/>
      <c r="J858" s="9"/>
      <c r="K858" s="9"/>
      <c r="L858" s="9"/>
      <c r="M858" s="9"/>
      <c r="N858" s="4"/>
    </row>
    <row r="859" spans="9:14" x14ac:dyDescent="0.3">
      <c r="I859" s="7"/>
      <c r="J859" s="9"/>
      <c r="K859" s="9"/>
      <c r="L859" s="9"/>
      <c r="M859" s="9"/>
      <c r="N859" s="4"/>
    </row>
    <row r="860" spans="9:14" x14ac:dyDescent="0.3">
      <c r="I860" s="7"/>
      <c r="J860" s="9"/>
      <c r="K860" s="9"/>
      <c r="L860" s="9"/>
      <c r="M860" s="9"/>
      <c r="N860" s="4"/>
    </row>
    <row r="861" spans="9:14" x14ac:dyDescent="0.3">
      <c r="I861" s="7"/>
      <c r="J861" s="9"/>
      <c r="K861" s="9"/>
      <c r="L861" s="9"/>
      <c r="M861" s="9"/>
      <c r="N861" s="4"/>
    </row>
    <row r="862" spans="9:14" x14ac:dyDescent="0.3">
      <c r="I862" s="7"/>
      <c r="J862" s="9"/>
      <c r="K862" s="9"/>
      <c r="L862" s="9"/>
      <c r="M862" s="9"/>
      <c r="N862" s="4"/>
    </row>
    <row r="863" spans="9:14" x14ac:dyDescent="0.3">
      <c r="I863" s="7"/>
      <c r="J863" s="9"/>
      <c r="K863" s="9"/>
      <c r="L863" s="9"/>
      <c r="M863" s="9"/>
      <c r="N863" s="4"/>
    </row>
    <row r="864" spans="9:14" x14ac:dyDescent="0.3">
      <c r="I864" s="7"/>
      <c r="J864" s="9"/>
      <c r="K864" s="9"/>
      <c r="L864" s="9"/>
      <c r="M864" s="9"/>
      <c r="N864" s="4"/>
    </row>
    <row r="865" spans="9:14" x14ac:dyDescent="0.3">
      <c r="I865" s="7"/>
      <c r="J865" s="9"/>
      <c r="K865" s="9"/>
      <c r="L865" s="9"/>
      <c r="M865" s="9"/>
      <c r="N865" s="4"/>
    </row>
    <row r="866" spans="9:14" x14ac:dyDescent="0.3">
      <c r="I866" s="7"/>
      <c r="J866" s="9"/>
      <c r="K866" s="9"/>
      <c r="L866" s="9"/>
      <c r="M866" s="9"/>
      <c r="N866" s="4"/>
    </row>
    <row r="867" spans="9:14" x14ac:dyDescent="0.3">
      <c r="I867" s="7"/>
      <c r="J867" s="9"/>
      <c r="K867" s="9"/>
      <c r="L867" s="9"/>
      <c r="M867" s="9"/>
      <c r="N867" s="4"/>
    </row>
    <row r="868" spans="9:14" x14ac:dyDescent="0.3">
      <c r="I868" s="7"/>
      <c r="J868" s="9"/>
      <c r="K868" s="9"/>
      <c r="L868" s="9"/>
      <c r="M868" s="9"/>
      <c r="N868" s="4"/>
    </row>
    <row r="869" spans="9:14" x14ac:dyDescent="0.3">
      <c r="I869" s="7"/>
      <c r="J869" s="9"/>
      <c r="K869" s="9"/>
      <c r="L869" s="9"/>
      <c r="M869" s="9"/>
      <c r="N869" s="4"/>
    </row>
    <row r="870" spans="9:14" x14ac:dyDescent="0.3">
      <c r="I870" s="7"/>
      <c r="J870" s="9"/>
      <c r="K870" s="9"/>
      <c r="L870" s="9"/>
      <c r="M870" s="9"/>
      <c r="N870" s="4"/>
    </row>
    <row r="871" spans="9:14" x14ac:dyDescent="0.3">
      <c r="I871" s="7"/>
      <c r="J871" s="9"/>
      <c r="K871" s="9"/>
      <c r="L871" s="9"/>
      <c r="M871" s="9"/>
      <c r="N871" s="4"/>
    </row>
    <row r="872" spans="9:14" x14ac:dyDescent="0.3">
      <c r="I872" s="7"/>
      <c r="J872" s="9"/>
      <c r="K872" s="9"/>
      <c r="L872" s="9"/>
      <c r="M872" s="9"/>
      <c r="N872" s="4"/>
    </row>
    <row r="873" spans="9:14" x14ac:dyDescent="0.3">
      <c r="I873" s="7"/>
      <c r="J873" s="9"/>
      <c r="K873" s="9"/>
      <c r="L873" s="9"/>
      <c r="M873" s="9"/>
      <c r="N873" s="4"/>
    </row>
    <row r="874" spans="9:14" x14ac:dyDescent="0.3">
      <c r="I874" s="7"/>
      <c r="J874" s="9"/>
      <c r="K874" s="9"/>
      <c r="L874" s="9"/>
      <c r="M874" s="9"/>
      <c r="N874" s="4"/>
    </row>
    <row r="875" spans="9:14" x14ac:dyDescent="0.3">
      <c r="I875" s="7"/>
      <c r="J875" s="9"/>
      <c r="K875" s="9"/>
      <c r="L875" s="9"/>
      <c r="M875" s="9"/>
      <c r="N875" s="4"/>
    </row>
    <row r="876" spans="9:14" x14ac:dyDescent="0.3">
      <c r="I876" s="7"/>
      <c r="J876" s="9"/>
      <c r="K876" s="9"/>
      <c r="L876" s="9"/>
      <c r="M876" s="9"/>
      <c r="N876" s="4"/>
    </row>
    <row r="877" spans="9:14" x14ac:dyDescent="0.3">
      <c r="I877" s="7"/>
      <c r="J877" s="9"/>
      <c r="K877" s="9"/>
      <c r="L877" s="9"/>
      <c r="M877" s="9"/>
      <c r="N877" s="4"/>
    </row>
    <row r="878" spans="9:14" x14ac:dyDescent="0.3">
      <c r="I878" s="7"/>
      <c r="J878" s="9"/>
      <c r="K878" s="9"/>
      <c r="L878" s="9"/>
      <c r="M878" s="9"/>
      <c r="N878" s="4"/>
    </row>
    <row r="879" spans="9:14" x14ac:dyDescent="0.3">
      <c r="I879" s="7"/>
      <c r="J879" s="9"/>
      <c r="K879" s="9"/>
      <c r="L879" s="9"/>
      <c r="M879" s="9"/>
      <c r="N879" s="4"/>
    </row>
    <row r="880" spans="9:14" x14ac:dyDescent="0.3">
      <c r="I880" s="7"/>
      <c r="J880" s="9"/>
      <c r="K880" s="9"/>
      <c r="L880" s="9"/>
      <c r="M880" s="9"/>
      <c r="N880" s="4"/>
    </row>
    <row r="881" spans="9:14" x14ac:dyDescent="0.3">
      <c r="I881" s="7"/>
      <c r="J881" s="9"/>
      <c r="K881" s="9"/>
      <c r="L881" s="9"/>
      <c r="M881" s="9"/>
      <c r="N881" s="4"/>
    </row>
    <row r="882" spans="9:14" x14ac:dyDescent="0.3">
      <c r="I882" s="7"/>
      <c r="J882" s="9"/>
      <c r="K882" s="9"/>
      <c r="L882" s="9"/>
      <c r="M882" s="9"/>
      <c r="N882" s="4"/>
    </row>
    <row r="883" spans="9:14" x14ac:dyDescent="0.3">
      <c r="I883" s="7"/>
      <c r="J883" s="9"/>
      <c r="K883" s="9"/>
      <c r="L883" s="9"/>
      <c r="M883" s="9"/>
      <c r="N883" s="4"/>
    </row>
    <row r="884" spans="9:14" x14ac:dyDescent="0.3">
      <c r="I884" s="7"/>
      <c r="J884" s="9"/>
      <c r="K884" s="9"/>
      <c r="L884" s="9"/>
      <c r="M884" s="9"/>
      <c r="N884" s="4"/>
    </row>
    <row r="885" spans="9:14" x14ac:dyDescent="0.3">
      <c r="I885" s="7"/>
      <c r="J885" s="9"/>
      <c r="K885" s="9"/>
      <c r="L885" s="9"/>
      <c r="M885" s="9"/>
      <c r="N885" s="4"/>
    </row>
    <row r="886" spans="9:14" x14ac:dyDescent="0.3">
      <c r="I886" s="7"/>
      <c r="J886" s="9"/>
      <c r="K886" s="9"/>
      <c r="L886" s="9"/>
      <c r="M886" s="9"/>
      <c r="N886" s="4"/>
    </row>
    <row r="887" spans="9:14" x14ac:dyDescent="0.3">
      <c r="I887" s="7"/>
      <c r="J887" s="9"/>
      <c r="K887" s="9"/>
      <c r="L887" s="9"/>
      <c r="M887" s="9"/>
      <c r="N887" s="4"/>
    </row>
    <row r="888" spans="9:14" x14ac:dyDescent="0.3">
      <c r="I888" s="7"/>
      <c r="J888" s="9"/>
      <c r="K888" s="9"/>
      <c r="L888" s="9"/>
      <c r="M888" s="9"/>
      <c r="N888" s="4"/>
    </row>
    <row r="889" spans="9:14" x14ac:dyDescent="0.3">
      <c r="I889" s="7"/>
      <c r="J889" s="9"/>
      <c r="K889" s="9"/>
      <c r="L889" s="9"/>
      <c r="M889" s="9"/>
      <c r="N889" s="4"/>
    </row>
    <row r="890" spans="9:14" x14ac:dyDescent="0.3">
      <c r="I890" s="7"/>
      <c r="J890" s="9"/>
      <c r="K890" s="9"/>
      <c r="L890" s="9"/>
      <c r="M890" s="9"/>
      <c r="N890" s="4"/>
    </row>
    <row r="891" spans="9:14" x14ac:dyDescent="0.3">
      <c r="I891" s="7"/>
      <c r="J891" s="9"/>
      <c r="K891" s="9"/>
      <c r="L891" s="9"/>
      <c r="M891" s="9"/>
      <c r="N891" s="4"/>
    </row>
    <row r="892" spans="9:14" x14ac:dyDescent="0.3">
      <c r="I892" s="7"/>
      <c r="J892" s="9"/>
      <c r="K892" s="9"/>
      <c r="L892" s="9"/>
      <c r="M892" s="9"/>
      <c r="N892" s="4"/>
    </row>
    <row r="893" spans="9:14" x14ac:dyDescent="0.3">
      <c r="I893" s="7"/>
      <c r="J893" s="9"/>
      <c r="K893" s="9"/>
      <c r="L893" s="9"/>
      <c r="M893" s="9"/>
      <c r="N893" s="4"/>
    </row>
    <row r="894" spans="9:14" x14ac:dyDescent="0.3">
      <c r="I894" s="7"/>
      <c r="J894" s="9"/>
      <c r="K894" s="9"/>
      <c r="L894" s="9"/>
      <c r="M894" s="9"/>
      <c r="N894" s="4"/>
    </row>
    <row r="895" spans="9:14" x14ac:dyDescent="0.3">
      <c r="I895" s="7"/>
      <c r="J895" s="9"/>
      <c r="K895" s="9"/>
      <c r="L895" s="9"/>
      <c r="M895" s="9"/>
      <c r="N895" s="4"/>
    </row>
    <row r="896" spans="9:14" x14ac:dyDescent="0.3">
      <c r="I896" s="7"/>
      <c r="J896" s="9"/>
      <c r="K896" s="9"/>
      <c r="L896" s="9"/>
      <c r="M896" s="9"/>
      <c r="N896" s="4"/>
    </row>
    <row r="897" spans="9:14" x14ac:dyDescent="0.3">
      <c r="I897" s="7"/>
      <c r="J897" s="9"/>
      <c r="K897" s="9"/>
      <c r="L897" s="9"/>
      <c r="M897" s="9"/>
      <c r="N897" s="4"/>
    </row>
    <row r="898" spans="9:14" x14ac:dyDescent="0.3">
      <c r="I898" s="7"/>
      <c r="J898" s="9"/>
      <c r="K898" s="9"/>
      <c r="L898" s="9"/>
      <c r="M898" s="9"/>
      <c r="N898" s="4"/>
    </row>
    <row r="899" spans="9:14" x14ac:dyDescent="0.3">
      <c r="I899" s="7"/>
      <c r="J899" s="9"/>
      <c r="K899" s="9"/>
      <c r="L899" s="9"/>
      <c r="M899" s="9"/>
      <c r="N899" s="4"/>
    </row>
    <row r="900" spans="9:14" x14ac:dyDescent="0.3">
      <c r="I900" s="7"/>
      <c r="J900" s="9"/>
      <c r="K900" s="9"/>
      <c r="L900" s="9"/>
      <c r="M900" s="9"/>
      <c r="N900" s="4"/>
    </row>
    <row r="901" spans="9:14" x14ac:dyDescent="0.3">
      <c r="I901" s="7"/>
      <c r="J901" s="9"/>
      <c r="K901" s="9"/>
      <c r="L901" s="9"/>
      <c r="M901" s="9"/>
      <c r="N901" s="4"/>
    </row>
    <row r="902" spans="9:14" x14ac:dyDescent="0.3">
      <c r="I902" s="7"/>
      <c r="J902" s="9"/>
      <c r="K902" s="9"/>
      <c r="L902" s="9"/>
      <c r="M902" s="9"/>
      <c r="N902" s="4"/>
    </row>
    <row r="903" spans="9:14" x14ac:dyDescent="0.3">
      <c r="I903" s="7"/>
      <c r="J903" s="9"/>
      <c r="K903" s="9"/>
      <c r="L903" s="9"/>
      <c r="M903" s="9"/>
      <c r="N903" s="4"/>
    </row>
    <row r="904" spans="9:14" x14ac:dyDescent="0.3">
      <c r="I904" s="7"/>
      <c r="J904" s="9"/>
      <c r="K904" s="9"/>
      <c r="L904" s="9"/>
      <c r="M904" s="9"/>
      <c r="N904" s="4"/>
    </row>
    <row r="905" spans="9:14" x14ac:dyDescent="0.3">
      <c r="I905" s="7"/>
      <c r="J905" s="9"/>
      <c r="K905" s="9"/>
      <c r="L905" s="9"/>
      <c r="M905" s="9"/>
      <c r="N905" s="4"/>
    </row>
    <row r="906" spans="9:14" x14ac:dyDescent="0.3">
      <c r="I906" s="7"/>
      <c r="J906" s="9"/>
      <c r="K906" s="9"/>
      <c r="L906" s="9"/>
      <c r="M906" s="9"/>
      <c r="N906" s="4"/>
    </row>
    <row r="907" spans="9:14" x14ac:dyDescent="0.3">
      <c r="I907" s="7"/>
      <c r="J907" s="9"/>
      <c r="K907" s="9"/>
      <c r="L907" s="9"/>
      <c r="M907" s="9"/>
      <c r="N907" s="4"/>
    </row>
    <row r="908" spans="9:14" x14ac:dyDescent="0.3">
      <c r="I908" s="7"/>
      <c r="J908" s="9"/>
      <c r="K908" s="9"/>
      <c r="L908" s="9"/>
      <c r="M908" s="9"/>
      <c r="N908" s="4"/>
    </row>
    <row r="909" spans="9:14" x14ac:dyDescent="0.3">
      <c r="I909" s="7"/>
      <c r="J909" s="9"/>
      <c r="K909" s="9"/>
      <c r="L909" s="9"/>
      <c r="M909" s="9"/>
      <c r="N909" s="4"/>
    </row>
    <row r="910" spans="9:14" x14ac:dyDescent="0.3">
      <c r="I910" s="7"/>
      <c r="J910" s="9"/>
      <c r="K910" s="9"/>
      <c r="L910" s="9"/>
      <c r="M910" s="9"/>
      <c r="N910" s="4"/>
    </row>
    <row r="911" spans="9:14" x14ac:dyDescent="0.3">
      <c r="I911" s="7"/>
      <c r="J911" s="9"/>
      <c r="K911" s="9"/>
      <c r="L911" s="9"/>
      <c r="M911" s="9"/>
      <c r="N911" s="4"/>
    </row>
    <row r="912" spans="9:14" x14ac:dyDescent="0.3">
      <c r="I912" s="7"/>
      <c r="J912" s="9"/>
      <c r="K912" s="9"/>
      <c r="L912" s="9"/>
      <c r="M912" s="9"/>
      <c r="N912" s="4"/>
    </row>
    <row r="913" spans="9:14" x14ac:dyDescent="0.3">
      <c r="I913" s="7"/>
      <c r="J913" s="9"/>
      <c r="K913" s="9"/>
      <c r="L913" s="9"/>
      <c r="M913" s="9"/>
      <c r="N913" s="4"/>
    </row>
    <row r="914" spans="9:14" x14ac:dyDescent="0.3">
      <c r="I914" s="7"/>
      <c r="J914" s="9"/>
      <c r="K914" s="9"/>
      <c r="L914" s="9"/>
      <c r="M914" s="9"/>
      <c r="N914" s="4"/>
    </row>
    <row r="915" spans="9:14" x14ac:dyDescent="0.3">
      <c r="I915" s="7"/>
      <c r="J915" s="9"/>
      <c r="K915" s="9"/>
      <c r="L915" s="9"/>
      <c r="M915" s="9"/>
      <c r="N915" s="4"/>
    </row>
    <row r="916" spans="9:14" x14ac:dyDescent="0.3">
      <c r="I916" s="7"/>
      <c r="J916" s="9"/>
      <c r="K916" s="9"/>
      <c r="L916" s="9"/>
      <c r="M916" s="9"/>
      <c r="N916" s="4"/>
    </row>
    <row r="917" spans="9:14" x14ac:dyDescent="0.3">
      <c r="I917" s="7"/>
      <c r="J917" s="9"/>
      <c r="K917" s="9"/>
      <c r="L917" s="9"/>
      <c r="M917" s="9"/>
      <c r="N917" s="4"/>
    </row>
    <row r="918" spans="9:14" x14ac:dyDescent="0.3">
      <c r="I918" s="7"/>
      <c r="J918" s="9"/>
      <c r="K918" s="9"/>
      <c r="L918" s="9"/>
      <c r="M918" s="9"/>
      <c r="N918" s="4"/>
    </row>
    <row r="919" spans="9:14" x14ac:dyDescent="0.3">
      <c r="I919" s="7"/>
      <c r="J919" s="9"/>
      <c r="K919" s="9"/>
      <c r="L919" s="9"/>
      <c r="M919" s="9"/>
      <c r="N919" s="4"/>
    </row>
    <row r="920" spans="9:14" x14ac:dyDescent="0.3">
      <c r="I920" s="7"/>
      <c r="J920" s="9"/>
      <c r="K920" s="9"/>
      <c r="L920" s="9"/>
      <c r="M920" s="9"/>
      <c r="N920" s="4"/>
    </row>
    <row r="921" spans="9:14" x14ac:dyDescent="0.3">
      <c r="I921" s="7"/>
      <c r="J921" s="9"/>
      <c r="K921" s="9"/>
      <c r="L921" s="9"/>
      <c r="M921" s="9"/>
      <c r="N921" s="4"/>
    </row>
    <row r="922" spans="9:14" x14ac:dyDescent="0.3">
      <c r="I922" s="7"/>
      <c r="J922" s="9"/>
      <c r="K922" s="9"/>
      <c r="L922" s="9"/>
      <c r="M922" s="9"/>
      <c r="N922" s="4"/>
    </row>
    <row r="923" spans="9:14" x14ac:dyDescent="0.3">
      <c r="I923" s="7"/>
      <c r="J923" s="9"/>
      <c r="K923" s="9"/>
      <c r="L923" s="9"/>
      <c r="M923" s="9"/>
      <c r="N923" s="4"/>
    </row>
    <row r="924" spans="9:14" x14ac:dyDescent="0.3">
      <c r="I924" s="7"/>
      <c r="J924" s="9"/>
      <c r="K924" s="9"/>
      <c r="L924" s="9"/>
      <c r="M924" s="9"/>
      <c r="N924" s="4"/>
    </row>
    <row r="925" spans="9:14" x14ac:dyDescent="0.3">
      <c r="I925" s="7"/>
      <c r="J925" s="9"/>
      <c r="K925" s="9"/>
      <c r="L925" s="9"/>
      <c r="M925" s="9"/>
      <c r="N925" s="4"/>
    </row>
    <row r="926" spans="9:14" x14ac:dyDescent="0.3">
      <c r="I926" s="7"/>
      <c r="J926" s="9"/>
      <c r="K926" s="9"/>
      <c r="L926" s="9"/>
      <c r="M926" s="9"/>
      <c r="N926" s="4"/>
    </row>
    <row r="927" spans="9:14" x14ac:dyDescent="0.3">
      <c r="I927" s="7"/>
      <c r="J927" s="9"/>
      <c r="K927" s="9"/>
      <c r="L927" s="9"/>
      <c r="M927" s="9"/>
      <c r="N927" s="4"/>
    </row>
    <row r="928" spans="9:14" x14ac:dyDescent="0.3">
      <c r="I928" s="7"/>
      <c r="J928" s="9"/>
      <c r="K928" s="9"/>
      <c r="L928" s="9"/>
      <c r="M928" s="9"/>
      <c r="N928" s="4"/>
    </row>
    <row r="929" spans="9:14" x14ac:dyDescent="0.3">
      <c r="I929" s="7"/>
      <c r="J929" s="9"/>
      <c r="K929" s="9"/>
      <c r="L929" s="9"/>
      <c r="M929" s="9"/>
      <c r="N929" s="4"/>
    </row>
    <row r="930" spans="9:14" x14ac:dyDescent="0.3">
      <c r="I930" s="7"/>
      <c r="J930" s="9"/>
      <c r="K930" s="9"/>
      <c r="L930" s="9"/>
      <c r="M930" s="9"/>
      <c r="N930" s="4"/>
    </row>
    <row r="931" spans="9:14" x14ac:dyDescent="0.3">
      <c r="I931" s="7"/>
      <c r="J931" s="9"/>
      <c r="K931" s="9"/>
      <c r="L931" s="9"/>
      <c r="M931" s="9"/>
      <c r="N931" s="4"/>
    </row>
    <row r="932" spans="9:14" x14ac:dyDescent="0.3">
      <c r="I932" s="7"/>
      <c r="J932" s="9"/>
      <c r="K932" s="9"/>
      <c r="L932" s="9"/>
      <c r="M932" s="9"/>
      <c r="N932" s="4"/>
    </row>
    <row r="933" spans="9:14" x14ac:dyDescent="0.3">
      <c r="I933" s="7"/>
      <c r="J933" s="9"/>
      <c r="K933" s="9"/>
      <c r="L933" s="9"/>
      <c r="M933" s="9"/>
      <c r="N933" s="4"/>
    </row>
    <row r="934" spans="9:14" x14ac:dyDescent="0.3">
      <c r="I934" s="7"/>
      <c r="J934" s="9"/>
      <c r="K934" s="9"/>
      <c r="L934" s="9"/>
      <c r="M934" s="9"/>
      <c r="N934" s="4"/>
    </row>
    <row r="935" spans="9:14" x14ac:dyDescent="0.3">
      <c r="I935" s="7"/>
      <c r="J935" s="9"/>
      <c r="K935" s="9"/>
      <c r="L935" s="9"/>
      <c r="M935" s="9"/>
      <c r="N935" s="4"/>
    </row>
    <row r="936" spans="9:14" x14ac:dyDescent="0.3">
      <c r="I936" s="7"/>
      <c r="J936" s="9"/>
      <c r="K936" s="9"/>
      <c r="L936" s="9"/>
      <c r="M936" s="9"/>
      <c r="N936" s="4"/>
    </row>
    <row r="937" spans="9:14" x14ac:dyDescent="0.3">
      <c r="I937" s="7"/>
      <c r="J937" s="9"/>
      <c r="K937" s="9"/>
      <c r="L937" s="9"/>
      <c r="M937" s="9"/>
      <c r="N937" s="4"/>
    </row>
    <row r="938" spans="9:14" x14ac:dyDescent="0.3">
      <c r="I938" s="7"/>
      <c r="J938" s="9"/>
      <c r="K938" s="9"/>
      <c r="L938" s="9"/>
      <c r="M938" s="9"/>
      <c r="N938" s="4"/>
    </row>
    <row r="939" spans="9:14" x14ac:dyDescent="0.3">
      <c r="I939" s="7"/>
      <c r="J939" s="9"/>
      <c r="K939" s="9"/>
      <c r="L939" s="9"/>
      <c r="M939" s="9"/>
      <c r="N939" s="4"/>
    </row>
    <row r="940" spans="9:14" x14ac:dyDescent="0.3">
      <c r="I940" s="7"/>
      <c r="J940" s="9"/>
      <c r="K940" s="9"/>
      <c r="L940" s="9"/>
      <c r="M940" s="9"/>
      <c r="N940" s="4"/>
    </row>
    <row r="941" spans="9:14" x14ac:dyDescent="0.3">
      <c r="I941" s="7"/>
      <c r="J941" s="9"/>
      <c r="K941" s="9"/>
      <c r="L941" s="9"/>
      <c r="M941" s="9"/>
      <c r="N941" s="4"/>
    </row>
    <row r="942" spans="9:14" x14ac:dyDescent="0.3">
      <c r="I942" s="7"/>
      <c r="J942" s="9"/>
      <c r="K942" s="9"/>
      <c r="L942" s="9"/>
      <c r="M942" s="9"/>
      <c r="N942" s="4"/>
    </row>
    <row r="943" spans="9:14" x14ac:dyDescent="0.3">
      <c r="I943" s="7"/>
      <c r="J943" s="9"/>
      <c r="K943" s="9"/>
      <c r="L943" s="9"/>
      <c r="M943" s="9"/>
      <c r="N943" s="4"/>
    </row>
    <row r="944" spans="9:14" x14ac:dyDescent="0.3">
      <c r="I944" s="7"/>
      <c r="J944" s="9"/>
      <c r="K944" s="9"/>
      <c r="L944" s="9"/>
      <c r="M944" s="9"/>
      <c r="N944" s="4"/>
    </row>
    <row r="945" spans="9:14" x14ac:dyDescent="0.3">
      <c r="I945" s="7"/>
      <c r="J945" s="9"/>
      <c r="K945" s="9"/>
      <c r="L945" s="9"/>
      <c r="M945" s="9"/>
      <c r="N945" s="4"/>
    </row>
    <row r="946" spans="9:14" x14ac:dyDescent="0.3">
      <c r="I946" s="7"/>
      <c r="J946" s="9"/>
      <c r="K946" s="9"/>
      <c r="L946" s="9"/>
      <c r="M946" s="9"/>
      <c r="N946" s="4"/>
    </row>
    <row r="947" spans="9:14" x14ac:dyDescent="0.3">
      <c r="I947" s="7"/>
      <c r="J947" s="9"/>
      <c r="K947" s="9"/>
      <c r="L947" s="9"/>
      <c r="M947" s="9"/>
      <c r="N947" s="4"/>
    </row>
    <row r="948" spans="9:14" x14ac:dyDescent="0.3">
      <c r="I948" s="7"/>
      <c r="J948" s="9"/>
      <c r="K948" s="9"/>
      <c r="L948" s="9"/>
      <c r="M948" s="9"/>
      <c r="N948" s="4"/>
    </row>
    <row r="949" spans="9:14" x14ac:dyDescent="0.3">
      <c r="I949" s="7"/>
      <c r="J949" s="9"/>
      <c r="K949" s="9"/>
      <c r="L949" s="9"/>
      <c r="M949" s="9"/>
      <c r="N949" s="4"/>
    </row>
    <row r="950" spans="9:14" x14ac:dyDescent="0.3">
      <c r="I950" s="7"/>
      <c r="J950" s="9"/>
      <c r="K950" s="9"/>
      <c r="L950" s="9"/>
      <c r="M950" s="9"/>
      <c r="N950" s="4"/>
    </row>
    <row r="951" spans="9:14" x14ac:dyDescent="0.3">
      <c r="I951" s="7"/>
      <c r="J951" s="9"/>
      <c r="K951" s="9"/>
      <c r="L951" s="9"/>
      <c r="M951" s="9"/>
      <c r="N951" s="4"/>
    </row>
    <row r="952" spans="9:14" x14ac:dyDescent="0.3">
      <c r="I952" s="7"/>
      <c r="J952" s="9"/>
      <c r="K952" s="9"/>
      <c r="L952" s="9"/>
      <c r="M952" s="9"/>
      <c r="N952" s="4"/>
    </row>
    <row r="953" spans="9:14" x14ac:dyDescent="0.3">
      <c r="I953" s="7"/>
      <c r="J953" s="9"/>
      <c r="K953" s="9"/>
      <c r="L953" s="9"/>
      <c r="M953" s="9"/>
      <c r="N953" s="4"/>
    </row>
    <row r="954" spans="9:14" x14ac:dyDescent="0.3">
      <c r="I954" s="7"/>
      <c r="J954" s="9"/>
      <c r="K954" s="9"/>
      <c r="L954" s="9"/>
      <c r="M954" s="9"/>
      <c r="N954" s="4"/>
    </row>
    <row r="955" spans="9:14" x14ac:dyDescent="0.3">
      <c r="I955" s="7"/>
      <c r="J955" s="9"/>
      <c r="K955" s="9"/>
      <c r="L955" s="9"/>
      <c r="M955" s="9"/>
      <c r="N955" s="4"/>
    </row>
    <row r="956" spans="9:14" x14ac:dyDescent="0.3">
      <c r="I956" s="7"/>
      <c r="J956" s="9"/>
      <c r="K956" s="9"/>
      <c r="L956" s="9"/>
      <c r="M956" s="9"/>
      <c r="N956" s="4"/>
    </row>
    <row r="957" spans="9:14" x14ac:dyDescent="0.3">
      <c r="I957" s="7"/>
      <c r="J957" s="9"/>
      <c r="K957" s="9"/>
      <c r="L957" s="9"/>
      <c r="M957" s="9"/>
      <c r="N957" s="4"/>
    </row>
    <row r="958" spans="9:14" x14ac:dyDescent="0.3">
      <c r="I958" s="7"/>
      <c r="J958" s="9"/>
      <c r="K958" s="9"/>
      <c r="L958" s="9"/>
      <c r="M958" s="9"/>
      <c r="N958" s="4"/>
    </row>
    <row r="959" spans="9:14" x14ac:dyDescent="0.3">
      <c r="I959" s="7"/>
      <c r="J959" s="9"/>
      <c r="K959" s="9"/>
      <c r="L959" s="9"/>
      <c r="M959" s="9"/>
      <c r="N959" s="4"/>
    </row>
    <row r="960" spans="9:14" x14ac:dyDescent="0.3">
      <c r="I960" s="7"/>
      <c r="J960" s="9"/>
      <c r="K960" s="9"/>
      <c r="L960" s="9"/>
      <c r="M960" s="9"/>
      <c r="N960" s="4"/>
    </row>
    <row r="961" spans="9:14" x14ac:dyDescent="0.3">
      <c r="I961" s="7"/>
      <c r="J961" s="9"/>
      <c r="K961" s="9"/>
      <c r="L961" s="9"/>
      <c r="M961" s="9"/>
      <c r="N961" s="4"/>
    </row>
    <row r="962" spans="9:14" x14ac:dyDescent="0.3">
      <c r="I962" s="7"/>
      <c r="J962" s="9"/>
      <c r="K962" s="9"/>
      <c r="L962" s="9"/>
      <c r="M962" s="9"/>
      <c r="N962" s="4"/>
    </row>
    <row r="963" spans="9:14" x14ac:dyDescent="0.3">
      <c r="I963" s="7"/>
      <c r="J963" s="9"/>
      <c r="K963" s="9"/>
      <c r="L963" s="9"/>
      <c r="M963" s="9"/>
      <c r="N963" s="4"/>
    </row>
    <row r="964" spans="9:14" x14ac:dyDescent="0.3">
      <c r="I964" s="7"/>
      <c r="J964" s="9"/>
      <c r="K964" s="9"/>
      <c r="L964" s="9"/>
      <c r="M964" s="9"/>
      <c r="N964" s="4"/>
    </row>
    <row r="965" spans="9:14" x14ac:dyDescent="0.3">
      <c r="I965" s="7"/>
      <c r="J965" s="9"/>
      <c r="K965" s="9"/>
      <c r="L965" s="9"/>
      <c r="M965" s="9"/>
      <c r="N965" s="4"/>
    </row>
    <row r="966" spans="9:14" x14ac:dyDescent="0.3">
      <c r="I966" s="7"/>
      <c r="J966" s="9"/>
      <c r="K966" s="9"/>
      <c r="L966" s="9"/>
      <c r="M966" s="9"/>
      <c r="N966" s="4"/>
    </row>
    <row r="967" spans="9:14" x14ac:dyDescent="0.3">
      <c r="I967" s="7"/>
      <c r="J967" s="9"/>
      <c r="K967" s="9"/>
      <c r="L967" s="9"/>
      <c r="M967" s="9"/>
      <c r="N967" s="4"/>
    </row>
    <row r="968" spans="9:14" x14ac:dyDescent="0.3">
      <c r="I968" s="7"/>
      <c r="J968" s="9"/>
      <c r="K968" s="9"/>
      <c r="L968" s="9"/>
      <c r="M968" s="9"/>
      <c r="N968" s="4"/>
    </row>
    <row r="969" spans="9:14" x14ac:dyDescent="0.3">
      <c r="I969" s="7"/>
      <c r="J969" s="9"/>
      <c r="K969" s="9"/>
      <c r="L969" s="9"/>
      <c r="M969" s="9"/>
      <c r="N969" s="4"/>
    </row>
    <row r="970" spans="9:14" x14ac:dyDescent="0.3">
      <c r="I970" s="7"/>
      <c r="J970" s="9"/>
      <c r="K970" s="9"/>
      <c r="L970" s="9"/>
      <c r="M970" s="9"/>
      <c r="N970" s="4"/>
    </row>
    <row r="971" spans="9:14" x14ac:dyDescent="0.3">
      <c r="I971" s="7"/>
      <c r="J971" s="9"/>
      <c r="K971" s="9"/>
      <c r="L971" s="9"/>
      <c r="M971" s="9"/>
      <c r="N971" s="4"/>
    </row>
    <row r="972" spans="9:14" x14ac:dyDescent="0.3">
      <c r="I972" s="7"/>
      <c r="J972" s="9"/>
      <c r="K972" s="9"/>
      <c r="L972" s="9"/>
      <c r="M972" s="9"/>
      <c r="N972" s="4"/>
    </row>
    <row r="973" spans="9:14" x14ac:dyDescent="0.3">
      <c r="I973" s="7"/>
      <c r="J973" s="9"/>
      <c r="K973" s="9"/>
      <c r="L973" s="9"/>
      <c r="M973" s="9"/>
      <c r="N973" s="4"/>
    </row>
    <row r="974" spans="9:14" x14ac:dyDescent="0.3">
      <c r="I974" s="7"/>
      <c r="J974" s="9"/>
      <c r="K974" s="9"/>
      <c r="L974" s="9"/>
      <c r="M974" s="9"/>
      <c r="N974" s="4"/>
    </row>
    <row r="975" spans="9:14" x14ac:dyDescent="0.3">
      <c r="I975" s="7"/>
      <c r="J975" s="9"/>
      <c r="K975" s="9"/>
      <c r="L975" s="9"/>
      <c r="M975" s="9"/>
      <c r="N975" s="4"/>
    </row>
    <row r="976" spans="9:14" x14ac:dyDescent="0.3">
      <c r="I976" s="7"/>
      <c r="J976" s="9"/>
      <c r="K976" s="9"/>
      <c r="L976" s="9"/>
      <c r="M976" s="9"/>
      <c r="N976" s="4"/>
    </row>
    <row r="977" spans="9:14" x14ac:dyDescent="0.3">
      <c r="I977" s="7"/>
      <c r="J977" s="9"/>
      <c r="K977" s="9"/>
      <c r="L977" s="9"/>
      <c r="M977" s="9"/>
      <c r="N977" s="4"/>
    </row>
    <row r="978" spans="9:14" x14ac:dyDescent="0.3">
      <c r="I978" s="7"/>
      <c r="J978" s="9"/>
      <c r="K978" s="9"/>
      <c r="L978" s="9"/>
      <c r="M978" s="9"/>
      <c r="N978" s="4"/>
    </row>
    <row r="979" spans="9:14" x14ac:dyDescent="0.3">
      <c r="I979" s="7"/>
      <c r="J979" s="9"/>
      <c r="K979" s="9"/>
      <c r="L979" s="9"/>
      <c r="M979" s="9"/>
      <c r="N979" s="4"/>
    </row>
    <row r="980" spans="9:14" x14ac:dyDescent="0.3">
      <c r="I980" s="7"/>
      <c r="J980" s="9"/>
      <c r="K980" s="9"/>
      <c r="L980" s="9"/>
      <c r="M980" s="9"/>
      <c r="N980" s="4"/>
    </row>
    <row r="981" spans="9:14" x14ac:dyDescent="0.3">
      <c r="I981" s="7"/>
      <c r="J981" s="9"/>
      <c r="K981" s="9"/>
      <c r="L981" s="9"/>
      <c r="M981" s="9"/>
      <c r="N981" s="4"/>
    </row>
    <row r="982" spans="9:14" x14ac:dyDescent="0.3">
      <c r="I982" s="7"/>
      <c r="J982" s="9"/>
      <c r="K982" s="9"/>
      <c r="L982" s="9"/>
      <c r="M982" s="9"/>
      <c r="N982" s="4"/>
    </row>
    <row r="983" spans="9:14" x14ac:dyDescent="0.3">
      <c r="I983" s="7"/>
      <c r="J983" s="9"/>
      <c r="K983" s="9"/>
      <c r="L983" s="9"/>
      <c r="M983" s="9"/>
      <c r="N983" s="4"/>
    </row>
    <row r="984" spans="9:14" x14ac:dyDescent="0.3">
      <c r="I984" s="7"/>
      <c r="J984" s="9"/>
      <c r="K984" s="9"/>
      <c r="L984" s="9"/>
      <c r="M984" s="9"/>
      <c r="N984" s="4"/>
    </row>
    <row r="985" spans="9:14" x14ac:dyDescent="0.3">
      <c r="I985" s="7"/>
      <c r="J985" s="9"/>
      <c r="K985" s="9"/>
      <c r="L985" s="9"/>
      <c r="M985" s="9"/>
      <c r="N985" s="4"/>
    </row>
    <row r="986" spans="9:14" x14ac:dyDescent="0.3">
      <c r="I986" s="7"/>
      <c r="J986" s="9"/>
      <c r="K986" s="9"/>
      <c r="L986" s="9"/>
      <c r="M986" s="9"/>
      <c r="N986" s="4"/>
    </row>
    <row r="987" spans="9:14" x14ac:dyDescent="0.3">
      <c r="I987" s="7"/>
      <c r="J987" s="9"/>
      <c r="K987" s="9"/>
      <c r="L987" s="9"/>
      <c r="M987" s="9"/>
      <c r="N987" s="4"/>
    </row>
    <row r="988" spans="9:14" x14ac:dyDescent="0.3">
      <c r="I988" s="7"/>
      <c r="J988" s="9"/>
      <c r="K988" s="9"/>
      <c r="L988" s="9"/>
      <c r="M988" s="9"/>
      <c r="N988" s="4"/>
    </row>
    <row r="989" spans="9:14" x14ac:dyDescent="0.3">
      <c r="I989" s="7"/>
      <c r="J989" s="9"/>
      <c r="K989" s="9"/>
      <c r="L989" s="9"/>
      <c r="M989" s="9"/>
      <c r="N989" s="4"/>
    </row>
    <row r="990" spans="9:14" x14ac:dyDescent="0.3">
      <c r="I990" s="7"/>
      <c r="J990" s="9"/>
      <c r="K990" s="9"/>
      <c r="L990" s="9"/>
      <c r="M990" s="9"/>
      <c r="N990" s="4"/>
    </row>
    <row r="991" spans="9:14" x14ac:dyDescent="0.3">
      <c r="I991" s="7"/>
      <c r="J991" s="9"/>
      <c r="K991" s="9"/>
      <c r="L991" s="9"/>
      <c r="M991" s="9"/>
      <c r="N991" s="4"/>
    </row>
    <row r="992" spans="9:14" x14ac:dyDescent="0.3">
      <c r="I992" s="7"/>
      <c r="J992" s="9"/>
      <c r="K992" s="9"/>
      <c r="L992" s="9"/>
      <c r="M992" s="9"/>
      <c r="N992" s="4"/>
    </row>
    <row r="993" spans="9:14" x14ac:dyDescent="0.3">
      <c r="I993" s="7"/>
      <c r="J993" s="9"/>
      <c r="K993" s="9"/>
      <c r="L993" s="9"/>
      <c r="M993" s="9"/>
      <c r="N993" s="4"/>
    </row>
    <row r="994" spans="9:14" x14ac:dyDescent="0.3">
      <c r="I994" s="7"/>
      <c r="J994" s="9"/>
      <c r="K994" s="9"/>
      <c r="L994" s="9"/>
      <c r="M994" s="9"/>
      <c r="N994" s="4"/>
    </row>
    <row r="995" spans="9:14" x14ac:dyDescent="0.3">
      <c r="I995" s="7"/>
      <c r="J995" s="9"/>
      <c r="K995" s="9"/>
      <c r="L995" s="9"/>
      <c r="M995" s="9"/>
      <c r="N995" s="4"/>
    </row>
    <row r="996" spans="9:14" x14ac:dyDescent="0.3">
      <c r="I996" s="7"/>
      <c r="J996" s="9"/>
      <c r="K996" s="9"/>
      <c r="L996" s="9"/>
      <c r="M996" s="9"/>
      <c r="N996" s="4"/>
    </row>
    <row r="997" spans="9:14" x14ac:dyDescent="0.3">
      <c r="I997" s="7"/>
      <c r="J997" s="9"/>
      <c r="K997" s="9"/>
      <c r="L997" s="9"/>
      <c r="M997" s="9"/>
      <c r="N997" s="4"/>
    </row>
    <row r="998" spans="9:14" x14ac:dyDescent="0.3">
      <c r="I998" s="7"/>
      <c r="J998" s="9"/>
      <c r="K998" s="9"/>
      <c r="L998" s="9"/>
      <c r="M998" s="9"/>
      <c r="N998" s="4"/>
    </row>
    <row r="999" spans="9:14" x14ac:dyDescent="0.3">
      <c r="I999" s="7"/>
      <c r="J999" s="9"/>
      <c r="K999" s="9"/>
      <c r="L999" s="9"/>
      <c r="M999" s="9"/>
      <c r="N999" s="4"/>
    </row>
    <row r="1000" spans="9:14" x14ac:dyDescent="0.3">
      <c r="I1000" s="7"/>
      <c r="J1000" s="9"/>
      <c r="K1000" s="9"/>
      <c r="L1000" s="9"/>
      <c r="M1000" s="9"/>
      <c r="N1000" s="4"/>
    </row>
    <row r="1001" spans="9:14" x14ac:dyDescent="0.3">
      <c r="I1001" s="7"/>
      <c r="J1001" s="9"/>
      <c r="K1001" s="9"/>
      <c r="L1001" s="9"/>
      <c r="M1001" s="9"/>
      <c r="N1001" s="4"/>
    </row>
    <row r="1002" spans="9:14" x14ac:dyDescent="0.3">
      <c r="I1002" s="7"/>
      <c r="J1002" s="9"/>
      <c r="K1002" s="9"/>
      <c r="L1002" s="9"/>
      <c r="M1002" s="9"/>
      <c r="N1002" s="4"/>
    </row>
    <row r="1003" spans="9:14" x14ac:dyDescent="0.3">
      <c r="I1003" s="7"/>
      <c r="J1003" s="9"/>
      <c r="K1003" s="9"/>
      <c r="L1003" s="9"/>
      <c r="M1003" s="9"/>
      <c r="N1003" s="4"/>
    </row>
    <row r="1004" spans="9:14" x14ac:dyDescent="0.3">
      <c r="I1004" s="7"/>
      <c r="J1004" s="9"/>
      <c r="K1004" s="9"/>
      <c r="L1004" s="9"/>
      <c r="M1004" s="9"/>
      <c r="N1004" s="4"/>
    </row>
    <row r="1005" spans="9:14" x14ac:dyDescent="0.3">
      <c r="I1005" s="7"/>
      <c r="J1005" s="9"/>
      <c r="K1005" s="9"/>
      <c r="L1005" s="9"/>
      <c r="M1005" s="9"/>
      <c r="N1005" s="4"/>
    </row>
    <row r="1006" spans="9:14" x14ac:dyDescent="0.3">
      <c r="I1006" s="7"/>
      <c r="J1006" s="9"/>
      <c r="K1006" s="9"/>
      <c r="L1006" s="9"/>
      <c r="M1006" s="9"/>
      <c r="N1006" s="4"/>
    </row>
    <row r="1007" spans="9:14" x14ac:dyDescent="0.3">
      <c r="I1007" s="7"/>
      <c r="J1007" s="9"/>
      <c r="K1007" s="9"/>
      <c r="L1007" s="9"/>
      <c r="M1007" s="9"/>
      <c r="N1007" s="4"/>
    </row>
    <row r="1008" spans="9:14" x14ac:dyDescent="0.3">
      <c r="I1008" s="7"/>
      <c r="J1008" s="9"/>
      <c r="K1008" s="9"/>
      <c r="L1008" s="9"/>
      <c r="M1008" s="9"/>
      <c r="N1008" s="4"/>
    </row>
    <row r="1009" spans="9:14" x14ac:dyDescent="0.3">
      <c r="I1009" s="7"/>
      <c r="J1009" s="9"/>
      <c r="K1009" s="9"/>
      <c r="L1009" s="9"/>
      <c r="M1009" s="9"/>
      <c r="N1009" s="4"/>
    </row>
    <row r="1010" spans="9:14" x14ac:dyDescent="0.3">
      <c r="I1010" s="7"/>
      <c r="J1010" s="9"/>
      <c r="K1010" s="9"/>
      <c r="L1010" s="9"/>
      <c r="M1010" s="9"/>
      <c r="N1010" s="4"/>
    </row>
    <row r="1011" spans="9:14" x14ac:dyDescent="0.3">
      <c r="I1011" s="7"/>
      <c r="J1011" s="9"/>
      <c r="K1011" s="9"/>
      <c r="L1011" s="9"/>
      <c r="M1011" s="9"/>
      <c r="N1011" s="4"/>
    </row>
    <row r="1012" spans="9:14" x14ac:dyDescent="0.3">
      <c r="I1012" s="7"/>
      <c r="J1012" s="9"/>
      <c r="K1012" s="9"/>
      <c r="L1012" s="9"/>
      <c r="M1012" s="9"/>
      <c r="N1012" s="4"/>
    </row>
    <row r="1013" spans="9:14" x14ac:dyDescent="0.3">
      <c r="I1013" s="7"/>
      <c r="J1013" s="9"/>
      <c r="K1013" s="9"/>
      <c r="L1013" s="9"/>
      <c r="M1013" s="9"/>
      <c r="N1013" s="4"/>
    </row>
    <row r="1014" spans="9:14" x14ac:dyDescent="0.3">
      <c r="I1014" s="7"/>
      <c r="J1014" s="9"/>
      <c r="K1014" s="9"/>
      <c r="L1014" s="9"/>
      <c r="M1014" s="9"/>
      <c r="N1014" s="4"/>
    </row>
    <row r="1015" spans="9:14" x14ac:dyDescent="0.3">
      <c r="I1015" s="7"/>
      <c r="J1015" s="9"/>
      <c r="K1015" s="9"/>
      <c r="L1015" s="9"/>
      <c r="M1015" s="9"/>
      <c r="N1015" s="4"/>
    </row>
    <row r="1016" spans="9:14" x14ac:dyDescent="0.3">
      <c r="I1016" s="7"/>
      <c r="J1016" s="9"/>
      <c r="K1016" s="9"/>
      <c r="L1016" s="9"/>
      <c r="M1016" s="9"/>
      <c r="N1016" s="4"/>
    </row>
    <row r="1017" spans="9:14" x14ac:dyDescent="0.3">
      <c r="I1017" s="7"/>
      <c r="J1017" s="9"/>
      <c r="K1017" s="9"/>
      <c r="L1017" s="9"/>
      <c r="M1017" s="9"/>
      <c r="N1017" s="4"/>
    </row>
    <row r="1018" spans="9:14" x14ac:dyDescent="0.3">
      <c r="I1018" s="7"/>
      <c r="J1018" s="9"/>
      <c r="K1018" s="9"/>
      <c r="L1018" s="9"/>
      <c r="M1018" s="9"/>
      <c r="N1018" s="4"/>
    </row>
    <row r="1019" spans="9:14" x14ac:dyDescent="0.3">
      <c r="I1019" s="7"/>
      <c r="J1019" s="9"/>
      <c r="K1019" s="9"/>
      <c r="L1019" s="9"/>
      <c r="M1019" s="9"/>
      <c r="N1019" s="4"/>
    </row>
    <row r="1020" spans="9:14" x14ac:dyDescent="0.3">
      <c r="I1020" s="7"/>
      <c r="J1020" s="9"/>
      <c r="K1020" s="9"/>
      <c r="L1020" s="9"/>
      <c r="M1020" s="9"/>
      <c r="N1020" s="4"/>
    </row>
    <row r="1021" spans="9:14" x14ac:dyDescent="0.3">
      <c r="I1021" s="7"/>
      <c r="J1021" s="9"/>
      <c r="K1021" s="9"/>
      <c r="L1021" s="9"/>
      <c r="M1021" s="9"/>
      <c r="N1021" s="4"/>
    </row>
    <row r="1022" spans="9:14" x14ac:dyDescent="0.3">
      <c r="I1022" s="7"/>
      <c r="J1022" s="9"/>
      <c r="K1022" s="9"/>
      <c r="L1022" s="9"/>
      <c r="M1022" s="9"/>
      <c r="N1022" s="4"/>
    </row>
    <row r="1023" spans="9:14" x14ac:dyDescent="0.3">
      <c r="I1023" s="7"/>
      <c r="J1023" s="9"/>
      <c r="K1023" s="9"/>
      <c r="L1023" s="9"/>
      <c r="M1023" s="9"/>
      <c r="N1023" s="4"/>
    </row>
    <row r="1024" spans="9:14" x14ac:dyDescent="0.3">
      <c r="I1024" s="7"/>
      <c r="J1024" s="9"/>
      <c r="K1024" s="9"/>
      <c r="L1024" s="9"/>
      <c r="M1024" s="9"/>
      <c r="N1024" s="4"/>
    </row>
    <row r="1025" spans="9:14" x14ac:dyDescent="0.3">
      <c r="I1025" s="7"/>
      <c r="J1025" s="9"/>
      <c r="K1025" s="9"/>
      <c r="L1025" s="9"/>
      <c r="M1025" s="9"/>
      <c r="N1025" s="4"/>
    </row>
    <row r="1026" spans="9:14" x14ac:dyDescent="0.3">
      <c r="I1026" s="7"/>
      <c r="J1026" s="9"/>
      <c r="K1026" s="9"/>
      <c r="L1026" s="9"/>
      <c r="M1026" s="9"/>
      <c r="N1026" s="4"/>
    </row>
    <row r="1027" spans="9:14" x14ac:dyDescent="0.3">
      <c r="I1027" s="7"/>
      <c r="J1027" s="9"/>
      <c r="K1027" s="9"/>
      <c r="L1027" s="9"/>
      <c r="M1027" s="9"/>
      <c r="N1027" s="4"/>
    </row>
    <row r="1028" spans="9:14" x14ac:dyDescent="0.3">
      <c r="I1028" s="7"/>
      <c r="J1028" s="9"/>
      <c r="K1028" s="9"/>
      <c r="L1028" s="9"/>
      <c r="M1028" s="9"/>
      <c r="N1028" s="4"/>
    </row>
    <row r="1029" spans="9:14" x14ac:dyDescent="0.3">
      <c r="I1029" s="7"/>
      <c r="J1029" s="9"/>
      <c r="K1029" s="9"/>
      <c r="L1029" s="9"/>
      <c r="M1029" s="9"/>
      <c r="N1029" s="4"/>
    </row>
    <row r="1030" spans="9:14" x14ac:dyDescent="0.3">
      <c r="I1030" s="7"/>
      <c r="J1030" s="9"/>
      <c r="K1030" s="9"/>
      <c r="L1030" s="9"/>
      <c r="M1030" s="9"/>
      <c r="N1030" s="4"/>
    </row>
    <row r="1031" spans="9:14" x14ac:dyDescent="0.3">
      <c r="I1031" s="7"/>
      <c r="J1031" s="9"/>
      <c r="K1031" s="9"/>
      <c r="L1031" s="9"/>
      <c r="M1031" s="9"/>
      <c r="N1031" s="4"/>
    </row>
    <row r="1032" spans="9:14" x14ac:dyDescent="0.3">
      <c r="I1032" s="7"/>
      <c r="J1032" s="9"/>
      <c r="K1032" s="9"/>
      <c r="L1032" s="9"/>
      <c r="M1032" s="9"/>
      <c r="N1032" s="4"/>
    </row>
    <row r="1033" spans="9:14" x14ac:dyDescent="0.3">
      <c r="I1033" s="7"/>
      <c r="J1033" s="9"/>
      <c r="K1033" s="9"/>
      <c r="L1033" s="9"/>
      <c r="M1033" s="9"/>
      <c r="N1033" s="4"/>
    </row>
    <row r="1034" spans="9:14" x14ac:dyDescent="0.3">
      <c r="I1034" s="7"/>
      <c r="J1034" s="9"/>
      <c r="K1034" s="9"/>
      <c r="L1034" s="9"/>
      <c r="M1034" s="9"/>
      <c r="N1034" s="4"/>
    </row>
    <row r="1035" spans="9:14" x14ac:dyDescent="0.3">
      <c r="I1035" s="7"/>
      <c r="J1035" s="9"/>
      <c r="K1035" s="9"/>
      <c r="L1035" s="9"/>
      <c r="M1035" s="9"/>
      <c r="N1035" s="4"/>
    </row>
    <row r="1036" spans="9:14" x14ac:dyDescent="0.3">
      <c r="I1036" s="7"/>
      <c r="J1036" s="9"/>
      <c r="K1036" s="9"/>
      <c r="L1036" s="9"/>
      <c r="M1036" s="9"/>
      <c r="N1036" s="4"/>
    </row>
    <row r="1037" spans="9:14" x14ac:dyDescent="0.3">
      <c r="I1037" s="7"/>
      <c r="J1037" s="9"/>
      <c r="K1037" s="9"/>
      <c r="L1037" s="9"/>
      <c r="M1037" s="9"/>
      <c r="N1037" s="4"/>
    </row>
    <row r="1038" spans="9:14" x14ac:dyDescent="0.3">
      <c r="I1038" s="7"/>
      <c r="J1038" s="9"/>
      <c r="K1038" s="9"/>
      <c r="L1038" s="9"/>
      <c r="M1038" s="9"/>
      <c r="N1038" s="4"/>
    </row>
    <row r="1039" spans="9:14" x14ac:dyDescent="0.3">
      <c r="I1039" s="7"/>
      <c r="J1039" s="9"/>
      <c r="K1039" s="9"/>
      <c r="L1039" s="9"/>
      <c r="M1039" s="9"/>
      <c r="N1039" s="4"/>
    </row>
    <row r="1040" spans="9:14" x14ac:dyDescent="0.3">
      <c r="I1040" s="7"/>
      <c r="J1040" s="9"/>
      <c r="K1040" s="9"/>
      <c r="L1040" s="9"/>
      <c r="M1040" s="9"/>
      <c r="N1040" s="4"/>
    </row>
    <row r="1041" spans="9:14" x14ac:dyDescent="0.3">
      <c r="I1041" s="7"/>
      <c r="J1041" s="9"/>
      <c r="K1041" s="9"/>
      <c r="L1041" s="9"/>
      <c r="M1041" s="9"/>
      <c r="N1041" s="4"/>
    </row>
    <row r="1042" spans="9:14" x14ac:dyDescent="0.3">
      <c r="I1042" s="7"/>
      <c r="J1042" s="9"/>
      <c r="K1042" s="9"/>
      <c r="L1042" s="9"/>
      <c r="M1042" s="9"/>
      <c r="N1042" s="4"/>
    </row>
    <row r="1043" spans="9:14" x14ac:dyDescent="0.3">
      <c r="I1043" s="7"/>
      <c r="J1043" s="9"/>
      <c r="K1043" s="9"/>
      <c r="L1043" s="9"/>
      <c r="M1043" s="9"/>
      <c r="N1043" s="4"/>
    </row>
    <row r="1044" spans="9:14" x14ac:dyDescent="0.3">
      <c r="I1044" s="7"/>
      <c r="J1044" s="9"/>
      <c r="K1044" s="9"/>
      <c r="L1044" s="9"/>
      <c r="M1044" s="9"/>
      <c r="N1044" s="4"/>
    </row>
    <row r="1045" spans="9:14" x14ac:dyDescent="0.3">
      <c r="I1045" s="7"/>
      <c r="J1045" s="9"/>
      <c r="K1045" s="9"/>
      <c r="L1045" s="9"/>
      <c r="M1045" s="9"/>
      <c r="N1045" s="4"/>
    </row>
    <row r="1046" spans="9:14" x14ac:dyDescent="0.3">
      <c r="I1046" s="7"/>
      <c r="J1046" s="9"/>
      <c r="K1046" s="9"/>
      <c r="L1046" s="9"/>
      <c r="M1046" s="9"/>
      <c r="N1046" s="4"/>
    </row>
    <row r="1047" spans="9:14" x14ac:dyDescent="0.3">
      <c r="I1047" s="7"/>
      <c r="J1047" s="9"/>
      <c r="K1047" s="9"/>
      <c r="L1047" s="9"/>
      <c r="M1047" s="9"/>
      <c r="N1047" s="4"/>
    </row>
    <row r="1048" spans="9:14" x14ac:dyDescent="0.3">
      <c r="I1048" s="7"/>
      <c r="J1048" s="9"/>
      <c r="K1048" s="9"/>
      <c r="L1048" s="9"/>
      <c r="M1048" s="9"/>
      <c r="N1048" s="4"/>
    </row>
    <row r="1049" spans="9:14" x14ac:dyDescent="0.3">
      <c r="I1049" s="7"/>
      <c r="J1049" s="9"/>
      <c r="K1049" s="9"/>
      <c r="L1049" s="9"/>
      <c r="M1049" s="9"/>
      <c r="N1049" s="4"/>
    </row>
    <row r="1050" spans="9:14" x14ac:dyDescent="0.3">
      <c r="I1050" s="7"/>
      <c r="J1050" s="9"/>
      <c r="K1050" s="9"/>
      <c r="L1050" s="9"/>
      <c r="M1050" s="9"/>
      <c r="N1050" s="4"/>
    </row>
    <row r="1051" spans="9:14" x14ac:dyDescent="0.3">
      <c r="I1051" s="7"/>
      <c r="J1051" s="9"/>
      <c r="K1051" s="9"/>
      <c r="L1051" s="9"/>
      <c r="M1051" s="9"/>
      <c r="N1051" s="4"/>
    </row>
    <row r="1052" spans="9:14" x14ac:dyDescent="0.3">
      <c r="I1052" s="7"/>
      <c r="J1052" s="9"/>
      <c r="K1052" s="9"/>
      <c r="L1052" s="9"/>
      <c r="M1052" s="9"/>
      <c r="N1052" s="4"/>
    </row>
    <row r="1053" spans="9:14" x14ac:dyDescent="0.3">
      <c r="I1053" s="7"/>
      <c r="J1053" s="9"/>
      <c r="K1053" s="9"/>
      <c r="L1053" s="9"/>
      <c r="M1053" s="9"/>
      <c r="N1053" s="4"/>
    </row>
    <row r="1054" spans="9:14" x14ac:dyDescent="0.3">
      <c r="I1054" s="7"/>
      <c r="J1054" s="9"/>
      <c r="K1054" s="9"/>
      <c r="L1054" s="9"/>
      <c r="M1054" s="9"/>
      <c r="N1054" s="4"/>
    </row>
    <row r="1055" spans="9:14" x14ac:dyDescent="0.3">
      <c r="I1055" s="7"/>
      <c r="J1055" s="9"/>
      <c r="K1055" s="9"/>
      <c r="L1055" s="9"/>
      <c r="M1055" s="9"/>
      <c r="N1055" s="4"/>
    </row>
    <row r="1056" spans="9:14" x14ac:dyDescent="0.3">
      <c r="I1056" s="7"/>
      <c r="J1056" s="9"/>
      <c r="K1056" s="9"/>
      <c r="L1056" s="9"/>
      <c r="M1056" s="9"/>
      <c r="N1056" s="4"/>
    </row>
    <row r="1057" spans="9:14" x14ac:dyDescent="0.3">
      <c r="I1057" s="7"/>
      <c r="J1057" s="9"/>
      <c r="K1057" s="9"/>
      <c r="L1057" s="9"/>
      <c r="M1057" s="9"/>
      <c r="N1057" s="4"/>
    </row>
    <row r="1058" spans="9:14" x14ac:dyDescent="0.3">
      <c r="I1058" s="7"/>
      <c r="J1058" s="9"/>
      <c r="K1058" s="9"/>
      <c r="L1058" s="9"/>
      <c r="M1058" s="9"/>
      <c r="N1058" s="4"/>
    </row>
    <row r="1059" spans="9:14" x14ac:dyDescent="0.3">
      <c r="I1059" s="7"/>
      <c r="J1059" s="9"/>
      <c r="K1059" s="9"/>
      <c r="L1059" s="9"/>
      <c r="M1059" s="9"/>
      <c r="N1059" s="4"/>
    </row>
    <row r="1060" spans="9:14" x14ac:dyDescent="0.3">
      <c r="I1060" s="7"/>
      <c r="J1060" s="9"/>
      <c r="K1060" s="9"/>
      <c r="L1060" s="9"/>
      <c r="M1060" s="9"/>
      <c r="N1060" s="4"/>
    </row>
    <row r="1061" spans="9:14" x14ac:dyDescent="0.3">
      <c r="I1061" s="7"/>
      <c r="J1061" s="9"/>
      <c r="K1061" s="9"/>
      <c r="L1061" s="9"/>
      <c r="M1061" s="9"/>
      <c r="N1061" s="4"/>
    </row>
    <row r="1062" spans="9:14" x14ac:dyDescent="0.3">
      <c r="I1062" s="7"/>
      <c r="J1062" s="9"/>
      <c r="K1062" s="9"/>
      <c r="L1062" s="9"/>
      <c r="M1062" s="9"/>
      <c r="N1062" s="4"/>
    </row>
    <row r="1063" spans="9:14" x14ac:dyDescent="0.3">
      <c r="I1063" s="7"/>
      <c r="J1063" s="9"/>
      <c r="K1063" s="9"/>
      <c r="L1063" s="9"/>
      <c r="M1063" s="9"/>
      <c r="N1063" s="4"/>
    </row>
    <row r="1064" spans="9:14" x14ac:dyDescent="0.3">
      <c r="I1064" s="7"/>
      <c r="J1064" s="9"/>
      <c r="K1064" s="9"/>
      <c r="L1064" s="9"/>
      <c r="M1064" s="9"/>
      <c r="N1064" s="4"/>
    </row>
    <row r="1065" spans="9:14" x14ac:dyDescent="0.3">
      <c r="I1065" s="7"/>
      <c r="J1065" s="9"/>
      <c r="K1065" s="9"/>
      <c r="L1065" s="9"/>
      <c r="M1065" s="9"/>
      <c r="N1065" s="4"/>
    </row>
    <row r="1066" spans="9:14" x14ac:dyDescent="0.3">
      <c r="I1066" s="7"/>
      <c r="J1066" s="9"/>
      <c r="K1066" s="9"/>
      <c r="L1066" s="9"/>
      <c r="M1066" s="9"/>
      <c r="N1066" s="4"/>
    </row>
    <row r="1067" spans="9:14" x14ac:dyDescent="0.3">
      <c r="I1067" s="7"/>
      <c r="J1067" s="9"/>
      <c r="K1067" s="9"/>
      <c r="L1067" s="9"/>
      <c r="M1067" s="9"/>
      <c r="N1067" s="4"/>
    </row>
    <row r="1068" spans="9:14" x14ac:dyDescent="0.3">
      <c r="I1068" s="7"/>
      <c r="J1068" s="9"/>
      <c r="K1068" s="9"/>
      <c r="L1068" s="9"/>
      <c r="M1068" s="9"/>
      <c r="N1068" s="4"/>
    </row>
    <row r="1069" spans="9:14" x14ac:dyDescent="0.3">
      <c r="I1069" s="7"/>
      <c r="J1069" s="9"/>
      <c r="K1069" s="9"/>
      <c r="L1069" s="9"/>
      <c r="M1069" s="9"/>
      <c r="N1069" s="4"/>
    </row>
    <row r="1070" spans="9:14" x14ac:dyDescent="0.3">
      <c r="I1070" s="7"/>
      <c r="J1070" s="9"/>
      <c r="K1070" s="9"/>
      <c r="L1070" s="9"/>
      <c r="M1070" s="9"/>
      <c r="N1070" s="4"/>
    </row>
    <row r="1071" spans="9:14" x14ac:dyDescent="0.3">
      <c r="I1071" s="7"/>
      <c r="J1071" s="9"/>
      <c r="K1071" s="9"/>
      <c r="L1071" s="9"/>
      <c r="M1071" s="9"/>
      <c r="N1071" s="4"/>
    </row>
    <row r="1072" spans="9:14" x14ac:dyDescent="0.3">
      <c r="I1072" s="7"/>
      <c r="J1072" s="9"/>
      <c r="K1072" s="9"/>
      <c r="L1072" s="9"/>
      <c r="M1072" s="9"/>
      <c r="N1072" s="4"/>
    </row>
    <row r="1073" spans="9:14" x14ac:dyDescent="0.3">
      <c r="I1073" s="7"/>
      <c r="J1073" s="9"/>
      <c r="K1073" s="9"/>
      <c r="L1073" s="9"/>
      <c r="M1073" s="9"/>
      <c r="N1073" s="4"/>
    </row>
    <row r="1074" spans="9:14" x14ac:dyDescent="0.3">
      <c r="I1074" s="7"/>
      <c r="J1074" s="9"/>
      <c r="K1074" s="9"/>
      <c r="L1074" s="9"/>
      <c r="M1074" s="9"/>
      <c r="N1074" s="4"/>
    </row>
    <row r="1075" spans="9:14" x14ac:dyDescent="0.3">
      <c r="I1075" s="7"/>
      <c r="J1075" s="9"/>
      <c r="K1075" s="9"/>
      <c r="L1075" s="9"/>
      <c r="M1075" s="9"/>
      <c r="N1075" s="4"/>
    </row>
    <row r="1076" spans="9:14" x14ac:dyDescent="0.3">
      <c r="I1076" s="7"/>
      <c r="J1076" s="9"/>
      <c r="K1076" s="9"/>
      <c r="L1076" s="9"/>
      <c r="M1076" s="9"/>
      <c r="N1076" s="4"/>
    </row>
    <row r="1077" spans="9:14" x14ac:dyDescent="0.3">
      <c r="I1077" s="7"/>
      <c r="J1077" s="9"/>
      <c r="K1077" s="9"/>
      <c r="L1077" s="9"/>
      <c r="M1077" s="9"/>
      <c r="N1077" s="4"/>
    </row>
    <row r="1078" spans="9:14" x14ac:dyDescent="0.3">
      <c r="I1078" s="7"/>
      <c r="J1078" s="9"/>
      <c r="K1078" s="9"/>
      <c r="L1078" s="9"/>
      <c r="M1078" s="9"/>
      <c r="N1078" s="4"/>
    </row>
    <row r="1079" spans="9:14" x14ac:dyDescent="0.3">
      <c r="I1079" s="7"/>
      <c r="J1079" s="9"/>
      <c r="K1079" s="9"/>
      <c r="L1079" s="9"/>
      <c r="M1079" s="9"/>
      <c r="N1079" s="4"/>
    </row>
    <row r="1080" spans="9:14" x14ac:dyDescent="0.3">
      <c r="I1080" s="7"/>
      <c r="J1080" s="9"/>
      <c r="K1080" s="9"/>
      <c r="L1080" s="9"/>
      <c r="M1080" s="9"/>
      <c r="N1080" s="4"/>
    </row>
    <row r="1081" spans="9:14" x14ac:dyDescent="0.3">
      <c r="I1081" s="7"/>
      <c r="J1081" s="9"/>
      <c r="K1081" s="9"/>
      <c r="L1081" s="9"/>
      <c r="M1081" s="9"/>
      <c r="N1081" s="4"/>
    </row>
    <row r="1082" spans="9:14" x14ac:dyDescent="0.3">
      <c r="I1082" s="7"/>
      <c r="J1082" s="9"/>
      <c r="K1082" s="9"/>
      <c r="L1082" s="9"/>
      <c r="M1082" s="9"/>
      <c r="N1082" s="4"/>
    </row>
    <row r="1083" spans="9:14" x14ac:dyDescent="0.3">
      <c r="I1083" s="7"/>
      <c r="J1083" s="9"/>
      <c r="K1083" s="9"/>
      <c r="L1083" s="9"/>
      <c r="M1083" s="9"/>
      <c r="N1083" s="4"/>
    </row>
    <row r="1084" spans="9:14" x14ac:dyDescent="0.3">
      <c r="I1084" s="7"/>
      <c r="J1084" s="9"/>
      <c r="K1084" s="9"/>
      <c r="L1084" s="9"/>
      <c r="M1084" s="9"/>
      <c r="N1084" s="4"/>
    </row>
    <row r="1085" spans="9:14" x14ac:dyDescent="0.3">
      <c r="I1085" s="7"/>
      <c r="J1085" s="9"/>
      <c r="K1085" s="9"/>
      <c r="L1085" s="9"/>
      <c r="M1085" s="9"/>
      <c r="N1085" s="4"/>
    </row>
    <row r="1086" spans="9:14" x14ac:dyDescent="0.3">
      <c r="I1086" s="7"/>
      <c r="J1086" s="9"/>
      <c r="K1086" s="9"/>
      <c r="L1086" s="9"/>
      <c r="M1086" s="9"/>
      <c r="N1086" s="4"/>
    </row>
    <row r="1087" spans="9:14" x14ac:dyDescent="0.3">
      <c r="I1087" s="7"/>
      <c r="J1087" s="9"/>
      <c r="K1087" s="9"/>
      <c r="L1087" s="9"/>
      <c r="M1087" s="9"/>
      <c r="N1087" s="4"/>
    </row>
    <row r="1088" spans="9:14" x14ac:dyDescent="0.3">
      <c r="I1088" s="7"/>
      <c r="J1088" s="9"/>
      <c r="K1088" s="9"/>
      <c r="L1088" s="9"/>
      <c r="M1088" s="9"/>
      <c r="N1088" s="4"/>
    </row>
    <row r="1089" spans="9:14" x14ac:dyDescent="0.3">
      <c r="I1089" s="7"/>
      <c r="J1089" s="9"/>
      <c r="K1089" s="9"/>
      <c r="L1089" s="9"/>
      <c r="M1089" s="9"/>
      <c r="N1089" s="4"/>
    </row>
    <row r="1090" spans="9:14" x14ac:dyDescent="0.3">
      <c r="I1090" s="7"/>
      <c r="J1090" s="9"/>
      <c r="K1090" s="9"/>
      <c r="L1090" s="9"/>
      <c r="M1090" s="9"/>
      <c r="N1090" s="4"/>
    </row>
    <row r="1091" spans="9:14" x14ac:dyDescent="0.3">
      <c r="I1091" s="7"/>
      <c r="J1091" s="9"/>
      <c r="K1091" s="9"/>
      <c r="L1091" s="9"/>
      <c r="M1091" s="9"/>
      <c r="N1091" s="4"/>
    </row>
    <row r="1092" spans="9:14" x14ac:dyDescent="0.3">
      <c r="I1092" s="7"/>
      <c r="J1092" s="9"/>
      <c r="K1092" s="9"/>
      <c r="L1092" s="9"/>
      <c r="M1092" s="9"/>
      <c r="N1092" s="4"/>
    </row>
    <row r="1093" spans="9:14" x14ac:dyDescent="0.3">
      <c r="I1093" s="7"/>
      <c r="J1093" s="9"/>
      <c r="K1093" s="9"/>
      <c r="L1093" s="9"/>
      <c r="M1093" s="9"/>
      <c r="N1093" s="4"/>
    </row>
    <row r="1094" spans="9:14" x14ac:dyDescent="0.3">
      <c r="I1094" s="7"/>
      <c r="J1094" s="9"/>
      <c r="K1094" s="9"/>
      <c r="L1094" s="9"/>
      <c r="M1094" s="9"/>
      <c r="N1094" s="4"/>
    </row>
    <row r="1095" spans="9:14" x14ac:dyDescent="0.3">
      <c r="I1095" s="7"/>
      <c r="J1095" s="9"/>
      <c r="K1095" s="9"/>
      <c r="L1095" s="9"/>
      <c r="M1095" s="9"/>
      <c r="N1095" s="4"/>
    </row>
    <row r="1096" spans="9:14" x14ac:dyDescent="0.3">
      <c r="I1096" s="7"/>
      <c r="J1096" s="9"/>
      <c r="K1096" s="9"/>
      <c r="L1096" s="9"/>
      <c r="M1096" s="9"/>
      <c r="N1096" s="4"/>
    </row>
    <row r="1097" spans="9:14" x14ac:dyDescent="0.3">
      <c r="I1097" s="7"/>
      <c r="J1097" s="9"/>
      <c r="K1097" s="9"/>
      <c r="L1097" s="9"/>
      <c r="M1097" s="9"/>
      <c r="N1097" s="4"/>
    </row>
    <row r="1098" spans="9:14" x14ac:dyDescent="0.3">
      <c r="I1098" s="7"/>
      <c r="J1098" s="9"/>
      <c r="K1098" s="9"/>
      <c r="L1098" s="9"/>
      <c r="M1098" s="9"/>
      <c r="N1098" s="4"/>
    </row>
    <row r="1099" spans="9:14" x14ac:dyDescent="0.3">
      <c r="I1099" s="7"/>
      <c r="J1099" s="9"/>
      <c r="K1099" s="9"/>
      <c r="L1099" s="9"/>
      <c r="M1099" s="9"/>
      <c r="N1099" s="4"/>
    </row>
    <row r="1100" spans="9:14" x14ac:dyDescent="0.3">
      <c r="I1100" s="7"/>
      <c r="J1100" s="9"/>
      <c r="K1100" s="9"/>
      <c r="L1100" s="9"/>
      <c r="M1100" s="9"/>
      <c r="N1100" s="4"/>
    </row>
    <row r="1101" spans="9:14" x14ac:dyDescent="0.3">
      <c r="I1101" s="7"/>
      <c r="J1101" s="9"/>
      <c r="K1101" s="9"/>
      <c r="L1101" s="9"/>
      <c r="M1101" s="9"/>
      <c r="N1101" s="4"/>
    </row>
    <row r="1102" spans="9:14" x14ac:dyDescent="0.3">
      <c r="I1102" s="7"/>
      <c r="J1102" s="9"/>
      <c r="K1102" s="9"/>
      <c r="L1102" s="9"/>
      <c r="M1102" s="9"/>
      <c r="N1102" s="4"/>
    </row>
    <row r="1103" spans="9:14" x14ac:dyDescent="0.3">
      <c r="I1103" s="7"/>
      <c r="J1103" s="9"/>
      <c r="K1103" s="9"/>
      <c r="L1103" s="9"/>
      <c r="M1103" s="9"/>
      <c r="N1103" s="4"/>
    </row>
    <row r="1104" spans="9:14" x14ac:dyDescent="0.3">
      <c r="I1104" s="7"/>
      <c r="J1104" s="9"/>
      <c r="K1104" s="9"/>
      <c r="L1104" s="9"/>
      <c r="M1104" s="9"/>
      <c r="N1104" s="4"/>
    </row>
    <row r="1105" spans="9:14" x14ac:dyDescent="0.3">
      <c r="I1105" s="7"/>
      <c r="J1105" s="9"/>
      <c r="K1105" s="9"/>
      <c r="L1105" s="9"/>
      <c r="M1105" s="9"/>
      <c r="N1105" s="4"/>
    </row>
    <row r="1106" spans="9:14" x14ac:dyDescent="0.3">
      <c r="I1106" s="7"/>
      <c r="J1106" s="9"/>
      <c r="K1106" s="9"/>
      <c r="L1106" s="9"/>
      <c r="M1106" s="9"/>
      <c r="N1106" s="4"/>
    </row>
    <row r="1107" spans="9:14" x14ac:dyDescent="0.3">
      <c r="I1107" s="7"/>
      <c r="J1107" s="9"/>
      <c r="K1107" s="9"/>
      <c r="L1107" s="9"/>
      <c r="M1107" s="9"/>
      <c r="N1107" s="4"/>
    </row>
    <row r="1108" spans="9:14" x14ac:dyDescent="0.3">
      <c r="I1108" s="7"/>
      <c r="J1108" s="9"/>
      <c r="K1108" s="9"/>
      <c r="L1108" s="9"/>
      <c r="M1108" s="9"/>
      <c r="N1108" s="4"/>
    </row>
    <row r="1109" spans="9:14" x14ac:dyDescent="0.3">
      <c r="I1109" s="7"/>
      <c r="J1109" s="9"/>
      <c r="K1109" s="9"/>
      <c r="L1109" s="9"/>
      <c r="M1109" s="9"/>
      <c r="N1109" s="4"/>
    </row>
    <row r="1110" spans="9:14" x14ac:dyDescent="0.3">
      <c r="I1110" s="7"/>
      <c r="J1110" s="9"/>
      <c r="K1110" s="9"/>
      <c r="L1110" s="9"/>
      <c r="M1110" s="9"/>
      <c r="N1110" s="4"/>
    </row>
    <row r="1111" spans="9:14" x14ac:dyDescent="0.3">
      <c r="I1111" s="7"/>
      <c r="J1111" s="9"/>
      <c r="K1111" s="9"/>
      <c r="L1111" s="9"/>
      <c r="M1111" s="9"/>
      <c r="N1111" s="4"/>
    </row>
    <row r="1112" spans="9:14" x14ac:dyDescent="0.3">
      <c r="I1112" s="7"/>
      <c r="J1112" s="9"/>
      <c r="K1112" s="9"/>
      <c r="L1112" s="9"/>
      <c r="M1112" s="9"/>
      <c r="N1112" s="4"/>
    </row>
    <row r="1113" spans="9:14" x14ac:dyDescent="0.3">
      <c r="I1113" s="7"/>
      <c r="J1113" s="9"/>
      <c r="K1113" s="9"/>
      <c r="L1113" s="9"/>
      <c r="M1113" s="9"/>
      <c r="N1113" s="4"/>
    </row>
    <row r="1114" spans="9:14" x14ac:dyDescent="0.3">
      <c r="I1114" s="7"/>
      <c r="J1114" s="9"/>
      <c r="K1114" s="9"/>
      <c r="L1114" s="9"/>
      <c r="M1114" s="9"/>
      <c r="N1114" s="4"/>
    </row>
    <row r="1115" spans="9:14" x14ac:dyDescent="0.3">
      <c r="I1115" s="7"/>
      <c r="J1115" s="9"/>
      <c r="K1115" s="9"/>
      <c r="L1115" s="9"/>
      <c r="M1115" s="9"/>
      <c r="N1115" s="4"/>
    </row>
    <row r="1116" spans="9:14" x14ac:dyDescent="0.3">
      <c r="I1116" s="7"/>
      <c r="J1116" s="9"/>
      <c r="K1116" s="9"/>
      <c r="L1116" s="9"/>
      <c r="M1116" s="9"/>
      <c r="N1116" s="4"/>
    </row>
    <row r="1117" spans="9:14" x14ac:dyDescent="0.3">
      <c r="I1117" s="7"/>
      <c r="J1117" s="9"/>
      <c r="K1117" s="9"/>
      <c r="L1117" s="9"/>
      <c r="M1117" s="9"/>
      <c r="N1117" s="4"/>
    </row>
    <row r="1118" spans="9:14" x14ac:dyDescent="0.3">
      <c r="I1118" s="7"/>
      <c r="J1118" s="9"/>
      <c r="K1118" s="9"/>
      <c r="L1118" s="9"/>
      <c r="M1118" s="9"/>
      <c r="N1118" s="4"/>
    </row>
    <row r="1119" spans="9:14" x14ac:dyDescent="0.3">
      <c r="I1119" s="7"/>
      <c r="J1119" s="9"/>
      <c r="K1119" s="9"/>
      <c r="L1119" s="9"/>
      <c r="M1119" s="9"/>
      <c r="N1119" s="4"/>
    </row>
    <row r="1120" spans="9:14" x14ac:dyDescent="0.3">
      <c r="I1120" s="7"/>
      <c r="J1120" s="9"/>
      <c r="K1120" s="9"/>
      <c r="L1120" s="9"/>
      <c r="M1120" s="9"/>
      <c r="N1120" s="4"/>
    </row>
    <row r="1121" spans="9:14" x14ac:dyDescent="0.3">
      <c r="I1121" s="7"/>
      <c r="J1121" s="9"/>
      <c r="K1121" s="9"/>
      <c r="L1121" s="9"/>
      <c r="M1121" s="9"/>
      <c r="N1121" s="4"/>
    </row>
    <row r="1122" spans="9:14" x14ac:dyDescent="0.3">
      <c r="I1122" s="7"/>
      <c r="J1122" s="9"/>
      <c r="K1122" s="9"/>
      <c r="L1122" s="9"/>
      <c r="M1122" s="9"/>
      <c r="N1122" s="4"/>
    </row>
    <row r="1123" spans="9:14" x14ac:dyDescent="0.3">
      <c r="I1123" s="7"/>
      <c r="J1123" s="9"/>
      <c r="K1123" s="9"/>
      <c r="L1123" s="9"/>
      <c r="M1123" s="9"/>
      <c r="N1123" s="4"/>
    </row>
    <row r="1124" spans="9:14" x14ac:dyDescent="0.3">
      <c r="I1124" s="7"/>
      <c r="J1124" s="9"/>
      <c r="K1124" s="9"/>
      <c r="L1124" s="9"/>
      <c r="M1124" s="9"/>
      <c r="N1124" s="4"/>
    </row>
    <row r="1125" spans="9:14" x14ac:dyDescent="0.3">
      <c r="I1125" s="7"/>
      <c r="J1125" s="9"/>
      <c r="K1125" s="9"/>
      <c r="L1125" s="9"/>
      <c r="M1125" s="9"/>
      <c r="N1125" s="4"/>
    </row>
    <row r="1126" spans="9:14" x14ac:dyDescent="0.3">
      <c r="I1126" s="7"/>
      <c r="J1126" s="9"/>
      <c r="K1126" s="9"/>
      <c r="L1126" s="9"/>
      <c r="M1126" s="9"/>
      <c r="N1126" s="4"/>
    </row>
    <row r="1127" spans="9:14" x14ac:dyDescent="0.3">
      <c r="I1127" s="7"/>
      <c r="J1127" s="9"/>
      <c r="K1127" s="9"/>
      <c r="L1127" s="9"/>
      <c r="M1127" s="9"/>
      <c r="N1127" s="4"/>
    </row>
    <row r="1128" spans="9:14" x14ac:dyDescent="0.3">
      <c r="I1128" s="7"/>
      <c r="J1128" s="9"/>
      <c r="K1128" s="9"/>
      <c r="L1128" s="9"/>
      <c r="M1128" s="9"/>
      <c r="N1128" s="4"/>
    </row>
    <row r="1129" spans="9:14" x14ac:dyDescent="0.3">
      <c r="I1129" s="7"/>
      <c r="J1129" s="9"/>
      <c r="K1129" s="9"/>
      <c r="L1129" s="9"/>
      <c r="M1129" s="9"/>
      <c r="N1129" s="4"/>
    </row>
    <row r="1130" spans="9:14" x14ac:dyDescent="0.3">
      <c r="I1130" s="7"/>
      <c r="J1130" s="9"/>
      <c r="K1130" s="9"/>
      <c r="L1130" s="9"/>
      <c r="M1130" s="9"/>
      <c r="N1130" s="4"/>
    </row>
    <row r="1131" spans="9:14" x14ac:dyDescent="0.3">
      <c r="I1131" s="7"/>
      <c r="J1131" s="9"/>
      <c r="K1131" s="9"/>
      <c r="L1131" s="9"/>
      <c r="M1131" s="9"/>
      <c r="N1131" s="4"/>
    </row>
    <row r="1132" spans="9:14" x14ac:dyDescent="0.3">
      <c r="I1132" s="7"/>
      <c r="J1132" s="9"/>
      <c r="K1132" s="9"/>
      <c r="L1132" s="9"/>
      <c r="M1132" s="9"/>
      <c r="N1132" s="4"/>
    </row>
    <row r="1133" spans="9:14" x14ac:dyDescent="0.3">
      <c r="I1133" s="7"/>
      <c r="J1133" s="9"/>
      <c r="K1133" s="9"/>
      <c r="L1133" s="9"/>
      <c r="M1133" s="9"/>
      <c r="N1133" s="4"/>
    </row>
    <row r="1134" spans="9:14" x14ac:dyDescent="0.3">
      <c r="I1134" s="7"/>
      <c r="J1134" s="9"/>
      <c r="K1134" s="9"/>
      <c r="L1134" s="9"/>
      <c r="M1134" s="9"/>
      <c r="N1134" s="4"/>
    </row>
    <row r="1135" spans="9:14" x14ac:dyDescent="0.3">
      <c r="I1135" s="7"/>
      <c r="J1135" s="9"/>
      <c r="K1135" s="9"/>
      <c r="L1135" s="9"/>
      <c r="M1135" s="9"/>
      <c r="N1135" s="4"/>
    </row>
    <row r="1136" spans="9:14" x14ac:dyDescent="0.3">
      <c r="I1136" s="7"/>
      <c r="J1136" s="9"/>
      <c r="K1136" s="9"/>
      <c r="L1136" s="9"/>
      <c r="M1136" s="9"/>
      <c r="N1136" s="4"/>
    </row>
    <row r="1137" spans="9:14" x14ac:dyDescent="0.3">
      <c r="I1137" s="7"/>
      <c r="J1137" s="9"/>
      <c r="K1137" s="9"/>
      <c r="L1137" s="9"/>
      <c r="M1137" s="9"/>
      <c r="N1137" s="4"/>
    </row>
    <row r="1138" spans="9:14" x14ac:dyDescent="0.3">
      <c r="I1138" s="7"/>
      <c r="J1138" s="9"/>
      <c r="K1138" s="9"/>
      <c r="L1138" s="9"/>
      <c r="M1138" s="9"/>
      <c r="N1138" s="4"/>
    </row>
    <row r="1139" spans="9:14" x14ac:dyDescent="0.3">
      <c r="I1139" s="7"/>
      <c r="J1139" s="9"/>
      <c r="K1139" s="9"/>
      <c r="L1139" s="9"/>
      <c r="M1139" s="9"/>
      <c r="N1139" s="4"/>
    </row>
    <row r="1140" spans="9:14" x14ac:dyDescent="0.3">
      <c r="I1140" s="7"/>
      <c r="J1140" s="9"/>
      <c r="K1140" s="9"/>
      <c r="L1140" s="9"/>
      <c r="M1140" s="9"/>
      <c r="N1140" s="4"/>
    </row>
    <row r="1141" spans="9:14" x14ac:dyDescent="0.3">
      <c r="I1141" s="7"/>
      <c r="J1141" s="9"/>
      <c r="K1141" s="9"/>
      <c r="L1141" s="9"/>
      <c r="M1141" s="9"/>
      <c r="N1141" s="4"/>
    </row>
    <row r="1142" spans="9:14" x14ac:dyDescent="0.3">
      <c r="I1142" s="7"/>
      <c r="J1142" s="9"/>
      <c r="K1142" s="9"/>
      <c r="L1142" s="9"/>
      <c r="M1142" s="9"/>
      <c r="N1142" s="4"/>
    </row>
    <row r="1143" spans="9:14" x14ac:dyDescent="0.3">
      <c r="I1143" s="7"/>
      <c r="J1143" s="9"/>
      <c r="K1143" s="9"/>
      <c r="L1143" s="9"/>
      <c r="M1143" s="9"/>
      <c r="N1143" s="4"/>
    </row>
    <row r="1144" spans="9:14" x14ac:dyDescent="0.3">
      <c r="I1144" s="7"/>
      <c r="J1144" s="9"/>
      <c r="K1144" s="9"/>
      <c r="L1144" s="9"/>
      <c r="M1144" s="9"/>
      <c r="N1144" s="4"/>
    </row>
    <row r="1145" spans="9:14" x14ac:dyDescent="0.3">
      <c r="I1145" s="7"/>
      <c r="J1145" s="9"/>
      <c r="K1145" s="9"/>
      <c r="L1145" s="9"/>
      <c r="M1145" s="9"/>
      <c r="N1145" s="4"/>
    </row>
    <row r="1146" spans="9:14" x14ac:dyDescent="0.3">
      <c r="I1146" s="7"/>
      <c r="J1146" s="9"/>
      <c r="K1146" s="9"/>
      <c r="L1146" s="9"/>
      <c r="M1146" s="9"/>
      <c r="N1146" s="4"/>
    </row>
    <row r="1147" spans="9:14" x14ac:dyDescent="0.3">
      <c r="I1147" s="7"/>
      <c r="J1147" s="9"/>
      <c r="K1147" s="9"/>
      <c r="L1147" s="9"/>
      <c r="M1147" s="9"/>
      <c r="N1147" s="4"/>
    </row>
    <row r="1148" spans="9:14" x14ac:dyDescent="0.3">
      <c r="I1148" s="7"/>
      <c r="J1148" s="9"/>
      <c r="K1148" s="9"/>
      <c r="L1148" s="9"/>
      <c r="M1148" s="9"/>
      <c r="N1148" s="4"/>
    </row>
    <row r="1149" spans="9:14" x14ac:dyDescent="0.3">
      <c r="I1149" s="7"/>
      <c r="J1149" s="9"/>
      <c r="K1149" s="9"/>
      <c r="L1149" s="9"/>
      <c r="M1149" s="9"/>
      <c r="N1149" s="4"/>
    </row>
    <row r="1150" spans="9:14" x14ac:dyDescent="0.3">
      <c r="I1150" s="7"/>
      <c r="J1150" s="9"/>
      <c r="K1150" s="9"/>
      <c r="L1150" s="9"/>
      <c r="M1150" s="9"/>
      <c r="N1150" s="4"/>
    </row>
    <row r="1151" spans="9:14" x14ac:dyDescent="0.3">
      <c r="I1151" s="7"/>
      <c r="J1151" s="9"/>
      <c r="K1151" s="9"/>
      <c r="L1151" s="9"/>
      <c r="M1151" s="9"/>
      <c r="N1151" s="4"/>
    </row>
    <row r="1152" spans="9:14" x14ac:dyDescent="0.3">
      <c r="I1152" s="7"/>
      <c r="J1152" s="9"/>
      <c r="K1152" s="9"/>
      <c r="L1152" s="9"/>
      <c r="M1152" s="9"/>
      <c r="N1152" s="4"/>
    </row>
    <row r="1153" spans="9:14" x14ac:dyDescent="0.3">
      <c r="I1153" s="7"/>
      <c r="J1153" s="9"/>
      <c r="K1153" s="9"/>
      <c r="L1153" s="9"/>
      <c r="M1153" s="9"/>
      <c r="N1153" s="4"/>
    </row>
    <row r="1154" spans="9:14" x14ac:dyDescent="0.3">
      <c r="I1154" s="7"/>
      <c r="J1154" s="9"/>
      <c r="K1154" s="9"/>
      <c r="L1154" s="9"/>
      <c r="M1154" s="9"/>
      <c r="N1154" s="4"/>
    </row>
    <row r="1155" spans="9:14" x14ac:dyDescent="0.3">
      <c r="I1155" s="7"/>
      <c r="J1155" s="9"/>
      <c r="K1155" s="9"/>
      <c r="L1155" s="9"/>
      <c r="M1155" s="9"/>
      <c r="N1155" s="4"/>
    </row>
    <row r="1156" spans="9:14" x14ac:dyDescent="0.3">
      <c r="I1156" s="7"/>
      <c r="J1156" s="9"/>
      <c r="K1156" s="9"/>
      <c r="L1156" s="9"/>
      <c r="M1156" s="9"/>
      <c r="N1156" s="4"/>
    </row>
    <row r="1157" spans="9:14" x14ac:dyDescent="0.3">
      <c r="I1157" s="7"/>
      <c r="J1157" s="9"/>
      <c r="K1157" s="9"/>
      <c r="L1157" s="9"/>
      <c r="M1157" s="9"/>
      <c r="N1157" s="4"/>
    </row>
    <row r="1158" spans="9:14" x14ac:dyDescent="0.3">
      <c r="I1158" s="7"/>
      <c r="J1158" s="9"/>
      <c r="K1158" s="9"/>
      <c r="L1158" s="9"/>
      <c r="M1158" s="9"/>
      <c r="N1158" s="4"/>
    </row>
    <row r="1159" spans="9:14" x14ac:dyDescent="0.3">
      <c r="I1159" s="7"/>
      <c r="J1159" s="9"/>
      <c r="K1159" s="9"/>
      <c r="L1159" s="9"/>
      <c r="M1159" s="9"/>
      <c r="N1159" s="4"/>
    </row>
    <row r="1160" spans="9:14" x14ac:dyDescent="0.3">
      <c r="I1160" s="7"/>
      <c r="J1160" s="9"/>
      <c r="K1160" s="9"/>
      <c r="L1160" s="9"/>
      <c r="M1160" s="9"/>
      <c r="N1160" s="4"/>
    </row>
    <row r="1161" spans="9:14" x14ac:dyDescent="0.3">
      <c r="I1161" s="7"/>
      <c r="J1161" s="9"/>
      <c r="K1161" s="9"/>
      <c r="L1161" s="9"/>
      <c r="M1161" s="9"/>
      <c r="N1161" s="4"/>
    </row>
    <row r="1162" spans="9:14" x14ac:dyDescent="0.3">
      <c r="I1162" s="7"/>
      <c r="J1162" s="9"/>
      <c r="K1162" s="9"/>
      <c r="L1162" s="9"/>
      <c r="M1162" s="9"/>
      <c r="N1162" s="4"/>
    </row>
    <row r="1163" spans="9:14" x14ac:dyDescent="0.3">
      <c r="I1163" s="7"/>
      <c r="J1163" s="9"/>
      <c r="K1163" s="9"/>
      <c r="L1163" s="9"/>
      <c r="M1163" s="9"/>
      <c r="N1163" s="4"/>
    </row>
    <row r="1164" spans="9:14" x14ac:dyDescent="0.3">
      <c r="I1164" s="7"/>
      <c r="J1164" s="9"/>
      <c r="K1164" s="9"/>
      <c r="L1164" s="9"/>
      <c r="M1164" s="9"/>
      <c r="N1164" s="4"/>
    </row>
    <row r="1165" spans="9:14" x14ac:dyDescent="0.3">
      <c r="I1165" s="7"/>
      <c r="J1165" s="9"/>
      <c r="K1165" s="9"/>
      <c r="L1165" s="9"/>
      <c r="M1165" s="9"/>
      <c r="N1165" s="4"/>
    </row>
    <row r="1166" spans="9:14" x14ac:dyDescent="0.3">
      <c r="I1166" s="7"/>
      <c r="J1166" s="9"/>
      <c r="K1166" s="9"/>
      <c r="L1166" s="9"/>
      <c r="M1166" s="9"/>
      <c r="N1166" s="4"/>
    </row>
    <row r="1167" spans="9:14" x14ac:dyDescent="0.3">
      <c r="I1167" s="7"/>
      <c r="J1167" s="9"/>
      <c r="K1167" s="9"/>
      <c r="L1167" s="9"/>
      <c r="M1167" s="9"/>
      <c r="N1167" s="4"/>
    </row>
    <row r="1168" spans="9:14" x14ac:dyDescent="0.3">
      <c r="I1168" s="7"/>
      <c r="J1168" s="9"/>
      <c r="K1168" s="9"/>
      <c r="L1168" s="9"/>
      <c r="M1168" s="9"/>
      <c r="N1168" s="4"/>
    </row>
    <row r="1169" spans="9:14" x14ac:dyDescent="0.3">
      <c r="I1169" s="7"/>
      <c r="J1169" s="9"/>
      <c r="K1169" s="9"/>
      <c r="L1169" s="9"/>
      <c r="M1169" s="9"/>
      <c r="N1169" s="4"/>
    </row>
    <row r="1170" spans="9:14" x14ac:dyDescent="0.3">
      <c r="I1170" s="7"/>
      <c r="J1170" s="9"/>
      <c r="K1170" s="9"/>
      <c r="L1170" s="9"/>
      <c r="M1170" s="9"/>
      <c r="N1170" s="4"/>
    </row>
    <row r="1171" spans="9:14" x14ac:dyDescent="0.3">
      <c r="I1171" s="7"/>
      <c r="J1171" s="9"/>
      <c r="K1171" s="9"/>
      <c r="L1171" s="9"/>
      <c r="M1171" s="9"/>
      <c r="N1171" s="4"/>
    </row>
    <row r="1172" spans="9:14" x14ac:dyDescent="0.3">
      <c r="I1172" s="7"/>
      <c r="J1172" s="9"/>
      <c r="K1172" s="9"/>
      <c r="L1172" s="9"/>
      <c r="M1172" s="9"/>
      <c r="N1172" s="4"/>
    </row>
    <row r="1173" spans="9:14" x14ac:dyDescent="0.3">
      <c r="I1173" s="7"/>
      <c r="J1173" s="9"/>
      <c r="K1173" s="9"/>
      <c r="L1173" s="9"/>
      <c r="M1173" s="9"/>
      <c r="N1173" s="4"/>
    </row>
    <row r="1174" spans="9:14" x14ac:dyDescent="0.3">
      <c r="I1174" s="7"/>
      <c r="J1174" s="9"/>
      <c r="K1174" s="9"/>
      <c r="L1174" s="9"/>
      <c r="M1174" s="9"/>
      <c r="N1174" s="4"/>
    </row>
    <row r="1175" spans="9:14" x14ac:dyDescent="0.3">
      <c r="I1175" s="7"/>
      <c r="J1175" s="9"/>
      <c r="K1175" s="9"/>
      <c r="L1175" s="9"/>
      <c r="M1175" s="9"/>
      <c r="N1175" s="4"/>
    </row>
    <row r="1176" spans="9:14" x14ac:dyDescent="0.3">
      <c r="I1176" s="7"/>
      <c r="J1176" s="9"/>
      <c r="K1176" s="9"/>
      <c r="L1176" s="9"/>
      <c r="M1176" s="9"/>
      <c r="N1176" s="4"/>
    </row>
    <row r="1177" spans="9:14" x14ac:dyDescent="0.3">
      <c r="I1177" s="7"/>
      <c r="J1177" s="9"/>
      <c r="K1177" s="9"/>
      <c r="L1177" s="9"/>
      <c r="M1177" s="9"/>
      <c r="N1177" s="4"/>
    </row>
    <row r="1178" spans="9:14" x14ac:dyDescent="0.3">
      <c r="I1178" s="7"/>
      <c r="J1178" s="9"/>
      <c r="K1178" s="9"/>
      <c r="L1178" s="9"/>
      <c r="M1178" s="9"/>
      <c r="N1178" s="4"/>
    </row>
    <row r="1179" spans="9:14" x14ac:dyDescent="0.3">
      <c r="I1179" s="7"/>
      <c r="J1179" s="9"/>
      <c r="K1179" s="9"/>
      <c r="L1179" s="9"/>
      <c r="M1179" s="9"/>
      <c r="N1179" s="4"/>
    </row>
    <row r="1180" spans="9:14" x14ac:dyDescent="0.3">
      <c r="I1180" s="7"/>
      <c r="J1180" s="9"/>
      <c r="K1180" s="9"/>
      <c r="L1180" s="9"/>
      <c r="M1180" s="9"/>
      <c r="N1180" s="4"/>
    </row>
    <row r="1181" spans="9:14" x14ac:dyDescent="0.3">
      <c r="I1181" s="7"/>
      <c r="J1181" s="9"/>
      <c r="K1181" s="9"/>
      <c r="L1181" s="9"/>
      <c r="M1181" s="9"/>
      <c r="N1181" s="4"/>
    </row>
    <row r="1182" spans="9:14" x14ac:dyDescent="0.3">
      <c r="I1182" s="7"/>
      <c r="J1182" s="9"/>
      <c r="K1182" s="9"/>
      <c r="L1182" s="9"/>
      <c r="M1182" s="9"/>
      <c r="N1182" s="4"/>
    </row>
    <row r="1183" spans="9:14" x14ac:dyDescent="0.3">
      <c r="I1183" s="7"/>
      <c r="J1183" s="9"/>
      <c r="K1183" s="9"/>
      <c r="L1183" s="9"/>
      <c r="M1183" s="9"/>
      <c r="N1183" s="4"/>
    </row>
    <row r="1184" spans="9:14" x14ac:dyDescent="0.3">
      <c r="I1184" s="7"/>
      <c r="J1184" s="9"/>
      <c r="K1184" s="9"/>
      <c r="L1184" s="9"/>
      <c r="M1184" s="9"/>
      <c r="N1184" s="4"/>
    </row>
    <row r="1185" spans="9:14" x14ac:dyDescent="0.3">
      <c r="I1185" s="7"/>
      <c r="J1185" s="9"/>
      <c r="K1185" s="9"/>
      <c r="L1185" s="9"/>
      <c r="M1185" s="9"/>
      <c r="N1185" s="4"/>
    </row>
    <row r="1186" spans="9:14" x14ac:dyDescent="0.3">
      <c r="I1186" s="7"/>
      <c r="J1186" s="9"/>
      <c r="K1186" s="9"/>
      <c r="L1186" s="9"/>
      <c r="M1186" s="9"/>
      <c r="N1186" s="4"/>
    </row>
    <row r="1187" spans="9:14" x14ac:dyDescent="0.3">
      <c r="I1187" s="7"/>
      <c r="J1187" s="9"/>
      <c r="K1187" s="9"/>
      <c r="L1187" s="9"/>
      <c r="M1187" s="9"/>
      <c r="N1187" s="4"/>
    </row>
    <row r="1188" spans="9:14" x14ac:dyDescent="0.3">
      <c r="I1188" s="7"/>
      <c r="J1188" s="9"/>
      <c r="K1188" s="9"/>
      <c r="L1188" s="9"/>
      <c r="M1188" s="9"/>
      <c r="N1188" s="4"/>
    </row>
    <row r="1189" spans="9:14" x14ac:dyDescent="0.3">
      <c r="I1189" s="7"/>
      <c r="J1189" s="9"/>
      <c r="K1189" s="9"/>
      <c r="L1189" s="9"/>
      <c r="M1189" s="9"/>
      <c r="N1189" s="4"/>
    </row>
    <row r="1190" spans="9:14" x14ac:dyDescent="0.3">
      <c r="I1190" s="7"/>
      <c r="J1190" s="9"/>
      <c r="K1190" s="9"/>
      <c r="L1190" s="9"/>
      <c r="M1190" s="9"/>
      <c r="N1190" s="4"/>
    </row>
    <row r="1191" spans="9:14" x14ac:dyDescent="0.3">
      <c r="I1191" s="7"/>
      <c r="J1191" s="9"/>
      <c r="K1191" s="9"/>
      <c r="L1191" s="9"/>
      <c r="M1191" s="9"/>
      <c r="N1191" s="4"/>
    </row>
    <row r="1192" spans="9:14" x14ac:dyDescent="0.3">
      <c r="I1192" s="7"/>
      <c r="J1192" s="9"/>
      <c r="K1192" s="9"/>
      <c r="L1192" s="9"/>
      <c r="M1192" s="9"/>
      <c r="N1192" s="4"/>
    </row>
    <row r="1193" spans="9:14" x14ac:dyDescent="0.3">
      <c r="I1193" s="7"/>
      <c r="J1193" s="9"/>
      <c r="K1193" s="9"/>
      <c r="L1193" s="9"/>
      <c r="M1193" s="9"/>
      <c r="N1193" s="4"/>
    </row>
    <row r="1194" spans="9:14" x14ac:dyDescent="0.3">
      <c r="I1194" s="7"/>
      <c r="J1194" s="9"/>
      <c r="K1194" s="9"/>
      <c r="L1194" s="9"/>
      <c r="M1194" s="9"/>
      <c r="N1194" s="4"/>
    </row>
    <row r="1195" spans="9:14" x14ac:dyDescent="0.3">
      <c r="I1195" s="7"/>
      <c r="J1195" s="9"/>
      <c r="K1195" s="9"/>
      <c r="L1195" s="9"/>
      <c r="M1195" s="9"/>
      <c r="N1195" s="4"/>
    </row>
    <row r="1196" spans="9:14" x14ac:dyDescent="0.3">
      <c r="I1196" s="7"/>
      <c r="J1196" s="9"/>
      <c r="K1196" s="9"/>
      <c r="L1196" s="9"/>
      <c r="M1196" s="9"/>
      <c r="N1196" s="4"/>
    </row>
    <row r="1197" spans="9:14" x14ac:dyDescent="0.3">
      <c r="I1197" s="7"/>
      <c r="J1197" s="9"/>
      <c r="K1197" s="9"/>
      <c r="L1197" s="9"/>
      <c r="M1197" s="9"/>
      <c r="N1197" s="4"/>
    </row>
    <row r="1198" spans="9:14" x14ac:dyDescent="0.3">
      <c r="I1198" s="7"/>
      <c r="J1198" s="9"/>
      <c r="K1198" s="9"/>
      <c r="L1198" s="9"/>
      <c r="M1198" s="9"/>
      <c r="N1198" s="4"/>
    </row>
    <row r="1199" spans="9:14" x14ac:dyDescent="0.3">
      <c r="I1199" s="7"/>
      <c r="J1199" s="9"/>
      <c r="K1199" s="9"/>
      <c r="L1199" s="9"/>
      <c r="M1199" s="9"/>
      <c r="N1199" s="4"/>
    </row>
    <row r="1200" spans="9:14" x14ac:dyDescent="0.3">
      <c r="I1200" s="7"/>
      <c r="J1200" s="9"/>
      <c r="K1200" s="9"/>
      <c r="L1200" s="9"/>
      <c r="M1200" s="9"/>
      <c r="N1200" s="4"/>
    </row>
    <row r="1201" spans="9:14" x14ac:dyDescent="0.3">
      <c r="I1201" s="7"/>
      <c r="J1201" s="9"/>
      <c r="K1201" s="9"/>
      <c r="L1201" s="9"/>
      <c r="M1201" s="9"/>
      <c r="N1201" s="4"/>
    </row>
    <row r="1202" spans="9:14" x14ac:dyDescent="0.3">
      <c r="I1202" s="7"/>
      <c r="J1202" s="9"/>
      <c r="K1202" s="9"/>
      <c r="L1202" s="9"/>
      <c r="M1202" s="9"/>
      <c r="N1202" s="4"/>
    </row>
    <row r="1203" spans="9:14" x14ac:dyDescent="0.3">
      <c r="I1203" s="7"/>
      <c r="J1203" s="9"/>
      <c r="K1203" s="9"/>
      <c r="L1203" s="9"/>
      <c r="M1203" s="9"/>
      <c r="N1203" s="4"/>
    </row>
    <row r="1204" spans="9:14" x14ac:dyDescent="0.3">
      <c r="I1204" s="7"/>
      <c r="J1204" s="9"/>
      <c r="K1204" s="9"/>
      <c r="L1204" s="9"/>
      <c r="M1204" s="9"/>
      <c r="N1204" s="4"/>
    </row>
    <row r="1205" spans="9:14" x14ac:dyDescent="0.3">
      <c r="I1205" s="7"/>
      <c r="J1205" s="9"/>
      <c r="K1205" s="9"/>
      <c r="L1205" s="9"/>
      <c r="M1205" s="9"/>
      <c r="N1205" s="4"/>
    </row>
    <row r="1206" spans="9:14" x14ac:dyDescent="0.3">
      <c r="I1206" s="7"/>
      <c r="J1206" s="9"/>
      <c r="K1206" s="9"/>
      <c r="L1206" s="9"/>
      <c r="M1206" s="9"/>
      <c r="N1206" s="4"/>
    </row>
    <row r="1207" spans="9:14" x14ac:dyDescent="0.3">
      <c r="I1207" s="7"/>
      <c r="J1207" s="9"/>
      <c r="K1207" s="9"/>
      <c r="L1207" s="9"/>
      <c r="M1207" s="9"/>
      <c r="N1207" s="4"/>
    </row>
    <row r="1208" spans="9:14" x14ac:dyDescent="0.3">
      <c r="I1208" s="7"/>
      <c r="J1208" s="9"/>
      <c r="K1208" s="9"/>
      <c r="L1208" s="9"/>
      <c r="M1208" s="9"/>
      <c r="N1208" s="4"/>
    </row>
    <row r="1209" spans="9:14" x14ac:dyDescent="0.3">
      <c r="I1209" s="7"/>
      <c r="J1209" s="9"/>
      <c r="K1209" s="9"/>
      <c r="L1209" s="9"/>
      <c r="M1209" s="9"/>
      <c r="N1209" s="4"/>
    </row>
    <row r="1210" spans="9:14" x14ac:dyDescent="0.3">
      <c r="I1210" s="7"/>
      <c r="J1210" s="9"/>
      <c r="K1210" s="9"/>
      <c r="L1210" s="9"/>
      <c r="M1210" s="9"/>
      <c r="N1210" s="4"/>
    </row>
    <row r="1211" spans="9:14" x14ac:dyDescent="0.3">
      <c r="I1211" s="7"/>
      <c r="J1211" s="9"/>
      <c r="K1211" s="9"/>
      <c r="L1211" s="9"/>
      <c r="M1211" s="9"/>
      <c r="N1211" s="4"/>
    </row>
    <row r="1212" spans="9:14" x14ac:dyDescent="0.3">
      <c r="I1212" s="7"/>
      <c r="J1212" s="9"/>
      <c r="K1212" s="9"/>
      <c r="L1212" s="9"/>
      <c r="M1212" s="9"/>
      <c r="N1212" s="4"/>
    </row>
    <row r="1213" spans="9:14" x14ac:dyDescent="0.3">
      <c r="I1213" s="7"/>
      <c r="J1213" s="9"/>
      <c r="K1213" s="9"/>
      <c r="L1213" s="9"/>
      <c r="M1213" s="9"/>
      <c r="N1213" s="4"/>
    </row>
    <row r="1214" spans="9:14" x14ac:dyDescent="0.3">
      <c r="I1214" s="7"/>
      <c r="J1214" s="9"/>
      <c r="K1214" s="9"/>
      <c r="L1214" s="9"/>
      <c r="M1214" s="9"/>
      <c r="N1214" s="4"/>
    </row>
    <row r="1215" spans="9:14" x14ac:dyDescent="0.3">
      <c r="I1215" s="7"/>
      <c r="J1215" s="9"/>
      <c r="K1215" s="9"/>
      <c r="L1215" s="9"/>
      <c r="M1215" s="9"/>
      <c r="N1215" s="4"/>
    </row>
    <row r="1216" spans="9:14" x14ac:dyDescent="0.3">
      <c r="I1216" s="7"/>
      <c r="J1216" s="9"/>
      <c r="K1216" s="9"/>
      <c r="L1216" s="9"/>
      <c r="M1216" s="9"/>
      <c r="N1216" s="4"/>
    </row>
    <row r="1217" spans="9:14" x14ac:dyDescent="0.3">
      <c r="I1217" s="7"/>
      <c r="J1217" s="9"/>
      <c r="K1217" s="9"/>
      <c r="L1217" s="9"/>
      <c r="M1217" s="9"/>
      <c r="N1217" s="4"/>
    </row>
    <row r="1218" spans="9:14" x14ac:dyDescent="0.3">
      <c r="I1218" s="7"/>
      <c r="J1218" s="9"/>
      <c r="K1218" s="9"/>
      <c r="L1218" s="9"/>
      <c r="M1218" s="9"/>
      <c r="N1218" s="4"/>
    </row>
    <row r="1219" spans="9:14" x14ac:dyDescent="0.3">
      <c r="I1219" s="7"/>
      <c r="J1219" s="9"/>
      <c r="K1219" s="9"/>
      <c r="L1219" s="9"/>
      <c r="M1219" s="9"/>
      <c r="N1219" s="4"/>
    </row>
    <row r="1220" spans="9:14" x14ac:dyDescent="0.3">
      <c r="I1220" s="7"/>
      <c r="J1220" s="9"/>
      <c r="K1220" s="9"/>
      <c r="L1220" s="9"/>
      <c r="M1220" s="9"/>
      <c r="N1220" s="4"/>
    </row>
    <row r="1221" spans="9:14" x14ac:dyDescent="0.3">
      <c r="I1221" s="7"/>
      <c r="J1221" s="9"/>
      <c r="K1221" s="9"/>
      <c r="L1221" s="9"/>
      <c r="M1221" s="9"/>
      <c r="N1221" s="4"/>
    </row>
    <row r="1222" spans="9:14" x14ac:dyDescent="0.3">
      <c r="I1222" s="7"/>
      <c r="J1222" s="9"/>
      <c r="K1222" s="9"/>
      <c r="L1222" s="9"/>
      <c r="M1222" s="9"/>
      <c r="N1222" s="4"/>
    </row>
    <row r="1223" spans="9:14" x14ac:dyDescent="0.3">
      <c r="I1223" s="7"/>
      <c r="J1223" s="9"/>
      <c r="K1223" s="9"/>
      <c r="L1223" s="9"/>
      <c r="M1223" s="9"/>
      <c r="N1223" s="4"/>
    </row>
    <row r="1224" spans="9:14" x14ac:dyDescent="0.3">
      <c r="I1224" s="7"/>
      <c r="J1224" s="9"/>
      <c r="K1224" s="9"/>
      <c r="L1224" s="9"/>
      <c r="M1224" s="9"/>
      <c r="N1224" s="4"/>
    </row>
    <row r="1225" spans="9:14" x14ac:dyDescent="0.3">
      <c r="I1225" s="7"/>
      <c r="J1225" s="9"/>
      <c r="K1225" s="9"/>
      <c r="L1225" s="9"/>
      <c r="M1225" s="9"/>
      <c r="N1225" s="4"/>
    </row>
    <row r="1226" spans="9:14" x14ac:dyDescent="0.3">
      <c r="I1226" s="7"/>
      <c r="J1226" s="9"/>
      <c r="K1226" s="9"/>
      <c r="L1226" s="9"/>
      <c r="M1226" s="9"/>
      <c r="N1226" s="4"/>
    </row>
    <row r="1227" spans="9:14" x14ac:dyDescent="0.3">
      <c r="I1227" s="7"/>
      <c r="J1227" s="9"/>
      <c r="K1227" s="9"/>
      <c r="L1227" s="9"/>
      <c r="M1227" s="9"/>
      <c r="N1227" s="4"/>
    </row>
    <row r="1228" spans="9:14" x14ac:dyDescent="0.3">
      <c r="I1228" s="7"/>
      <c r="J1228" s="9"/>
      <c r="K1228" s="9"/>
      <c r="L1228" s="9"/>
      <c r="M1228" s="9"/>
      <c r="N1228" s="4"/>
    </row>
    <row r="1229" spans="9:14" x14ac:dyDescent="0.3">
      <c r="I1229" s="7"/>
      <c r="J1229" s="9"/>
      <c r="K1229" s="9"/>
      <c r="L1229" s="9"/>
      <c r="M1229" s="9"/>
      <c r="N1229" s="4"/>
    </row>
    <row r="1230" spans="9:14" x14ac:dyDescent="0.3">
      <c r="I1230" s="7"/>
      <c r="J1230" s="9"/>
      <c r="K1230" s="9"/>
      <c r="L1230" s="9"/>
      <c r="M1230" s="9"/>
      <c r="N1230" s="4"/>
    </row>
    <row r="1231" spans="9:14" x14ac:dyDescent="0.3">
      <c r="I1231" s="7"/>
      <c r="J1231" s="9"/>
      <c r="K1231" s="9"/>
      <c r="L1231" s="9"/>
      <c r="M1231" s="9"/>
      <c r="N1231" s="4"/>
    </row>
    <row r="1232" spans="9:14" x14ac:dyDescent="0.3">
      <c r="I1232" s="7"/>
      <c r="J1232" s="9"/>
      <c r="K1232" s="9"/>
      <c r="L1232" s="9"/>
      <c r="M1232" s="9"/>
      <c r="N1232" s="4"/>
    </row>
    <row r="1233" spans="9:14" x14ac:dyDescent="0.3">
      <c r="I1233" s="7"/>
      <c r="J1233" s="9"/>
      <c r="K1233" s="9"/>
      <c r="L1233" s="9"/>
      <c r="M1233" s="9"/>
      <c r="N1233" s="4"/>
    </row>
    <row r="1234" spans="9:14" x14ac:dyDescent="0.3">
      <c r="I1234" s="7"/>
      <c r="J1234" s="9"/>
      <c r="K1234" s="9"/>
      <c r="L1234" s="9"/>
      <c r="M1234" s="9"/>
      <c r="N1234" s="4"/>
    </row>
    <row r="1235" spans="9:14" x14ac:dyDescent="0.3">
      <c r="I1235" s="7"/>
      <c r="J1235" s="9"/>
      <c r="K1235" s="9"/>
      <c r="L1235" s="9"/>
      <c r="M1235" s="9"/>
      <c r="N1235" s="4"/>
    </row>
    <row r="1236" spans="9:14" x14ac:dyDescent="0.3">
      <c r="I1236" s="7"/>
      <c r="J1236" s="9"/>
      <c r="K1236" s="9"/>
      <c r="L1236" s="9"/>
      <c r="M1236" s="9"/>
      <c r="N1236" s="4"/>
    </row>
    <row r="1237" spans="9:14" x14ac:dyDescent="0.3">
      <c r="I1237" s="7"/>
      <c r="J1237" s="9"/>
      <c r="K1237" s="9"/>
      <c r="L1237" s="9"/>
      <c r="M1237" s="9"/>
      <c r="N1237" s="4"/>
    </row>
    <row r="1238" spans="9:14" x14ac:dyDescent="0.3">
      <c r="I1238" s="7"/>
      <c r="J1238" s="9"/>
      <c r="K1238" s="9"/>
      <c r="L1238" s="9"/>
      <c r="M1238" s="9"/>
      <c r="N1238" s="4"/>
    </row>
    <row r="1239" spans="9:14" x14ac:dyDescent="0.3">
      <c r="I1239" s="7"/>
      <c r="J1239" s="9"/>
      <c r="K1239" s="9"/>
      <c r="L1239" s="9"/>
      <c r="M1239" s="9"/>
      <c r="N1239" s="4"/>
    </row>
    <row r="1240" spans="9:14" x14ac:dyDescent="0.3">
      <c r="I1240" s="7"/>
      <c r="J1240" s="9"/>
      <c r="K1240" s="9"/>
      <c r="L1240" s="9"/>
      <c r="M1240" s="9"/>
      <c r="N1240" s="4"/>
    </row>
    <row r="1241" spans="9:14" x14ac:dyDescent="0.3">
      <c r="I1241" s="7"/>
      <c r="J1241" s="9"/>
      <c r="K1241" s="9"/>
      <c r="L1241" s="9"/>
      <c r="M1241" s="9"/>
      <c r="N1241" s="4"/>
    </row>
    <row r="1242" spans="9:14" x14ac:dyDescent="0.3">
      <c r="I1242" s="7"/>
      <c r="J1242" s="9"/>
      <c r="K1242" s="9"/>
      <c r="L1242" s="9"/>
      <c r="M1242" s="9"/>
      <c r="N1242" s="4"/>
    </row>
    <row r="1243" spans="9:14" x14ac:dyDescent="0.3">
      <c r="I1243" s="7"/>
      <c r="J1243" s="9"/>
      <c r="K1243" s="9"/>
      <c r="L1243" s="9"/>
      <c r="M1243" s="9"/>
      <c r="N1243" s="4"/>
    </row>
    <row r="1244" spans="9:14" x14ac:dyDescent="0.3">
      <c r="I1244" s="7"/>
      <c r="J1244" s="9"/>
      <c r="K1244" s="9"/>
      <c r="L1244" s="9"/>
      <c r="M1244" s="9"/>
      <c r="N1244" s="4"/>
    </row>
    <row r="1245" spans="9:14" x14ac:dyDescent="0.3">
      <c r="I1245" s="7"/>
      <c r="J1245" s="9"/>
      <c r="K1245" s="9"/>
      <c r="L1245" s="9"/>
      <c r="M1245" s="9"/>
      <c r="N1245" s="4"/>
    </row>
    <row r="1246" spans="9:14" x14ac:dyDescent="0.3">
      <c r="I1246" s="7"/>
      <c r="J1246" s="9"/>
      <c r="K1246" s="9"/>
      <c r="L1246" s="9"/>
      <c r="M1246" s="9"/>
      <c r="N1246" s="4"/>
    </row>
    <row r="1247" spans="9:14" x14ac:dyDescent="0.3">
      <c r="I1247" s="7"/>
      <c r="J1247" s="9"/>
      <c r="K1247" s="9"/>
      <c r="L1247" s="9"/>
      <c r="M1247" s="9"/>
      <c r="N1247" s="4"/>
    </row>
    <row r="1248" spans="9:14" x14ac:dyDescent="0.3">
      <c r="I1248" s="7"/>
      <c r="J1248" s="9"/>
      <c r="K1248" s="9"/>
      <c r="L1248" s="9"/>
      <c r="M1248" s="9"/>
      <c r="N1248" s="4"/>
    </row>
    <row r="1249" spans="9:14" x14ac:dyDescent="0.3">
      <c r="I1249" s="7"/>
      <c r="J1249" s="9"/>
      <c r="K1249" s="9"/>
      <c r="L1249" s="9"/>
      <c r="M1249" s="9"/>
      <c r="N1249" s="4"/>
    </row>
    <row r="1250" spans="9:14" x14ac:dyDescent="0.3">
      <c r="I1250" s="7"/>
      <c r="J1250" s="9"/>
      <c r="K1250" s="9"/>
      <c r="L1250" s="9"/>
      <c r="M1250" s="9"/>
      <c r="N1250" s="4"/>
    </row>
    <row r="1251" spans="9:14" x14ac:dyDescent="0.3">
      <c r="I1251" s="7"/>
      <c r="J1251" s="9"/>
      <c r="K1251" s="9"/>
      <c r="L1251" s="9"/>
      <c r="M1251" s="9"/>
      <c r="N1251" s="4"/>
    </row>
    <row r="1252" spans="9:14" x14ac:dyDescent="0.3">
      <c r="I1252" s="7"/>
      <c r="J1252" s="9"/>
      <c r="K1252" s="9"/>
      <c r="L1252" s="9"/>
      <c r="M1252" s="9"/>
      <c r="N1252" s="4"/>
    </row>
    <row r="1253" spans="9:14" x14ac:dyDescent="0.3">
      <c r="I1253" s="7"/>
      <c r="J1253" s="9"/>
      <c r="K1253" s="9"/>
      <c r="L1253" s="9"/>
      <c r="M1253" s="9"/>
      <c r="N1253" s="4"/>
    </row>
    <row r="1254" spans="9:14" x14ac:dyDescent="0.3">
      <c r="I1254" s="7"/>
      <c r="J1254" s="9"/>
      <c r="K1254" s="9"/>
      <c r="L1254" s="9"/>
      <c r="M1254" s="9"/>
      <c r="N1254" s="4"/>
    </row>
    <row r="1255" spans="9:14" x14ac:dyDescent="0.3">
      <c r="I1255" s="7"/>
      <c r="J1255" s="9"/>
      <c r="K1255" s="9"/>
      <c r="L1255" s="9"/>
      <c r="M1255" s="9"/>
      <c r="N1255" s="4"/>
    </row>
    <row r="1256" spans="9:14" x14ac:dyDescent="0.3">
      <c r="I1256" s="7"/>
      <c r="J1256" s="9"/>
      <c r="K1256" s="9"/>
      <c r="L1256" s="9"/>
      <c r="M1256" s="9"/>
      <c r="N1256" s="4"/>
    </row>
    <row r="1257" spans="9:14" x14ac:dyDescent="0.3">
      <c r="I1257" s="7"/>
      <c r="J1257" s="9"/>
      <c r="K1257" s="9"/>
      <c r="L1257" s="9"/>
      <c r="M1257" s="9"/>
      <c r="N1257" s="4"/>
    </row>
    <row r="1258" spans="9:14" x14ac:dyDescent="0.3">
      <c r="I1258" s="7"/>
      <c r="J1258" s="9"/>
      <c r="K1258" s="9"/>
      <c r="L1258" s="9"/>
      <c r="M1258" s="9"/>
      <c r="N1258" s="4"/>
    </row>
    <row r="1259" spans="9:14" x14ac:dyDescent="0.3">
      <c r="I1259" s="7"/>
      <c r="J1259" s="9"/>
      <c r="K1259" s="9"/>
      <c r="L1259" s="9"/>
      <c r="M1259" s="9"/>
      <c r="N1259" s="4"/>
    </row>
    <row r="1260" spans="9:14" x14ac:dyDescent="0.3">
      <c r="I1260" s="7"/>
      <c r="J1260" s="9"/>
      <c r="K1260" s="9"/>
      <c r="L1260" s="9"/>
      <c r="M1260" s="9"/>
      <c r="N1260" s="4"/>
    </row>
    <row r="1261" spans="9:14" x14ac:dyDescent="0.3">
      <c r="I1261" s="7"/>
      <c r="J1261" s="9"/>
      <c r="K1261" s="9"/>
      <c r="L1261" s="9"/>
      <c r="M1261" s="9"/>
      <c r="N1261" s="4"/>
    </row>
    <row r="1262" spans="9:14" x14ac:dyDescent="0.3">
      <c r="I1262" s="7"/>
      <c r="J1262" s="9"/>
      <c r="K1262" s="9"/>
      <c r="L1262" s="9"/>
      <c r="M1262" s="9"/>
      <c r="N1262" s="4"/>
    </row>
    <row r="1263" spans="9:14" x14ac:dyDescent="0.3">
      <c r="I1263" s="7"/>
      <c r="J1263" s="9"/>
      <c r="K1263" s="9"/>
      <c r="L1263" s="9"/>
      <c r="M1263" s="9"/>
      <c r="N1263" s="4"/>
    </row>
    <row r="1264" spans="9:14" x14ac:dyDescent="0.3">
      <c r="I1264" s="7"/>
      <c r="J1264" s="9"/>
      <c r="K1264" s="9"/>
      <c r="L1264" s="9"/>
      <c r="M1264" s="9"/>
      <c r="N1264" s="4"/>
    </row>
    <row r="1265" spans="9:14" x14ac:dyDescent="0.3">
      <c r="I1265" s="7"/>
      <c r="J1265" s="9"/>
      <c r="K1265" s="9"/>
      <c r="L1265" s="9"/>
      <c r="M1265" s="9"/>
      <c r="N1265" s="4"/>
    </row>
    <row r="1266" spans="9:14" x14ac:dyDescent="0.3">
      <c r="I1266" s="7"/>
      <c r="J1266" s="9"/>
      <c r="K1266" s="9"/>
      <c r="L1266" s="9"/>
      <c r="M1266" s="9"/>
      <c r="N1266" s="4"/>
    </row>
    <row r="1267" spans="9:14" x14ac:dyDescent="0.3">
      <c r="I1267" s="7"/>
      <c r="J1267" s="9"/>
      <c r="K1267" s="9"/>
      <c r="L1267" s="9"/>
      <c r="M1267" s="9"/>
      <c r="N1267" s="4"/>
    </row>
    <row r="1268" spans="9:14" x14ac:dyDescent="0.3">
      <c r="I1268" s="7"/>
      <c r="J1268" s="9"/>
      <c r="K1268" s="9"/>
      <c r="L1268" s="9"/>
      <c r="M1268" s="9"/>
      <c r="N1268" s="4"/>
    </row>
    <row r="1269" spans="9:14" x14ac:dyDescent="0.3">
      <c r="I1269" s="7"/>
      <c r="J1269" s="9"/>
      <c r="K1269" s="9"/>
      <c r="L1269" s="9"/>
      <c r="M1269" s="9"/>
      <c r="N1269" s="4"/>
    </row>
    <row r="1270" spans="9:14" x14ac:dyDescent="0.3">
      <c r="I1270" s="7"/>
      <c r="J1270" s="9"/>
      <c r="K1270" s="9"/>
      <c r="L1270" s="9"/>
      <c r="M1270" s="9"/>
      <c r="N1270" s="4"/>
    </row>
    <row r="1271" spans="9:14" x14ac:dyDescent="0.3">
      <c r="I1271" s="7"/>
      <c r="J1271" s="9"/>
      <c r="K1271" s="9"/>
      <c r="L1271" s="9"/>
      <c r="M1271" s="9"/>
      <c r="N1271" s="4"/>
    </row>
    <row r="1272" spans="9:14" x14ac:dyDescent="0.3">
      <c r="I1272" s="7"/>
      <c r="J1272" s="9"/>
      <c r="K1272" s="9"/>
      <c r="L1272" s="9"/>
      <c r="M1272" s="9"/>
      <c r="N1272" s="4"/>
    </row>
    <row r="1273" spans="9:14" x14ac:dyDescent="0.3">
      <c r="I1273" s="7"/>
      <c r="J1273" s="9"/>
      <c r="K1273" s="9"/>
      <c r="L1273" s="9"/>
      <c r="M1273" s="9"/>
      <c r="N1273" s="4"/>
    </row>
    <row r="1274" spans="9:14" x14ac:dyDescent="0.3">
      <c r="I1274" s="7"/>
      <c r="J1274" s="9"/>
      <c r="K1274" s="9"/>
      <c r="L1274" s="9"/>
      <c r="M1274" s="9"/>
      <c r="N1274" s="4"/>
    </row>
    <row r="1275" spans="9:14" x14ac:dyDescent="0.3">
      <c r="I1275" s="7"/>
      <c r="J1275" s="9"/>
      <c r="K1275" s="9"/>
      <c r="L1275" s="9"/>
      <c r="M1275" s="9"/>
      <c r="N1275" s="4"/>
    </row>
    <row r="1276" spans="9:14" x14ac:dyDescent="0.3">
      <c r="I1276" s="7"/>
      <c r="J1276" s="9"/>
      <c r="K1276" s="9"/>
      <c r="L1276" s="9"/>
      <c r="M1276" s="9"/>
      <c r="N1276" s="4"/>
    </row>
    <row r="1277" spans="9:14" x14ac:dyDescent="0.3">
      <c r="I1277" s="7"/>
      <c r="J1277" s="9"/>
      <c r="K1277" s="9"/>
      <c r="L1277" s="9"/>
      <c r="M1277" s="9"/>
      <c r="N1277" s="4"/>
    </row>
    <row r="1278" spans="9:14" x14ac:dyDescent="0.3">
      <c r="I1278" s="7"/>
      <c r="J1278" s="9"/>
      <c r="K1278" s="9"/>
      <c r="L1278" s="9"/>
      <c r="M1278" s="9"/>
      <c r="N1278" s="4"/>
    </row>
    <row r="1279" spans="9:14" x14ac:dyDescent="0.3">
      <c r="I1279" s="7"/>
      <c r="J1279" s="9"/>
      <c r="K1279" s="9"/>
      <c r="L1279" s="9"/>
      <c r="M1279" s="9"/>
      <c r="N1279" s="4"/>
    </row>
    <row r="1280" spans="9:14" x14ac:dyDescent="0.3">
      <c r="I1280" s="7"/>
      <c r="J1280" s="9"/>
      <c r="K1280" s="9"/>
      <c r="L1280" s="9"/>
      <c r="M1280" s="9"/>
      <c r="N1280" s="4"/>
    </row>
    <row r="1281" spans="9:14" x14ac:dyDescent="0.3">
      <c r="I1281" s="7"/>
      <c r="J1281" s="9"/>
      <c r="K1281" s="9"/>
      <c r="L1281" s="9"/>
      <c r="M1281" s="9"/>
      <c r="N1281" s="4"/>
    </row>
    <row r="1282" spans="9:14" x14ac:dyDescent="0.3">
      <c r="I1282" s="7"/>
      <c r="J1282" s="9"/>
      <c r="K1282" s="9"/>
      <c r="L1282" s="9"/>
      <c r="M1282" s="9"/>
      <c r="N1282" s="4"/>
    </row>
    <row r="1283" spans="9:14" x14ac:dyDescent="0.3">
      <c r="I1283" s="7"/>
      <c r="J1283" s="9"/>
      <c r="K1283" s="9"/>
      <c r="L1283" s="9"/>
      <c r="M1283" s="9"/>
      <c r="N1283" s="4"/>
    </row>
    <row r="1284" spans="9:14" x14ac:dyDescent="0.3">
      <c r="I1284" s="7"/>
      <c r="J1284" s="9"/>
      <c r="K1284" s="9"/>
      <c r="L1284" s="9"/>
      <c r="M1284" s="9"/>
      <c r="N1284" s="4"/>
    </row>
    <row r="1285" spans="9:14" x14ac:dyDescent="0.3">
      <c r="I1285" s="7"/>
      <c r="J1285" s="9"/>
      <c r="K1285" s="9"/>
      <c r="L1285" s="9"/>
      <c r="M1285" s="9"/>
      <c r="N1285" s="4"/>
    </row>
    <row r="1286" spans="9:14" x14ac:dyDescent="0.3">
      <c r="I1286" s="7"/>
      <c r="J1286" s="9"/>
      <c r="K1286" s="9"/>
      <c r="L1286" s="9"/>
      <c r="M1286" s="9"/>
      <c r="N1286" s="4"/>
    </row>
    <row r="1287" spans="9:14" x14ac:dyDescent="0.3">
      <c r="I1287" s="7"/>
      <c r="J1287" s="9"/>
      <c r="K1287" s="9"/>
      <c r="L1287" s="9"/>
      <c r="M1287" s="9"/>
      <c r="N1287" s="4"/>
    </row>
    <row r="1288" spans="9:14" x14ac:dyDescent="0.3">
      <c r="I1288" s="7"/>
      <c r="J1288" s="9"/>
      <c r="K1288" s="9"/>
      <c r="L1288" s="9"/>
      <c r="M1288" s="9"/>
      <c r="N1288" s="4"/>
    </row>
    <row r="1289" spans="9:14" x14ac:dyDescent="0.3">
      <c r="I1289" s="7"/>
      <c r="J1289" s="9"/>
      <c r="K1289" s="9"/>
      <c r="L1289" s="9"/>
      <c r="M1289" s="9"/>
      <c r="N1289" s="4"/>
    </row>
    <row r="1290" spans="9:14" x14ac:dyDescent="0.3">
      <c r="I1290" s="7"/>
      <c r="J1290" s="9"/>
      <c r="K1290" s="9"/>
      <c r="L1290" s="9"/>
      <c r="M1290" s="9"/>
      <c r="N1290" s="4"/>
    </row>
    <row r="1291" spans="9:14" x14ac:dyDescent="0.3">
      <c r="I1291" s="7"/>
      <c r="J1291" s="9"/>
      <c r="K1291" s="9"/>
      <c r="L1291" s="9"/>
      <c r="M1291" s="9"/>
      <c r="N1291" s="4"/>
    </row>
    <row r="1292" spans="9:14" x14ac:dyDescent="0.3">
      <c r="I1292" s="7"/>
      <c r="J1292" s="9"/>
      <c r="K1292" s="9"/>
      <c r="L1292" s="9"/>
      <c r="M1292" s="9"/>
      <c r="N1292" s="4"/>
    </row>
    <row r="1293" spans="9:14" x14ac:dyDescent="0.3">
      <c r="I1293" s="7"/>
      <c r="J1293" s="9"/>
      <c r="K1293" s="9"/>
      <c r="L1293" s="9"/>
      <c r="M1293" s="9"/>
      <c r="N1293" s="4"/>
    </row>
    <row r="1294" spans="9:14" x14ac:dyDescent="0.3">
      <c r="I1294" s="7"/>
      <c r="J1294" s="9"/>
      <c r="K1294" s="9"/>
      <c r="L1294" s="9"/>
      <c r="M1294" s="9"/>
      <c r="N1294" s="4"/>
    </row>
    <row r="1295" spans="9:14" x14ac:dyDescent="0.3">
      <c r="I1295" s="7"/>
      <c r="J1295" s="9"/>
      <c r="K1295" s="9"/>
      <c r="L1295" s="9"/>
      <c r="M1295" s="9"/>
      <c r="N1295" s="4"/>
    </row>
    <row r="1296" spans="9:14" x14ac:dyDescent="0.3">
      <c r="I1296" s="7"/>
      <c r="J1296" s="9"/>
      <c r="K1296" s="9"/>
      <c r="L1296" s="9"/>
      <c r="M1296" s="9"/>
      <c r="N1296" s="4"/>
    </row>
    <row r="1297" spans="9:14" x14ac:dyDescent="0.3">
      <c r="I1297" s="7"/>
      <c r="J1297" s="9"/>
      <c r="K1297" s="9"/>
      <c r="L1297" s="9"/>
      <c r="M1297" s="9"/>
      <c r="N1297" s="4"/>
    </row>
    <row r="1298" spans="9:14" x14ac:dyDescent="0.3">
      <c r="I1298" s="7"/>
      <c r="J1298" s="9"/>
      <c r="K1298" s="9"/>
      <c r="L1298" s="9"/>
      <c r="M1298" s="9"/>
      <c r="N1298" s="4"/>
    </row>
    <row r="1299" spans="9:14" x14ac:dyDescent="0.3">
      <c r="I1299" s="7"/>
      <c r="J1299" s="9"/>
      <c r="K1299" s="9"/>
      <c r="L1299" s="9"/>
      <c r="M1299" s="9"/>
      <c r="N1299" s="4"/>
    </row>
    <row r="1300" spans="9:14" x14ac:dyDescent="0.3">
      <c r="I1300" s="7"/>
      <c r="J1300" s="9"/>
      <c r="K1300" s="9"/>
      <c r="L1300" s="9"/>
      <c r="M1300" s="9"/>
      <c r="N1300" s="4"/>
    </row>
    <row r="1301" spans="9:14" x14ac:dyDescent="0.3">
      <c r="I1301" s="7"/>
      <c r="J1301" s="9"/>
      <c r="K1301" s="9"/>
      <c r="L1301" s="9"/>
      <c r="M1301" s="9"/>
      <c r="N1301" s="4"/>
    </row>
    <row r="1302" spans="9:14" x14ac:dyDescent="0.3">
      <c r="I1302" s="7"/>
      <c r="J1302" s="9"/>
      <c r="K1302" s="9"/>
      <c r="L1302" s="9"/>
      <c r="M1302" s="9"/>
      <c r="N1302" s="4"/>
    </row>
    <row r="1303" spans="9:14" x14ac:dyDescent="0.3">
      <c r="I1303" s="7"/>
      <c r="J1303" s="9"/>
      <c r="K1303" s="9"/>
      <c r="L1303" s="9"/>
      <c r="M1303" s="9"/>
      <c r="N1303" s="4"/>
    </row>
    <row r="1304" spans="9:14" x14ac:dyDescent="0.3">
      <c r="I1304" s="7"/>
      <c r="J1304" s="9"/>
      <c r="K1304" s="9"/>
      <c r="L1304" s="9"/>
      <c r="M1304" s="9"/>
      <c r="N1304" s="4"/>
    </row>
    <row r="1305" spans="9:14" x14ac:dyDescent="0.3">
      <c r="I1305" s="7"/>
      <c r="J1305" s="9"/>
      <c r="K1305" s="9"/>
      <c r="L1305" s="9"/>
      <c r="M1305" s="9"/>
      <c r="N1305" s="4"/>
    </row>
    <row r="1306" spans="9:14" x14ac:dyDescent="0.3">
      <c r="I1306" s="7"/>
      <c r="J1306" s="9"/>
      <c r="K1306" s="9"/>
      <c r="L1306" s="9"/>
      <c r="M1306" s="9"/>
      <c r="N1306" s="4"/>
    </row>
    <row r="1307" spans="9:14" x14ac:dyDescent="0.3">
      <c r="I1307" s="7"/>
      <c r="J1307" s="9"/>
      <c r="K1307" s="9"/>
      <c r="L1307" s="9"/>
      <c r="M1307" s="9"/>
      <c r="N1307" s="4"/>
    </row>
    <row r="1308" spans="9:14" x14ac:dyDescent="0.3">
      <c r="I1308" s="7"/>
      <c r="J1308" s="9"/>
      <c r="K1308" s="9"/>
      <c r="L1308" s="9"/>
      <c r="M1308" s="9"/>
      <c r="N1308" s="4"/>
    </row>
    <row r="1309" spans="9:14" x14ac:dyDescent="0.3">
      <c r="I1309" s="7"/>
      <c r="J1309" s="9"/>
      <c r="K1309" s="9"/>
      <c r="L1309" s="9"/>
      <c r="M1309" s="9"/>
      <c r="N1309" s="4"/>
    </row>
    <row r="1310" spans="9:14" x14ac:dyDescent="0.3">
      <c r="I1310" s="7"/>
      <c r="J1310" s="9"/>
      <c r="K1310" s="9"/>
      <c r="L1310" s="9"/>
      <c r="M1310" s="9"/>
      <c r="N1310" s="4"/>
    </row>
    <row r="1311" spans="9:14" x14ac:dyDescent="0.3">
      <c r="I1311" s="7"/>
      <c r="J1311" s="9"/>
      <c r="K1311" s="9"/>
      <c r="L1311" s="9"/>
      <c r="M1311" s="9"/>
      <c r="N1311" s="4"/>
    </row>
    <row r="1312" spans="9:14" x14ac:dyDescent="0.3">
      <c r="I1312" s="7"/>
      <c r="J1312" s="9"/>
      <c r="K1312" s="9"/>
      <c r="L1312" s="9"/>
      <c r="M1312" s="9"/>
      <c r="N1312" s="4"/>
    </row>
    <row r="1313" spans="9:14" x14ac:dyDescent="0.3">
      <c r="I1313" s="7"/>
      <c r="J1313" s="9"/>
      <c r="K1313" s="9"/>
      <c r="L1313" s="9"/>
      <c r="M1313" s="9"/>
      <c r="N1313" s="4"/>
    </row>
    <row r="1314" spans="9:14" x14ac:dyDescent="0.3">
      <c r="I1314" s="7"/>
      <c r="J1314" s="9"/>
      <c r="K1314" s="9"/>
      <c r="L1314" s="9"/>
      <c r="M1314" s="9"/>
      <c r="N1314" s="4"/>
    </row>
    <row r="1315" spans="9:14" x14ac:dyDescent="0.3">
      <c r="I1315" s="7"/>
      <c r="J1315" s="9"/>
      <c r="K1315" s="9"/>
      <c r="L1315" s="9"/>
      <c r="M1315" s="9"/>
      <c r="N1315" s="4"/>
    </row>
    <row r="1316" spans="9:14" x14ac:dyDescent="0.3">
      <c r="I1316" s="7"/>
      <c r="J1316" s="9"/>
      <c r="K1316" s="9"/>
      <c r="L1316" s="9"/>
      <c r="M1316" s="9"/>
      <c r="N1316" s="4"/>
    </row>
    <row r="1317" spans="9:14" x14ac:dyDescent="0.3">
      <c r="I1317" s="7"/>
      <c r="J1317" s="9"/>
      <c r="K1317" s="9"/>
      <c r="L1317" s="9"/>
      <c r="M1317" s="9"/>
      <c r="N1317" s="4"/>
    </row>
    <row r="1318" spans="9:14" x14ac:dyDescent="0.3">
      <c r="I1318" s="7"/>
      <c r="J1318" s="9"/>
      <c r="K1318" s="9"/>
      <c r="L1318" s="9"/>
      <c r="M1318" s="9"/>
      <c r="N1318" s="4"/>
    </row>
    <row r="1319" spans="9:14" x14ac:dyDescent="0.3">
      <c r="I1319" s="7"/>
      <c r="J1319" s="9"/>
      <c r="K1319" s="9"/>
      <c r="L1319" s="9"/>
      <c r="M1319" s="9"/>
      <c r="N1319" s="4"/>
    </row>
    <row r="1320" spans="9:14" x14ac:dyDescent="0.3">
      <c r="I1320" s="7"/>
      <c r="J1320" s="9"/>
      <c r="K1320" s="9"/>
      <c r="L1320" s="9"/>
      <c r="M1320" s="9"/>
      <c r="N1320" s="4"/>
    </row>
    <row r="1321" spans="9:14" x14ac:dyDescent="0.3">
      <c r="I1321" s="7"/>
      <c r="J1321" s="9"/>
      <c r="K1321" s="9"/>
      <c r="L1321" s="9"/>
      <c r="M1321" s="9"/>
      <c r="N1321" s="4"/>
    </row>
    <row r="1322" spans="9:14" x14ac:dyDescent="0.3">
      <c r="I1322" s="7"/>
      <c r="J1322" s="9"/>
      <c r="K1322" s="9"/>
      <c r="L1322" s="9"/>
      <c r="M1322" s="9"/>
      <c r="N1322" s="4"/>
    </row>
    <row r="1323" spans="9:14" x14ac:dyDescent="0.3">
      <c r="I1323" s="7"/>
      <c r="J1323" s="9"/>
      <c r="K1323" s="9"/>
      <c r="L1323" s="9"/>
      <c r="M1323" s="9"/>
      <c r="N1323" s="4"/>
    </row>
    <row r="1324" spans="9:14" x14ac:dyDescent="0.3">
      <c r="I1324" s="7"/>
      <c r="J1324" s="9"/>
      <c r="K1324" s="9"/>
      <c r="L1324" s="9"/>
      <c r="M1324" s="9"/>
      <c r="N1324" s="4"/>
    </row>
    <row r="1325" spans="9:14" x14ac:dyDescent="0.3">
      <c r="I1325" s="7"/>
      <c r="J1325" s="9"/>
      <c r="K1325" s="9"/>
      <c r="L1325" s="9"/>
      <c r="M1325" s="9"/>
      <c r="N1325" s="4"/>
    </row>
    <row r="1326" spans="9:14" x14ac:dyDescent="0.3">
      <c r="I1326" s="7"/>
      <c r="J1326" s="9"/>
      <c r="K1326" s="9"/>
      <c r="L1326" s="9"/>
      <c r="M1326" s="9"/>
      <c r="N1326" s="4"/>
    </row>
    <row r="1327" spans="9:14" x14ac:dyDescent="0.3">
      <c r="I1327" s="7"/>
      <c r="J1327" s="9"/>
      <c r="K1327" s="9"/>
      <c r="L1327" s="9"/>
      <c r="M1327" s="9"/>
      <c r="N1327" s="4"/>
    </row>
    <row r="1328" spans="9:14" x14ac:dyDescent="0.3">
      <c r="I1328" s="7"/>
      <c r="J1328" s="9"/>
      <c r="K1328" s="9"/>
      <c r="L1328" s="9"/>
      <c r="M1328" s="9"/>
      <c r="N1328" s="4"/>
    </row>
    <row r="1329" spans="9:14" x14ac:dyDescent="0.3">
      <c r="I1329" s="7"/>
      <c r="J1329" s="9"/>
      <c r="K1329" s="9"/>
      <c r="L1329" s="9"/>
      <c r="M1329" s="9"/>
      <c r="N1329" s="4"/>
    </row>
    <row r="1330" spans="9:14" x14ac:dyDescent="0.3">
      <c r="I1330" s="7"/>
      <c r="J1330" s="9"/>
      <c r="K1330" s="9"/>
      <c r="L1330" s="9"/>
      <c r="M1330" s="9"/>
      <c r="N1330" s="4"/>
    </row>
    <row r="1331" spans="9:14" x14ac:dyDescent="0.3">
      <c r="I1331" s="7"/>
      <c r="J1331" s="9"/>
      <c r="K1331" s="9"/>
      <c r="L1331" s="9"/>
      <c r="M1331" s="9"/>
      <c r="N1331" s="4"/>
    </row>
    <row r="1332" spans="9:14" x14ac:dyDescent="0.3">
      <c r="I1332" s="7"/>
      <c r="J1332" s="9"/>
      <c r="K1332" s="9"/>
      <c r="L1332" s="9"/>
      <c r="M1332" s="9"/>
      <c r="N1332" s="4"/>
    </row>
    <row r="1333" spans="9:14" x14ac:dyDescent="0.3">
      <c r="I1333" s="7"/>
      <c r="J1333" s="9"/>
      <c r="K1333" s="9"/>
      <c r="L1333" s="9"/>
      <c r="M1333" s="9"/>
      <c r="N1333" s="4"/>
    </row>
    <row r="1334" spans="9:14" x14ac:dyDescent="0.3">
      <c r="I1334" s="7"/>
      <c r="J1334" s="9"/>
      <c r="K1334" s="9"/>
      <c r="L1334" s="9"/>
      <c r="M1334" s="9"/>
      <c r="N1334" s="4"/>
    </row>
    <row r="1335" spans="9:14" x14ac:dyDescent="0.3">
      <c r="I1335" s="7"/>
      <c r="J1335" s="9"/>
      <c r="K1335" s="9"/>
      <c r="L1335" s="9"/>
      <c r="M1335" s="9"/>
      <c r="N1335" s="4"/>
    </row>
    <row r="1336" spans="9:14" x14ac:dyDescent="0.3">
      <c r="I1336" s="7"/>
      <c r="J1336" s="9"/>
      <c r="K1336" s="9"/>
      <c r="L1336" s="9"/>
      <c r="M1336" s="9"/>
      <c r="N1336" s="4"/>
    </row>
    <row r="1337" spans="9:14" x14ac:dyDescent="0.3">
      <c r="I1337" s="7"/>
      <c r="J1337" s="9"/>
      <c r="K1337" s="9"/>
      <c r="L1337" s="9"/>
      <c r="M1337" s="9"/>
      <c r="N1337" s="4"/>
    </row>
    <row r="1338" spans="9:14" x14ac:dyDescent="0.3">
      <c r="I1338" s="7"/>
      <c r="J1338" s="9"/>
      <c r="K1338" s="9"/>
      <c r="L1338" s="9"/>
      <c r="M1338" s="9"/>
      <c r="N1338" s="4"/>
    </row>
    <row r="1339" spans="9:14" x14ac:dyDescent="0.3">
      <c r="I1339" s="7"/>
      <c r="J1339" s="9"/>
      <c r="K1339" s="9"/>
      <c r="L1339" s="9"/>
      <c r="M1339" s="9"/>
      <c r="N1339" s="4"/>
    </row>
    <row r="1340" spans="9:14" x14ac:dyDescent="0.3">
      <c r="I1340" s="7"/>
      <c r="J1340" s="9"/>
      <c r="K1340" s="9"/>
      <c r="L1340" s="9"/>
      <c r="M1340" s="9"/>
      <c r="N1340" s="4"/>
    </row>
    <row r="1341" spans="9:14" x14ac:dyDescent="0.3">
      <c r="I1341" s="7"/>
      <c r="J1341" s="9"/>
      <c r="K1341" s="9"/>
      <c r="L1341" s="9"/>
      <c r="M1341" s="9"/>
      <c r="N1341" s="4"/>
    </row>
    <row r="1342" spans="9:14" x14ac:dyDescent="0.3">
      <c r="I1342" s="7"/>
      <c r="J1342" s="9"/>
      <c r="K1342" s="9"/>
      <c r="L1342" s="9"/>
      <c r="M1342" s="9"/>
      <c r="N1342" s="4"/>
    </row>
    <row r="1343" spans="9:14" x14ac:dyDescent="0.3">
      <c r="I1343" s="7"/>
      <c r="J1343" s="9"/>
      <c r="K1343" s="9"/>
      <c r="L1343" s="9"/>
      <c r="M1343" s="9"/>
      <c r="N1343" s="4"/>
    </row>
    <row r="1344" spans="9:14" x14ac:dyDescent="0.3">
      <c r="I1344" s="7"/>
      <c r="J1344" s="9"/>
      <c r="K1344" s="9"/>
      <c r="L1344" s="9"/>
      <c r="M1344" s="9"/>
      <c r="N1344" s="4"/>
    </row>
    <row r="1345" spans="9:14" x14ac:dyDescent="0.3">
      <c r="I1345" s="7"/>
      <c r="J1345" s="9"/>
      <c r="K1345" s="9"/>
      <c r="L1345" s="9"/>
      <c r="M1345" s="9"/>
      <c r="N1345" s="4"/>
    </row>
    <row r="1346" spans="9:14" x14ac:dyDescent="0.3">
      <c r="I1346" s="7"/>
      <c r="J1346" s="9"/>
      <c r="K1346" s="9"/>
      <c r="L1346" s="9"/>
      <c r="M1346" s="9"/>
      <c r="N1346" s="4"/>
    </row>
    <row r="1347" spans="9:14" x14ac:dyDescent="0.3">
      <c r="I1347" s="7"/>
      <c r="J1347" s="9"/>
      <c r="K1347" s="9"/>
      <c r="L1347" s="9"/>
      <c r="M1347" s="9"/>
      <c r="N1347" s="4"/>
    </row>
    <row r="1348" spans="9:14" x14ac:dyDescent="0.3">
      <c r="I1348" s="7"/>
      <c r="J1348" s="9"/>
      <c r="K1348" s="9"/>
      <c r="L1348" s="9"/>
      <c r="M1348" s="9"/>
      <c r="N1348" s="4"/>
    </row>
    <row r="1349" spans="9:14" x14ac:dyDescent="0.3">
      <c r="I1349" s="7"/>
      <c r="J1349" s="9"/>
      <c r="K1349" s="9"/>
      <c r="L1349" s="9"/>
      <c r="M1349" s="9"/>
      <c r="N1349" s="4"/>
    </row>
    <row r="1350" spans="9:14" x14ac:dyDescent="0.3">
      <c r="I1350" s="7"/>
      <c r="J1350" s="9"/>
      <c r="K1350" s="9"/>
      <c r="L1350" s="9"/>
      <c r="M1350" s="9"/>
      <c r="N1350" s="4"/>
    </row>
    <row r="1351" spans="9:14" x14ac:dyDescent="0.3">
      <c r="I1351" s="7"/>
      <c r="J1351" s="9"/>
      <c r="K1351" s="9"/>
      <c r="L1351" s="9"/>
      <c r="M1351" s="9"/>
      <c r="N1351" s="4"/>
    </row>
    <row r="1352" spans="9:14" x14ac:dyDescent="0.3">
      <c r="I1352" s="7"/>
      <c r="J1352" s="9"/>
      <c r="K1352" s="9"/>
      <c r="L1352" s="9"/>
      <c r="M1352" s="9"/>
      <c r="N1352" s="4"/>
    </row>
    <row r="1353" spans="9:14" x14ac:dyDescent="0.3">
      <c r="I1353" s="7"/>
      <c r="J1353" s="9"/>
      <c r="K1353" s="9"/>
      <c r="L1353" s="9"/>
      <c r="M1353" s="9"/>
      <c r="N1353" s="4"/>
    </row>
    <row r="1354" spans="9:14" x14ac:dyDescent="0.3">
      <c r="I1354" s="7"/>
      <c r="J1354" s="9"/>
      <c r="K1354" s="9"/>
      <c r="L1354" s="9"/>
      <c r="M1354" s="9"/>
      <c r="N1354" s="4"/>
    </row>
    <row r="1355" spans="9:14" x14ac:dyDescent="0.3">
      <c r="I1355" s="7"/>
      <c r="J1355" s="9"/>
      <c r="K1355" s="9"/>
      <c r="L1355" s="9"/>
      <c r="M1355" s="9"/>
      <c r="N1355" s="4"/>
    </row>
    <row r="1356" spans="9:14" x14ac:dyDescent="0.3">
      <c r="I1356" s="7"/>
      <c r="J1356" s="9"/>
      <c r="K1356" s="9"/>
      <c r="L1356" s="9"/>
      <c r="M1356" s="9"/>
      <c r="N1356" s="4"/>
    </row>
    <row r="1357" spans="9:14" x14ac:dyDescent="0.3">
      <c r="I1357" s="7"/>
      <c r="J1357" s="9"/>
      <c r="K1357" s="9"/>
      <c r="L1357" s="9"/>
      <c r="M1357" s="9"/>
      <c r="N1357" s="4"/>
    </row>
    <row r="1358" spans="9:14" x14ac:dyDescent="0.3">
      <c r="I1358" s="7"/>
      <c r="J1358" s="9"/>
      <c r="K1358" s="9"/>
      <c r="L1358" s="9"/>
      <c r="M1358" s="9"/>
      <c r="N1358" s="4"/>
    </row>
    <row r="1359" spans="9:14" x14ac:dyDescent="0.3">
      <c r="I1359" s="7"/>
      <c r="J1359" s="9"/>
      <c r="K1359" s="9"/>
      <c r="L1359" s="9"/>
      <c r="M1359" s="9"/>
      <c r="N1359" s="4"/>
    </row>
    <row r="1360" spans="9:14" x14ac:dyDescent="0.3">
      <c r="I1360" s="7"/>
      <c r="J1360" s="9"/>
      <c r="K1360" s="9"/>
      <c r="L1360" s="9"/>
      <c r="M1360" s="9"/>
      <c r="N1360" s="4"/>
    </row>
    <row r="1361" spans="9:14" x14ac:dyDescent="0.3">
      <c r="I1361" s="7"/>
      <c r="J1361" s="9"/>
      <c r="K1361" s="9"/>
      <c r="L1361" s="9"/>
      <c r="M1361" s="9"/>
      <c r="N1361" s="4"/>
    </row>
    <row r="1362" spans="9:14" x14ac:dyDescent="0.3">
      <c r="I1362" s="7"/>
      <c r="J1362" s="9"/>
      <c r="K1362" s="9"/>
      <c r="L1362" s="9"/>
      <c r="M1362" s="9"/>
      <c r="N1362" s="4"/>
    </row>
    <row r="1363" spans="9:14" x14ac:dyDescent="0.3">
      <c r="I1363" s="7"/>
      <c r="J1363" s="9"/>
      <c r="K1363" s="9"/>
      <c r="L1363" s="9"/>
      <c r="M1363" s="9"/>
      <c r="N1363" s="4"/>
    </row>
    <row r="1364" spans="9:14" x14ac:dyDescent="0.3">
      <c r="I1364" s="7"/>
      <c r="J1364" s="9"/>
      <c r="K1364" s="9"/>
      <c r="L1364" s="9"/>
      <c r="M1364" s="9"/>
      <c r="N1364" s="4"/>
    </row>
    <row r="1365" spans="9:14" x14ac:dyDescent="0.3">
      <c r="I1365" s="7"/>
      <c r="J1365" s="9"/>
      <c r="K1365" s="9"/>
      <c r="L1365" s="9"/>
      <c r="M1365" s="9"/>
      <c r="N1365" s="4"/>
    </row>
    <row r="1366" spans="9:14" x14ac:dyDescent="0.3">
      <c r="I1366" s="7"/>
      <c r="J1366" s="9"/>
      <c r="K1366" s="9"/>
      <c r="L1366" s="9"/>
      <c r="M1366" s="9"/>
      <c r="N1366" s="4"/>
    </row>
    <row r="1367" spans="9:14" x14ac:dyDescent="0.3">
      <c r="I1367" s="7"/>
      <c r="J1367" s="9"/>
      <c r="K1367" s="9"/>
      <c r="L1367" s="9"/>
      <c r="M1367" s="9"/>
      <c r="N1367" s="4"/>
    </row>
    <row r="1368" spans="9:14" x14ac:dyDescent="0.3">
      <c r="I1368" s="7"/>
      <c r="J1368" s="9"/>
      <c r="K1368" s="9"/>
      <c r="L1368" s="9"/>
      <c r="M1368" s="9"/>
      <c r="N1368" s="4"/>
    </row>
    <row r="1369" spans="9:14" x14ac:dyDescent="0.3">
      <c r="I1369" s="7"/>
      <c r="J1369" s="9"/>
      <c r="K1369" s="9"/>
      <c r="L1369" s="9"/>
      <c r="M1369" s="9"/>
      <c r="N1369" s="4"/>
    </row>
    <row r="1370" spans="9:14" x14ac:dyDescent="0.3">
      <c r="I1370" s="7"/>
      <c r="J1370" s="9"/>
      <c r="K1370" s="9"/>
      <c r="L1370" s="9"/>
      <c r="M1370" s="9"/>
      <c r="N1370" s="4"/>
    </row>
    <row r="1371" spans="9:14" x14ac:dyDescent="0.3">
      <c r="I1371" s="7"/>
      <c r="J1371" s="9"/>
      <c r="K1371" s="9"/>
      <c r="L1371" s="9"/>
      <c r="M1371" s="9"/>
      <c r="N1371" s="4"/>
    </row>
    <row r="1372" spans="9:14" x14ac:dyDescent="0.3">
      <c r="I1372" s="7"/>
      <c r="J1372" s="9"/>
      <c r="K1372" s="9"/>
      <c r="L1372" s="9"/>
      <c r="M1372" s="9"/>
      <c r="N1372" s="4"/>
    </row>
    <row r="1373" spans="9:14" x14ac:dyDescent="0.3">
      <c r="I1373" s="7"/>
      <c r="J1373" s="9"/>
      <c r="K1373" s="9"/>
      <c r="L1373" s="9"/>
      <c r="M1373" s="9"/>
      <c r="N1373" s="4"/>
    </row>
    <row r="1374" spans="9:14" x14ac:dyDescent="0.3">
      <c r="I1374" s="7"/>
      <c r="J1374" s="9"/>
      <c r="K1374" s="9"/>
      <c r="L1374" s="9"/>
      <c r="M1374" s="9"/>
      <c r="N1374" s="4"/>
    </row>
    <row r="1375" spans="9:14" x14ac:dyDescent="0.3">
      <c r="I1375" s="7"/>
      <c r="J1375" s="9"/>
      <c r="K1375" s="9"/>
      <c r="L1375" s="9"/>
      <c r="M1375" s="9"/>
      <c r="N1375" s="4"/>
    </row>
    <row r="1376" spans="9:14" x14ac:dyDescent="0.3">
      <c r="I1376" s="7"/>
      <c r="J1376" s="9"/>
      <c r="K1376" s="9"/>
      <c r="L1376" s="9"/>
      <c r="M1376" s="9"/>
      <c r="N1376" s="4"/>
    </row>
    <row r="1377" spans="9:14" x14ac:dyDescent="0.3">
      <c r="I1377" s="7"/>
      <c r="J1377" s="9"/>
      <c r="K1377" s="9"/>
      <c r="L1377" s="9"/>
      <c r="M1377" s="9"/>
      <c r="N1377" s="4"/>
    </row>
    <row r="1378" spans="9:14" x14ac:dyDescent="0.3">
      <c r="I1378" s="7"/>
      <c r="J1378" s="9"/>
      <c r="K1378" s="9"/>
      <c r="L1378" s="9"/>
      <c r="M1378" s="9"/>
      <c r="N1378" s="4"/>
    </row>
    <row r="1379" spans="9:14" x14ac:dyDescent="0.3">
      <c r="I1379" s="7"/>
      <c r="J1379" s="9"/>
      <c r="K1379" s="9"/>
      <c r="L1379" s="9"/>
      <c r="M1379" s="9"/>
      <c r="N1379" s="4"/>
    </row>
    <row r="1380" spans="9:14" x14ac:dyDescent="0.3">
      <c r="I1380" s="7"/>
      <c r="J1380" s="9"/>
      <c r="K1380" s="9"/>
      <c r="L1380" s="9"/>
      <c r="M1380" s="9"/>
      <c r="N1380" s="4"/>
    </row>
    <row r="1381" spans="9:14" x14ac:dyDescent="0.3">
      <c r="I1381" s="7"/>
      <c r="J1381" s="9"/>
      <c r="K1381" s="9"/>
      <c r="L1381" s="9"/>
      <c r="M1381" s="9"/>
      <c r="N1381" s="4"/>
    </row>
    <row r="1382" spans="9:14" x14ac:dyDescent="0.3">
      <c r="I1382" s="7"/>
      <c r="J1382" s="9"/>
      <c r="K1382" s="9"/>
      <c r="L1382" s="9"/>
      <c r="M1382" s="9"/>
      <c r="N1382" s="4"/>
    </row>
    <row r="1383" spans="9:14" x14ac:dyDescent="0.3">
      <c r="I1383" s="7"/>
      <c r="J1383" s="9"/>
      <c r="K1383" s="9"/>
      <c r="L1383" s="9"/>
      <c r="M1383" s="9"/>
      <c r="N1383" s="4"/>
    </row>
    <row r="1384" spans="9:14" x14ac:dyDescent="0.3">
      <c r="I1384" s="7"/>
      <c r="J1384" s="9"/>
      <c r="K1384" s="9"/>
      <c r="L1384" s="9"/>
      <c r="M1384" s="9"/>
      <c r="N1384" s="4"/>
    </row>
    <row r="1385" spans="9:14" x14ac:dyDescent="0.3">
      <c r="I1385" s="7"/>
      <c r="J1385" s="9"/>
      <c r="K1385" s="9"/>
      <c r="L1385" s="9"/>
      <c r="M1385" s="9"/>
      <c r="N1385" s="4"/>
    </row>
    <row r="1386" spans="9:14" x14ac:dyDescent="0.3">
      <c r="I1386" s="7"/>
      <c r="J1386" s="9"/>
      <c r="K1386" s="9"/>
      <c r="L1386" s="9"/>
      <c r="M1386" s="9"/>
      <c r="N1386" s="4"/>
    </row>
    <row r="1387" spans="9:14" x14ac:dyDescent="0.3">
      <c r="I1387" s="7"/>
      <c r="J1387" s="9"/>
      <c r="K1387" s="9"/>
      <c r="L1387" s="9"/>
      <c r="M1387" s="9"/>
      <c r="N1387" s="4"/>
    </row>
    <row r="1388" spans="9:14" x14ac:dyDescent="0.3">
      <c r="I1388" s="7"/>
      <c r="J1388" s="9"/>
      <c r="K1388" s="9"/>
      <c r="L1388" s="9"/>
      <c r="M1388" s="9"/>
      <c r="N1388" s="4"/>
    </row>
    <row r="1389" spans="9:14" x14ac:dyDescent="0.3">
      <c r="I1389" s="7"/>
      <c r="J1389" s="9"/>
      <c r="K1389" s="9"/>
      <c r="L1389" s="9"/>
      <c r="M1389" s="9"/>
      <c r="N1389" s="4"/>
    </row>
    <row r="1390" spans="9:14" x14ac:dyDescent="0.3">
      <c r="I1390" s="7"/>
      <c r="J1390" s="9"/>
      <c r="K1390" s="9"/>
      <c r="L1390" s="9"/>
      <c r="M1390" s="9"/>
      <c r="N1390" s="4"/>
    </row>
    <row r="1391" spans="9:14" x14ac:dyDescent="0.3">
      <c r="I1391" s="7"/>
      <c r="J1391" s="9"/>
      <c r="K1391" s="9"/>
      <c r="L1391" s="9"/>
      <c r="M1391" s="9"/>
      <c r="N1391" s="4"/>
    </row>
    <row r="1392" spans="9:14" x14ac:dyDescent="0.3">
      <c r="I1392" s="7"/>
      <c r="J1392" s="9"/>
      <c r="K1392" s="9"/>
      <c r="L1392" s="9"/>
      <c r="M1392" s="9"/>
      <c r="N1392" s="4"/>
    </row>
    <row r="1393" spans="9:14" x14ac:dyDescent="0.3">
      <c r="I1393" s="7"/>
      <c r="J1393" s="9"/>
      <c r="K1393" s="9"/>
      <c r="L1393" s="9"/>
      <c r="M1393" s="9"/>
      <c r="N1393" s="4"/>
    </row>
    <row r="1394" spans="9:14" x14ac:dyDescent="0.3">
      <c r="I1394" s="7"/>
      <c r="J1394" s="9"/>
      <c r="K1394" s="9"/>
      <c r="L1394" s="9"/>
      <c r="M1394" s="9"/>
      <c r="N1394" s="4"/>
    </row>
    <row r="1395" spans="9:14" x14ac:dyDescent="0.3">
      <c r="I1395" s="7"/>
      <c r="J1395" s="9"/>
      <c r="K1395" s="9"/>
      <c r="L1395" s="9"/>
      <c r="M1395" s="9"/>
      <c r="N1395" s="4"/>
    </row>
    <row r="1396" spans="9:14" x14ac:dyDescent="0.3">
      <c r="I1396" s="7"/>
      <c r="J1396" s="9"/>
      <c r="K1396" s="9"/>
      <c r="L1396" s="9"/>
      <c r="M1396" s="9"/>
      <c r="N1396" s="4"/>
    </row>
    <row r="1397" spans="9:14" x14ac:dyDescent="0.3">
      <c r="I1397" s="7"/>
      <c r="J1397" s="9"/>
      <c r="K1397" s="9"/>
      <c r="L1397" s="9"/>
      <c r="M1397" s="9"/>
      <c r="N1397" s="4"/>
    </row>
    <row r="1398" spans="9:14" x14ac:dyDescent="0.3">
      <c r="I1398" s="7"/>
      <c r="J1398" s="9"/>
      <c r="K1398" s="9"/>
      <c r="L1398" s="9"/>
      <c r="M1398" s="9"/>
      <c r="N1398" s="4"/>
    </row>
    <row r="1399" spans="9:14" x14ac:dyDescent="0.3">
      <c r="I1399" s="7"/>
      <c r="J1399" s="9"/>
      <c r="K1399" s="9"/>
      <c r="L1399" s="9"/>
      <c r="M1399" s="9"/>
      <c r="N1399" s="4"/>
    </row>
    <row r="1400" spans="9:14" x14ac:dyDescent="0.3">
      <c r="I1400" s="7"/>
      <c r="J1400" s="9"/>
      <c r="K1400" s="9"/>
      <c r="L1400" s="9"/>
      <c r="M1400" s="9"/>
      <c r="N1400" s="4"/>
    </row>
    <row r="1401" spans="9:14" x14ac:dyDescent="0.3">
      <c r="I1401" s="7"/>
      <c r="J1401" s="9"/>
      <c r="K1401" s="9"/>
      <c r="L1401" s="9"/>
      <c r="M1401" s="9"/>
      <c r="N1401" s="4"/>
    </row>
    <row r="1402" spans="9:14" x14ac:dyDescent="0.3">
      <c r="I1402" s="7"/>
      <c r="J1402" s="9"/>
      <c r="K1402" s="9"/>
      <c r="L1402" s="9"/>
      <c r="M1402" s="9"/>
      <c r="N1402" s="4"/>
    </row>
    <row r="1403" spans="9:14" x14ac:dyDescent="0.3">
      <c r="I1403" s="7"/>
      <c r="J1403" s="9"/>
      <c r="K1403" s="9"/>
      <c r="L1403" s="9"/>
      <c r="M1403" s="9"/>
      <c r="N1403" s="4"/>
    </row>
    <row r="1404" spans="9:14" x14ac:dyDescent="0.3">
      <c r="I1404" s="7"/>
      <c r="J1404" s="9"/>
      <c r="K1404" s="9"/>
      <c r="L1404" s="9"/>
      <c r="M1404" s="9"/>
      <c r="N1404" s="4"/>
    </row>
    <row r="1405" spans="9:14" x14ac:dyDescent="0.3">
      <c r="I1405" s="7"/>
      <c r="J1405" s="9"/>
      <c r="K1405" s="9"/>
      <c r="L1405" s="9"/>
      <c r="M1405" s="9"/>
      <c r="N1405" s="4"/>
    </row>
    <row r="1406" spans="9:14" x14ac:dyDescent="0.3">
      <c r="I1406" s="7"/>
      <c r="J1406" s="9"/>
      <c r="K1406" s="9"/>
      <c r="L1406" s="9"/>
      <c r="M1406" s="9"/>
      <c r="N1406" s="4"/>
    </row>
    <row r="1407" spans="9:14" x14ac:dyDescent="0.3">
      <c r="I1407" s="7"/>
      <c r="J1407" s="9"/>
      <c r="K1407" s="9"/>
      <c r="L1407" s="9"/>
      <c r="M1407" s="9"/>
      <c r="N1407" s="4"/>
    </row>
    <row r="1408" spans="9:14" x14ac:dyDescent="0.3">
      <c r="I1408" s="7"/>
      <c r="J1408" s="9"/>
      <c r="K1408" s="9"/>
      <c r="L1408" s="9"/>
      <c r="M1408" s="9"/>
      <c r="N1408" s="4"/>
    </row>
    <row r="1409" spans="9:14" x14ac:dyDescent="0.3">
      <c r="I1409" s="7"/>
      <c r="J1409" s="9"/>
      <c r="K1409" s="9"/>
      <c r="L1409" s="9"/>
      <c r="M1409" s="9"/>
      <c r="N1409" s="4"/>
    </row>
    <row r="1410" spans="9:14" x14ac:dyDescent="0.3">
      <c r="I1410" s="7"/>
      <c r="J1410" s="9"/>
      <c r="K1410" s="9"/>
      <c r="L1410" s="9"/>
      <c r="M1410" s="9"/>
      <c r="N1410" s="4"/>
    </row>
    <row r="1411" spans="9:14" x14ac:dyDescent="0.3">
      <c r="I1411" s="7"/>
      <c r="J1411" s="9"/>
      <c r="K1411" s="9"/>
      <c r="L1411" s="9"/>
      <c r="M1411" s="9"/>
      <c r="N1411" s="4"/>
    </row>
    <row r="1412" spans="9:14" x14ac:dyDescent="0.3">
      <c r="I1412" s="7"/>
      <c r="J1412" s="9"/>
      <c r="K1412" s="9"/>
      <c r="L1412" s="9"/>
      <c r="M1412" s="9"/>
      <c r="N1412" s="4"/>
    </row>
    <row r="1413" spans="9:14" x14ac:dyDescent="0.3">
      <c r="I1413" s="7"/>
      <c r="J1413" s="9"/>
      <c r="K1413" s="9"/>
      <c r="L1413" s="9"/>
      <c r="M1413" s="9"/>
      <c r="N1413" s="4"/>
    </row>
    <row r="1414" spans="9:14" x14ac:dyDescent="0.3">
      <c r="I1414" s="7"/>
      <c r="J1414" s="9"/>
      <c r="K1414" s="9"/>
      <c r="L1414" s="9"/>
      <c r="M1414" s="9"/>
      <c r="N1414" s="4"/>
    </row>
    <row r="1415" spans="9:14" x14ac:dyDescent="0.3">
      <c r="I1415" s="7"/>
      <c r="J1415" s="9"/>
      <c r="K1415" s="9"/>
      <c r="L1415" s="9"/>
      <c r="M1415" s="9"/>
      <c r="N1415" s="4"/>
    </row>
    <row r="1416" spans="9:14" x14ac:dyDescent="0.3">
      <c r="I1416" s="7"/>
      <c r="J1416" s="9"/>
      <c r="K1416" s="9"/>
      <c r="L1416" s="9"/>
      <c r="M1416" s="9"/>
      <c r="N1416" s="4"/>
    </row>
    <row r="1417" spans="9:14" x14ac:dyDescent="0.3">
      <c r="I1417" s="7"/>
      <c r="J1417" s="9"/>
      <c r="K1417" s="9"/>
      <c r="L1417" s="9"/>
      <c r="M1417" s="9"/>
      <c r="N1417" s="4"/>
    </row>
    <row r="1418" spans="9:14" x14ac:dyDescent="0.3">
      <c r="I1418" s="7"/>
      <c r="J1418" s="9"/>
      <c r="K1418" s="9"/>
      <c r="L1418" s="9"/>
      <c r="M1418" s="9"/>
      <c r="N1418" s="4"/>
    </row>
    <row r="1419" spans="9:14" x14ac:dyDescent="0.3">
      <c r="I1419" s="7"/>
      <c r="J1419" s="9"/>
      <c r="K1419" s="9"/>
      <c r="L1419" s="9"/>
      <c r="M1419" s="9"/>
      <c r="N1419" s="4"/>
    </row>
    <row r="1420" spans="9:14" x14ac:dyDescent="0.3">
      <c r="I1420" s="7"/>
      <c r="J1420" s="9"/>
      <c r="K1420" s="9"/>
      <c r="L1420" s="9"/>
      <c r="M1420" s="9"/>
      <c r="N1420" s="4"/>
    </row>
    <row r="1421" spans="9:14" x14ac:dyDescent="0.3">
      <c r="I1421" s="7"/>
      <c r="J1421" s="9"/>
      <c r="K1421" s="9"/>
      <c r="L1421" s="9"/>
      <c r="M1421" s="9"/>
      <c r="N1421" s="4"/>
    </row>
    <row r="1422" spans="9:14" x14ac:dyDescent="0.3">
      <c r="I1422" s="7"/>
      <c r="J1422" s="9"/>
      <c r="K1422" s="9"/>
      <c r="L1422" s="9"/>
      <c r="M1422" s="9"/>
      <c r="N1422" s="4"/>
    </row>
    <row r="1423" spans="9:14" x14ac:dyDescent="0.3">
      <c r="I1423" s="7"/>
      <c r="J1423" s="9"/>
      <c r="K1423" s="9"/>
      <c r="L1423" s="9"/>
      <c r="M1423" s="9"/>
      <c r="N1423" s="4"/>
    </row>
    <row r="1424" spans="9:14" x14ac:dyDescent="0.3">
      <c r="I1424" s="7"/>
      <c r="J1424" s="9"/>
      <c r="K1424" s="9"/>
      <c r="L1424" s="9"/>
      <c r="M1424" s="9"/>
      <c r="N1424" s="4"/>
    </row>
    <row r="1425" spans="9:14" x14ac:dyDescent="0.3">
      <c r="I1425" s="7"/>
      <c r="J1425" s="9"/>
      <c r="K1425" s="9"/>
      <c r="L1425" s="9"/>
      <c r="M1425" s="9"/>
      <c r="N1425" s="4"/>
    </row>
    <row r="1426" spans="9:14" x14ac:dyDescent="0.3">
      <c r="I1426" s="7"/>
      <c r="J1426" s="9"/>
      <c r="K1426" s="9"/>
      <c r="L1426" s="9"/>
      <c r="M1426" s="9"/>
      <c r="N1426" s="4"/>
    </row>
    <row r="1427" spans="9:14" x14ac:dyDescent="0.3">
      <c r="I1427" s="7"/>
      <c r="J1427" s="9"/>
      <c r="K1427" s="9"/>
      <c r="L1427" s="9"/>
      <c r="M1427" s="9"/>
      <c r="N1427" s="4"/>
    </row>
    <row r="1428" spans="9:14" x14ac:dyDescent="0.3">
      <c r="I1428" s="7"/>
      <c r="J1428" s="9"/>
      <c r="K1428" s="9"/>
      <c r="L1428" s="9"/>
      <c r="M1428" s="9"/>
      <c r="N1428" s="4"/>
    </row>
    <row r="1429" spans="9:14" x14ac:dyDescent="0.3">
      <c r="I1429" s="7"/>
      <c r="J1429" s="9"/>
      <c r="K1429" s="9"/>
      <c r="L1429" s="9"/>
      <c r="M1429" s="9"/>
      <c r="N1429" s="4"/>
    </row>
    <row r="1430" spans="9:14" x14ac:dyDescent="0.3">
      <c r="I1430" s="7"/>
      <c r="J1430" s="9"/>
      <c r="K1430" s="9"/>
      <c r="L1430" s="9"/>
      <c r="M1430" s="9"/>
      <c r="N1430" s="4"/>
    </row>
    <row r="1431" spans="9:14" x14ac:dyDescent="0.3">
      <c r="I1431" s="7"/>
      <c r="J1431" s="9"/>
      <c r="K1431" s="9"/>
      <c r="L1431" s="9"/>
      <c r="M1431" s="9"/>
      <c r="N1431" s="4"/>
    </row>
    <row r="1432" spans="9:14" x14ac:dyDescent="0.3">
      <c r="I1432" s="7"/>
      <c r="J1432" s="9"/>
      <c r="K1432" s="9"/>
      <c r="L1432" s="9"/>
      <c r="M1432" s="9"/>
      <c r="N1432" s="4"/>
    </row>
    <row r="1433" spans="9:14" x14ac:dyDescent="0.3">
      <c r="I1433" s="7"/>
      <c r="J1433" s="9"/>
      <c r="K1433" s="9"/>
      <c r="L1433" s="9"/>
      <c r="M1433" s="9"/>
      <c r="N1433" s="4"/>
    </row>
    <row r="1434" spans="9:14" x14ac:dyDescent="0.3">
      <c r="I1434" s="7"/>
      <c r="J1434" s="9"/>
      <c r="K1434" s="9"/>
      <c r="L1434" s="9"/>
      <c r="M1434" s="9"/>
      <c r="N1434" s="4"/>
    </row>
    <row r="1435" spans="9:14" x14ac:dyDescent="0.3">
      <c r="I1435" s="7"/>
      <c r="J1435" s="9"/>
      <c r="K1435" s="9"/>
      <c r="L1435" s="9"/>
      <c r="M1435" s="9"/>
      <c r="N1435" s="4"/>
    </row>
    <row r="1436" spans="9:14" x14ac:dyDescent="0.3">
      <c r="I1436" s="7"/>
      <c r="J1436" s="9"/>
      <c r="K1436" s="9"/>
      <c r="L1436" s="9"/>
      <c r="M1436" s="9"/>
      <c r="N1436" s="4"/>
    </row>
    <row r="1437" spans="9:14" x14ac:dyDescent="0.3">
      <c r="I1437" s="7"/>
      <c r="J1437" s="9"/>
      <c r="K1437" s="9"/>
      <c r="L1437" s="9"/>
      <c r="M1437" s="9"/>
      <c r="N1437" s="4"/>
    </row>
    <row r="1438" spans="9:14" x14ac:dyDescent="0.3">
      <c r="I1438" s="7"/>
      <c r="J1438" s="9"/>
      <c r="K1438" s="9"/>
      <c r="L1438" s="9"/>
      <c r="M1438" s="9"/>
      <c r="N1438" s="4"/>
    </row>
    <row r="1439" spans="9:14" x14ac:dyDescent="0.3">
      <c r="I1439" s="7"/>
      <c r="J1439" s="9"/>
      <c r="K1439" s="9"/>
      <c r="L1439" s="9"/>
      <c r="M1439" s="9"/>
      <c r="N1439" s="4"/>
    </row>
    <row r="1440" spans="9:14" x14ac:dyDescent="0.3">
      <c r="I1440" s="7"/>
      <c r="J1440" s="9"/>
      <c r="K1440" s="9"/>
      <c r="L1440" s="9"/>
      <c r="M1440" s="9"/>
      <c r="N1440" s="4"/>
    </row>
    <row r="1441" spans="9:14" x14ac:dyDescent="0.3">
      <c r="I1441" s="7"/>
      <c r="J1441" s="9"/>
      <c r="K1441" s="9"/>
      <c r="L1441" s="9"/>
      <c r="M1441" s="9"/>
      <c r="N1441" s="4"/>
    </row>
    <row r="1442" spans="9:14" x14ac:dyDescent="0.3">
      <c r="I1442" s="7"/>
      <c r="J1442" s="9"/>
      <c r="K1442" s="9"/>
      <c r="L1442" s="9"/>
      <c r="M1442" s="9"/>
      <c r="N1442" s="4"/>
    </row>
    <row r="1443" spans="9:14" x14ac:dyDescent="0.3">
      <c r="I1443" s="7"/>
      <c r="J1443" s="9"/>
      <c r="K1443" s="9"/>
      <c r="L1443" s="9"/>
      <c r="M1443" s="9"/>
      <c r="N1443" s="4"/>
    </row>
    <row r="1444" spans="9:14" x14ac:dyDescent="0.3">
      <c r="I1444" s="7"/>
      <c r="J1444" s="9"/>
      <c r="K1444" s="9"/>
      <c r="L1444" s="9"/>
      <c r="M1444" s="9"/>
      <c r="N1444" s="4"/>
    </row>
    <row r="1445" spans="9:14" x14ac:dyDescent="0.3">
      <c r="I1445" s="7"/>
      <c r="J1445" s="9"/>
      <c r="K1445" s="9"/>
      <c r="L1445" s="9"/>
      <c r="M1445" s="9"/>
      <c r="N1445" s="4"/>
    </row>
    <row r="1446" spans="9:14" x14ac:dyDescent="0.3">
      <c r="I1446" s="7"/>
      <c r="J1446" s="9"/>
      <c r="K1446" s="9"/>
      <c r="L1446" s="9"/>
      <c r="M1446" s="9"/>
      <c r="N1446" s="4"/>
    </row>
    <row r="1447" spans="9:14" x14ac:dyDescent="0.3">
      <c r="I1447" s="7"/>
      <c r="J1447" s="9"/>
      <c r="K1447" s="9"/>
      <c r="L1447" s="9"/>
      <c r="M1447" s="9"/>
      <c r="N1447" s="4"/>
    </row>
    <row r="1448" spans="9:14" x14ac:dyDescent="0.3">
      <c r="I1448" s="7"/>
      <c r="J1448" s="9"/>
      <c r="K1448" s="9"/>
      <c r="L1448" s="9"/>
      <c r="M1448" s="9"/>
      <c r="N1448" s="4"/>
    </row>
    <row r="1449" spans="9:14" x14ac:dyDescent="0.3">
      <c r="I1449" s="7"/>
      <c r="J1449" s="9"/>
      <c r="K1449" s="9"/>
      <c r="L1449" s="9"/>
      <c r="M1449" s="9"/>
      <c r="N1449" s="4"/>
    </row>
    <row r="1450" spans="9:14" x14ac:dyDescent="0.3">
      <c r="I1450" s="7"/>
      <c r="J1450" s="9"/>
      <c r="K1450" s="9"/>
      <c r="L1450" s="9"/>
      <c r="M1450" s="9"/>
      <c r="N1450" s="4"/>
    </row>
    <row r="1451" spans="9:14" x14ac:dyDescent="0.3">
      <c r="I1451" s="7"/>
      <c r="J1451" s="9"/>
      <c r="K1451" s="9"/>
      <c r="L1451" s="9"/>
      <c r="M1451" s="9"/>
      <c r="N1451" s="4"/>
    </row>
    <row r="1452" spans="9:14" x14ac:dyDescent="0.3">
      <c r="I1452" s="7"/>
      <c r="J1452" s="9"/>
      <c r="K1452" s="9"/>
      <c r="L1452" s="9"/>
      <c r="M1452" s="9"/>
      <c r="N1452" s="4"/>
    </row>
    <row r="1453" spans="9:14" x14ac:dyDescent="0.3">
      <c r="I1453" s="7"/>
      <c r="J1453" s="9"/>
      <c r="K1453" s="9"/>
      <c r="L1453" s="9"/>
      <c r="M1453" s="9"/>
      <c r="N1453" s="4"/>
    </row>
    <row r="1454" spans="9:14" x14ac:dyDescent="0.3">
      <c r="I1454" s="7"/>
      <c r="J1454" s="9"/>
      <c r="K1454" s="9"/>
      <c r="L1454" s="9"/>
      <c r="M1454" s="9"/>
      <c r="N1454" s="4"/>
    </row>
    <row r="1455" spans="9:14" x14ac:dyDescent="0.3">
      <c r="I1455" s="7"/>
      <c r="J1455" s="9"/>
      <c r="K1455" s="9"/>
      <c r="L1455" s="9"/>
      <c r="M1455" s="9"/>
      <c r="N1455" s="4"/>
    </row>
    <row r="1456" spans="9:14" x14ac:dyDescent="0.3">
      <c r="I1456" s="7"/>
      <c r="J1456" s="9"/>
      <c r="K1456" s="9"/>
      <c r="L1456" s="9"/>
      <c r="M1456" s="9"/>
      <c r="N1456" s="4"/>
    </row>
    <row r="1457" spans="9:14" x14ac:dyDescent="0.3">
      <c r="I1457" s="7"/>
      <c r="J1457" s="9"/>
      <c r="K1457" s="9"/>
      <c r="L1457" s="9"/>
      <c r="M1457" s="9"/>
      <c r="N1457" s="4"/>
    </row>
    <row r="1458" spans="9:14" x14ac:dyDescent="0.3">
      <c r="I1458" s="7"/>
      <c r="J1458" s="9"/>
      <c r="K1458" s="9"/>
      <c r="L1458" s="9"/>
      <c r="M1458" s="9"/>
      <c r="N1458" s="4"/>
    </row>
    <row r="1459" spans="9:14" x14ac:dyDescent="0.3">
      <c r="I1459" s="7"/>
      <c r="J1459" s="9"/>
      <c r="K1459" s="9"/>
      <c r="L1459" s="9"/>
      <c r="M1459" s="9"/>
      <c r="N1459" s="4"/>
    </row>
    <row r="1460" spans="9:14" x14ac:dyDescent="0.3">
      <c r="I1460" s="7"/>
      <c r="J1460" s="9"/>
      <c r="K1460" s="9"/>
      <c r="L1460" s="9"/>
      <c r="M1460" s="9"/>
      <c r="N1460" s="4"/>
    </row>
    <row r="1461" spans="9:14" x14ac:dyDescent="0.3">
      <c r="I1461" s="7"/>
      <c r="J1461" s="9"/>
      <c r="K1461" s="9"/>
      <c r="L1461" s="9"/>
      <c r="M1461" s="9"/>
      <c r="N1461" s="4"/>
    </row>
    <row r="1462" spans="9:14" x14ac:dyDescent="0.3">
      <c r="I1462" s="7"/>
      <c r="J1462" s="9"/>
      <c r="K1462" s="9"/>
      <c r="L1462" s="9"/>
      <c r="M1462" s="9"/>
      <c r="N1462" s="4"/>
    </row>
    <row r="1463" spans="9:14" x14ac:dyDescent="0.3">
      <c r="I1463" s="7"/>
      <c r="J1463" s="9"/>
      <c r="K1463" s="9"/>
      <c r="L1463" s="9"/>
      <c r="M1463" s="9"/>
      <c r="N1463" s="4"/>
    </row>
    <row r="1464" spans="9:14" x14ac:dyDescent="0.3">
      <c r="I1464" s="7"/>
      <c r="J1464" s="9"/>
      <c r="K1464" s="9"/>
      <c r="L1464" s="9"/>
      <c r="M1464" s="9"/>
      <c r="N1464" s="4"/>
    </row>
    <row r="1465" spans="9:14" x14ac:dyDescent="0.3">
      <c r="I1465" s="7"/>
      <c r="J1465" s="9"/>
      <c r="K1465" s="9"/>
      <c r="L1465" s="9"/>
      <c r="M1465" s="9"/>
      <c r="N1465" s="4"/>
    </row>
    <row r="1466" spans="9:14" x14ac:dyDescent="0.3">
      <c r="I1466" s="7"/>
      <c r="J1466" s="9"/>
      <c r="K1466" s="9"/>
      <c r="L1466" s="9"/>
      <c r="M1466" s="9"/>
      <c r="N1466" s="4"/>
    </row>
    <row r="1467" spans="9:14" x14ac:dyDescent="0.3">
      <c r="I1467" s="7"/>
      <c r="J1467" s="9"/>
      <c r="K1467" s="9"/>
      <c r="L1467" s="9"/>
      <c r="M1467" s="9"/>
      <c r="N1467" s="4"/>
    </row>
    <row r="1468" spans="9:14" x14ac:dyDescent="0.3">
      <c r="I1468" s="7"/>
      <c r="J1468" s="9"/>
      <c r="K1468" s="9"/>
      <c r="L1468" s="9"/>
      <c r="M1468" s="9"/>
      <c r="N1468" s="4"/>
    </row>
    <row r="1469" spans="9:14" x14ac:dyDescent="0.3">
      <c r="I1469" s="7"/>
      <c r="J1469" s="9"/>
      <c r="K1469" s="9"/>
      <c r="L1469" s="9"/>
      <c r="M1469" s="9"/>
      <c r="N1469" s="4"/>
    </row>
    <row r="1470" spans="9:14" x14ac:dyDescent="0.3">
      <c r="I1470" s="7"/>
      <c r="J1470" s="9"/>
      <c r="K1470" s="9"/>
      <c r="L1470" s="9"/>
      <c r="M1470" s="9"/>
      <c r="N1470" s="4"/>
    </row>
    <row r="1471" spans="9:14" x14ac:dyDescent="0.3">
      <c r="I1471" s="7"/>
      <c r="J1471" s="9"/>
      <c r="K1471" s="9"/>
      <c r="L1471" s="9"/>
      <c r="M1471" s="9"/>
      <c r="N1471" s="4"/>
    </row>
    <row r="1472" spans="9:14" x14ac:dyDescent="0.3">
      <c r="I1472" s="7"/>
      <c r="J1472" s="9"/>
      <c r="K1472" s="9"/>
      <c r="L1472" s="9"/>
      <c r="M1472" s="9"/>
      <c r="N1472" s="4"/>
    </row>
    <row r="1473" spans="9:14" x14ac:dyDescent="0.3">
      <c r="I1473" s="7"/>
      <c r="J1473" s="9"/>
      <c r="K1473" s="9"/>
      <c r="L1473" s="9"/>
      <c r="M1473" s="9"/>
      <c r="N1473" s="4"/>
    </row>
    <row r="1474" spans="9:14" x14ac:dyDescent="0.3">
      <c r="I1474" s="7"/>
      <c r="J1474" s="9"/>
      <c r="K1474" s="9"/>
      <c r="L1474" s="9"/>
      <c r="M1474" s="9"/>
      <c r="N1474" s="4"/>
    </row>
    <row r="1475" spans="9:14" x14ac:dyDescent="0.3">
      <c r="I1475" s="7"/>
      <c r="J1475" s="9"/>
      <c r="K1475" s="9"/>
      <c r="L1475" s="9"/>
      <c r="M1475" s="9"/>
      <c r="N1475" s="4"/>
    </row>
    <row r="1476" spans="9:14" x14ac:dyDescent="0.3">
      <c r="I1476" s="7"/>
      <c r="J1476" s="9"/>
      <c r="K1476" s="9"/>
      <c r="L1476" s="9"/>
      <c r="M1476" s="9"/>
      <c r="N1476" s="4"/>
    </row>
    <row r="1477" spans="9:14" x14ac:dyDescent="0.3">
      <c r="I1477" s="7"/>
      <c r="J1477" s="9"/>
      <c r="K1477" s="9"/>
      <c r="L1477" s="9"/>
      <c r="M1477" s="9"/>
      <c r="N1477" s="4"/>
    </row>
    <row r="1478" spans="9:14" x14ac:dyDescent="0.3">
      <c r="I1478" s="7"/>
      <c r="J1478" s="9"/>
      <c r="K1478" s="9"/>
      <c r="L1478" s="9"/>
      <c r="M1478" s="9"/>
      <c r="N1478" s="4"/>
    </row>
    <row r="1479" spans="9:14" x14ac:dyDescent="0.3">
      <c r="I1479" s="7"/>
      <c r="J1479" s="9"/>
      <c r="K1479" s="9"/>
      <c r="L1479" s="9"/>
      <c r="M1479" s="9"/>
      <c r="N1479" s="4"/>
    </row>
    <row r="1480" spans="9:14" x14ac:dyDescent="0.3">
      <c r="I1480" s="7"/>
      <c r="J1480" s="9"/>
      <c r="K1480" s="9"/>
      <c r="L1480" s="9"/>
      <c r="M1480" s="9"/>
      <c r="N1480" s="4"/>
    </row>
    <row r="1481" spans="9:14" x14ac:dyDescent="0.3">
      <c r="I1481" s="7"/>
      <c r="J1481" s="9"/>
      <c r="K1481" s="9"/>
      <c r="L1481" s="9"/>
      <c r="M1481" s="9"/>
      <c r="N1481" s="4"/>
    </row>
    <row r="1482" spans="9:14" x14ac:dyDescent="0.3">
      <c r="I1482" s="7"/>
      <c r="J1482" s="9"/>
      <c r="K1482" s="9"/>
      <c r="L1482" s="9"/>
      <c r="M1482" s="9"/>
      <c r="N1482" s="4"/>
    </row>
    <row r="1483" spans="9:14" x14ac:dyDescent="0.3">
      <c r="I1483" s="7"/>
      <c r="J1483" s="9"/>
      <c r="K1483" s="9"/>
      <c r="L1483" s="9"/>
      <c r="M1483" s="9"/>
      <c r="N1483" s="4"/>
    </row>
    <row r="1484" spans="9:14" x14ac:dyDescent="0.3">
      <c r="I1484" s="7"/>
      <c r="J1484" s="9"/>
      <c r="K1484" s="9"/>
      <c r="L1484" s="9"/>
      <c r="M1484" s="9"/>
      <c r="N1484" s="4"/>
    </row>
    <row r="1485" spans="9:14" x14ac:dyDescent="0.3">
      <c r="I1485" s="7"/>
      <c r="J1485" s="9"/>
      <c r="K1485" s="9"/>
      <c r="L1485" s="9"/>
      <c r="M1485" s="9"/>
      <c r="N1485" s="4"/>
    </row>
    <row r="1486" spans="9:14" x14ac:dyDescent="0.3">
      <c r="I1486" s="7"/>
      <c r="J1486" s="9"/>
      <c r="K1486" s="9"/>
      <c r="L1486" s="9"/>
      <c r="M1486" s="9"/>
      <c r="N1486" s="4"/>
    </row>
    <row r="1487" spans="9:14" x14ac:dyDescent="0.3">
      <c r="I1487" s="7"/>
      <c r="J1487" s="9"/>
      <c r="K1487" s="9"/>
      <c r="L1487" s="9"/>
      <c r="M1487" s="9"/>
      <c r="N1487" s="4"/>
    </row>
    <row r="1488" spans="9:14" x14ac:dyDescent="0.3">
      <c r="I1488" s="7"/>
      <c r="J1488" s="9"/>
      <c r="K1488" s="9"/>
      <c r="L1488" s="9"/>
      <c r="M1488" s="9"/>
      <c r="N1488" s="4"/>
    </row>
    <row r="1489" spans="9:14" x14ac:dyDescent="0.3">
      <c r="I1489" s="7"/>
      <c r="J1489" s="9"/>
      <c r="K1489" s="9"/>
      <c r="L1489" s="9"/>
      <c r="M1489" s="9"/>
      <c r="N1489" s="4"/>
    </row>
    <row r="1490" spans="9:14" x14ac:dyDescent="0.3">
      <c r="I1490" s="7"/>
      <c r="J1490" s="9"/>
      <c r="K1490" s="9"/>
      <c r="L1490" s="9"/>
      <c r="M1490" s="9"/>
      <c r="N1490" s="4"/>
    </row>
    <row r="1491" spans="9:14" x14ac:dyDescent="0.3">
      <c r="I1491" s="7"/>
      <c r="J1491" s="9"/>
      <c r="K1491" s="9"/>
      <c r="L1491" s="9"/>
      <c r="M1491" s="9"/>
      <c r="N1491" s="4"/>
    </row>
    <row r="1492" spans="9:14" x14ac:dyDescent="0.3">
      <c r="I1492" s="7"/>
      <c r="J1492" s="9"/>
      <c r="K1492" s="9"/>
      <c r="L1492" s="9"/>
      <c r="M1492" s="9"/>
      <c r="N1492" s="4"/>
    </row>
    <row r="1493" spans="9:14" x14ac:dyDescent="0.3">
      <c r="I1493" s="7"/>
      <c r="J1493" s="9"/>
      <c r="K1493" s="9"/>
      <c r="L1493" s="9"/>
      <c r="M1493" s="9"/>
      <c r="N1493" s="4"/>
    </row>
    <row r="1494" spans="9:14" x14ac:dyDescent="0.3">
      <c r="I1494" s="7"/>
      <c r="J1494" s="9"/>
      <c r="K1494" s="9"/>
      <c r="L1494" s="9"/>
      <c r="M1494" s="9"/>
      <c r="N1494" s="4"/>
    </row>
    <row r="1495" spans="9:14" x14ac:dyDescent="0.3">
      <c r="I1495" s="7"/>
      <c r="J1495" s="9"/>
      <c r="K1495" s="9"/>
      <c r="L1495" s="9"/>
      <c r="M1495" s="9"/>
      <c r="N1495" s="4"/>
    </row>
    <row r="1496" spans="9:14" x14ac:dyDescent="0.3">
      <c r="I1496" s="7"/>
      <c r="J1496" s="9"/>
      <c r="K1496" s="9"/>
      <c r="L1496" s="9"/>
      <c r="M1496" s="9"/>
      <c r="N1496" s="4"/>
    </row>
    <row r="1497" spans="9:14" x14ac:dyDescent="0.3">
      <c r="I1497" s="7"/>
      <c r="J1497" s="9"/>
      <c r="K1497" s="9"/>
      <c r="L1497" s="9"/>
      <c r="M1497" s="9"/>
      <c r="N1497" s="4"/>
    </row>
    <row r="1498" spans="9:14" x14ac:dyDescent="0.3">
      <c r="I1498" s="7"/>
      <c r="J1498" s="9"/>
      <c r="K1498" s="9"/>
      <c r="L1498" s="9"/>
      <c r="M1498" s="9"/>
      <c r="N1498" s="4"/>
    </row>
    <row r="1499" spans="9:14" x14ac:dyDescent="0.3">
      <c r="I1499" s="7"/>
      <c r="J1499" s="9"/>
      <c r="K1499" s="9"/>
      <c r="L1499" s="9"/>
      <c r="M1499" s="9"/>
      <c r="N1499" s="4"/>
    </row>
    <row r="1500" spans="9:14" x14ac:dyDescent="0.3">
      <c r="I1500" s="7"/>
      <c r="J1500" s="9"/>
      <c r="K1500" s="9"/>
      <c r="L1500" s="9"/>
      <c r="M1500" s="9"/>
      <c r="N1500" s="4"/>
    </row>
    <row r="1501" spans="9:14" x14ac:dyDescent="0.3">
      <c r="I1501" s="7"/>
      <c r="J1501" s="9"/>
      <c r="K1501" s="9"/>
      <c r="L1501" s="9"/>
      <c r="M1501" s="9"/>
      <c r="N1501" s="4"/>
    </row>
    <row r="1502" spans="9:14" x14ac:dyDescent="0.3">
      <c r="I1502" s="7"/>
      <c r="J1502" s="9"/>
      <c r="K1502" s="9"/>
      <c r="L1502" s="9"/>
      <c r="M1502" s="9"/>
      <c r="N1502" s="4"/>
    </row>
    <row r="1503" spans="9:14" x14ac:dyDescent="0.3">
      <c r="I1503" s="7"/>
      <c r="J1503" s="9"/>
      <c r="K1503" s="9"/>
      <c r="L1503" s="9"/>
      <c r="M1503" s="9"/>
      <c r="N1503" s="4"/>
    </row>
    <row r="1504" spans="9:14" x14ac:dyDescent="0.3">
      <c r="I1504" s="7"/>
      <c r="J1504" s="9"/>
      <c r="K1504" s="9"/>
      <c r="L1504" s="9"/>
      <c r="M1504" s="9"/>
      <c r="N1504" s="4"/>
    </row>
    <row r="1505" spans="9:14" x14ac:dyDescent="0.3">
      <c r="I1505" s="7"/>
      <c r="J1505" s="9"/>
      <c r="K1505" s="9"/>
      <c r="L1505" s="9"/>
      <c r="M1505" s="9"/>
      <c r="N1505" s="4"/>
    </row>
    <row r="1506" spans="9:14" x14ac:dyDescent="0.3">
      <c r="I1506" s="7"/>
      <c r="J1506" s="9"/>
      <c r="K1506" s="9"/>
      <c r="L1506" s="9"/>
      <c r="M1506" s="9"/>
      <c r="N1506" s="4"/>
    </row>
    <row r="1507" spans="9:14" x14ac:dyDescent="0.3">
      <c r="I1507" s="7"/>
      <c r="J1507" s="9"/>
      <c r="K1507" s="9"/>
      <c r="L1507" s="9"/>
      <c r="M1507" s="9"/>
      <c r="N1507" s="4"/>
    </row>
    <row r="1508" spans="9:14" x14ac:dyDescent="0.3">
      <c r="I1508" s="7"/>
      <c r="J1508" s="9"/>
      <c r="K1508" s="9"/>
      <c r="L1508" s="9"/>
      <c r="M1508" s="9"/>
      <c r="N1508" s="4"/>
    </row>
    <row r="1509" spans="9:14" x14ac:dyDescent="0.3">
      <c r="I1509" s="7"/>
      <c r="J1509" s="9"/>
      <c r="K1509" s="9"/>
      <c r="L1509" s="9"/>
      <c r="M1509" s="9"/>
      <c r="N1509" s="4"/>
    </row>
    <row r="1510" spans="9:14" x14ac:dyDescent="0.3">
      <c r="I1510" s="7"/>
      <c r="J1510" s="9"/>
      <c r="K1510" s="9"/>
      <c r="L1510" s="9"/>
      <c r="M1510" s="9"/>
      <c r="N1510" s="4"/>
    </row>
    <row r="1511" spans="9:14" x14ac:dyDescent="0.3">
      <c r="I1511" s="7"/>
      <c r="J1511" s="9"/>
      <c r="K1511" s="9"/>
      <c r="L1511" s="9"/>
      <c r="M1511" s="9"/>
      <c r="N1511" s="4"/>
    </row>
    <row r="1512" spans="9:14" x14ac:dyDescent="0.3">
      <c r="I1512" s="7"/>
      <c r="J1512" s="9"/>
      <c r="K1512" s="9"/>
      <c r="L1512" s="9"/>
      <c r="M1512" s="9"/>
      <c r="N1512" s="4"/>
    </row>
    <row r="1513" spans="9:14" x14ac:dyDescent="0.3">
      <c r="I1513" s="7"/>
      <c r="J1513" s="9"/>
      <c r="K1513" s="9"/>
      <c r="L1513" s="9"/>
      <c r="M1513" s="9"/>
      <c r="N1513" s="4"/>
    </row>
    <row r="1514" spans="9:14" x14ac:dyDescent="0.3">
      <c r="I1514" s="7"/>
      <c r="J1514" s="9"/>
      <c r="K1514" s="9"/>
      <c r="L1514" s="9"/>
      <c r="M1514" s="9"/>
      <c r="N1514" s="4"/>
    </row>
    <row r="1515" spans="9:14" x14ac:dyDescent="0.3">
      <c r="I1515" s="7"/>
      <c r="J1515" s="9"/>
      <c r="K1515" s="9"/>
      <c r="L1515" s="9"/>
      <c r="M1515" s="9"/>
      <c r="N1515" s="4"/>
    </row>
    <row r="1516" spans="9:14" x14ac:dyDescent="0.3">
      <c r="I1516" s="7"/>
      <c r="J1516" s="9"/>
      <c r="K1516" s="9"/>
      <c r="L1516" s="9"/>
      <c r="M1516" s="9"/>
      <c r="N1516" s="4"/>
    </row>
    <row r="1517" spans="9:14" x14ac:dyDescent="0.3">
      <c r="I1517" s="7"/>
      <c r="J1517" s="9"/>
      <c r="K1517" s="9"/>
      <c r="L1517" s="9"/>
      <c r="M1517" s="9"/>
      <c r="N1517" s="4"/>
    </row>
    <row r="1518" spans="9:14" x14ac:dyDescent="0.3">
      <c r="I1518" s="7"/>
      <c r="J1518" s="9"/>
      <c r="K1518" s="9"/>
      <c r="L1518" s="9"/>
      <c r="M1518" s="9"/>
      <c r="N1518" s="4"/>
    </row>
    <row r="1519" spans="9:14" x14ac:dyDescent="0.3">
      <c r="I1519" s="7"/>
      <c r="J1519" s="9"/>
      <c r="K1519" s="9"/>
      <c r="L1519" s="9"/>
      <c r="M1519" s="9"/>
      <c r="N1519" s="4"/>
    </row>
    <row r="1520" spans="9:14" x14ac:dyDescent="0.3">
      <c r="I1520" s="7"/>
      <c r="J1520" s="9"/>
      <c r="K1520" s="9"/>
      <c r="L1520" s="9"/>
      <c r="M1520" s="9"/>
      <c r="N1520" s="4"/>
    </row>
    <row r="1521" spans="9:14" x14ac:dyDescent="0.3">
      <c r="I1521" s="7"/>
      <c r="J1521" s="9"/>
      <c r="K1521" s="9"/>
      <c r="L1521" s="9"/>
      <c r="M1521" s="9"/>
      <c r="N1521" s="4"/>
    </row>
    <row r="1522" spans="9:14" x14ac:dyDescent="0.3">
      <c r="I1522" s="7"/>
      <c r="J1522" s="9"/>
      <c r="K1522" s="9"/>
      <c r="L1522" s="9"/>
      <c r="M1522" s="9"/>
      <c r="N1522" s="4"/>
    </row>
    <row r="1523" spans="9:14" x14ac:dyDescent="0.3">
      <c r="I1523" s="7"/>
      <c r="J1523" s="9"/>
      <c r="K1523" s="9"/>
      <c r="L1523" s="9"/>
      <c r="M1523" s="9"/>
      <c r="N1523" s="4"/>
    </row>
    <row r="1524" spans="9:14" x14ac:dyDescent="0.3">
      <c r="I1524" s="7"/>
      <c r="J1524" s="9"/>
      <c r="K1524" s="9"/>
      <c r="L1524" s="9"/>
      <c r="M1524" s="9"/>
      <c r="N1524" s="4"/>
    </row>
    <row r="1525" spans="9:14" x14ac:dyDescent="0.3">
      <c r="I1525" s="7"/>
      <c r="J1525" s="9"/>
      <c r="K1525" s="9"/>
      <c r="L1525" s="9"/>
      <c r="M1525" s="9"/>
      <c r="N1525" s="4"/>
    </row>
    <row r="1526" spans="9:14" x14ac:dyDescent="0.3">
      <c r="I1526" s="7"/>
      <c r="J1526" s="9"/>
      <c r="K1526" s="9"/>
      <c r="L1526" s="9"/>
      <c r="M1526" s="9"/>
      <c r="N1526" s="4"/>
    </row>
    <row r="1527" spans="9:14" x14ac:dyDescent="0.3">
      <c r="I1527" s="7"/>
      <c r="J1527" s="9"/>
      <c r="K1527" s="9"/>
      <c r="L1527" s="9"/>
      <c r="M1527" s="9"/>
      <c r="N1527" s="4"/>
    </row>
    <row r="1528" spans="9:14" x14ac:dyDescent="0.3">
      <c r="I1528" s="7"/>
      <c r="J1528" s="9"/>
      <c r="K1528" s="9"/>
      <c r="L1528" s="9"/>
      <c r="M1528" s="9"/>
      <c r="N1528" s="4"/>
    </row>
    <row r="1529" spans="9:14" x14ac:dyDescent="0.3">
      <c r="I1529" s="7"/>
      <c r="J1529" s="9"/>
      <c r="K1529" s="9"/>
      <c r="L1529" s="9"/>
      <c r="M1529" s="9"/>
      <c r="N1529" s="4"/>
    </row>
    <row r="1530" spans="9:14" x14ac:dyDescent="0.3">
      <c r="I1530" s="7"/>
      <c r="J1530" s="9"/>
      <c r="K1530" s="9"/>
      <c r="L1530" s="9"/>
      <c r="M1530" s="9"/>
      <c r="N1530" s="4"/>
    </row>
    <row r="1531" spans="9:14" x14ac:dyDescent="0.3">
      <c r="I1531" s="7"/>
      <c r="J1531" s="9"/>
      <c r="K1531" s="9"/>
      <c r="L1531" s="9"/>
      <c r="M1531" s="9"/>
      <c r="N1531" s="4"/>
    </row>
    <row r="1532" spans="9:14" x14ac:dyDescent="0.3">
      <c r="I1532" s="7"/>
      <c r="J1532" s="9"/>
      <c r="K1532" s="9"/>
      <c r="L1532" s="9"/>
      <c r="M1532" s="9"/>
      <c r="N1532" s="4"/>
    </row>
    <row r="1533" spans="9:14" x14ac:dyDescent="0.3">
      <c r="I1533" s="7"/>
      <c r="J1533" s="9"/>
      <c r="K1533" s="9"/>
      <c r="L1533" s="9"/>
      <c r="M1533" s="9"/>
      <c r="N1533" s="4"/>
    </row>
    <row r="1534" spans="9:14" x14ac:dyDescent="0.3">
      <c r="I1534" s="7"/>
      <c r="J1534" s="9"/>
      <c r="K1534" s="9"/>
      <c r="L1534" s="9"/>
      <c r="M1534" s="9"/>
      <c r="N1534" s="4"/>
    </row>
    <row r="1535" spans="9:14" x14ac:dyDescent="0.3">
      <c r="I1535" s="7"/>
      <c r="J1535" s="9"/>
      <c r="K1535" s="9"/>
      <c r="L1535" s="9"/>
      <c r="M1535" s="9"/>
      <c r="N1535" s="4"/>
    </row>
    <row r="1536" spans="9:14" x14ac:dyDescent="0.3">
      <c r="I1536" s="7"/>
      <c r="J1536" s="9"/>
      <c r="K1536" s="9"/>
      <c r="L1536" s="9"/>
      <c r="M1536" s="9"/>
      <c r="N1536" s="4"/>
    </row>
    <row r="1537" spans="9:14" x14ac:dyDescent="0.3">
      <c r="I1537" s="7"/>
      <c r="J1537" s="9"/>
      <c r="K1537" s="9"/>
      <c r="L1537" s="9"/>
      <c r="M1537" s="9"/>
      <c r="N1537" s="4"/>
    </row>
    <row r="1538" spans="9:14" x14ac:dyDescent="0.3">
      <c r="I1538" s="7"/>
      <c r="J1538" s="9"/>
      <c r="K1538" s="9"/>
      <c r="L1538" s="9"/>
      <c r="M1538" s="9"/>
      <c r="N1538" s="4"/>
    </row>
    <row r="1539" spans="9:14" x14ac:dyDescent="0.3">
      <c r="I1539" s="7"/>
      <c r="J1539" s="9"/>
      <c r="K1539" s="9"/>
      <c r="L1539" s="9"/>
      <c r="M1539" s="9"/>
      <c r="N1539" s="4"/>
    </row>
    <row r="1540" spans="9:14" x14ac:dyDescent="0.3">
      <c r="I1540" s="7"/>
      <c r="J1540" s="9"/>
      <c r="K1540" s="9"/>
      <c r="L1540" s="9"/>
      <c r="M1540" s="9"/>
      <c r="N1540" s="4"/>
    </row>
    <row r="1541" spans="9:14" x14ac:dyDescent="0.3">
      <c r="I1541" s="7"/>
      <c r="J1541" s="9"/>
      <c r="K1541" s="9"/>
      <c r="L1541" s="9"/>
      <c r="M1541" s="9"/>
      <c r="N1541" s="4"/>
    </row>
    <row r="1542" spans="9:14" x14ac:dyDescent="0.3">
      <c r="I1542" s="7"/>
      <c r="J1542" s="9"/>
      <c r="K1542" s="9"/>
      <c r="L1542" s="9"/>
      <c r="M1542" s="9"/>
      <c r="N1542" s="4"/>
    </row>
    <row r="1543" spans="9:14" x14ac:dyDescent="0.3">
      <c r="I1543" s="7"/>
      <c r="J1543" s="9"/>
      <c r="K1543" s="9"/>
      <c r="L1543" s="9"/>
      <c r="M1543" s="9"/>
      <c r="N1543" s="4"/>
    </row>
    <row r="1544" spans="9:14" x14ac:dyDescent="0.3">
      <c r="I1544" s="7"/>
      <c r="J1544" s="9"/>
      <c r="K1544" s="9"/>
      <c r="L1544" s="9"/>
      <c r="M1544" s="9"/>
      <c r="N1544" s="4"/>
    </row>
    <row r="1545" spans="9:14" x14ac:dyDescent="0.3">
      <c r="I1545" s="7"/>
      <c r="J1545" s="9"/>
      <c r="K1545" s="9"/>
      <c r="L1545" s="9"/>
      <c r="M1545" s="9"/>
      <c r="N1545" s="4"/>
    </row>
    <row r="1546" spans="9:14" x14ac:dyDescent="0.3">
      <c r="I1546" s="7"/>
      <c r="J1546" s="9"/>
      <c r="K1546" s="9"/>
      <c r="L1546" s="9"/>
      <c r="M1546" s="9"/>
      <c r="N1546" s="4"/>
    </row>
    <row r="1547" spans="9:14" x14ac:dyDescent="0.3">
      <c r="I1547" s="7"/>
      <c r="J1547" s="9"/>
      <c r="K1547" s="9"/>
      <c r="L1547" s="9"/>
      <c r="M1547" s="9"/>
      <c r="N1547" s="4"/>
    </row>
    <row r="1548" spans="9:14" x14ac:dyDescent="0.3">
      <c r="I1548" s="7"/>
      <c r="J1548" s="9"/>
      <c r="K1548" s="9"/>
      <c r="L1548" s="9"/>
      <c r="M1548" s="9"/>
      <c r="N1548" s="4"/>
    </row>
    <row r="1549" spans="9:14" x14ac:dyDescent="0.3">
      <c r="I1549" s="7"/>
      <c r="J1549" s="9"/>
      <c r="K1549" s="9"/>
      <c r="L1549" s="9"/>
      <c r="M1549" s="9"/>
      <c r="N1549" s="4"/>
    </row>
    <row r="1550" spans="9:14" x14ac:dyDescent="0.3">
      <c r="I1550" s="7"/>
      <c r="J1550" s="9"/>
      <c r="K1550" s="9"/>
      <c r="L1550" s="9"/>
      <c r="M1550" s="9"/>
      <c r="N1550" s="4"/>
    </row>
    <row r="1551" spans="9:14" x14ac:dyDescent="0.3">
      <c r="I1551" s="7"/>
      <c r="J1551" s="9"/>
      <c r="K1551" s="9"/>
      <c r="L1551" s="9"/>
      <c r="M1551" s="9"/>
      <c r="N1551" s="4"/>
    </row>
    <row r="1552" spans="9:14" x14ac:dyDescent="0.3">
      <c r="I1552" s="7"/>
      <c r="J1552" s="9"/>
      <c r="K1552" s="9"/>
      <c r="L1552" s="9"/>
      <c r="M1552" s="9"/>
      <c r="N1552" s="4"/>
    </row>
    <row r="1553" spans="9:14" x14ac:dyDescent="0.3">
      <c r="I1553" s="7"/>
      <c r="J1553" s="9"/>
      <c r="K1553" s="9"/>
      <c r="L1553" s="9"/>
      <c r="M1553" s="9"/>
      <c r="N1553" s="4"/>
    </row>
    <row r="1554" spans="9:14" x14ac:dyDescent="0.3">
      <c r="I1554" s="7"/>
      <c r="J1554" s="9"/>
      <c r="K1554" s="9"/>
      <c r="L1554" s="9"/>
      <c r="M1554" s="9"/>
      <c r="N1554" s="4"/>
    </row>
    <row r="1555" spans="9:14" x14ac:dyDescent="0.3">
      <c r="I1555" s="7"/>
      <c r="J1555" s="9"/>
      <c r="K1555" s="9"/>
      <c r="L1555" s="9"/>
      <c r="M1555" s="9"/>
      <c r="N1555" s="4"/>
    </row>
    <row r="1556" spans="9:14" x14ac:dyDescent="0.3">
      <c r="I1556" s="7"/>
      <c r="J1556" s="9"/>
      <c r="K1556" s="9"/>
      <c r="L1556" s="9"/>
      <c r="M1556" s="9"/>
      <c r="N1556" s="4"/>
    </row>
    <row r="1557" spans="9:14" x14ac:dyDescent="0.3">
      <c r="I1557" s="7"/>
      <c r="J1557" s="9"/>
      <c r="K1557" s="9"/>
      <c r="L1557" s="9"/>
      <c r="M1557" s="9"/>
      <c r="N1557" s="4"/>
    </row>
    <row r="1558" spans="9:14" x14ac:dyDescent="0.3">
      <c r="I1558" s="7"/>
      <c r="J1558" s="9"/>
      <c r="K1558" s="9"/>
      <c r="L1558" s="9"/>
      <c r="M1558" s="9"/>
      <c r="N1558" s="4"/>
    </row>
    <row r="1559" spans="9:14" x14ac:dyDescent="0.3">
      <c r="I1559" s="7"/>
      <c r="J1559" s="9"/>
      <c r="K1559" s="9"/>
      <c r="L1559" s="9"/>
      <c r="M1559" s="9"/>
      <c r="N1559" s="4"/>
    </row>
    <row r="1560" spans="9:14" x14ac:dyDescent="0.3">
      <c r="I1560" s="7"/>
      <c r="J1560" s="9"/>
      <c r="K1560" s="9"/>
      <c r="L1560" s="9"/>
      <c r="M1560" s="9"/>
      <c r="N1560" s="4"/>
    </row>
    <row r="1561" spans="9:14" x14ac:dyDescent="0.3">
      <c r="I1561" s="7"/>
      <c r="J1561" s="9"/>
      <c r="K1561" s="9"/>
      <c r="L1561" s="9"/>
      <c r="M1561" s="9"/>
      <c r="N1561" s="4"/>
    </row>
    <row r="1562" spans="9:14" x14ac:dyDescent="0.3">
      <c r="I1562" s="7"/>
      <c r="J1562" s="9"/>
      <c r="K1562" s="9"/>
      <c r="L1562" s="9"/>
      <c r="M1562" s="9"/>
      <c r="N1562" s="4"/>
    </row>
    <row r="1563" spans="9:14" x14ac:dyDescent="0.3">
      <c r="I1563" s="7"/>
      <c r="J1563" s="9"/>
      <c r="K1563" s="9"/>
      <c r="L1563" s="9"/>
      <c r="M1563" s="9"/>
      <c r="N1563" s="4"/>
    </row>
    <row r="1564" spans="9:14" x14ac:dyDescent="0.3">
      <c r="I1564" s="7"/>
      <c r="J1564" s="9"/>
      <c r="K1564" s="9"/>
      <c r="L1564" s="9"/>
      <c r="M1564" s="9"/>
      <c r="N1564" s="4"/>
    </row>
    <row r="1565" spans="9:14" x14ac:dyDescent="0.3">
      <c r="I1565" s="7"/>
      <c r="J1565" s="9"/>
      <c r="K1565" s="9"/>
      <c r="L1565" s="9"/>
      <c r="M1565" s="9"/>
      <c r="N1565" s="4"/>
    </row>
    <row r="1566" spans="9:14" x14ac:dyDescent="0.3">
      <c r="I1566" s="7"/>
      <c r="J1566" s="9"/>
      <c r="K1566" s="9"/>
      <c r="L1566" s="9"/>
      <c r="M1566" s="9"/>
      <c r="N1566" s="4"/>
    </row>
    <row r="1567" spans="9:14" x14ac:dyDescent="0.3">
      <c r="I1567" s="7"/>
      <c r="J1567" s="9"/>
      <c r="K1567" s="9"/>
      <c r="L1567" s="9"/>
      <c r="M1567" s="9"/>
      <c r="N1567" s="4"/>
    </row>
    <row r="1568" spans="9:14" x14ac:dyDescent="0.3">
      <c r="I1568" s="7"/>
      <c r="J1568" s="9"/>
      <c r="K1568" s="9"/>
      <c r="L1568" s="9"/>
      <c r="M1568" s="9"/>
      <c r="N1568" s="4"/>
    </row>
    <row r="1569" spans="9:14" x14ac:dyDescent="0.3">
      <c r="I1569" s="7"/>
      <c r="J1569" s="9"/>
      <c r="K1569" s="9"/>
      <c r="L1569" s="9"/>
      <c r="M1569" s="9"/>
      <c r="N1569" s="4"/>
    </row>
    <row r="1570" spans="9:14" x14ac:dyDescent="0.3">
      <c r="I1570" s="7"/>
      <c r="J1570" s="9"/>
      <c r="K1570" s="9"/>
      <c r="L1570" s="9"/>
      <c r="M1570" s="9"/>
      <c r="N1570" s="4"/>
    </row>
    <row r="1571" spans="9:14" x14ac:dyDescent="0.3">
      <c r="I1571" s="7"/>
      <c r="J1571" s="9"/>
      <c r="K1571" s="9"/>
      <c r="L1571" s="9"/>
      <c r="M1571" s="9"/>
      <c r="N1571" s="4"/>
    </row>
    <row r="1572" spans="9:14" x14ac:dyDescent="0.3">
      <c r="I1572" s="7"/>
      <c r="J1572" s="9"/>
      <c r="K1572" s="9"/>
      <c r="L1572" s="9"/>
      <c r="M1572" s="9"/>
      <c r="N1572" s="4"/>
    </row>
    <row r="1573" spans="9:14" x14ac:dyDescent="0.3">
      <c r="I1573" s="7"/>
      <c r="J1573" s="9"/>
      <c r="K1573" s="9"/>
      <c r="L1573" s="9"/>
      <c r="M1573" s="9"/>
      <c r="N1573" s="4"/>
    </row>
    <row r="1574" spans="9:14" x14ac:dyDescent="0.3">
      <c r="I1574" s="7"/>
      <c r="J1574" s="9"/>
      <c r="K1574" s="9"/>
      <c r="L1574" s="9"/>
      <c r="M1574" s="9"/>
      <c r="N1574" s="4"/>
    </row>
    <row r="1575" spans="9:14" x14ac:dyDescent="0.3">
      <c r="I1575" s="7"/>
      <c r="J1575" s="9"/>
      <c r="K1575" s="9"/>
      <c r="L1575" s="9"/>
      <c r="M1575" s="9"/>
      <c r="N1575" s="4"/>
    </row>
    <row r="1576" spans="9:14" x14ac:dyDescent="0.3">
      <c r="I1576" s="7"/>
      <c r="J1576" s="9"/>
      <c r="K1576" s="9"/>
      <c r="L1576" s="9"/>
      <c r="M1576" s="9"/>
      <c r="N1576" s="4"/>
    </row>
    <row r="1577" spans="9:14" x14ac:dyDescent="0.3">
      <c r="I1577" s="7"/>
      <c r="J1577" s="9"/>
      <c r="K1577" s="9"/>
      <c r="L1577" s="9"/>
      <c r="M1577" s="9"/>
      <c r="N1577" s="4"/>
    </row>
    <row r="1578" spans="9:14" x14ac:dyDescent="0.3">
      <c r="I1578" s="7"/>
      <c r="J1578" s="9"/>
      <c r="K1578" s="9"/>
      <c r="L1578" s="9"/>
      <c r="M1578" s="9"/>
      <c r="N1578" s="4"/>
    </row>
    <row r="1579" spans="9:14" x14ac:dyDescent="0.3">
      <c r="I1579" s="7"/>
      <c r="J1579" s="9"/>
      <c r="K1579" s="9"/>
      <c r="L1579" s="9"/>
      <c r="M1579" s="9"/>
      <c r="N1579" s="4"/>
    </row>
    <row r="1580" spans="9:14" x14ac:dyDescent="0.3">
      <c r="I1580" s="7"/>
      <c r="J1580" s="9"/>
      <c r="K1580" s="9"/>
      <c r="L1580" s="9"/>
      <c r="M1580" s="9"/>
      <c r="N1580" s="4"/>
    </row>
    <row r="1581" spans="9:14" x14ac:dyDescent="0.3">
      <c r="I1581" s="7"/>
      <c r="J1581" s="9"/>
      <c r="K1581" s="9"/>
      <c r="L1581" s="9"/>
      <c r="M1581" s="9"/>
      <c r="N1581" s="4"/>
    </row>
    <row r="1582" spans="9:14" x14ac:dyDescent="0.3">
      <c r="I1582" s="7"/>
      <c r="J1582" s="9"/>
      <c r="K1582" s="9"/>
      <c r="L1582" s="9"/>
      <c r="M1582" s="9"/>
      <c r="N1582" s="4"/>
    </row>
    <row r="1583" spans="9:14" x14ac:dyDescent="0.3">
      <c r="I1583" s="7"/>
      <c r="J1583" s="9"/>
      <c r="K1583" s="9"/>
      <c r="L1583" s="9"/>
      <c r="M1583" s="9"/>
      <c r="N1583" s="4"/>
    </row>
    <row r="1584" spans="9:14" x14ac:dyDescent="0.3">
      <c r="I1584" s="7"/>
      <c r="J1584" s="9"/>
      <c r="K1584" s="9"/>
      <c r="L1584" s="9"/>
      <c r="M1584" s="9"/>
      <c r="N1584" s="4"/>
    </row>
    <row r="1585" spans="9:14" x14ac:dyDescent="0.3">
      <c r="I1585" s="7"/>
      <c r="J1585" s="9"/>
      <c r="K1585" s="9"/>
      <c r="L1585" s="9"/>
      <c r="M1585" s="9"/>
      <c r="N1585" s="4"/>
    </row>
    <row r="1586" spans="9:14" x14ac:dyDescent="0.3">
      <c r="I1586" s="7"/>
      <c r="J1586" s="9"/>
      <c r="K1586" s="9"/>
      <c r="L1586" s="9"/>
      <c r="M1586" s="9"/>
      <c r="N1586" s="4"/>
    </row>
    <row r="1587" spans="9:14" x14ac:dyDescent="0.3">
      <c r="I1587" s="7"/>
      <c r="J1587" s="9"/>
      <c r="K1587" s="9"/>
      <c r="L1587" s="9"/>
      <c r="M1587" s="9"/>
      <c r="N1587" s="4"/>
    </row>
    <row r="1588" spans="9:14" x14ac:dyDescent="0.3">
      <c r="I1588" s="7"/>
      <c r="J1588" s="9"/>
      <c r="K1588" s="9"/>
      <c r="L1588" s="9"/>
      <c r="M1588" s="9"/>
      <c r="N1588" s="4"/>
    </row>
    <row r="1589" spans="9:14" x14ac:dyDescent="0.3">
      <c r="I1589" s="7"/>
      <c r="J1589" s="9"/>
      <c r="K1589" s="9"/>
      <c r="L1589" s="9"/>
      <c r="M1589" s="9"/>
      <c r="N1589" s="4"/>
    </row>
    <row r="1590" spans="9:14" x14ac:dyDescent="0.3">
      <c r="I1590" s="7"/>
      <c r="J1590" s="9"/>
      <c r="K1590" s="9"/>
      <c r="L1590" s="9"/>
      <c r="M1590" s="9"/>
      <c r="N1590" s="4"/>
    </row>
    <row r="1591" spans="9:14" x14ac:dyDescent="0.3">
      <c r="I1591" s="7"/>
      <c r="J1591" s="9"/>
      <c r="K1591" s="9"/>
      <c r="L1591" s="9"/>
      <c r="M1591" s="9"/>
      <c r="N1591" s="4"/>
    </row>
    <row r="1592" spans="9:14" x14ac:dyDescent="0.3">
      <c r="I1592" s="7"/>
      <c r="J1592" s="9"/>
      <c r="K1592" s="9"/>
      <c r="L1592" s="9"/>
      <c r="M1592" s="9"/>
      <c r="N1592" s="4"/>
    </row>
    <row r="1593" spans="9:14" x14ac:dyDescent="0.3">
      <c r="I1593" s="7"/>
      <c r="J1593" s="9"/>
      <c r="K1593" s="9"/>
      <c r="L1593" s="9"/>
      <c r="M1593" s="9"/>
      <c r="N1593" s="4"/>
    </row>
    <row r="1594" spans="9:14" x14ac:dyDescent="0.3">
      <c r="I1594" s="7"/>
      <c r="J1594" s="9"/>
      <c r="K1594" s="9"/>
      <c r="L1594" s="9"/>
      <c r="M1594" s="9"/>
      <c r="N1594" s="4"/>
    </row>
    <row r="1595" spans="9:14" x14ac:dyDescent="0.3">
      <c r="I1595" s="7"/>
      <c r="J1595" s="9"/>
      <c r="K1595" s="9"/>
      <c r="L1595" s="9"/>
      <c r="M1595" s="9"/>
      <c r="N1595" s="4"/>
    </row>
    <row r="1596" spans="9:14" x14ac:dyDescent="0.3">
      <c r="I1596" s="7"/>
      <c r="J1596" s="9"/>
      <c r="K1596" s="9"/>
      <c r="L1596" s="9"/>
      <c r="M1596" s="9"/>
      <c r="N1596" s="4"/>
    </row>
    <row r="1597" spans="9:14" x14ac:dyDescent="0.3">
      <c r="I1597" s="7"/>
      <c r="J1597" s="9"/>
      <c r="K1597" s="9"/>
      <c r="L1597" s="9"/>
      <c r="M1597" s="9"/>
      <c r="N1597" s="4"/>
    </row>
    <row r="1598" spans="9:14" x14ac:dyDescent="0.3">
      <c r="I1598" s="7"/>
      <c r="J1598" s="9"/>
      <c r="K1598" s="9"/>
      <c r="L1598" s="9"/>
      <c r="M1598" s="9"/>
      <c r="N1598" s="4"/>
    </row>
    <row r="1599" spans="9:14" x14ac:dyDescent="0.3">
      <c r="I1599" s="7"/>
      <c r="J1599" s="9"/>
      <c r="K1599" s="9"/>
      <c r="L1599" s="9"/>
      <c r="M1599" s="9"/>
      <c r="N1599" s="4"/>
    </row>
    <row r="1600" spans="9:14" x14ac:dyDescent="0.3">
      <c r="I1600" s="7"/>
      <c r="J1600" s="9"/>
      <c r="K1600" s="9"/>
      <c r="L1600" s="9"/>
      <c r="M1600" s="9"/>
      <c r="N1600" s="4"/>
    </row>
    <row r="1601" spans="9:14" x14ac:dyDescent="0.3">
      <c r="I1601" s="7"/>
      <c r="J1601" s="9"/>
      <c r="K1601" s="9"/>
      <c r="L1601" s="9"/>
      <c r="M1601" s="9"/>
      <c r="N1601" s="4"/>
    </row>
    <row r="1602" spans="9:14" x14ac:dyDescent="0.3">
      <c r="I1602" s="7"/>
      <c r="J1602" s="9"/>
      <c r="K1602" s="9"/>
      <c r="L1602" s="9"/>
      <c r="M1602" s="9"/>
      <c r="N1602" s="4"/>
    </row>
    <row r="1603" spans="9:14" x14ac:dyDescent="0.3">
      <c r="I1603" s="7"/>
      <c r="J1603" s="9"/>
      <c r="K1603" s="9"/>
      <c r="L1603" s="9"/>
      <c r="M1603" s="9"/>
      <c r="N1603" s="4"/>
    </row>
    <row r="1604" spans="9:14" x14ac:dyDescent="0.3">
      <c r="I1604" s="7"/>
      <c r="J1604" s="9"/>
      <c r="K1604" s="9"/>
      <c r="L1604" s="9"/>
      <c r="M1604" s="9"/>
      <c r="N1604" s="4"/>
    </row>
    <row r="1605" spans="9:14" x14ac:dyDescent="0.3">
      <c r="I1605" s="7"/>
      <c r="J1605" s="9"/>
      <c r="K1605" s="9"/>
      <c r="L1605" s="9"/>
      <c r="M1605" s="9"/>
      <c r="N1605" s="4"/>
    </row>
    <row r="1606" spans="9:14" x14ac:dyDescent="0.3">
      <c r="I1606" s="7"/>
      <c r="J1606" s="9"/>
      <c r="K1606" s="9"/>
      <c r="L1606" s="9"/>
      <c r="M1606" s="9"/>
      <c r="N1606" s="4"/>
    </row>
    <row r="1607" spans="9:14" x14ac:dyDescent="0.3">
      <c r="I1607" s="7"/>
      <c r="J1607" s="9"/>
      <c r="K1607" s="9"/>
      <c r="L1607" s="9"/>
      <c r="M1607" s="9"/>
      <c r="N1607" s="4"/>
    </row>
    <row r="1608" spans="9:14" x14ac:dyDescent="0.3">
      <c r="I1608" s="7"/>
      <c r="J1608" s="9"/>
      <c r="K1608" s="9"/>
      <c r="L1608" s="9"/>
      <c r="M1608" s="9"/>
      <c r="N1608" s="4"/>
    </row>
    <row r="1609" spans="9:14" x14ac:dyDescent="0.3">
      <c r="I1609" s="7"/>
      <c r="J1609" s="9"/>
      <c r="K1609" s="9"/>
      <c r="L1609" s="9"/>
      <c r="M1609" s="9"/>
      <c r="N1609" s="4"/>
    </row>
    <row r="1610" spans="9:14" x14ac:dyDescent="0.3">
      <c r="I1610" s="7"/>
      <c r="J1610" s="9"/>
      <c r="K1610" s="9"/>
      <c r="L1610" s="9"/>
      <c r="M1610" s="9"/>
      <c r="N1610" s="4"/>
    </row>
    <row r="1611" spans="9:14" x14ac:dyDescent="0.3">
      <c r="I1611" s="7"/>
      <c r="J1611" s="9"/>
      <c r="K1611" s="9"/>
      <c r="L1611" s="9"/>
      <c r="M1611" s="9"/>
      <c r="N1611" s="4"/>
    </row>
    <row r="1612" spans="9:14" x14ac:dyDescent="0.3">
      <c r="I1612" s="7"/>
      <c r="J1612" s="9"/>
      <c r="K1612" s="9"/>
      <c r="L1612" s="9"/>
      <c r="M1612" s="9"/>
      <c r="N1612" s="4"/>
    </row>
    <row r="1613" spans="9:14" x14ac:dyDescent="0.3">
      <c r="I1613" s="7"/>
      <c r="J1613" s="9"/>
      <c r="K1613" s="9"/>
      <c r="L1613" s="9"/>
      <c r="M1613" s="9"/>
      <c r="N1613" s="4"/>
    </row>
    <row r="1614" spans="9:14" x14ac:dyDescent="0.3">
      <c r="I1614" s="7"/>
      <c r="J1614" s="9"/>
      <c r="K1614" s="9"/>
      <c r="L1614" s="9"/>
      <c r="M1614" s="9"/>
      <c r="N1614" s="4"/>
    </row>
    <row r="1615" spans="9:14" x14ac:dyDescent="0.3">
      <c r="I1615" s="7"/>
      <c r="J1615" s="9"/>
      <c r="K1615" s="9"/>
      <c r="L1615" s="9"/>
      <c r="M1615" s="9"/>
      <c r="N1615" s="4"/>
    </row>
    <row r="1616" spans="9:14" x14ac:dyDescent="0.3">
      <c r="I1616" s="7"/>
      <c r="J1616" s="9"/>
      <c r="K1616" s="9"/>
      <c r="L1616" s="9"/>
      <c r="M1616" s="9"/>
      <c r="N1616" s="4"/>
    </row>
    <row r="1617" spans="9:14" x14ac:dyDescent="0.3">
      <c r="I1617" s="7"/>
      <c r="J1617" s="9"/>
      <c r="K1617" s="9"/>
      <c r="L1617" s="9"/>
      <c r="M1617" s="9"/>
      <c r="N1617" s="4"/>
    </row>
    <row r="1618" spans="9:14" x14ac:dyDescent="0.3">
      <c r="I1618" s="7"/>
      <c r="J1618" s="9"/>
      <c r="K1618" s="9"/>
      <c r="L1618" s="9"/>
      <c r="M1618" s="9"/>
      <c r="N1618" s="4"/>
    </row>
    <row r="1619" spans="9:14" x14ac:dyDescent="0.3">
      <c r="I1619" s="7"/>
      <c r="J1619" s="9"/>
      <c r="K1619" s="9"/>
      <c r="L1619" s="9"/>
      <c r="M1619" s="9"/>
      <c r="N1619" s="4"/>
    </row>
    <row r="1620" spans="9:14" x14ac:dyDescent="0.3">
      <c r="I1620" s="7"/>
      <c r="J1620" s="9"/>
      <c r="K1620" s="9"/>
      <c r="L1620" s="9"/>
      <c r="M1620" s="9"/>
      <c r="N1620" s="4"/>
    </row>
    <row r="1621" spans="9:14" x14ac:dyDescent="0.3">
      <c r="I1621" s="7"/>
      <c r="J1621" s="9"/>
      <c r="K1621" s="9"/>
      <c r="L1621" s="9"/>
      <c r="M1621" s="9"/>
      <c r="N1621" s="4"/>
    </row>
    <row r="1622" spans="9:14" x14ac:dyDescent="0.3">
      <c r="I1622" s="7"/>
      <c r="J1622" s="9"/>
      <c r="K1622" s="9"/>
      <c r="L1622" s="9"/>
      <c r="M1622" s="9"/>
      <c r="N1622" s="4"/>
    </row>
    <row r="1623" spans="9:14" x14ac:dyDescent="0.3">
      <c r="I1623" s="7"/>
      <c r="J1623" s="9"/>
      <c r="K1623" s="9"/>
      <c r="L1623" s="9"/>
      <c r="M1623" s="9"/>
      <c r="N1623" s="4"/>
    </row>
    <row r="1624" spans="9:14" x14ac:dyDescent="0.3">
      <c r="I1624" s="7"/>
      <c r="J1624" s="9"/>
      <c r="K1624" s="9"/>
      <c r="L1624" s="9"/>
      <c r="M1624" s="9"/>
      <c r="N1624" s="4"/>
    </row>
    <row r="1625" spans="9:14" x14ac:dyDescent="0.3">
      <c r="I1625" s="7"/>
      <c r="J1625" s="9"/>
      <c r="K1625" s="9"/>
      <c r="L1625" s="9"/>
      <c r="M1625" s="9"/>
      <c r="N1625" s="4"/>
    </row>
    <row r="1626" spans="9:14" x14ac:dyDescent="0.3">
      <c r="I1626" s="7"/>
      <c r="J1626" s="9"/>
      <c r="K1626" s="9"/>
      <c r="L1626" s="9"/>
      <c r="M1626" s="9"/>
      <c r="N1626" s="4"/>
    </row>
    <row r="1627" spans="9:14" x14ac:dyDescent="0.3">
      <c r="I1627" s="7"/>
      <c r="J1627" s="9"/>
      <c r="K1627" s="9"/>
      <c r="L1627" s="9"/>
      <c r="M1627" s="9"/>
      <c r="N1627" s="4"/>
    </row>
    <row r="1628" spans="9:14" x14ac:dyDescent="0.3">
      <c r="I1628" s="7"/>
      <c r="J1628" s="9"/>
      <c r="K1628" s="9"/>
      <c r="L1628" s="9"/>
      <c r="M1628" s="9"/>
      <c r="N1628" s="4"/>
    </row>
    <row r="1629" spans="9:14" x14ac:dyDescent="0.3">
      <c r="I1629" s="7"/>
      <c r="J1629" s="9"/>
      <c r="K1629" s="9"/>
      <c r="L1629" s="9"/>
      <c r="M1629" s="9"/>
      <c r="N1629" s="4"/>
    </row>
    <row r="1630" spans="9:14" x14ac:dyDescent="0.3">
      <c r="I1630" s="7"/>
      <c r="J1630" s="9"/>
      <c r="K1630" s="9"/>
      <c r="L1630" s="9"/>
      <c r="M1630" s="9"/>
      <c r="N1630" s="4"/>
    </row>
    <row r="1631" spans="9:14" x14ac:dyDescent="0.3">
      <c r="I1631" s="7"/>
      <c r="J1631" s="9"/>
      <c r="K1631" s="9"/>
      <c r="L1631" s="9"/>
      <c r="M1631" s="9"/>
      <c r="N1631" s="4"/>
    </row>
    <row r="1632" spans="9:14" x14ac:dyDescent="0.3">
      <c r="I1632" s="7"/>
      <c r="J1632" s="9"/>
      <c r="K1632" s="9"/>
      <c r="L1632" s="9"/>
      <c r="M1632" s="9"/>
      <c r="N1632" s="4"/>
    </row>
    <row r="1633" spans="9:14" x14ac:dyDescent="0.3">
      <c r="I1633" s="7"/>
      <c r="J1633" s="9"/>
      <c r="K1633" s="9"/>
      <c r="L1633" s="9"/>
      <c r="M1633" s="9"/>
      <c r="N1633" s="4"/>
    </row>
    <row r="1634" spans="9:14" x14ac:dyDescent="0.3">
      <c r="I1634" s="7"/>
      <c r="J1634" s="9"/>
      <c r="K1634" s="9"/>
      <c r="L1634" s="9"/>
      <c r="M1634" s="9"/>
      <c r="N1634" s="4"/>
    </row>
    <row r="1635" spans="9:14" x14ac:dyDescent="0.3">
      <c r="I1635" s="7"/>
      <c r="J1635" s="9"/>
      <c r="K1635" s="9"/>
      <c r="L1635" s="9"/>
      <c r="M1635" s="9"/>
      <c r="N1635" s="4"/>
    </row>
    <row r="1636" spans="9:14" x14ac:dyDescent="0.3">
      <c r="I1636" s="7"/>
      <c r="J1636" s="9"/>
      <c r="K1636" s="9"/>
      <c r="L1636" s="9"/>
      <c r="M1636" s="9"/>
      <c r="N1636" s="4"/>
    </row>
    <row r="1637" spans="9:14" x14ac:dyDescent="0.3">
      <c r="I1637" s="7"/>
      <c r="J1637" s="9"/>
      <c r="K1637" s="9"/>
      <c r="L1637" s="9"/>
      <c r="M1637" s="9"/>
      <c r="N1637" s="4"/>
    </row>
    <row r="1638" spans="9:14" x14ac:dyDescent="0.3">
      <c r="I1638" s="7"/>
      <c r="J1638" s="9"/>
      <c r="K1638" s="9"/>
      <c r="L1638" s="9"/>
      <c r="M1638" s="9"/>
      <c r="N1638" s="4"/>
    </row>
    <row r="1639" spans="9:14" x14ac:dyDescent="0.3">
      <c r="I1639" s="7"/>
      <c r="J1639" s="9"/>
      <c r="K1639" s="9"/>
      <c r="L1639" s="9"/>
      <c r="M1639" s="9"/>
      <c r="N1639" s="4"/>
    </row>
    <row r="1640" spans="9:14" x14ac:dyDescent="0.3">
      <c r="I1640" s="7"/>
      <c r="J1640" s="9"/>
      <c r="K1640" s="9"/>
      <c r="L1640" s="9"/>
      <c r="M1640" s="9"/>
      <c r="N1640" s="4"/>
    </row>
    <row r="1641" spans="9:14" x14ac:dyDescent="0.3">
      <c r="I1641" s="7"/>
      <c r="J1641" s="9"/>
      <c r="K1641" s="9"/>
      <c r="L1641" s="9"/>
      <c r="M1641" s="9"/>
      <c r="N1641" s="4"/>
    </row>
    <row r="1642" spans="9:14" x14ac:dyDescent="0.3">
      <c r="I1642" s="7"/>
      <c r="J1642" s="9"/>
      <c r="K1642" s="9"/>
      <c r="L1642" s="9"/>
      <c r="M1642" s="9"/>
      <c r="N1642" s="4"/>
    </row>
    <row r="1643" spans="9:14" x14ac:dyDescent="0.3">
      <c r="I1643" s="7"/>
      <c r="J1643" s="9"/>
      <c r="K1643" s="9"/>
      <c r="L1643" s="9"/>
      <c r="M1643" s="9"/>
      <c r="N1643" s="4"/>
    </row>
    <row r="1644" spans="9:14" x14ac:dyDescent="0.3">
      <c r="I1644" s="7"/>
      <c r="J1644" s="9"/>
      <c r="K1644" s="9"/>
      <c r="L1644" s="9"/>
      <c r="M1644" s="9"/>
      <c r="N1644" s="4"/>
    </row>
    <row r="1645" spans="9:14" x14ac:dyDescent="0.3">
      <c r="I1645" s="7"/>
      <c r="J1645" s="9"/>
      <c r="K1645" s="9"/>
      <c r="L1645" s="9"/>
      <c r="M1645" s="9"/>
      <c r="N1645" s="4"/>
    </row>
    <row r="1646" spans="9:14" x14ac:dyDescent="0.3">
      <c r="I1646" s="7"/>
      <c r="J1646" s="9"/>
      <c r="K1646" s="9"/>
      <c r="L1646" s="9"/>
      <c r="M1646" s="9"/>
      <c r="N1646" s="4"/>
    </row>
    <row r="1647" spans="9:14" x14ac:dyDescent="0.3">
      <c r="I1647" s="7"/>
      <c r="J1647" s="9"/>
      <c r="K1647" s="9"/>
      <c r="L1647" s="9"/>
      <c r="M1647" s="9"/>
      <c r="N1647" s="4"/>
    </row>
    <row r="1648" spans="9:14" x14ac:dyDescent="0.3">
      <c r="I1648" s="7"/>
      <c r="J1648" s="9"/>
      <c r="K1648" s="9"/>
      <c r="L1648" s="9"/>
      <c r="M1648" s="9"/>
      <c r="N1648" s="4"/>
    </row>
    <row r="1649" spans="9:14" x14ac:dyDescent="0.3">
      <c r="I1649" s="7"/>
      <c r="J1649" s="9"/>
      <c r="K1649" s="9"/>
      <c r="L1649" s="9"/>
      <c r="M1649" s="9"/>
      <c r="N1649" s="4"/>
    </row>
    <row r="1650" spans="9:14" x14ac:dyDescent="0.3">
      <c r="I1650" s="7"/>
      <c r="J1650" s="9"/>
      <c r="K1650" s="9"/>
      <c r="L1650" s="9"/>
      <c r="M1650" s="9"/>
      <c r="N1650" s="4"/>
    </row>
    <row r="1651" spans="9:14" x14ac:dyDescent="0.3">
      <c r="I1651" s="7"/>
      <c r="J1651" s="9"/>
      <c r="K1651" s="9"/>
      <c r="L1651" s="9"/>
      <c r="M1651" s="9"/>
      <c r="N1651" s="4"/>
    </row>
    <row r="1652" spans="9:14" x14ac:dyDescent="0.3">
      <c r="I1652" s="7"/>
      <c r="J1652" s="9"/>
      <c r="K1652" s="9"/>
      <c r="L1652" s="9"/>
      <c r="M1652" s="9"/>
      <c r="N1652" s="4"/>
    </row>
    <row r="1653" spans="9:14" x14ac:dyDescent="0.3">
      <c r="I1653" s="7"/>
      <c r="J1653" s="9"/>
      <c r="K1653" s="9"/>
      <c r="L1653" s="9"/>
      <c r="M1653" s="9"/>
      <c r="N1653" s="4"/>
    </row>
    <row r="1654" spans="9:14" x14ac:dyDescent="0.3">
      <c r="I1654" s="7"/>
      <c r="J1654" s="9"/>
      <c r="K1654" s="9"/>
      <c r="L1654" s="9"/>
      <c r="M1654" s="9"/>
      <c r="N1654" s="4"/>
    </row>
    <row r="1655" spans="9:14" x14ac:dyDescent="0.3">
      <c r="I1655" s="7"/>
      <c r="J1655" s="9"/>
      <c r="K1655" s="9"/>
      <c r="L1655" s="9"/>
      <c r="M1655" s="9"/>
      <c r="N1655" s="4"/>
    </row>
    <row r="1656" spans="9:14" x14ac:dyDescent="0.3">
      <c r="I1656" s="7"/>
      <c r="J1656" s="9"/>
      <c r="K1656" s="9"/>
      <c r="L1656" s="9"/>
      <c r="M1656" s="9"/>
      <c r="N1656" s="4"/>
    </row>
    <row r="1657" spans="9:14" x14ac:dyDescent="0.3">
      <c r="I1657" s="7"/>
      <c r="J1657" s="9"/>
      <c r="K1657" s="9"/>
      <c r="L1657" s="9"/>
      <c r="M1657" s="9"/>
      <c r="N1657" s="4"/>
    </row>
    <row r="1658" spans="9:14" x14ac:dyDescent="0.3">
      <c r="I1658" s="7"/>
      <c r="J1658" s="9"/>
      <c r="K1658" s="9"/>
      <c r="L1658" s="9"/>
      <c r="M1658" s="9"/>
      <c r="N1658" s="4"/>
    </row>
    <row r="1659" spans="9:14" x14ac:dyDescent="0.3">
      <c r="I1659" s="7"/>
      <c r="J1659" s="9"/>
      <c r="K1659" s="9"/>
      <c r="L1659" s="9"/>
      <c r="M1659" s="9"/>
      <c r="N1659" s="4"/>
    </row>
    <row r="1660" spans="9:14" x14ac:dyDescent="0.3">
      <c r="I1660" s="7"/>
      <c r="J1660" s="9"/>
      <c r="K1660" s="9"/>
      <c r="L1660" s="9"/>
      <c r="M1660" s="9"/>
      <c r="N1660" s="4"/>
    </row>
    <row r="1661" spans="9:14" x14ac:dyDescent="0.3">
      <c r="I1661" s="7"/>
      <c r="J1661" s="9"/>
      <c r="K1661" s="9"/>
      <c r="L1661" s="9"/>
      <c r="M1661" s="9"/>
      <c r="N1661" s="4"/>
    </row>
    <row r="1662" spans="9:14" x14ac:dyDescent="0.3">
      <c r="I1662" s="7"/>
      <c r="J1662" s="9"/>
      <c r="K1662" s="9"/>
      <c r="L1662" s="9"/>
      <c r="M1662" s="9"/>
      <c r="N1662" s="4"/>
    </row>
    <row r="1663" spans="9:14" x14ac:dyDescent="0.3">
      <c r="I1663" s="7"/>
      <c r="J1663" s="9"/>
      <c r="K1663" s="9"/>
      <c r="L1663" s="9"/>
      <c r="M1663" s="9"/>
      <c r="N1663" s="4"/>
    </row>
    <row r="1664" spans="9:14" x14ac:dyDescent="0.3">
      <c r="I1664" s="7"/>
      <c r="J1664" s="9"/>
      <c r="K1664" s="9"/>
      <c r="L1664" s="9"/>
      <c r="M1664" s="9"/>
      <c r="N1664" s="4"/>
    </row>
    <row r="1665" spans="9:14" x14ac:dyDescent="0.3">
      <c r="I1665" s="7"/>
      <c r="J1665" s="9"/>
      <c r="K1665" s="9"/>
      <c r="L1665" s="9"/>
      <c r="M1665" s="9"/>
      <c r="N1665" s="4"/>
    </row>
    <row r="1666" spans="9:14" x14ac:dyDescent="0.3">
      <c r="I1666" s="7"/>
      <c r="J1666" s="9"/>
      <c r="K1666" s="9"/>
      <c r="L1666" s="9"/>
      <c r="M1666" s="9"/>
      <c r="N1666" s="4"/>
    </row>
    <row r="1667" spans="9:14" x14ac:dyDescent="0.3">
      <c r="I1667" s="7"/>
      <c r="J1667" s="9"/>
      <c r="K1667" s="9"/>
      <c r="L1667" s="9"/>
      <c r="M1667" s="9"/>
      <c r="N1667" s="4"/>
    </row>
    <row r="1668" spans="9:14" x14ac:dyDescent="0.3">
      <c r="I1668" s="7"/>
      <c r="J1668" s="9"/>
      <c r="K1668" s="9"/>
      <c r="L1668" s="9"/>
      <c r="M1668" s="9"/>
      <c r="N1668" s="4"/>
    </row>
    <row r="1669" spans="9:14" x14ac:dyDescent="0.3">
      <c r="I1669" s="7"/>
      <c r="J1669" s="9"/>
      <c r="K1669" s="9"/>
      <c r="L1669" s="9"/>
      <c r="M1669" s="9"/>
      <c r="N1669" s="4"/>
    </row>
    <row r="1670" spans="9:14" x14ac:dyDescent="0.3">
      <c r="I1670" s="7"/>
      <c r="J1670" s="9"/>
      <c r="K1670" s="9"/>
      <c r="L1670" s="9"/>
      <c r="M1670" s="9"/>
      <c r="N1670" s="4"/>
    </row>
    <row r="1671" spans="9:14" x14ac:dyDescent="0.3">
      <c r="I1671" s="7"/>
      <c r="J1671" s="9"/>
      <c r="K1671" s="9"/>
      <c r="L1671" s="9"/>
      <c r="M1671" s="9"/>
      <c r="N1671" s="4"/>
    </row>
    <row r="1672" spans="9:14" x14ac:dyDescent="0.3">
      <c r="I1672" s="7"/>
      <c r="J1672" s="9"/>
      <c r="K1672" s="9"/>
      <c r="L1672" s="9"/>
      <c r="M1672" s="9"/>
      <c r="N1672" s="4"/>
    </row>
    <row r="1673" spans="9:14" x14ac:dyDescent="0.3">
      <c r="I1673" s="7"/>
      <c r="J1673" s="9"/>
      <c r="K1673" s="9"/>
      <c r="L1673" s="9"/>
      <c r="M1673" s="9"/>
      <c r="N1673" s="4"/>
    </row>
    <row r="1674" spans="9:14" x14ac:dyDescent="0.3">
      <c r="I1674" s="7"/>
      <c r="J1674" s="9"/>
      <c r="K1674" s="9"/>
      <c r="L1674" s="9"/>
      <c r="M1674" s="9"/>
      <c r="N1674" s="4"/>
    </row>
    <row r="1675" spans="9:14" x14ac:dyDescent="0.3">
      <c r="I1675" s="7"/>
      <c r="J1675" s="9"/>
      <c r="K1675" s="9"/>
      <c r="L1675" s="9"/>
      <c r="M1675" s="9"/>
      <c r="N1675" s="4"/>
    </row>
    <row r="1676" spans="9:14" x14ac:dyDescent="0.3">
      <c r="I1676" s="7"/>
      <c r="J1676" s="9"/>
      <c r="K1676" s="9"/>
      <c r="L1676" s="9"/>
      <c r="M1676" s="9"/>
      <c r="N1676" s="4"/>
    </row>
    <row r="1677" spans="9:14" x14ac:dyDescent="0.3">
      <c r="I1677" s="7"/>
      <c r="J1677" s="9"/>
      <c r="K1677" s="9"/>
      <c r="L1677" s="9"/>
      <c r="M1677" s="9"/>
      <c r="N1677" s="4"/>
    </row>
    <row r="1678" spans="9:14" x14ac:dyDescent="0.3">
      <c r="I1678" s="7"/>
      <c r="J1678" s="9"/>
      <c r="K1678" s="9"/>
      <c r="L1678" s="9"/>
      <c r="M1678" s="9"/>
      <c r="N1678" s="4"/>
    </row>
    <row r="1679" spans="9:14" x14ac:dyDescent="0.3">
      <c r="I1679" s="7"/>
      <c r="J1679" s="9"/>
      <c r="K1679" s="9"/>
      <c r="L1679" s="9"/>
      <c r="M1679" s="9"/>
      <c r="N1679" s="4"/>
    </row>
    <row r="1680" spans="9:14" x14ac:dyDescent="0.3">
      <c r="I1680" s="7"/>
      <c r="J1680" s="9"/>
      <c r="K1680" s="9"/>
      <c r="L1680" s="9"/>
      <c r="M1680" s="9"/>
      <c r="N1680" s="4"/>
    </row>
    <row r="1681" spans="9:14" x14ac:dyDescent="0.3">
      <c r="I1681" s="7"/>
      <c r="J1681" s="9"/>
      <c r="K1681" s="9"/>
      <c r="L1681" s="9"/>
      <c r="M1681" s="9"/>
      <c r="N1681" s="4"/>
    </row>
    <row r="1682" spans="9:14" x14ac:dyDescent="0.3">
      <c r="I1682" s="7"/>
      <c r="J1682" s="9"/>
      <c r="K1682" s="9"/>
      <c r="L1682" s="9"/>
      <c r="M1682" s="9"/>
      <c r="N1682" s="4"/>
    </row>
    <row r="1683" spans="9:14" x14ac:dyDescent="0.3">
      <c r="I1683" s="7"/>
      <c r="J1683" s="9"/>
      <c r="K1683" s="9"/>
      <c r="L1683" s="9"/>
      <c r="M1683" s="9"/>
      <c r="N1683" s="4"/>
    </row>
    <row r="1684" spans="9:14" x14ac:dyDescent="0.3">
      <c r="I1684" s="7"/>
      <c r="J1684" s="9"/>
      <c r="K1684" s="9"/>
      <c r="L1684" s="9"/>
      <c r="M1684" s="9"/>
      <c r="N1684" s="4"/>
    </row>
    <row r="1685" spans="9:14" x14ac:dyDescent="0.3">
      <c r="I1685" s="7"/>
      <c r="J1685" s="9"/>
      <c r="K1685" s="9"/>
      <c r="L1685" s="9"/>
      <c r="M1685" s="9"/>
      <c r="N1685" s="4"/>
    </row>
    <row r="1686" spans="9:14" x14ac:dyDescent="0.3">
      <c r="I1686" s="7"/>
      <c r="J1686" s="9"/>
      <c r="K1686" s="9"/>
      <c r="L1686" s="9"/>
      <c r="M1686" s="9"/>
      <c r="N1686" s="4"/>
    </row>
    <row r="1687" spans="9:14" x14ac:dyDescent="0.3">
      <c r="I1687" s="7"/>
      <c r="J1687" s="9"/>
      <c r="K1687" s="9"/>
      <c r="L1687" s="9"/>
      <c r="M1687" s="9"/>
      <c r="N1687" s="4"/>
    </row>
    <row r="1688" spans="9:14" x14ac:dyDescent="0.3">
      <c r="I1688" s="7"/>
      <c r="J1688" s="9"/>
      <c r="K1688" s="9"/>
      <c r="L1688" s="9"/>
      <c r="M1688" s="9"/>
      <c r="N1688" s="4"/>
    </row>
    <row r="1689" spans="9:14" x14ac:dyDescent="0.3">
      <c r="I1689" s="7"/>
      <c r="J1689" s="9"/>
      <c r="K1689" s="9"/>
      <c r="L1689" s="9"/>
      <c r="M1689" s="9"/>
      <c r="N1689" s="4"/>
    </row>
    <row r="1690" spans="9:14" x14ac:dyDescent="0.3">
      <c r="I1690" s="7"/>
      <c r="J1690" s="9"/>
      <c r="K1690" s="9"/>
      <c r="L1690" s="9"/>
      <c r="M1690" s="9"/>
      <c r="N1690" s="4"/>
    </row>
    <row r="1691" spans="9:14" x14ac:dyDescent="0.3">
      <c r="I1691" s="7"/>
      <c r="J1691" s="9"/>
      <c r="K1691" s="9"/>
      <c r="L1691" s="9"/>
      <c r="M1691" s="9"/>
      <c r="N1691" s="4"/>
    </row>
    <row r="1692" spans="9:14" x14ac:dyDescent="0.3">
      <c r="I1692" s="7"/>
      <c r="J1692" s="9"/>
      <c r="K1692" s="9"/>
      <c r="L1692" s="9"/>
      <c r="M1692" s="9"/>
      <c r="N1692" s="4"/>
    </row>
    <row r="1693" spans="9:14" x14ac:dyDescent="0.3">
      <c r="I1693" s="7"/>
      <c r="J1693" s="9"/>
      <c r="K1693" s="9"/>
      <c r="L1693" s="9"/>
      <c r="M1693" s="9"/>
      <c r="N1693" s="4"/>
    </row>
    <row r="1694" spans="9:14" x14ac:dyDescent="0.3">
      <c r="I1694" s="7"/>
      <c r="J1694" s="9"/>
      <c r="K1694" s="9"/>
      <c r="L1694" s="9"/>
      <c r="M1694" s="9"/>
      <c r="N1694" s="4"/>
    </row>
    <row r="1695" spans="9:14" x14ac:dyDescent="0.3">
      <c r="I1695" s="7"/>
      <c r="J1695" s="9"/>
      <c r="K1695" s="9"/>
      <c r="L1695" s="9"/>
      <c r="M1695" s="9"/>
      <c r="N1695" s="4"/>
    </row>
    <row r="1696" spans="9:14" x14ac:dyDescent="0.3">
      <c r="I1696" s="7"/>
      <c r="J1696" s="9"/>
      <c r="K1696" s="9"/>
      <c r="L1696" s="9"/>
      <c r="M1696" s="9"/>
      <c r="N1696" s="4"/>
    </row>
    <row r="1697" spans="9:14" x14ac:dyDescent="0.3">
      <c r="I1697" s="7"/>
      <c r="J1697" s="9"/>
      <c r="K1697" s="9"/>
      <c r="L1697" s="9"/>
      <c r="M1697" s="9"/>
      <c r="N1697" s="4"/>
    </row>
    <row r="1698" spans="9:14" x14ac:dyDescent="0.3">
      <c r="I1698" s="7"/>
      <c r="J1698" s="9"/>
      <c r="K1698" s="9"/>
      <c r="L1698" s="9"/>
      <c r="M1698" s="9"/>
      <c r="N1698" s="4"/>
    </row>
    <row r="1699" spans="9:14" x14ac:dyDescent="0.3">
      <c r="I1699" s="7"/>
      <c r="J1699" s="9"/>
      <c r="K1699" s="9"/>
      <c r="L1699" s="9"/>
      <c r="M1699" s="9"/>
      <c r="N1699" s="4"/>
    </row>
    <row r="1700" spans="9:14" x14ac:dyDescent="0.3">
      <c r="I1700" s="7"/>
      <c r="J1700" s="9"/>
      <c r="K1700" s="9"/>
      <c r="L1700" s="9"/>
      <c r="M1700" s="9"/>
      <c r="N1700" s="4"/>
    </row>
    <row r="1701" spans="9:14" x14ac:dyDescent="0.3">
      <c r="I1701" s="7"/>
      <c r="J1701" s="9"/>
      <c r="K1701" s="9"/>
      <c r="L1701" s="9"/>
      <c r="M1701" s="9"/>
      <c r="N1701" s="4"/>
    </row>
    <row r="1702" spans="9:14" x14ac:dyDescent="0.3">
      <c r="I1702" s="7"/>
      <c r="J1702" s="9"/>
      <c r="K1702" s="9"/>
      <c r="L1702" s="9"/>
      <c r="M1702" s="9"/>
      <c r="N1702" s="4"/>
    </row>
    <row r="1703" spans="9:14" x14ac:dyDescent="0.3">
      <c r="I1703" s="7"/>
      <c r="J1703" s="9"/>
      <c r="K1703" s="9"/>
      <c r="L1703" s="9"/>
      <c r="M1703" s="9"/>
      <c r="N1703" s="4"/>
    </row>
    <row r="1704" spans="9:14" x14ac:dyDescent="0.3">
      <c r="I1704" s="7"/>
      <c r="J1704" s="9"/>
      <c r="K1704" s="9"/>
      <c r="L1704" s="9"/>
      <c r="M1704" s="9"/>
      <c r="N1704" s="4"/>
    </row>
    <row r="1705" spans="9:14" x14ac:dyDescent="0.3">
      <c r="I1705" s="7"/>
      <c r="J1705" s="9"/>
      <c r="K1705" s="9"/>
      <c r="L1705" s="9"/>
      <c r="M1705" s="9"/>
      <c r="N1705" s="4"/>
    </row>
    <row r="1706" spans="9:14" x14ac:dyDescent="0.3">
      <c r="I1706" s="7"/>
      <c r="J1706" s="9"/>
      <c r="K1706" s="9"/>
      <c r="L1706" s="9"/>
      <c r="M1706" s="9"/>
      <c r="N1706" s="4"/>
    </row>
    <row r="1707" spans="9:14" x14ac:dyDescent="0.3">
      <c r="I1707" s="7"/>
      <c r="J1707" s="9"/>
      <c r="K1707" s="9"/>
      <c r="L1707" s="9"/>
      <c r="M1707" s="9"/>
      <c r="N1707" s="4"/>
    </row>
    <row r="1708" spans="9:14" x14ac:dyDescent="0.3">
      <c r="I1708" s="7"/>
      <c r="J1708" s="9"/>
      <c r="K1708" s="9"/>
      <c r="L1708" s="9"/>
      <c r="M1708" s="9"/>
      <c r="N1708" s="4"/>
    </row>
    <row r="1709" spans="9:14" x14ac:dyDescent="0.3">
      <c r="I1709" s="7"/>
      <c r="J1709" s="9"/>
      <c r="K1709" s="9"/>
      <c r="L1709" s="9"/>
      <c r="M1709" s="9"/>
      <c r="N1709" s="4"/>
    </row>
    <row r="1710" spans="9:14" x14ac:dyDescent="0.3">
      <c r="I1710" s="7"/>
      <c r="J1710" s="9"/>
      <c r="K1710" s="9"/>
      <c r="L1710" s="9"/>
      <c r="M1710" s="9"/>
      <c r="N1710" s="4"/>
    </row>
    <row r="1711" spans="9:14" x14ac:dyDescent="0.3">
      <c r="I1711" s="7"/>
      <c r="J1711" s="9"/>
      <c r="K1711" s="9"/>
      <c r="L1711" s="9"/>
      <c r="M1711" s="9"/>
      <c r="N1711" s="4"/>
    </row>
    <row r="1712" spans="9:14" x14ac:dyDescent="0.3">
      <c r="I1712" s="7"/>
      <c r="J1712" s="9"/>
      <c r="K1712" s="9"/>
      <c r="L1712" s="9"/>
      <c r="M1712" s="9"/>
      <c r="N1712" s="4"/>
    </row>
    <row r="1713" spans="9:14" x14ac:dyDescent="0.3">
      <c r="I1713" s="7"/>
      <c r="J1713" s="9"/>
      <c r="K1713" s="9"/>
      <c r="L1713" s="9"/>
      <c r="M1713" s="9"/>
      <c r="N1713" s="4"/>
    </row>
    <row r="1714" spans="9:14" x14ac:dyDescent="0.3">
      <c r="I1714" s="7"/>
      <c r="J1714" s="9"/>
      <c r="K1714" s="9"/>
      <c r="L1714" s="9"/>
      <c r="M1714" s="9"/>
      <c r="N1714" s="4"/>
    </row>
    <row r="1715" spans="9:14" x14ac:dyDescent="0.3">
      <c r="I1715" s="7"/>
      <c r="J1715" s="9"/>
      <c r="K1715" s="9"/>
      <c r="L1715" s="9"/>
      <c r="M1715" s="9"/>
      <c r="N1715" s="4"/>
    </row>
    <row r="1716" spans="9:14" x14ac:dyDescent="0.3">
      <c r="I1716" s="7"/>
      <c r="J1716" s="9"/>
      <c r="K1716" s="9"/>
      <c r="L1716" s="9"/>
      <c r="M1716" s="9"/>
      <c r="N1716" s="4"/>
    </row>
    <row r="1717" spans="9:14" x14ac:dyDescent="0.3">
      <c r="I1717" s="7"/>
      <c r="J1717" s="9"/>
      <c r="K1717" s="9"/>
      <c r="L1717" s="9"/>
      <c r="M1717" s="9"/>
      <c r="N1717" s="4"/>
    </row>
    <row r="1718" spans="9:14" x14ac:dyDescent="0.3">
      <c r="I1718" s="7"/>
      <c r="J1718" s="9"/>
      <c r="K1718" s="9"/>
      <c r="L1718" s="9"/>
      <c r="M1718" s="9"/>
      <c r="N1718" s="4"/>
    </row>
    <row r="1719" spans="9:14" x14ac:dyDescent="0.3">
      <c r="I1719" s="7"/>
      <c r="J1719" s="9"/>
      <c r="K1719" s="9"/>
      <c r="L1719" s="9"/>
      <c r="M1719" s="9"/>
      <c r="N1719" s="4"/>
    </row>
    <row r="1720" spans="9:14" x14ac:dyDescent="0.3">
      <c r="I1720" s="7"/>
      <c r="J1720" s="9"/>
      <c r="K1720" s="9"/>
      <c r="L1720" s="9"/>
      <c r="M1720" s="9"/>
      <c r="N1720" s="4"/>
    </row>
    <row r="1721" spans="9:14" x14ac:dyDescent="0.3">
      <c r="I1721" s="7"/>
      <c r="J1721" s="9"/>
      <c r="K1721" s="9"/>
      <c r="L1721" s="9"/>
      <c r="M1721" s="9"/>
      <c r="N1721" s="4"/>
    </row>
    <row r="1722" spans="9:14" x14ac:dyDescent="0.3">
      <c r="I1722" s="7"/>
      <c r="J1722" s="9"/>
      <c r="K1722" s="9"/>
      <c r="L1722" s="9"/>
      <c r="M1722" s="9"/>
      <c r="N1722" s="4"/>
    </row>
    <row r="1723" spans="9:14" x14ac:dyDescent="0.3">
      <c r="I1723" s="7"/>
      <c r="J1723" s="9"/>
      <c r="K1723" s="9"/>
      <c r="L1723" s="9"/>
      <c r="M1723" s="9"/>
      <c r="N1723" s="4"/>
    </row>
    <row r="1724" spans="9:14" x14ac:dyDescent="0.3">
      <c r="I1724" s="7"/>
      <c r="J1724" s="9"/>
      <c r="K1724" s="9"/>
      <c r="L1724" s="9"/>
      <c r="M1724" s="9"/>
      <c r="N1724" s="4"/>
    </row>
    <row r="1725" spans="9:14" x14ac:dyDescent="0.3">
      <c r="I1725" s="7"/>
      <c r="J1725" s="9"/>
      <c r="K1725" s="9"/>
      <c r="L1725" s="9"/>
      <c r="M1725" s="9"/>
      <c r="N1725" s="4"/>
    </row>
    <row r="1726" spans="9:14" x14ac:dyDescent="0.3">
      <c r="I1726" s="7"/>
      <c r="J1726" s="9"/>
      <c r="K1726" s="9"/>
      <c r="L1726" s="9"/>
      <c r="M1726" s="9"/>
      <c r="N1726" s="4"/>
    </row>
    <row r="1727" spans="9:14" x14ac:dyDescent="0.3">
      <c r="I1727" s="7"/>
      <c r="J1727" s="9"/>
      <c r="K1727" s="9"/>
      <c r="L1727" s="9"/>
      <c r="M1727" s="9"/>
      <c r="N1727" s="4"/>
    </row>
    <row r="1728" spans="9:14" x14ac:dyDescent="0.3">
      <c r="I1728" s="7"/>
      <c r="J1728" s="9"/>
      <c r="K1728" s="9"/>
      <c r="L1728" s="9"/>
      <c r="M1728" s="9"/>
      <c r="N1728" s="4"/>
    </row>
    <row r="1729" spans="9:14" x14ac:dyDescent="0.3">
      <c r="I1729" s="7"/>
      <c r="J1729" s="9"/>
      <c r="K1729" s="9"/>
      <c r="L1729" s="9"/>
      <c r="M1729" s="9"/>
      <c r="N1729" s="4"/>
    </row>
    <row r="1730" spans="9:14" x14ac:dyDescent="0.3">
      <c r="I1730" s="7"/>
      <c r="J1730" s="9"/>
      <c r="K1730" s="9"/>
      <c r="L1730" s="9"/>
      <c r="M1730" s="9"/>
      <c r="N1730" s="4"/>
    </row>
    <row r="1731" spans="9:14" x14ac:dyDescent="0.3">
      <c r="I1731" s="7"/>
      <c r="J1731" s="9"/>
      <c r="K1731" s="9"/>
      <c r="L1731" s="9"/>
      <c r="M1731" s="9"/>
      <c r="N1731" s="4"/>
    </row>
    <row r="1732" spans="9:14" x14ac:dyDescent="0.3">
      <c r="I1732" s="7"/>
      <c r="J1732" s="9"/>
      <c r="K1732" s="9"/>
      <c r="L1732" s="9"/>
      <c r="M1732" s="9"/>
      <c r="N1732" s="4"/>
    </row>
    <row r="1733" spans="9:14" x14ac:dyDescent="0.3">
      <c r="I1733" s="7"/>
      <c r="J1733" s="9"/>
      <c r="K1733" s="9"/>
      <c r="L1733" s="9"/>
      <c r="M1733" s="9"/>
      <c r="N1733" s="4"/>
    </row>
    <row r="1734" spans="9:14" x14ac:dyDescent="0.3">
      <c r="I1734" s="7"/>
      <c r="J1734" s="9"/>
      <c r="K1734" s="9"/>
      <c r="L1734" s="9"/>
      <c r="M1734" s="9"/>
      <c r="N1734" s="4"/>
    </row>
    <row r="1735" spans="9:14" x14ac:dyDescent="0.3">
      <c r="I1735" s="7"/>
      <c r="J1735" s="9"/>
      <c r="K1735" s="9"/>
      <c r="L1735" s="9"/>
      <c r="M1735" s="9"/>
      <c r="N1735" s="4"/>
    </row>
    <row r="1736" spans="9:14" x14ac:dyDescent="0.3">
      <c r="I1736" s="7"/>
      <c r="J1736" s="9"/>
      <c r="K1736" s="9"/>
      <c r="L1736" s="9"/>
      <c r="M1736" s="9"/>
      <c r="N1736" s="4"/>
    </row>
    <row r="1737" spans="9:14" x14ac:dyDescent="0.3">
      <c r="I1737" s="7"/>
      <c r="J1737" s="9"/>
      <c r="K1737" s="9"/>
      <c r="L1737" s="9"/>
      <c r="M1737" s="9"/>
      <c r="N1737" s="4"/>
    </row>
    <row r="1738" spans="9:14" x14ac:dyDescent="0.3">
      <c r="I1738" s="7"/>
      <c r="J1738" s="9"/>
      <c r="K1738" s="9"/>
      <c r="L1738" s="9"/>
      <c r="M1738" s="9"/>
      <c r="N1738" s="4"/>
    </row>
    <row r="1739" spans="9:14" x14ac:dyDescent="0.3">
      <c r="I1739" s="7"/>
      <c r="J1739" s="9"/>
      <c r="K1739" s="9"/>
      <c r="L1739" s="9"/>
      <c r="M1739" s="9"/>
      <c r="N1739" s="4"/>
    </row>
    <row r="1740" spans="9:14" x14ac:dyDescent="0.3">
      <c r="I1740" s="7"/>
      <c r="J1740" s="9"/>
      <c r="K1740" s="9"/>
      <c r="L1740" s="9"/>
      <c r="M1740" s="9"/>
      <c r="N1740" s="4"/>
    </row>
    <row r="1741" spans="9:14" x14ac:dyDescent="0.3">
      <c r="I1741" s="7"/>
      <c r="J1741" s="9"/>
      <c r="K1741" s="9"/>
      <c r="L1741" s="9"/>
      <c r="M1741" s="9"/>
      <c r="N1741" s="4"/>
    </row>
    <row r="1742" spans="9:14" x14ac:dyDescent="0.3">
      <c r="I1742" s="7"/>
      <c r="J1742" s="9"/>
      <c r="K1742" s="9"/>
      <c r="L1742" s="9"/>
      <c r="M1742" s="9"/>
      <c r="N1742" s="4"/>
    </row>
    <row r="1743" spans="9:14" x14ac:dyDescent="0.3">
      <c r="I1743" s="7"/>
      <c r="J1743" s="9"/>
      <c r="K1743" s="9"/>
      <c r="L1743" s="9"/>
      <c r="M1743" s="9"/>
      <c r="N1743" s="4"/>
    </row>
    <row r="1744" spans="9:14" x14ac:dyDescent="0.3">
      <c r="I1744" s="7"/>
      <c r="J1744" s="9"/>
      <c r="K1744" s="9"/>
      <c r="L1744" s="9"/>
      <c r="M1744" s="9"/>
      <c r="N1744" s="4"/>
    </row>
    <row r="1745" spans="9:14" x14ac:dyDescent="0.3">
      <c r="I1745" s="7"/>
      <c r="J1745" s="9"/>
      <c r="K1745" s="9"/>
      <c r="L1745" s="9"/>
      <c r="M1745" s="9"/>
      <c r="N1745" s="4"/>
    </row>
    <row r="1746" spans="9:14" x14ac:dyDescent="0.3">
      <c r="I1746" s="7"/>
      <c r="J1746" s="9"/>
      <c r="K1746" s="9"/>
      <c r="L1746" s="9"/>
      <c r="M1746" s="9"/>
      <c r="N1746" s="4"/>
    </row>
    <row r="1747" spans="9:14" x14ac:dyDescent="0.3">
      <c r="I1747" s="7"/>
      <c r="J1747" s="9"/>
      <c r="K1747" s="9"/>
      <c r="L1747" s="9"/>
      <c r="M1747" s="9"/>
      <c r="N1747" s="4"/>
    </row>
    <row r="1748" spans="9:14" x14ac:dyDescent="0.3">
      <c r="I1748" s="7"/>
      <c r="J1748" s="9"/>
      <c r="K1748" s="9"/>
      <c r="L1748" s="9"/>
      <c r="M1748" s="9"/>
      <c r="N1748" s="4"/>
    </row>
    <row r="1749" spans="9:14" x14ac:dyDescent="0.3">
      <c r="I1749" s="7"/>
      <c r="J1749" s="9"/>
      <c r="K1749" s="9"/>
      <c r="L1749" s="9"/>
      <c r="M1749" s="9"/>
      <c r="N1749" s="4"/>
    </row>
    <row r="1750" spans="9:14" x14ac:dyDescent="0.3">
      <c r="I1750" s="7"/>
      <c r="J1750" s="9"/>
      <c r="K1750" s="9"/>
      <c r="L1750" s="9"/>
      <c r="M1750" s="9"/>
      <c r="N1750" s="4"/>
    </row>
    <row r="1751" spans="9:14" x14ac:dyDescent="0.3">
      <c r="I1751" s="7"/>
      <c r="J1751" s="9"/>
      <c r="K1751" s="9"/>
      <c r="L1751" s="9"/>
      <c r="M1751" s="9"/>
      <c r="N1751" s="4"/>
    </row>
    <row r="1752" spans="9:14" x14ac:dyDescent="0.3">
      <c r="I1752" s="7"/>
      <c r="J1752" s="9"/>
      <c r="K1752" s="9"/>
      <c r="L1752" s="9"/>
      <c r="M1752" s="9"/>
      <c r="N1752" s="4"/>
    </row>
    <row r="1753" spans="9:14" x14ac:dyDescent="0.3">
      <c r="I1753" s="7"/>
      <c r="J1753" s="9"/>
      <c r="K1753" s="9"/>
      <c r="L1753" s="9"/>
      <c r="M1753" s="9"/>
      <c r="N1753" s="4"/>
    </row>
    <row r="1754" spans="9:14" x14ac:dyDescent="0.3">
      <c r="I1754" s="7"/>
      <c r="J1754" s="9"/>
      <c r="K1754" s="9"/>
      <c r="L1754" s="9"/>
      <c r="M1754" s="9"/>
      <c r="N1754" s="4"/>
    </row>
    <row r="1755" spans="9:14" x14ac:dyDescent="0.3">
      <c r="I1755" s="7"/>
      <c r="J1755" s="9"/>
      <c r="K1755" s="9"/>
      <c r="L1755" s="9"/>
      <c r="M1755" s="9"/>
      <c r="N1755" s="4"/>
    </row>
    <row r="1756" spans="9:14" x14ac:dyDescent="0.3">
      <c r="I1756" s="7"/>
      <c r="J1756" s="9"/>
      <c r="K1756" s="9"/>
      <c r="L1756" s="9"/>
      <c r="M1756" s="9"/>
      <c r="N1756" s="4"/>
    </row>
    <row r="1757" spans="9:14" x14ac:dyDescent="0.3">
      <c r="I1757" s="7"/>
      <c r="J1757" s="9"/>
      <c r="K1757" s="9"/>
      <c r="L1757" s="9"/>
      <c r="M1757" s="9"/>
      <c r="N1757" s="4"/>
    </row>
    <row r="1758" spans="9:14" x14ac:dyDescent="0.3">
      <c r="I1758" s="7"/>
      <c r="J1758" s="9"/>
      <c r="K1758" s="9"/>
      <c r="L1758" s="9"/>
      <c r="M1758" s="9"/>
      <c r="N1758" s="4"/>
    </row>
    <row r="1759" spans="9:14" x14ac:dyDescent="0.3">
      <c r="I1759" s="7"/>
      <c r="J1759" s="9"/>
      <c r="K1759" s="9"/>
      <c r="L1759" s="9"/>
      <c r="M1759" s="9"/>
      <c r="N1759" s="4"/>
    </row>
    <row r="1760" spans="9:14" x14ac:dyDescent="0.3">
      <c r="I1760" s="7"/>
      <c r="J1760" s="9"/>
      <c r="K1760" s="9"/>
      <c r="L1760" s="9"/>
      <c r="M1760" s="9"/>
      <c r="N1760" s="4"/>
    </row>
    <row r="1761" spans="9:14" x14ac:dyDescent="0.3">
      <c r="I1761" s="7"/>
      <c r="J1761" s="9"/>
      <c r="K1761" s="9"/>
      <c r="L1761" s="9"/>
      <c r="M1761" s="9"/>
      <c r="N1761" s="4"/>
    </row>
    <row r="1762" spans="9:14" x14ac:dyDescent="0.3">
      <c r="I1762" s="7"/>
      <c r="J1762" s="9"/>
      <c r="K1762" s="9"/>
      <c r="L1762" s="9"/>
      <c r="M1762" s="9"/>
      <c r="N1762" s="4"/>
    </row>
    <row r="1763" spans="9:14" x14ac:dyDescent="0.3">
      <c r="I1763" s="7"/>
      <c r="J1763" s="9"/>
      <c r="K1763" s="9"/>
      <c r="L1763" s="9"/>
      <c r="M1763" s="9"/>
      <c r="N1763" s="4"/>
    </row>
    <row r="1764" spans="9:14" x14ac:dyDescent="0.3">
      <c r="I1764" s="7"/>
      <c r="J1764" s="9"/>
      <c r="K1764" s="9"/>
      <c r="L1764" s="9"/>
      <c r="M1764" s="9"/>
      <c r="N1764" s="4"/>
    </row>
    <row r="1765" spans="9:14" x14ac:dyDescent="0.3">
      <c r="I1765" s="7"/>
      <c r="J1765" s="9"/>
      <c r="K1765" s="9"/>
      <c r="L1765" s="9"/>
      <c r="M1765" s="9"/>
      <c r="N1765" s="4"/>
    </row>
    <row r="1766" spans="9:14" x14ac:dyDescent="0.3">
      <c r="I1766" s="7"/>
      <c r="J1766" s="9"/>
      <c r="K1766" s="9"/>
      <c r="L1766" s="9"/>
      <c r="M1766" s="9"/>
      <c r="N1766" s="4"/>
    </row>
    <row r="1767" spans="9:14" x14ac:dyDescent="0.3">
      <c r="I1767" s="7"/>
      <c r="J1767" s="9"/>
      <c r="K1767" s="9"/>
      <c r="L1767" s="9"/>
      <c r="M1767" s="9"/>
      <c r="N1767" s="4"/>
    </row>
    <row r="1768" spans="9:14" x14ac:dyDescent="0.3">
      <c r="I1768" s="7"/>
      <c r="J1768" s="9"/>
      <c r="K1768" s="9"/>
      <c r="L1768" s="9"/>
      <c r="M1768" s="9"/>
      <c r="N1768" s="4"/>
    </row>
    <row r="1769" spans="9:14" x14ac:dyDescent="0.3">
      <c r="I1769" s="7"/>
      <c r="J1769" s="9"/>
      <c r="K1769" s="9"/>
      <c r="L1769" s="9"/>
      <c r="M1769" s="9"/>
      <c r="N1769" s="4"/>
    </row>
    <row r="1770" spans="9:14" x14ac:dyDescent="0.3">
      <c r="I1770" s="7"/>
      <c r="J1770" s="9"/>
      <c r="K1770" s="9"/>
      <c r="L1770" s="9"/>
      <c r="M1770" s="9"/>
      <c r="N1770" s="4"/>
    </row>
    <row r="1771" spans="9:14" x14ac:dyDescent="0.3">
      <c r="I1771" s="7"/>
      <c r="J1771" s="9"/>
      <c r="K1771" s="9"/>
      <c r="L1771" s="9"/>
      <c r="M1771" s="9"/>
      <c r="N1771" s="4"/>
    </row>
    <row r="1772" spans="9:14" x14ac:dyDescent="0.3">
      <c r="I1772" s="7"/>
      <c r="J1772" s="9"/>
      <c r="K1772" s="9"/>
      <c r="L1772" s="9"/>
      <c r="M1772" s="9"/>
      <c r="N1772" s="4"/>
    </row>
    <row r="1773" spans="9:14" x14ac:dyDescent="0.3">
      <c r="I1773" s="7"/>
      <c r="J1773" s="9"/>
      <c r="K1773" s="9"/>
      <c r="L1773" s="9"/>
      <c r="M1773" s="9"/>
      <c r="N1773" s="4"/>
    </row>
    <row r="1774" spans="9:14" x14ac:dyDescent="0.3">
      <c r="I1774" s="7"/>
      <c r="J1774" s="9"/>
      <c r="K1774" s="9"/>
      <c r="L1774" s="9"/>
      <c r="M1774" s="9"/>
      <c r="N1774" s="4"/>
    </row>
    <row r="1775" spans="9:14" x14ac:dyDescent="0.3">
      <c r="I1775" s="7"/>
      <c r="J1775" s="9"/>
      <c r="K1775" s="9"/>
      <c r="L1775" s="9"/>
      <c r="M1775" s="9"/>
      <c r="N1775" s="4"/>
    </row>
    <row r="1776" spans="9:14" x14ac:dyDescent="0.3">
      <c r="I1776" s="7"/>
      <c r="J1776" s="9"/>
      <c r="K1776" s="9"/>
      <c r="L1776" s="9"/>
      <c r="M1776" s="9"/>
      <c r="N1776" s="4"/>
    </row>
    <row r="1777" spans="9:14" x14ac:dyDescent="0.3">
      <c r="I1777" s="7"/>
      <c r="J1777" s="9"/>
      <c r="K1777" s="9"/>
      <c r="L1777" s="9"/>
      <c r="M1777" s="9"/>
      <c r="N1777" s="4"/>
    </row>
    <row r="1778" spans="9:14" x14ac:dyDescent="0.3">
      <c r="I1778" s="7"/>
      <c r="J1778" s="9"/>
      <c r="K1778" s="9"/>
      <c r="L1778" s="9"/>
      <c r="M1778" s="9"/>
      <c r="N1778" s="4"/>
    </row>
    <row r="1779" spans="9:14" x14ac:dyDescent="0.3">
      <c r="I1779" s="7"/>
      <c r="J1779" s="9"/>
      <c r="K1779" s="9"/>
      <c r="L1779" s="9"/>
      <c r="M1779" s="9"/>
      <c r="N1779" s="4"/>
    </row>
    <row r="1780" spans="9:14" x14ac:dyDescent="0.3">
      <c r="I1780" s="7"/>
      <c r="J1780" s="9"/>
      <c r="K1780" s="9"/>
      <c r="L1780" s="9"/>
      <c r="M1780" s="9"/>
      <c r="N1780" s="4"/>
    </row>
    <row r="1781" spans="9:14" x14ac:dyDescent="0.3">
      <c r="I1781" s="7"/>
      <c r="J1781" s="9"/>
      <c r="K1781" s="9"/>
      <c r="L1781" s="9"/>
      <c r="M1781" s="9"/>
      <c r="N1781" s="4"/>
    </row>
    <row r="1782" spans="9:14" x14ac:dyDescent="0.3">
      <c r="I1782" s="7"/>
      <c r="J1782" s="9"/>
      <c r="K1782" s="9"/>
      <c r="L1782" s="9"/>
      <c r="M1782" s="9"/>
      <c r="N1782" s="4"/>
    </row>
    <row r="1783" spans="9:14" x14ac:dyDescent="0.3">
      <c r="I1783" s="7"/>
      <c r="J1783" s="9"/>
      <c r="K1783" s="9"/>
      <c r="L1783" s="9"/>
      <c r="M1783" s="9"/>
      <c r="N1783" s="4"/>
    </row>
    <row r="1784" spans="9:14" x14ac:dyDescent="0.3">
      <c r="I1784" s="7"/>
      <c r="J1784" s="9"/>
      <c r="K1784" s="9"/>
      <c r="L1784" s="9"/>
      <c r="M1784" s="9"/>
      <c r="N1784" s="4"/>
    </row>
    <row r="1785" spans="9:14" x14ac:dyDescent="0.3">
      <c r="I1785" s="7"/>
      <c r="J1785" s="9"/>
      <c r="K1785" s="9"/>
      <c r="L1785" s="9"/>
      <c r="M1785" s="9"/>
      <c r="N1785" s="4"/>
    </row>
    <row r="1786" spans="9:14" x14ac:dyDescent="0.3">
      <c r="I1786" s="7"/>
      <c r="J1786" s="9"/>
      <c r="K1786" s="9"/>
      <c r="L1786" s="9"/>
      <c r="M1786" s="9"/>
      <c r="N1786" s="4"/>
    </row>
    <row r="1787" spans="9:14" x14ac:dyDescent="0.3">
      <c r="I1787" s="7"/>
      <c r="J1787" s="9"/>
      <c r="K1787" s="9"/>
      <c r="L1787" s="9"/>
      <c r="M1787" s="9"/>
      <c r="N1787" s="4"/>
    </row>
    <row r="1788" spans="9:14" x14ac:dyDescent="0.3">
      <c r="I1788" s="7"/>
      <c r="J1788" s="9"/>
      <c r="K1788" s="9"/>
      <c r="L1788" s="9"/>
      <c r="M1788" s="9"/>
      <c r="N1788" s="4"/>
    </row>
    <row r="1789" spans="9:14" x14ac:dyDescent="0.3">
      <c r="I1789" s="7"/>
      <c r="J1789" s="9"/>
      <c r="K1789" s="9"/>
      <c r="L1789" s="9"/>
      <c r="M1789" s="9"/>
      <c r="N1789" s="4"/>
    </row>
    <row r="1790" spans="9:14" x14ac:dyDescent="0.3">
      <c r="I1790" s="7"/>
      <c r="J1790" s="9"/>
      <c r="K1790" s="9"/>
      <c r="L1790" s="9"/>
      <c r="M1790" s="9"/>
      <c r="N1790" s="4"/>
    </row>
    <row r="1791" spans="9:14" x14ac:dyDescent="0.3">
      <c r="I1791" s="7"/>
      <c r="J1791" s="9"/>
      <c r="K1791" s="9"/>
      <c r="L1791" s="9"/>
      <c r="M1791" s="9"/>
      <c r="N1791" s="4"/>
    </row>
    <row r="1792" spans="9:14" x14ac:dyDescent="0.3">
      <c r="I1792" s="7"/>
      <c r="J1792" s="9"/>
      <c r="K1792" s="9"/>
      <c r="L1792" s="9"/>
      <c r="M1792" s="9"/>
      <c r="N1792" s="4"/>
    </row>
    <row r="1793" spans="9:14" x14ac:dyDescent="0.3">
      <c r="I1793" s="7"/>
      <c r="J1793" s="9"/>
      <c r="K1793" s="9"/>
      <c r="L1793" s="9"/>
      <c r="M1793" s="9"/>
      <c r="N1793" s="4"/>
    </row>
    <row r="1794" spans="9:14" x14ac:dyDescent="0.3">
      <c r="I1794" s="7"/>
      <c r="J1794" s="9"/>
      <c r="K1794" s="9"/>
      <c r="L1794" s="9"/>
      <c r="M1794" s="9"/>
      <c r="N1794" s="4"/>
    </row>
    <row r="1795" spans="9:14" x14ac:dyDescent="0.3">
      <c r="I1795" s="7"/>
      <c r="J1795" s="9"/>
      <c r="K1795" s="9"/>
      <c r="L1795" s="9"/>
      <c r="M1795" s="9"/>
      <c r="N1795" s="4"/>
    </row>
    <row r="1796" spans="9:14" x14ac:dyDescent="0.3">
      <c r="I1796" s="7"/>
      <c r="J1796" s="9"/>
      <c r="K1796" s="9"/>
      <c r="L1796" s="9"/>
      <c r="M1796" s="9"/>
      <c r="N1796" s="4"/>
    </row>
    <row r="1797" spans="9:14" x14ac:dyDescent="0.3">
      <c r="I1797" s="7"/>
      <c r="J1797" s="9"/>
      <c r="K1797" s="9"/>
      <c r="L1797" s="9"/>
      <c r="M1797" s="9"/>
      <c r="N1797" s="4"/>
    </row>
    <row r="1798" spans="9:14" x14ac:dyDescent="0.3">
      <c r="I1798" s="7"/>
      <c r="J1798" s="9"/>
      <c r="K1798" s="9"/>
      <c r="L1798" s="9"/>
      <c r="M1798" s="9"/>
      <c r="N1798" s="4"/>
    </row>
    <row r="1799" spans="9:14" x14ac:dyDescent="0.3">
      <c r="I1799" s="7"/>
      <c r="J1799" s="9"/>
      <c r="K1799" s="9"/>
      <c r="L1799" s="9"/>
      <c r="M1799" s="9"/>
      <c r="N1799" s="4"/>
    </row>
    <row r="1800" spans="9:14" x14ac:dyDescent="0.3">
      <c r="I1800" s="7"/>
      <c r="J1800" s="9"/>
      <c r="K1800" s="9"/>
      <c r="L1800" s="9"/>
      <c r="M1800" s="9"/>
      <c r="N1800" s="4"/>
    </row>
    <row r="1801" spans="9:14" x14ac:dyDescent="0.3">
      <c r="I1801" s="7"/>
      <c r="J1801" s="9"/>
      <c r="K1801" s="9"/>
      <c r="L1801" s="9"/>
      <c r="M1801" s="9"/>
      <c r="N1801" s="4"/>
    </row>
    <row r="1802" spans="9:14" x14ac:dyDescent="0.3">
      <c r="I1802" s="7"/>
      <c r="J1802" s="9"/>
      <c r="K1802" s="9"/>
      <c r="L1802" s="9"/>
      <c r="M1802" s="9"/>
      <c r="N1802" s="4"/>
    </row>
    <row r="1803" spans="9:14" x14ac:dyDescent="0.3">
      <c r="I1803" s="7"/>
      <c r="J1803" s="9"/>
      <c r="K1803" s="9"/>
      <c r="L1803" s="9"/>
      <c r="M1803" s="9"/>
      <c r="N1803" s="4"/>
    </row>
    <row r="1804" spans="9:14" x14ac:dyDescent="0.3">
      <c r="I1804" s="7"/>
      <c r="J1804" s="9"/>
      <c r="K1804" s="9"/>
      <c r="L1804" s="9"/>
      <c r="M1804" s="9"/>
      <c r="N1804" s="4"/>
    </row>
    <row r="1805" spans="9:14" x14ac:dyDescent="0.3">
      <c r="I1805" s="7"/>
      <c r="J1805" s="9"/>
      <c r="K1805" s="9"/>
      <c r="L1805" s="9"/>
      <c r="M1805" s="9"/>
      <c r="N1805" s="4"/>
    </row>
    <row r="1806" spans="9:14" x14ac:dyDescent="0.3">
      <c r="I1806" s="7"/>
      <c r="J1806" s="9"/>
      <c r="K1806" s="9"/>
      <c r="L1806" s="9"/>
      <c r="M1806" s="9"/>
      <c r="N1806" s="4"/>
    </row>
    <row r="1807" spans="9:14" x14ac:dyDescent="0.3">
      <c r="I1807" s="7"/>
      <c r="J1807" s="9"/>
      <c r="K1807" s="9"/>
      <c r="L1807" s="9"/>
      <c r="M1807" s="9"/>
      <c r="N1807" s="4"/>
    </row>
    <row r="1808" spans="9:14" x14ac:dyDescent="0.3">
      <c r="I1808" s="7"/>
      <c r="J1808" s="9"/>
      <c r="K1808" s="9"/>
      <c r="L1808" s="9"/>
      <c r="M1808" s="9"/>
      <c r="N1808" s="4"/>
    </row>
    <row r="1809" spans="9:14" x14ac:dyDescent="0.3">
      <c r="I1809" s="7"/>
      <c r="J1809" s="9"/>
      <c r="K1809" s="9"/>
      <c r="L1809" s="9"/>
      <c r="M1809" s="9"/>
      <c r="N1809" s="4"/>
    </row>
    <row r="1810" spans="9:14" x14ac:dyDescent="0.3">
      <c r="I1810" s="7"/>
      <c r="J1810" s="9"/>
      <c r="K1810" s="9"/>
      <c r="L1810" s="9"/>
      <c r="M1810" s="9"/>
      <c r="N1810" s="4"/>
    </row>
    <row r="1811" spans="9:14" x14ac:dyDescent="0.3">
      <c r="I1811" s="7"/>
      <c r="J1811" s="9"/>
      <c r="K1811" s="9"/>
      <c r="L1811" s="9"/>
      <c r="M1811" s="9"/>
      <c r="N1811" s="4"/>
    </row>
    <row r="1812" spans="9:14" x14ac:dyDescent="0.3">
      <c r="I1812" s="7"/>
      <c r="J1812" s="9"/>
      <c r="K1812" s="9"/>
      <c r="L1812" s="9"/>
      <c r="M1812" s="9"/>
      <c r="N1812" s="4"/>
    </row>
    <row r="1813" spans="9:14" x14ac:dyDescent="0.3">
      <c r="I1813" s="7"/>
      <c r="J1813" s="9"/>
      <c r="K1813" s="9"/>
      <c r="L1813" s="9"/>
      <c r="M1813" s="9"/>
      <c r="N1813" s="4"/>
    </row>
    <row r="1814" spans="9:14" x14ac:dyDescent="0.3">
      <c r="I1814" s="7"/>
      <c r="J1814" s="9"/>
      <c r="K1814" s="9"/>
      <c r="L1814" s="9"/>
      <c r="M1814" s="9"/>
      <c r="N1814" s="4"/>
    </row>
    <row r="1815" spans="9:14" x14ac:dyDescent="0.3">
      <c r="I1815" s="7"/>
      <c r="J1815" s="9"/>
      <c r="K1815" s="9"/>
      <c r="L1815" s="9"/>
      <c r="M1815" s="9"/>
      <c r="N1815" s="4"/>
    </row>
    <row r="1816" spans="9:14" x14ac:dyDescent="0.3">
      <c r="I1816" s="7"/>
      <c r="J1816" s="9"/>
      <c r="K1816" s="9"/>
      <c r="L1816" s="9"/>
      <c r="M1816" s="9"/>
      <c r="N1816" s="4"/>
    </row>
    <row r="1817" spans="9:14" x14ac:dyDescent="0.3">
      <c r="I1817" s="7"/>
      <c r="J1817" s="9"/>
      <c r="K1817" s="9"/>
      <c r="L1817" s="9"/>
      <c r="M1817" s="9"/>
      <c r="N1817" s="4"/>
    </row>
    <row r="1818" spans="9:14" x14ac:dyDescent="0.3">
      <c r="I1818" s="7"/>
      <c r="J1818" s="9"/>
      <c r="K1818" s="9"/>
      <c r="L1818" s="9"/>
      <c r="M1818" s="9"/>
      <c r="N1818" s="4"/>
    </row>
    <row r="1819" spans="9:14" x14ac:dyDescent="0.3">
      <c r="I1819" s="7"/>
      <c r="J1819" s="9"/>
      <c r="K1819" s="9"/>
      <c r="L1819" s="9"/>
      <c r="M1819" s="9"/>
      <c r="N1819" s="4"/>
    </row>
    <row r="1820" spans="9:14" x14ac:dyDescent="0.3">
      <c r="I1820" s="7"/>
      <c r="J1820" s="9"/>
      <c r="K1820" s="9"/>
      <c r="L1820" s="9"/>
      <c r="M1820" s="9"/>
      <c r="N1820" s="4"/>
    </row>
    <row r="1821" spans="9:14" x14ac:dyDescent="0.3">
      <c r="I1821" s="7"/>
      <c r="J1821" s="9"/>
      <c r="K1821" s="9"/>
      <c r="L1821" s="9"/>
      <c r="M1821" s="9"/>
      <c r="N1821" s="4"/>
    </row>
    <row r="1822" spans="9:14" x14ac:dyDescent="0.3">
      <c r="I1822" s="7"/>
      <c r="J1822" s="9"/>
      <c r="K1822" s="9"/>
      <c r="L1822" s="9"/>
      <c r="M1822" s="9"/>
      <c r="N1822" s="4"/>
    </row>
    <row r="1823" spans="9:14" x14ac:dyDescent="0.3">
      <c r="I1823" s="7"/>
      <c r="J1823" s="9"/>
      <c r="K1823" s="9"/>
      <c r="L1823" s="9"/>
      <c r="M1823" s="9"/>
      <c r="N1823" s="4"/>
    </row>
    <row r="1824" spans="9:14" x14ac:dyDescent="0.3">
      <c r="I1824" s="7"/>
      <c r="J1824" s="9"/>
      <c r="K1824" s="9"/>
      <c r="L1824" s="9"/>
      <c r="M1824" s="9"/>
      <c r="N1824" s="4"/>
    </row>
    <row r="1825" spans="9:14" x14ac:dyDescent="0.3">
      <c r="I1825" s="7"/>
      <c r="J1825" s="9"/>
      <c r="K1825" s="9"/>
      <c r="L1825" s="9"/>
      <c r="M1825" s="9"/>
      <c r="N1825" s="4"/>
    </row>
    <row r="1826" spans="9:14" x14ac:dyDescent="0.3">
      <c r="I1826" s="7"/>
      <c r="J1826" s="9"/>
      <c r="K1826" s="9"/>
      <c r="L1826" s="9"/>
      <c r="M1826" s="9"/>
      <c r="N1826" s="4"/>
    </row>
    <row r="1827" spans="9:14" x14ac:dyDescent="0.3">
      <c r="I1827" s="7"/>
      <c r="J1827" s="9"/>
      <c r="K1827" s="9"/>
      <c r="L1827" s="9"/>
      <c r="M1827" s="9"/>
      <c r="N1827" s="4"/>
    </row>
    <row r="1828" spans="9:14" x14ac:dyDescent="0.3">
      <c r="I1828" s="7"/>
      <c r="J1828" s="9"/>
      <c r="K1828" s="9"/>
      <c r="L1828" s="9"/>
      <c r="M1828" s="9"/>
      <c r="N1828" s="4"/>
    </row>
    <row r="1829" spans="9:14" x14ac:dyDescent="0.3">
      <c r="I1829" s="7"/>
      <c r="J1829" s="9"/>
      <c r="K1829" s="9"/>
      <c r="L1829" s="9"/>
      <c r="M1829" s="9"/>
      <c r="N1829" s="4"/>
    </row>
    <row r="1830" spans="9:14" x14ac:dyDescent="0.3">
      <c r="I1830" s="7"/>
      <c r="J1830" s="9"/>
      <c r="K1830" s="9"/>
      <c r="L1830" s="9"/>
      <c r="M1830" s="9"/>
      <c r="N1830" s="4"/>
    </row>
    <row r="1831" spans="9:14" x14ac:dyDescent="0.3">
      <c r="I1831" s="7"/>
      <c r="J1831" s="9"/>
      <c r="K1831" s="9"/>
      <c r="L1831" s="9"/>
      <c r="M1831" s="9"/>
      <c r="N1831" s="4"/>
    </row>
    <row r="1832" spans="9:14" x14ac:dyDescent="0.3">
      <c r="I1832" s="7"/>
      <c r="J1832" s="9"/>
      <c r="K1832" s="9"/>
      <c r="L1832" s="9"/>
      <c r="M1832" s="9"/>
      <c r="N1832" s="4"/>
    </row>
    <row r="1833" spans="9:14" x14ac:dyDescent="0.3">
      <c r="I1833" s="7"/>
      <c r="J1833" s="9"/>
      <c r="K1833" s="9"/>
      <c r="L1833" s="9"/>
      <c r="M1833" s="9"/>
      <c r="N1833" s="4"/>
    </row>
    <row r="1834" spans="9:14" x14ac:dyDescent="0.3">
      <c r="I1834" s="7"/>
      <c r="J1834" s="9"/>
      <c r="K1834" s="9"/>
      <c r="L1834" s="9"/>
      <c r="M1834" s="9"/>
      <c r="N1834" s="4"/>
    </row>
    <row r="1835" spans="9:14" x14ac:dyDescent="0.3">
      <c r="I1835" s="7"/>
      <c r="J1835" s="9"/>
      <c r="K1835" s="9"/>
      <c r="L1835" s="9"/>
      <c r="M1835" s="9"/>
      <c r="N1835" s="4"/>
    </row>
    <row r="1836" spans="9:14" x14ac:dyDescent="0.3">
      <c r="I1836" s="7"/>
      <c r="J1836" s="9"/>
      <c r="K1836" s="9"/>
      <c r="L1836" s="9"/>
      <c r="M1836" s="9"/>
      <c r="N1836" s="4"/>
    </row>
    <row r="1837" spans="9:14" x14ac:dyDescent="0.3">
      <c r="I1837" s="7"/>
      <c r="J1837" s="9"/>
      <c r="K1837" s="9"/>
      <c r="L1837" s="9"/>
      <c r="M1837" s="9"/>
      <c r="N1837" s="4"/>
    </row>
    <row r="1838" spans="9:14" x14ac:dyDescent="0.3">
      <c r="I1838" s="7"/>
      <c r="J1838" s="9"/>
      <c r="K1838" s="9"/>
      <c r="L1838" s="9"/>
      <c r="M1838" s="9"/>
      <c r="N1838" s="4"/>
    </row>
    <row r="1839" spans="9:14" x14ac:dyDescent="0.3">
      <c r="I1839" s="7"/>
      <c r="J1839" s="9"/>
      <c r="K1839" s="9"/>
      <c r="L1839" s="9"/>
      <c r="M1839" s="9"/>
      <c r="N1839" s="4"/>
    </row>
    <row r="1840" spans="9:14" x14ac:dyDescent="0.3">
      <c r="I1840" s="7"/>
      <c r="J1840" s="9"/>
      <c r="K1840" s="9"/>
      <c r="L1840" s="9"/>
      <c r="M1840" s="9"/>
      <c r="N1840" s="4"/>
    </row>
    <row r="1841" spans="9:14" x14ac:dyDescent="0.3">
      <c r="I1841" s="7"/>
      <c r="J1841" s="9"/>
      <c r="K1841" s="9"/>
      <c r="L1841" s="9"/>
      <c r="M1841" s="9"/>
      <c r="N1841" s="4"/>
    </row>
    <row r="1842" spans="9:14" x14ac:dyDescent="0.3">
      <c r="I1842" s="7"/>
      <c r="J1842" s="9"/>
      <c r="K1842" s="9"/>
      <c r="L1842" s="9"/>
      <c r="M1842" s="9"/>
      <c r="N1842" s="4"/>
    </row>
    <row r="1843" spans="9:14" x14ac:dyDescent="0.3">
      <c r="I1843" s="7"/>
      <c r="J1843" s="9"/>
      <c r="K1843" s="9"/>
      <c r="L1843" s="9"/>
      <c r="M1843" s="9"/>
      <c r="N1843" s="4"/>
    </row>
    <row r="1844" spans="9:14" x14ac:dyDescent="0.3">
      <c r="I1844" s="7"/>
      <c r="J1844" s="9"/>
      <c r="K1844" s="9"/>
      <c r="L1844" s="9"/>
      <c r="M1844" s="9"/>
      <c r="N1844" s="4"/>
    </row>
    <row r="1845" spans="9:14" x14ac:dyDescent="0.3">
      <c r="I1845" s="7"/>
      <c r="J1845" s="9"/>
      <c r="K1845" s="9"/>
      <c r="L1845" s="9"/>
      <c r="M1845" s="9"/>
      <c r="N1845" s="4"/>
    </row>
    <row r="1846" spans="9:14" x14ac:dyDescent="0.3">
      <c r="I1846" s="7"/>
      <c r="J1846" s="9"/>
      <c r="K1846" s="9"/>
      <c r="L1846" s="9"/>
      <c r="M1846" s="9"/>
      <c r="N1846" s="4"/>
    </row>
    <row r="1847" spans="9:14" x14ac:dyDescent="0.3">
      <c r="I1847" s="7"/>
      <c r="J1847" s="9"/>
      <c r="K1847" s="9"/>
      <c r="L1847" s="9"/>
      <c r="M1847" s="9"/>
      <c r="N1847" s="4"/>
    </row>
    <row r="1848" spans="9:14" x14ac:dyDescent="0.3">
      <c r="I1848" s="7"/>
      <c r="J1848" s="9"/>
      <c r="K1848" s="9"/>
      <c r="L1848" s="9"/>
      <c r="M1848" s="9"/>
      <c r="N1848" s="4"/>
    </row>
    <row r="1849" spans="9:14" x14ac:dyDescent="0.3">
      <c r="I1849" s="7"/>
      <c r="J1849" s="9"/>
      <c r="K1849" s="9"/>
      <c r="L1849" s="9"/>
      <c r="M1849" s="9"/>
      <c r="N1849" s="4"/>
    </row>
    <row r="1850" spans="9:14" x14ac:dyDescent="0.3">
      <c r="I1850" s="7"/>
      <c r="J1850" s="9"/>
      <c r="K1850" s="9"/>
      <c r="L1850" s="9"/>
      <c r="M1850" s="9"/>
      <c r="N1850" s="4"/>
    </row>
    <row r="1851" spans="9:14" x14ac:dyDescent="0.3">
      <c r="I1851" s="7"/>
      <c r="J1851" s="9"/>
      <c r="K1851" s="9"/>
      <c r="L1851" s="9"/>
      <c r="M1851" s="9"/>
      <c r="N1851" s="4"/>
    </row>
    <row r="1852" spans="9:14" x14ac:dyDescent="0.3">
      <c r="I1852" s="7"/>
      <c r="J1852" s="9"/>
      <c r="K1852" s="9"/>
      <c r="L1852" s="9"/>
      <c r="M1852" s="9"/>
      <c r="N1852" s="4"/>
    </row>
    <row r="1853" spans="9:14" x14ac:dyDescent="0.3">
      <c r="I1853" s="7"/>
      <c r="J1853" s="9"/>
      <c r="K1853" s="9"/>
      <c r="L1853" s="9"/>
      <c r="M1853" s="9"/>
      <c r="N1853" s="4"/>
    </row>
    <row r="1854" spans="9:14" x14ac:dyDescent="0.3">
      <c r="I1854" s="7"/>
      <c r="J1854" s="9"/>
      <c r="K1854" s="9"/>
      <c r="L1854" s="9"/>
      <c r="M1854" s="9"/>
      <c r="N1854" s="4"/>
    </row>
    <row r="1855" spans="9:14" x14ac:dyDescent="0.3">
      <c r="I1855" s="7"/>
      <c r="J1855" s="9"/>
      <c r="K1855" s="9"/>
      <c r="L1855" s="9"/>
      <c r="M1855" s="9"/>
      <c r="N1855" s="4"/>
    </row>
    <row r="1856" spans="9:14" x14ac:dyDescent="0.3">
      <c r="I1856" s="7"/>
      <c r="J1856" s="9"/>
      <c r="K1856" s="9"/>
      <c r="L1856" s="9"/>
      <c r="M1856" s="9"/>
      <c r="N1856" s="4"/>
    </row>
    <row r="1857" spans="9:14" x14ac:dyDescent="0.3">
      <c r="I1857" s="7"/>
      <c r="J1857" s="9"/>
      <c r="K1857" s="9"/>
      <c r="L1857" s="9"/>
      <c r="M1857" s="9"/>
      <c r="N1857" s="4"/>
    </row>
    <row r="1858" spans="9:14" x14ac:dyDescent="0.3">
      <c r="I1858" s="7"/>
      <c r="J1858" s="9"/>
      <c r="K1858" s="9"/>
      <c r="L1858" s="9"/>
      <c r="M1858" s="9"/>
      <c r="N1858" s="4"/>
    </row>
    <row r="1859" spans="9:14" x14ac:dyDescent="0.3">
      <c r="I1859" s="7"/>
      <c r="J1859" s="9"/>
      <c r="K1859" s="9"/>
      <c r="L1859" s="9"/>
      <c r="M1859" s="9"/>
      <c r="N1859" s="4"/>
    </row>
    <row r="1860" spans="9:14" x14ac:dyDescent="0.3">
      <c r="I1860" s="7"/>
      <c r="J1860" s="9"/>
      <c r="K1860" s="9"/>
      <c r="L1860" s="9"/>
      <c r="M1860" s="9"/>
      <c r="N1860" s="4"/>
    </row>
    <row r="1861" spans="9:14" x14ac:dyDescent="0.3">
      <c r="I1861" s="7"/>
      <c r="J1861" s="9"/>
      <c r="K1861" s="9"/>
      <c r="L1861" s="9"/>
      <c r="M1861" s="9"/>
      <c r="N1861" s="4"/>
    </row>
    <row r="1862" spans="9:14" x14ac:dyDescent="0.3">
      <c r="I1862" s="7"/>
      <c r="J1862" s="9"/>
      <c r="K1862" s="9"/>
      <c r="L1862" s="9"/>
      <c r="M1862" s="9"/>
      <c r="N1862" s="4"/>
    </row>
    <row r="1863" spans="9:14" x14ac:dyDescent="0.3">
      <c r="I1863" s="7"/>
      <c r="J1863" s="9"/>
      <c r="K1863" s="9"/>
      <c r="L1863" s="9"/>
      <c r="M1863" s="9"/>
      <c r="N1863" s="4"/>
    </row>
    <row r="1864" spans="9:14" x14ac:dyDescent="0.3">
      <c r="I1864" s="7"/>
      <c r="J1864" s="9"/>
      <c r="K1864" s="9"/>
      <c r="L1864" s="9"/>
      <c r="M1864" s="9"/>
      <c r="N1864" s="4"/>
    </row>
    <row r="1865" spans="9:14" x14ac:dyDescent="0.3">
      <c r="I1865" s="7"/>
      <c r="J1865" s="9"/>
      <c r="K1865" s="9"/>
      <c r="L1865" s="9"/>
      <c r="M1865" s="9"/>
      <c r="N1865" s="4"/>
    </row>
    <row r="1866" spans="9:14" x14ac:dyDescent="0.3">
      <c r="I1866" s="7"/>
      <c r="J1866" s="9"/>
      <c r="K1866" s="9"/>
      <c r="L1866" s="9"/>
      <c r="M1866" s="9"/>
      <c r="N1866" s="4"/>
    </row>
    <row r="1867" spans="9:14" x14ac:dyDescent="0.3">
      <c r="I1867" s="7"/>
      <c r="J1867" s="9"/>
      <c r="K1867" s="9"/>
      <c r="L1867" s="9"/>
      <c r="M1867" s="9"/>
      <c r="N1867" s="4"/>
    </row>
    <row r="1868" spans="9:14" x14ac:dyDescent="0.3">
      <c r="I1868" s="7"/>
      <c r="J1868" s="9"/>
      <c r="K1868" s="9"/>
      <c r="L1868" s="9"/>
      <c r="M1868" s="9"/>
      <c r="N1868" s="4"/>
    </row>
    <row r="1869" spans="9:14" x14ac:dyDescent="0.3">
      <c r="I1869" s="7"/>
      <c r="J1869" s="9"/>
      <c r="K1869" s="9"/>
      <c r="L1869" s="9"/>
      <c r="M1869" s="9"/>
      <c r="N1869" s="4"/>
    </row>
    <row r="1870" spans="9:14" x14ac:dyDescent="0.3">
      <c r="I1870" s="7"/>
      <c r="J1870" s="9"/>
      <c r="K1870" s="9"/>
      <c r="L1870" s="9"/>
      <c r="M1870" s="9"/>
      <c r="N1870" s="4"/>
    </row>
    <row r="1871" spans="9:14" x14ac:dyDescent="0.3">
      <c r="I1871" s="7"/>
      <c r="J1871" s="9"/>
      <c r="K1871" s="9"/>
      <c r="L1871" s="9"/>
      <c r="M1871" s="9"/>
      <c r="N1871" s="4"/>
    </row>
    <row r="1872" spans="9:14" x14ac:dyDescent="0.3">
      <c r="I1872" s="7"/>
      <c r="J1872" s="9"/>
      <c r="K1872" s="9"/>
      <c r="L1872" s="9"/>
      <c r="M1872" s="9"/>
      <c r="N1872" s="4"/>
    </row>
    <row r="1873" spans="9:14" x14ac:dyDescent="0.3">
      <c r="I1873" s="7"/>
      <c r="J1873" s="9"/>
      <c r="K1873" s="9"/>
      <c r="L1873" s="9"/>
      <c r="M1873" s="9"/>
      <c r="N1873" s="4"/>
    </row>
    <row r="1874" spans="9:14" x14ac:dyDescent="0.3">
      <c r="I1874" s="7"/>
      <c r="J1874" s="9"/>
      <c r="K1874" s="9"/>
      <c r="L1874" s="9"/>
      <c r="M1874" s="9"/>
      <c r="N1874" s="4"/>
    </row>
    <row r="1875" spans="9:14" x14ac:dyDescent="0.3">
      <c r="I1875" s="7"/>
      <c r="J1875" s="9"/>
      <c r="K1875" s="9"/>
      <c r="L1875" s="9"/>
      <c r="M1875" s="9"/>
      <c r="N1875" s="4"/>
    </row>
    <row r="1876" spans="9:14" x14ac:dyDescent="0.3">
      <c r="I1876" s="7"/>
      <c r="J1876" s="9"/>
      <c r="K1876" s="9"/>
      <c r="L1876" s="9"/>
      <c r="M1876" s="9"/>
      <c r="N1876" s="4"/>
    </row>
    <row r="1877" spans="9:14" x14ac:dyDescent="0.3">
      <c r="I1877" s="7"/>
      <c r="J1877" s="9"/>
      <c r="K1877" s="9"/>
      <c r="L1877" s="9"/>
      <c r="M1877" s="9"/>
      <c r="N1877" s="4"/>
    </row>
    <row r="1878" spans="9:14" x14ac:dyDescent="0.3">
      <c r="I1878" s="7"/>
      <c r="J1878" s="9"/>
      <c r="K1878" s="9"/>
      <c r="L1878" s="9"/>
      <c r="M1878" s="9"/>
      <c r="N1878" s="4"/>
    </row>
    <row r="1879" spans="9:14" x14ac:dyDescent="0.3">
      <c r="I1879" s="7"/>
      <c r="J1879" s="9"/>
      <c r="K1879" s="9"/>
      <c r="L1879" s="9"/>
      <c r="M1879" s="9"/>
      <c r="N1879" s="4"/>
    </row>
    <row r="1880" spans="9:14" x14ac:dyDescent="0.3">
      <c r="I1880" s="7"/>
      <c r="J1880" s="9"/>
      <c r="K1880" s="9"/>
      <c r="L1880" s="9"/>
      <c r="M1880" s="9"/>
      <c r="N1880" s="4"/>
    </row>
    <row r="1881" spans="9:14" x14ac:dyDescent="0.3">
      <c r="I1881" s="7"/>
      <c r="J1881" s="9"/>
      <c r="K1881" s="9"/>
      <c r="L1881" s="9"/>
      <c r="M1881" s="9"/>
      <c r="N1881" s="4"/>
    </row>
    <row r="1882" spans="9:14" x14ac:dyDescent="0.3">
      <c r="I1882" s="7"/>
      <c r="J1882" s="9"/>
      <c r="K1882" s="9"/>
      <c r="L1882" s="9"/>
      <c r="M1882" s="9"/>
      <c r="N1882" s="4"/>
    </row>
    <row r="1883" spans="9:14" x14ac:dyDescent="0.3">
      <c r="I1883" s="7"/>
      <c r="J1883" s="9"/>
      <c r="K1883" s="9"/>
      <c r="L1883" s="9"/>
      <c r="M1883" s="9"/>
      <c r="N1883" s="4"/>
    </row>
    <row r="1884" spans="9:14" x14ac:dyDescent="0.3">
      <c r="I1884" s="7"/>
      <c r="J1884" s="9"/>
      <c r="K1884" s="9"/>
      <c r="L1884" s="9"/>
      <c r="M1884" s="9"/>
      <c r="N1884" s="4"/>
    </row>
    <row r="1885" spans="9:14" x14ac:dyDescent="0.3">
      <c r="I1885" s="7"/>
      <c r="J1885" s="9"/>
      <c r="K1885" s="9"/>
      <c r="L1885" s="9"/>
      <c r="M1885" s="9"/>
      <c r="N1885" s="4"/>
    </row>
    <row r="1886" spans="9:14" x14ac:dyDescent="0.3">
      <c r="I1886" s="7"/>
      <c r="J1886" s="9"/>
      <c r="K1886" s="9"/>
      <c r="L1886" s="9"/>
      <c r="M1886" s="9"/>
      <c r="N1886" s="4"/>
    </row>
    <row r="1887" spans="9:14" x14ac:dyDescent="0.3">
      <c r="I1887" s="7"/>
      <c r="J1887" s="9"/>
      <c r="K1887" s="9"/>
      <c r="L1887" s="9"/>
      <c r="M1887" s="9"/>
      <c r="N1887" s="4"/>
    </row>
    <row r="1888" spans="9:14" x14ac:dyDescent="0.3">
      <c r="I1888" s="7"/>
      <c r="J1888" s="9"/>
      <c r="K1888" s="9"/>
      <c r="L1888" s="9"/>
      <c r="M1888" s="9"/>
      <c r="N1888" s="4"/>
    </row>
    <row r="1889" spans="9:14" x14ac:dyDescent="0.3">
      <c r="I1889" s="7"/>
      <c r="J1889" s="9"/>
      <c r="K1889" s="9"/>
      <c r="L1889" s="9"/>
      <c r="M1889" s="9"/>
      <c r="N1889" s="4"/>
    </row>
    <row r="1890" spans="9:14" x14ac:dyDescent="0.3">
      <c r="I1890" s="7"/>
      <c r="J1890" s="9"/>
      <c r="K1890" s="9"/>
      <c r="L1890" s="9"/>
      <c r="M1890" s="9"/>
      <c r="N1890" s="4"/>
    </row>
    <row r="1891" spans="9:14" x14ac:dyDescent="0.3">
      <c r="I1891" s="7"/>
      <c r="J1891" s="9"/>
      <c r="K1891" s="9"/>
      <c r="L1891" s="9"/>
      <c r="M1891" s="9"/>
      <c r="N1891" s="4"/>
    </row>
    <row r="1892" spans="9:14" x14ac:dyDescent="0.3">
      <c r="I1892" s="7"/>
      <c r="J1892" s="9"/>
      <c r="K1892" s="9"/>
      <c r="L1892" s="9"/>
      <c r="M1892" s="9"/>
      <c r="N1892" s="4"/>
    </row>
    <row r="1893" spans="9:14" x14ac:dyDescent="0.3">
      <c r="I1893" s="7"/>
      <c r="J1893" s="9"/>
      <c r="K1893" s="9"/>
      <c r="L1893" s="9"/>
      <c r="M1893" s="9"/>
      <c r="N1893" s="4"/>
    </row>
    <row r="1894" spans="9:14" x14ac:dyDescent="0.3">
      <c r="I1894" s="7"/>
      <c r="J1894" s="9"/>
      <c r="K1894" s="9"/>
      <c r="L1894" s="9"/>
      <c r="M1894" s="9"/>
      <c r="N1894" s="4"/>
    </row>
    <row r="1895" spans="9:14" x14ac:dyDescent="0.3">
      <c r="I1895" s="7"/>
      <c r="J1895" s="9"/>
      <c r="K1895" s="9"/>
      <c r="L1895" s="9"/>
      <c r="M1895" s="9"/>
      <c r="N1895" s="4"/>
    </row>
    <row r="1896" spans="9:14" x14ac:dyDescent="0.3">
      <c r="I1896" s="7"/>
      <c r="J1896" s="9"/>
      <c r="K1896" s="9"/>
      <c r="L1896" s="9"/>
      <c r="M1896" s="9"/>
      <c r="N1896" s="4"/>
    </row>
    <row r="1897" spans="9:14" x14ac:dyDescent="0.3">
      <c r="I1897" s="7"/>
      <c r="J1897" s="9"/>
      <c r="K1897" s="9"/>
      <c r="L1897" s="9"/>
      <c r="M1897" s="9"/>
      <c r="N1897" s="4"/>
    </row>
    <row r="1898" spans="9:14" x14ac:dyDescent="0.3">
      <c r="I1898" s="7"/>
      <c r="J1898" s="9"/>
      <c r="K1898" s="9"/>
      <c r="L1898" s="9"/>
      <c r="M1898" s="9"/>
      <c r="N1898" s="4"/>
    </row>
    <row r="1899" spans="9:14" x14ac:dyDescent="0.3">
      <c r="I1899" s="7"/>
      <c r="J1899" s="9"/>
      <c r="K1899" s="9"/>
      <c r="L1899" s="9"/>
      <c r="M1899" s="9"/>
      <c r="N1899" s="4"/>
    </row>
    <row r="1900" spans="9:14" x14ac:dyDescent="0.3">
      <c r="I1900" s="7"/>
      <c r="J1900" s="9"/>
      <c r="K1900" s="9"/>
      <c r="L1900" s="9"/>
      <c r="M1900" s="9"/>
      <c r="N1900" s="4"/>
    </row>
    <row r="1901" spans="9:14" x14ac:dyDescent="0.3">
      <c r="I1901" s="7"/>
      <c r="J1901" s="9"/>
      <c r="K1901" s="9"/>
      <c r="L1901" s="9"/>
      <c r="M1901" s="9"/>
      <c r="N1901" s="4"/>
    </row>
    <row r="1902" spans="9:14" x14ac:dyDescent="0.3">
      <c r="I1902" s="7"/>
      <c r="J1902" s="9"/>
      <c r="K1902" s="9"/>
      <c r="L1902" s="9"/>
      <c r="M1902" s="9"/>
      <c r="N1902" s="4"/>
    </row>
    <row r="1903" spans="9:14" x14ac:dyDescent="0.3">
      <c r="I1903" s="7"/>
      <c r="J1903" s="9"/>
      <c r="K1903" s="9"/>
      <c r="L1903" s="9"/>
      <c r="M1903" s="9"/>
      <c r="N1903" s="4"/>
    </row>
    <row r="1904" spans="9:14" x14ac:dyDescent="0.3">
      <c r="I1904" s="7"/>
      <c r="J1904" s="9"/>
      <c r="K1904" s="9"/>
      <c r="L1904" s="9"/>
      <c r="M1904" s="9"/>
      <c r="N1904" s="4"/>
    </row>
    <row r="1905" spans="9:14" x14ac:dyDescent="0.3">
      <c r="I1905" s="7"/>
      <c r="J1905" s="9"/>
      <c r="K1905" s="9"/>
      <c r="L1905" s="9"/>
      <c r="M1905" s="9"/>
      <c r="N1905" s="4"/>
    </row>
    <row r="1906" spans="9:14" x14ac:dyDescent="0.3">
      <c r="I1906" s="7"/>
      <c r="J1906" s="9"/>
      <c r="K1906" s="9"/>
      <c r="L1906" s="9"/>
      <c r="M1906" s="9"/>
      <c r="N1906" s="4"/>
    </row>
    <row r="1907" spans="9:14" x14ac:dyDescent="0.3">
      <c r="I1907" s="7"/>
      <c r="J1907" s="9"/>
      <c r="K1907" s="9"/>
      <c r="L1907" s="9"/>
      <c r="M1907" s="9"/>
      <c r="N1907" s="4"/>
    </row>
    <row r="1908" spans="9:14" x14ac:dyDescent="0.3">
      <c r="I1908" s="7"/>
      <c r="J1908" s="9"/>
      <c r="K1908" s="9"/>
      <c r="L1908" s="9"/>
      <c r="M1908" s="9"/>
      <c r="N1908" s="4"/>
    </row>
    <row r="1909" spans="9:14" x14ac:dyDescent="0.3">
      <c r="I1909" s="7"/>
      <c r="J1909" s="9"/>
      <c r="K1909" s="9"/>
      <c r="L1909" s="9"/>
      <c r="M1909" s="9"/>
      <c r="N1909" s="4"/>
    </row>
    <row r="1910" spans="9:14" x14ac:dyDescent="0.3">
      <c r="I1910" s="7"/>
      <c r="J1910" s="9"/>
      <c r="K1910" s="9"/>
      <c r="L1910" s="9"/>
      <c r="M1910" s="9"/>
      <c r="N1910" s="4"/>
    </row>
    <row r="1911" spans="9:14" x14ac:dyDescent="0.3">
      <c r="I1911" s="7"/>
      <c r="J1911" s="9"/>
      <c r="K1911" s="9"/>
      <c r="L1911" s="9"/>
      <c r="M1911" s="9"/>
      <c r="N1911" s="4"/>
    </row>
    <row r="1912" spans="9:14" x14ac:dyDescent="0.3">
      <c r="I1912" s="7"/>
      <c r="J1912" s="9"/>
      <c r="K1912" s="9"/>
      <c r="L1912" s="9"/>
      <c r="M1912" s="9"/>
      <c r="N1912" s="4"/>
    </row>
    <row r="1913" spans="9:14" x14ac:dyDescent="0.3">
      <c r="I1913" s="7"/>
      <c r="J1913" s="9"/>
      <c r="K1913" s="9"/>
      <c r="L1913" s="9"/>
      <c r="M1913" s="9"/>
      <c r="N1913" s="4"/>
    </row>
    <row r="1914" spans="9:14" x14ac:dyDescent="0.3">
      <c r="I1914" s="7"/>
      <c r="J1914" s="9"/>
      <c r="K1914" s="9"/>
      <c r="L1914" s="9"/>
      <c r="M1914" s="9"/>
      <c r="N1914" s="4"/>
    </row>
    <row r="1915" spans="9:14" x14ac:dyDescent="0.3">
      <c r="I1915" s="7"/>
      <c r="J1915" s="9"/>
      <c r="K1915" s="9"/>
      <c r="L1915" s="9"/>
      <c r="M1915" s="9"/>
      <c r="N1915" s="4"/>
    </row>
    <row r="1916" spans="9:14" x14ac:dyDescent="0.3">
      <c r="I1916" s="7"/>
      <c r="J1916" s="9"/>
      <c r="K1916" s="9"/>
      <c r="L1916" s="9"/>
      <c r="M1916" s="9"/>
      <c r="N1916" s="4"/>
    </row>
    <row r="1917" spans="9:14" x14ac:dyDescent="0.3">
      <c r="I1917" s="7"/>
      <c r="J1917" s="9"/>
      <c r="K1917" s="9"/>
      <c r="L1917" s="9"/>
      <c r="M1917" s="9"/>
      <c r="N1917" s="4"/>
    </row>
    <row r="1918" spans="9:14" x14ac:dyDescent="0.3">
      <c r="I1918" s="7"/>
      <c r="J1918" s="9"/>
      <c r="K1918" s="9"/>
      <c r="L1918" s="9"/>
      <c r="M1918" s="9"/>
      <c r="N1918" s="4"/>
    </row>
    <row r="1919" spans="9:14" x14ac:dyDescent="0.3">
      <c r="I1919" s="7"/>
      <c r="J1919" s="9"/>
      <c r="K1919" s="9"/>
      <c r="L1919" s="9"/>
      <c r="M1919" s="9"/>
      <c r="N1919" s="4"/>
    </row>
    <row r="1920" spans="9:14" x14ac:dyDescent="0.3">
      <c r="I1920" s="7"/>
      <c r="J1920" s="9"/>
      <c r="K1920" s="9"/>
      <c r="L1920" s="9"/>
      <c r="M1920" s="9"/>
      <c r="N1920" s="4"/>
    </row>
    <row r="1921" spans="9:14" x14ac:dyDescent="0.3">
      <c r="I1921" s="7"/>
      <c r="J1921" s="9"/>
      <c r="K1921" s="9"/>
      <c r="L1921" s="9"/>
      <c r="M1921" s="9"/>
      <c r="N1921" s="4"/>
    </row>
    <row r="1922" spans="9:14" x14ac:dyDescent="0.3">
      <c r="I1922" s="7"/>
      <c r="J1922" s="9"/>
      <c r="K1922" s="9"/>
      <c r="L1922" s="9"/>
      <c r="M1922" s="9"/>
      <c r="N1922" s="4"/>
    </row>
    <row r="1923" spans="9:14" x14ac:dyDescent="0.3">
      <c r="I1923" s="7"/>
      <c r="J1923" s="9"/>
      <c r="K1923" s="9"/>
      <c r="L1923" s="9"/>
      <c r="M1923" s="9"/>
      <c r="N1923" s="4"/>
    </row>
    <row r="1924" spans="9:14" x14ac:dyDescent="0.3">
      <c r="I1924" s="7"/>
      <c r="J1924" s="9"/>
      <c r="K1924" s="9"/>
      <c r="L1924" s="9"/>
      <c r="M1924" s="9"/>
      <c r="N1924" s="4"/>
    </row>
    <row r="1925" spans="9:14" x14ac:dyDescent="0.3">
      <c r="I1925" s="7"/>
      <c r="J1925" s="9"/>
      <c r="K1925" s="9"/>
      <c r="L1925" s="9"/>
      <c r="M1925" s="9"/>
      <c r="N1925" s="4"/>
    </row>
    <row r="1926" spans="9:14" x14ac:dyDescent="0.3">
      <c r="I1926" s="7"/>
      <c r="J1926" s="9"/>
      <c r="K1926" s="9"/>
      <c r="L1926" s="9"/>
      <c r="M1926" s="9"/>
      <c r="N1926" s="4"/>
    </row>
    <row r="1927" spans="9:14" x14ac:dyDescent="0.3">
      <c r="I1927" s="7"/>
      <c r="J1927" s="9"/>
      <c r="K1927" s="9"/>
      <c r="L1927" s="9"/>
      <c r="M1927" s="9"/>
      <c r="N1927" s="4"/>
    </row>
    <row r="1928" spans="9:14" x14ac:dyDescent="0.3">
      <c r="I1928" s="7"/>
      <c r="J1928" s="9"/>
      <c r="K1928" s="9"/>
      <c r="L1928" s="9"/>
      <c r="M1928" s="9"/>
      <c r="N1928" s="4"/>
    </row>
    <row r="1929" spans="9:14" x14ac:dyDescent="0.3">
      <c r="I1929" s="7"/>
      <c r="J1929" s="9"/>
      <c r="K1929" s="9"/>
      <c r="L1929" s="9"/>
      <c r="M1929" s="9"/>
      <c r="N1929" s="4"/>
    </row>
    <row r="1930" spans="9:14" x14ac:dyDescent="0.3">
      <c r="I1930" s="7"/>
      <c r="J1930" s="9"/>
      <c r="K1930" s="9"/>
      <c r="L1930" s="9"/>
      <c r="M1930" s="9"/>
      <c r="N1930" s="4"/>
    </row>
    <row r="1931" spans="9:14" x14ac:dyDescent="0.3">
      <c r="I1931" s="7"/>
      <c r="J1931" s="9"/>
      <c r="K1931" s="9"/>
      <c r="L1931" s="9"/>
      <c r="M1931" s="9"/>
      <c r="N1931" s="4"/>
    </row>
    <row r="1932" spans="9:14" x14ac:dyDescent="0.3">
      <c r="I1932" s="7"/>
      <c r="J1932" s="9"/>
      <c r="K1932" s="9"/>
      <c r="L1932" s="9"/>
      <c r="M1932" s="9"/>
      <c r="N1932" s="4"/>
    </row>
    <row r="1933" spans="9:14" x14ac:dyDescent="0.3">
      <c r="I1933" s="7"/>
      <c r="J1933" s="9"/>
      <c r="K1933" s="9"/>
      <c r="L1933" s="9"/>
      <c r="M1933" s="9"/>
      <c r="N1933" s="4"/>
    </row>
    <row r="1934" spans="9:14" x14ac:dyDescent="0.3">
      <c r="I1934" s="7"/>
      <c r="J1934" s="9"/>
      <c r="K1934" s="9"/>
      <c r="L1934" s="9"/>
      <c r="M1934" s="9"/>
      <c r="N1934" s="4"/>
    </row>
    <row r="1935" spans="9:14" x14ac:dyDescent="0.3">
      <c r="I1935" s="7"/>
      <c r="J1935" s="9"/>
      <c r="K1935" s="9"/>
      <c r="L1935" s="9"/>
      <c r="M1935" s="9"/>
      <c r="N1935" s="4"/>
    </row>
    <row r="1936" spans="9:14" x14ac:dyDescent="0.3">
      <c r="I1936" s="7"/>
      <c r="J1936" s="9"/>
      <c r="K1936" s="9"/>
      <c r="L1936" s="9"/>
      <c r="M1936" s="9"/>
      <c r="N1936" s="4"/>
    </row>
    <row r="1937" spans="9:14" x14ac:dyDescent="0.3">
      <c r="I1937" s="7"/>
      <c r="J1937" s="9"/>
      <c r="K1937" s="9"/>
      <c r="L1937" s="9"/>
      <c r="M1937" s="9"/>
      <c r="N1937" s="4"/>
    </row>
    <row r="1938" spans="9:14" x14ac:dyDescent="0.3">
      <c r="I1938" s="7"/>
      <c r="J1938" s="9"/>
      <c r="K1938" s="9"/>
      <c r="L1938" s="9"/>
      <c r="M1938" s="9"/>
      <c r="N1938" s="4"/>
    </row>
    <row r="1939" spans="9:14" x14ac:dyDescent="0.3">
      <c r="I1939" s="7"/>
      <c r="J1939" s="9"/>
      <c r="K1939" s="9"/>
      <c r="L1939" s="9"/>
      <c r="M1939" s="9"/>
      <c r="N1939" s="4"/>
    </row>
    <row r="1940" spans="9:14" x14ac:dyDescent="0.3">
      <c r="I1940" s="7"/>
      <c r="J1940" s="9"/>
      <c r="K1940" s="9"/>
      <c r="L1940" s="9"/>
      <c r="M1940" s="9"/>
      <c r="N1940" s="4"/>
    </row>
    <row r="1941" spans="9:14" x14ac:dyDescent="0.3">
      <c r="I1941" s="7"/>
      <c r="J1941" s="9"/>
      <c r="K1941" s="9"/>
      <c r="L1941" s="9"/>
      <c r="M1941" s="9"/>
      <c r="N1941" s="4"/>
    </row>
    <row r="1942" spans="9:14" x14ac:dyDescent="0.3">
      <c r="I1942" s="7"/>
      <c r="J1942" s="9"/>
      <c r="K1942" s="9"/>
      <c r="L1942" s="9"/>
      <c r="M1942" s="9"/>
      <c r="N1942" s="4"/>
    </row>
    <row r="1943" spans="9:14" x14ac:dyDescent="0.3">
      <c r="I1943" s="7"/>
      <c r="J1943" s="9"/>
      <c r="K1943" s="9"/>
      <c r="L1943" s="9"/>
      <c r="M1943" s="9"/>
      <c r="N1943" s="4"/>
    </row>
    <row r="1944" spans="9:14" x14ac:dyDescent="0.3">
      <c r="I1944" s="7"/>
      <c r="J1944" s="9"/>
      <c r="K1944" s="9"/>
      <c r="L1944" s="9"/>
      <c r="M1944" s="9"/>
      <c r="N1944" s="4"/>
    </row>
    <row r="1945" spans="9:14" x14ac:dyDescent="0.3">
      <c r="I1945" s="7"/>
      <c r="J1945" s="9"/>
      <c r="K1945" s="9"/>
      <c r="L1945" s="9"/>
      <c r="M1945" s="9"/>
      <c r="N1945" s="4"/>
    </row>
    <row r="1946" spans="9:14" x14ac:dyDescent="0.3">
      <c r="I1946" s="7"/>
      <c r="J1946" s="9"/>
      <c r="K1946" s="9"/>
      <c r="L1946" s="9"/>
      <c r="M1946" s="9"/>
      <c r="N1946" s="4"/>
    </row>
    <row r="1947" spans="9:14" x14ac:dyDescent="0.3">
      <c r="I1947" s="7"/>
      <c r="J1947" s="9"/>
      <c r="K1947" s="9"/>
      <c r="L1947" s="9"/>
      <c r="M1947" s="9"/>
      <c r="N1947" s="4"/>
    </row>
    <row r="1948" spans="9:14" x14ac:dyDescent="0.3">
      <c r="I1948" s="7"/>
      <c r="J1948" s="9"/>
      <c r="K1948" s="9"/>
      <c r="L1948" s="9"/>
      <c r="M1948" s="9"/>
      <c r="N1948" s="4"/>
    </row>
    <row r="1949" spans="9:14" x14ac:dyDescent="0.3">
      <c r="I1949" s="7"/>
      <c r="J1949" s="9"/>
      <c r="K1949" s="9"/>
      <c r="L1949" s="9"/>
      <c r="M1949" s="9"/>
      <c r="N1949" s="4"/>
    </row>
    <row r="1950" spans="9:14" x14ac:dyDescent="0.3">
      <c r="I1950" s="7"/>
      <c r="J1950" s="9"/>
      <c r="K1950" s="9"/>
      <c r="L1950" s="9"/>
      <c r="M1950" s="9"/>
      <c r="N1950" s="4"/>
    </row>
    <row r="1951" spans="9:14" x14ac:dyDescent="0.3">
      <c r="I1951" s="7"/>
      <c r="J1951" s="9"/>
      <c r="K1951" s="9"/>
      <c r="L1951" s="9"/>
      <c r="M1951" s="9"/>
      <c r="N1951" s="4"/>
    </row>
    <row r="1952" spans="9:14" x14ac:dyDescent="0.3">
      <c r="I1952" s="7"/>
      <c r="J1952" s="9"/>
      <c r="K1952" s="9"/>
      <c r="L1952" s="9"/>
      <c r="M1952" s="9"/>
      <c r="N1952" s="4"/>
    </row>
    <row r="1953" spans="9:14" x14ac:dyDescent="0.3">
      <c r="I1953" s="7"/>
      <c r="J1953" s="9"/>
      <c r="K1953" s="9"/>
      <c r="L1953" s="9"/>
      <c r="M1953" s="9"/>
      <c r="N1953" s="4"/>
    </row>
    <row r="1954" spans="9:14" x14ac:dyDescent="0.3">
      <c r="I1954" s="7"/>
      <c r="J1954" s="9"/>
      <c r="K1954" s="9"/>
      <c r="L1954" s="9"/>
      <c r="M1954" s="9"/>
      <c r="N1954" s="4"/>
    </row>
    <row r="1955" spans="9:14" x14ac:dyDescent="0.3">
      <c r="I1955" s="7"/>
      <c r="J1955" s="9"/>
      <c r="K1955" s="9"/>
      <c r="L1955" s="9"/>
      <c r="M1955" s="9"/>
      <c r="N1955" s="4"/>
    </row>
    <row r="1956" spans="9:14" x14ac:dyDescent="0.3">
      <c r="I1956" s="7"/>
      <c r="J1956" s="9"/>
      <c r="K1956" s="9"/>
      <c r="L1956" s="9"/>
      <c r="M1956" s="9"/>
      <c r="N1956" s="4"/>
    </row>
    <row r="1957" spans="9:14" x14ac:dyDescent="0.3">
      <c r="I1957" s="7"/>
      <c r="J1957" s="9"/>
      <c r="K1957" s="9"/>
      <c r="L1957" s="9"/>
      <c r="M1957" s="9"/>
      <c r="N1957" s="4"/>
    </row>
    <row r="1958" spans="9:14" x14ac:dyDescent="0.3">
      <c r="I1958" s="7"/>
      <c r="J1958" s="9"/>
      <c r="K1958" s="9"/>
      <c r="L1958" s="9"/>
      <c r="M1958" s="9"/>
      <c r="N1958" s="4"/>
    </row>
    <row r="1959" spans="9:14" x14ac:dyDescent="0.3">
      <c r="I1959" s="7"/>
      <c r="J1959" s="9"/>
      <c r="K1959" s="9"/>
      <c r="L1959" s="9"/>
      <c r="M1959" s="9"/>
      <c r="N1959" s="4"/>
    </row>
    <row r="1960" spans="9:14" x14ac:dyDescent="0.3">
      <c r="I1960" s="7"/>
      <c r="J1960" s="9"/>
      <c r="K1960" s="9"/>
      <c r="L1960" s="9"/>
      <c r="M1960" s="9"/>
      <c r="N1960" s="4"/>
    </row>
    <row r="1961" spans="9:14" x14ac:dyDescent="0.3">
      <c r="I1961" s="7"/>
      <c r="J1961" s="9"/>
      <c r="K1961" s="9"/>
      <c r="L1961" s="9"/>
      <c r="M1961" s="9"/>
      <c r="N1961" s="4"/>
    </row>
    <row r="1962" spans="9:14" x14ac:dyDescent="0.3">
      <c r="I1962" s="7"/>
      <c r="J1962" s="9"/>
      <c r="K1962" s="9"/>
      <c r="L1962" s="9"/>
      <c r="M1962" s="9"/>
      <c r="N1962" s="4"/>
    </row>
    <row r="1963" spans="9:14" x14ac:dyDescent="0.3">
      <c r="I1963" s="7"/>
      <c r="J1963" s="9"/>
      <c r="K1963" s="9"/>
      <c r="L1963" s="9"/>
      <c r="M1963" s="9"/>
      <c r="N1963" s="4"/>
    </row>
    <row r="1964" spans="9:14" x14ac:dyDescent="0.3">
      <c r="I1964" s="7"/>
      <c r="J1964" s="9"/>
      <c r="K1964" s="9"/>
      <c r="L1964" s="9"/>
      <c r="M1964" s="9"/>
      <c r="N1964" s="4"/>
    </row>
    <row r="1965" spans="9:14" x14ac:dyDescent="0.3">
      <c r="I1965" s="7"/>
      <c r="J1965" s="9"/>
      <c r="K1965" s="9"/>
      <c r="L1965" s="9"/>
      <c r="M1965" s="9"/>
      <c r="N1965" s="4"/>
    </row>
    <row r="1966" spans="9:14" x14ac:dyDescent="0.3">
      <c r="I1966" s="7"/>
      <c r="J1966" s="9"/>
      <c r="K1966" s="9"/>
      <c r="L1966" s="9"/>
      <c r="M1966" s="9"/>
      <c r="N1966" s="4"/>
    </row>
    <row r="1967" spans="9:14" x14ac:dyDescent="0.3">
      <c r="I1967" s="7"/>
      <c r="J1967" s="9"/>
      <c r="K1967" s="9"/>
      <c r="L1967" s="9"/>
      <c r="M1967" s="9"/>
      <c r="N1967" s="4"/>
    </row>
    <row r="1968" spans="9:14" x14ac:dyDescent="0.3">
      <c r="I1968" s="7"/>
      <c r="J1968" s="9"/>
      <c r="K1968" s="9"/>
      <c r="L1968" s="9"/>
      <c r="M1968" s="9"/>
      <c r="N1968" s="4"/>
    </row>
    <row r="1969" spans="9:14" x14ac:dyDescent="0.3">
      <c r="I1969" s="7"/>
      <c r="J1969" s="9"/>
      <c r="K1969" s="9"/>
      <c r="L1969" s="9"/>
      <c r="M1969" s="9"/>
      <c r="N1969" s="4"/>
    </row>
    <row r="1970" spans="9:14" x14ac:dyDescent="0.3">
      <c r="I1970" s="7"/>
      <c r="J1970" s="9"/>
      <c r="K1970" s="9"/>
      <c r="L1970" s="9"/>
      <c r="M1970" s="9"/>
      <c r="N1970" s="4"/>
    </row>
    <row r="1971" spans="9:14" x14ac:dyDescent="0.3">
      <c r="I1971" s="7"/>
      <c r="J1971" s="9"/>
      <c r="K1971" s="9"/>
      <c r="L1971" s="9"/>
      <c r="M1971" s="9"/>
      <c r="N1971" s="4"/>
    </row>
    <row r="1972" spans="9:14" x14ac:dyDescent="0.3">
      <c r="I1972" s="7"/>
      <c r="J1972" s="9"/>
      <c r="K1972" s="9"/>
      <c r="L1972" s="9"/>
      <c r="M1972" s="9"/>
      <c r="N1972" s="4"/>
    </row>
    <row r="1973" spans="9:14" x14ac:dyDescent="0.3">
      <c r="I1973" s="7"/>
      <c r="J1973" s="9"/>
      <c r="K1973" s="9"/>
      <c r="L1973" s="9"/>
      <c r="M1973" s="9"/>
      <c r="N1973" s="4"/>
    </row>
    <row r="1974" spans="9:14" x14ac:dyDescent="0.3">
      <c r="I1974" s="7"/>
      <c r="J1974" s="9"/>
      <c r="K1974" s="9"/>
      <c r="L1974" s="9"/>
      <c r="M1974" s="9"/>
      <c r="N1974" s="4"/>
    </row>
    <row r="1975" spans="9:14" x14ac:dyDescent="0.3">
      <c r="I1975" s="7"/>
      <c r="J1975" s="9"/>
      <c r="K1975" s="9"/>
      <c r="L1975" s="9"/>
      <c r="M1975" s="9"/>
      <c r="N1975" s="4"/>
    </row>
    <row r="1976" spans="9:14" x14ac:dyDescent="0.3">
      <c r="I1976" s="7"/>
      <c r="J1976" s="9"/>
      <c r="K1976" s="9"/>
      <c r="L1976" s="9"/>
      <c r="M1976" s="9"/>
      <c r="N1976" s="4"/>
    </row>
    <row r="1977" spans="9:14" x14ac:dyDescent="0.3">
      <c r="I1977" s="7"/>
      <c r="J1977" s="9"/>
      <c r="K1977" s="9"/>
      <c r="L1977" s="9"/>
      <c r="M1977" s="9"/>
      <c r="N1977" s="4"/>
    </row>
    <row r="1978" spans="9:14" x14ac:dyDescent="0.3">
      <c r="I1978" s="7"/>
      <c r="J1978" s="9"/>
      <c r="K1978" s="9"/>
      <c r="L1978" s="9"/>
      <c r="M1978" s="9"/>
      <c r="N1978" s="4"/>
    </row>
    <row r="1979" spans="9:14" x14ac:dyDescent="0.3">
      <c r="I1979" s="7"/>
      <c r="J1979" s="9"/>
      <c r="K1979" s="9"/>
      <c r="L1979" s="9"/>
      <c r="M1979" s="9"/>
      <c r="N1979" s="4"/>
    </row>
    <row r="1980" spans="9:14" x14ac:dyDescent="0.3">
      <c r="I1980" s="7"/>
      <c r="J1980" s="9"/>
      <c r="K1980" s="9"/>
      <c r="L1980" s="9"/>
      <c r="M1980" s="9"/>
      <c r="N1980" s="4"/>
    </row>
    <row r="1981" spans="9:14" x14ac:dyDescent="0.3">
      <c r="I1981" s="7"/>
      <c r="J1981" s="9"/>
      <c r="K1981" s="9"/>
      <c r="L1981" s="9"/>
      <c r="M1981" s="9"/>
      <c r="N1981" s="4"/>
    </row>
    <row r="1982" spans="9:14" x14ac:dyDescent="0.3">
      <c r="I1982" s="7"/>
      <c r="J1982" s="9"/>
      <c r="K1982" s="9"/>
      <c r="L1982" s="9"/>
      <c r="M1982" s="9"/>
      <c r="N1982" s="4"/>
    </row>
    <row r="1983" spans="9:14" x14ac:dyDescent="0.3">
      <c r="I1983" s="7"/>
      <c r="J1983" s="9"/>
      <c r="K1983" s="9"/>
      <c r="L1983" s="9"/>
      <c r="M1983" s="9"/>
      <c r="N1983" s="4"/>
    </row>
    <row r="1984" spans="9:14" x14ac:dyDescent="0.3">
      <c r="I1984" s="7"/>
      <c r="J1984" s="9"/>
      <c r="K1984" s="9"/>
      <c r="L1984" s="9"/>
      <c r="M1984" s="9"/>
      <c r="N1984" s="4"/>
    </row>
    <row r="1985" spans="9:14" x14ac:dyDescent="0.3">
      <c r="I1985" s="7"/>
      <c r="J1985" s="9"/>
      <c r="K1985" s="9"/>
      <c r="L1985" s="9"/>
      <c r="M1985" s="9"/>
      <c r="N1985" s="4"/>
    </row>
    <row r="1986" spans="9:14" x14ac:dyDescent="0.3">
      <c r="I1986" s="7"/>
      <c r="J1986" s="9"/>
      <c r="K1986" s="9"/>
      <c r="L1986" s="9"/>
      <c r="M1986" s="9"/>
      <c r="N1986" s="4"/>
    </row>
    <row r="1987" spans="9:14" x14ac:dyDescent="0.3">
      <c r="I1987" s="7"/>
      <c r="J1987" s="9"/>
      <c r="K1987" s="9"/>
      <c r="L1987" s="9"/>
      <c r="M1987" s="9"/>
      <c r="N1987" s="4"/>
    </row>
    <row r="1988" spans="9:14" x14ac:dyDescent="0.3">
      <c r="I1988" s="7"/>
      <c r="J1988" s="9"/>
      <c r="K1988" s="9"/>
      <c r="L1988" s="9"/>
      <c r="M1988" s="9"/>
      <c r="N1988" s="4"/>
    </row>
    <row r="1989" spans="9:14" x14ac:dyDescent="0.3">
      <c r="I1989" s="7"/>
      <c r="J1989" s="9"/>
      <c r="K1989" s="9"/>
      <c r="L1989" s="9"/>
      <c r="M1989" s="9"/>
      <c r="N1989" s="4"/>
    </row>
    <row r="1990" spans="9:14" x14ac:dyDescent="0.3">
      <c r="I1990" s="7"/>
      <c r="J1990" s="9"/>
      <c r="K1990" s="9"/>
      <c r="L1990" s="9"/>
      <c r="M1990" s="9"/>
      <c r="N1990" s="4"/>
    </row>
    <row r="1991" spans="9:14" x14ac:dyDescent="0.3">
      <c r="I1991" s="7"/>
      <c r="J1991" s="9"/>
      <c r="K1991" s="9"/>
      <c r="L1991" s="9"/>
      <c r="M1991" s="9"/>
      <c r="N1991" s="4"/>
    </row>
    <row r="1992" spans="9:14" x14ac:dyDescent="0.3">
      <c r="I1992" s="7"/>
      <c r="J1992" s="9"/>
      <c r="K1992" s="9"/>
      <c r="L1992" s="9"/>
      <c r="M1992" s="9"/>
      <c r="N1992" s="4"/>
    </row>
    <row r="1993" spans="9:14" x14ac:dyDescent="0.3">
      <c r="I1993" s="7"/>
      <c r="J1993" s="9"/>
      <c r="K1993" s="9"/>
      <c r="L1993" s="9"/>
      <c r="M1993" s="9"/>
      <c r="N1993" s="4"/>
    </row>
    <row r="1994" spans="9:14" x14ac:dyDescent="0.3">
      <c r="I1994" s="7"/>
      <c r="J1994" s="9"/>
      <c r="K1994" s="9"/>
      <c r="L1994" s="9"/>
      <c r="M1994" s="9"/>
      <c r="N1994" s="4"/>
    </row>
    <row r="1995" spans="9:14" x14ac:dyDescent="0.3">
      <c r="I1995" s="7"/>
      <c r="J1995" s="9"/>
      <c r="K1995" s="9"/>
      <c r="L1995" s="9"/>
      <c r="M1995" s="9"/>
      <c r="N1995" s="4"/>
    </row>
    <row r="1996" spans="9:14" x14ac:dyDescent="0.3">
      <c r="I1996" s="7"/>
      <c r="J1996" s="9"/>
      <c r="K1996" s="9"/>
      <c r="L1996" s="9"/>
      <c r="M1996" s="9"/>
      <c r="N1996" s="4"/>
    </row>
    <row r="1997" spans="9:14" x14ac:dyDescent="0.3">
      <c r="I1997" s="7"/>
      <c r="J1997" s="9"/>
      <c r="K1997" s="9"/>
      <c r="L1997" s="9"/>
      <c r="M1997" s="9"/>
      <c r="N1997" s="4"/>
    </row>
    <row r="1998" spans="9:14" x14ac:dyDescent="0.3">
      <c r="I1998" s="7"/>
      <c r="J1998" s="9"/>
      <c r="K1998" s="9"/>
      <c r="L1998" s="9"/>
      <c r="M1998" s="9"/>
      <c r="N1998" s="4"/>
    </row>
    <row r="1999" spans="9:14" x14ac:dyDescent="0.3">
      <c r="I1999" s="7"/>
      <c r="J1999" s="9"/>
      <c r="K1999" s="9"/>
      <c r="L1999" s="9"/>
      <c r="M1999" s="9"/>
      <c r="N1999" s="4"/>
    </row>
    <row r="2000" spans="9:14" x14ac:dyDescent="0.3">
      <c r="I2000" s="7"/>
      <c r="J2000" s="9"/>
      <c r="K2000" s="9"/>
      <c r="L2000" s="9"/>
      <c r="M2000" s="9"/>
      <c r="N2000" s="4"/>
    </row>
    <row r="2001" spans="9:14" x14ac:dyDescent="0.3">
      <c r="I2001" s="7"/>
      <c r="J2001" s="9"/>
      <c r="K2001" s="9"/>
      <c r="L2001" s="9"/>
      <c r="M2001" s="9"/>
      <c r="N2001" s="4"/>
    </row>
    <row r="2002" spans="9:14" x14ac:dyDescent="0.3">
      <c r="I2002" s="7"/>
      <c r="J2002" s="9"/>
      <c r="K2002" s="9"/>
      <c r="L2002" s="9"/>
      <c r="M2002" s="9"/>
      <c r="N2002" s="4"/>
    </row>
    <row r="2003" spans="9:14" x14ac:dyDescent="0.3">
      <c r="I2003" s="7"/>
      <c r="J2003" s="9"/>
      <c r="K2003" s="9"/>
      <c r="L2003" s="9"/>
      <c r="M2003" s="9"/>
      <c r="N2003" s="4"/>
    </row>
    <row r="2004" spans="9:14" x14ac:dyDescent="0.3">
      <c r="I2004" s="7"/>
      <c r="J2004" s="9"/>
      <c r="K2004" s="9"/>
      <c r="L2004" s="9"/>
      <c r="M2004" s="9"/>
      <c r="N2004" s="4"/>
    </row>
    <row r="2005" spans="9:14" x14ac:dyDescent="0.3">
      <c r="I2005" s="7"/>
      <c r="J2005" s="9"/>
      <c r="K2005" s="9"/>
      <c r="L2005" s="9"/>
      <c r="M2005" s="9"/>
      <c r="N2005" s="4"/>
    </row>
    <row r="2006" spans="9:14" x14ac:dyDescent="0.3">
      <c r="I2006" s="7"/>
      <c r="J2006" s="9"/>
      <c r="K2006" s="9"/>
      <c r="L2006" s="9"/>
      <c r="M2006" s="9"/>
      <c r="N2006" s="4"/>
    </row>
    <row r="2007" spans="9:14" x14ac:dyDescent="0.3">
      <c r="I2007" s="7"/>
      <c r="J2007" s="9"/>
      <c r="K2007" s="9"/>
      <c r="L2007" s="9"/>
      <c r="M2007" s="9"/>
      <c r="N2007" s="4"/>
    </row>
    <row r="2008" spans="9:14" x14ac:dyDescent="0.3">
      <c r="I2008" s="7"/>
      <c r="J2008" s="9"/>
      <c r="K2008" s="9"/>
      <c r="L2008" s="9"/>
      <c r="M2008" s="9"/>
      <c r="N2008" s="4"/>
    </row>
    <row r="2009" spans="9:14" x14ac:dyDescent="0.3">
      <c r="I2009" s="7"/>
      <c r="J2009" s="9"/>
      <c r="K2009" s="9"/>
      <c r="L2009" s="9"/>
      <c r="M2009" s="9"/>
      <c r="N2009" s="4"/>
    </row>
    <row r="2010" spans="9:14" x14ac:dyDescent="0.3">
      <c r="I2010" s="7"/>
      <c r="J2010" s="9"/>
      <c r="K2010" s="9"/>
      <c r="L2010" s="9"/>
      <c r="M2010" s="9"/>
      <c r="N2010" s="4"/>
    </row>
    <row r="2011" spans="9:14" x14ac:dyDescent="0.3">
      <c r="I2011" s="7"/>
      <c r="J2011" s="9"/>
      <c r="K2011" s="9"/>
      <c r="L2011" s="9"/>
      <c r="M2011" s="9"/>
      <c r="N2011" s="4"/>
    </row>
    <row r="2012" spans="9:14" x14ac:dyDescent="0.3">
      <c r="I2012" s="7"/>
      <c r="J2012" s="9"/>
      <c r="K2012" s="9"/>
      <c r="L2012" s="9"/>
      <c r="M2012" s="9"/>
      <c r="N2012" s="4"/>
    </row>
    <row r="2013" spans="9:14" x14ac:dyDescent="0.3">
      <c r="I2013" s="7"/>
      <c r="J2013" s="9"/>
      <c r="K2013" s="9"/>
      <c r="L2013" s="9"/>
      <c r="M2013" s="9"/>
      <c r="N2013" s="4"/>
    </row>
    <row r="2014" spans="9:14" x14ac:dyDescent="0.3">
      <c r="I2014" s="7"/>
      <c r="J2014" s="9"/>
      <c r="K2014" s="9"/>
      <c r="L2014" s="9"/>
      <c r="M2014" s="9"/>
      <c r="N2014" s="4"/>
    </row>
    <row r="2015" spans="9:14" x14ac:dyDescent="0.3">
      <c r="I2015" s="7"/>
      <c r="J2015" s="9"/>
      <c r="K2015" s="9"/>
      <c r="L2015" s="9"/>
      <c r="M2015" s="9"/>
      <c r="N2015" s="4"/>
    </row>
    <row r="2016" spans="9:14" x14ac:dyDescent="0.3">
      <c r="I2016" s="7"/>
      <c r="J2016" s="9"/>
      <c r="K2016" s="9"/>
      <c r="L2016" s="9"/>
      <c r="M2016" s="9"/>
      <c r="N2016" s="4"/>
    </row>
    <row r="2017" spans="9:14" x14ac:dyDescent="0.3">
      <c r="I2017" s="7"/>
      <c r="J2017" s="9"/>
      <c r="K2017" s="9"/>
      <c r="L2017" s="9"/>
      <c r="M2017" s="9"/>
      <c r="N2017" s="4"/>
    </row>
    <row r="2018" spans="9:14" x14ac:dyDescent="0.3">
      <c r="I2018" s="7"/>
      <c r="J2018" s="9"/>
      <c r="K2018" s="9"/>
      <c r="L2018" s="9"/>
      <c r="M2018" s="9"/>
      <c r="N2018" s="4"/>
    </row>
    <row r="2019" spans="9:14" x14ac:dyDescent="0.3">
      <c r="I2019" s="7"/>
      <c r="J2019" s="9"/>
      <c r="K2019" s="9"/>
      <c r="L2019" s="9"/>
      <c r="M2019" s="9"/>
      <c r="N2019" s="4"/>
    </row>
    <row r="2020" spans="9:14" x14ac:dyDescent="0.3">
      <c r="I2020" s="7"/>
      <c r="J2020" s="9"/>
      <c r="K2020" s="9"/>
      <c r="L2020" s="9"/>
      <c r="M2020" s="9"/>
      <c r="N2020" s="4"/>
    </row>
    <row r="2021" spans="9:14" x14ac:dyDescent="0.3">
      <c r="I2021" s="7"/>
      <c r="J2021" s="9"/>
      <c r="K2021" s="9"/>
      <c r="L2021" s="9"/>
      <c r="M2021" s="9"/>
      <c r="N2021" s="4"/>
    </row>
    <row r="2022" spans="9:14" x14ac:dyDescent="0.3">
      <c r="I2022" s="7"/>
      <c r="J2022" s="9"/>
      <c r="K2022" s="9"/>
      <c r="L2022" s="9"/>
      <c r="M2022" s="9"/>
      <c r="N2022" s="4"/>
    </row>
    <row r="2023" spans="9:14" x14ac:dyDescent="0.3">
      <c r="I2023" s="7"/>
      <c r="J2023" s="9"/>
      <c r="K2023" s="9"/>
      <c r="L2023" s="9"/>
      <c r="M2023" s="9"/>
      <c r="N2023" s="4"/>
    </row>
    <row r="2024" spans="9:14" x14ac:dyDescent="0.3">
      <c r="I2024" s="7"/>
      <c r="J2024" s="9"/>
      <c r="K2024" s="9"/>
      <c r="L2024" s="9"/>
      <c r="M2024" s="9"/>
      <c r="N2024" s="4"/>
    </row>
    <row r="2025" spans="9:14" x14ac:dyDescent="0.3">
      <c r="I2025" s="7"/>
      <c r="J2025" s="9"/>
      <c r="K2025" s="9"/>
      <c r="L2025" s="9"/>
      <c r="M2025" s="9"/>
      <c r="N2025" s="4"/>
    </row>
    <row r="2026" spans="9:14" x14ac:dyDescent="0.3">
      <c r="I2026" s="7"/>
      <c r="J2026" s="9"/>
      <c r="K2026" s="9"/>
      <c r="L2026" s="9"/>
      <c r="M2026" s="9"/>
      <c r="N2026" s="4"/>
    </row>
    <row r="2027" spans="9:14" x14ac:dyDescent="0.3">
      <c r="I2027" s="7"/>
      <c r="J2027" s="9"/>
      <c r="K2027" s="9"/>
      <c r="L2027" s="9"/>
      <c r="M2027" s="9"/>
      <c r="N2027" s="4"/>
    </row>
    <row r="2028" spans="9:14" x14ac:dyDescent="0.3">
      <c r="I2028" s="7"/>
      <c r="J2028" s="9"/>
      <c r="K2028" s="9"/>
      <c r="L2028" s="9"/>
      <c r="M2028" s="9"/>
      <c r="N2028" s="4"/>
    </row>
    <row r="2029" spans="9:14" x14ac:dyDescent="0.3">
      <c r="I2029" s="7"/>
      <c r="J2029" s="9"/>
      <c r="K2029" s="9"/>
      <c r="L2029" s="9"/>
      <c r="M2029" s="9"/>
      <c r="N2029" s="4"/>
    </row>
    <row r="2030" spans="9:14" x14ac:dyDescent="0.3">
      <c r="I2030" s="7"/>
      <c r="J2030" s="9"/>
      <c r="K2030" s="9"/>
      <c r="L2030" s="9"/>
      <c r="M2030" s="9"/>
      <c r="N2030" s="4"/>
    </row>
    <row r="2031" spans="9:14" x14ac:dyDescent="0.3">
      <c r="I2031" s="7"/>
      <c r="J2031" s="9"/>
      <c r="K2031" s="9"/>
      <c r="L2031" s="9"/>
      <c r="M2031" s="9"/>
      <c r="N2031" s="4"/>
    </row>
    <row r="2032" spans="9:14" x14ac:dyDescent="0.3">
      <c r="I2032" s="7"/>
      <c r="J2032" s="9"/>
      <c r="K2032" s="9"/>
      <c r="L2032" s="9"/>
      <c r="M2032" s="9"/>
      <c r="N2032" s="4"/>
    </row>
    <row r="2033" spans="9:14" x14ac:dyDescent="0.3">
      <c r="I2033" s="7"/>
      <c r="J2033" s="9"/>
      <c r="K2033" s="9"/>
      <c r="L2033" s="9"/>
      <c r="M2033" s="9"/>
      <c r="N2033" s="4"/>
    </row>
    <row r="2034" spans="9:14" x14ac:dyDescent="0.3">
      <c r="I2034" s="7"/>
      <c r="J2034" s="9"/>
      <c r="K2034" s="9"/>
      <c r="L2034" s="9"/>
      <c r="M2034" s="9"/>
      <c r="N2034" s="4"/>
    </row>
    <row r="2035" spans="9:14" x14ac:dyDescent="0.3">
      <c r="I2035" s="7"/>
      <c r="J2035" s="9"/>
      <c r="K2035" s="9"/>
      <c r="L2035" s="9"/>
      <c r="M2035" s="9"/>
      <c r="N2035" s="4"/>
    </row>
    <row r="2036" spans="9:14" x14ac:dyDescent="0.3">
      <c r="I2036" s="7"/>
      <c r="J2036" s="9"/>
      <c r="K2036" s="9"/>
      <c r="L2036" s="9"/>
      <c r="M2036" s="9"/>
      <c r="N2036" s="4"/>
    </row>
    <row r="2037" spans="9:14" x14ac:dyDescent="0.3">
      <c r="I2037" s="7"/>
      <c r="J2037" s="9"/>
      <c r="K2037" s="9"/>
      <c r="L2037" s="9"/>
      <c r="M2037" s="9"/>
      <c r="N2037" s="4"/>
    </row>
    <row r="2038" spans="9:14" x14ac:dyDescent="0.3">
      <c r="I2038" s="7"/>
      <c r="J2038" s="9"/>
      <c r="K2038" s="9"/>
      <c r="L2038" s="9"/>
      <c r="M2038" s="9"/>
      <c r="N2038" s="4"/>
    </row>
    <row r="2039" spans="9:14" x14ac:dyDescent="0.3">
      <c r="I2039" s="7"/>
      <c r="J2039" s="9"/>
      <c r="K2039" s="9"/>
      <c r="L2039" s="9"/>
      <c r="M2039" s="9"/>
      <c r="N2039" s="4"/>
    </row>
    <row r="2040" spans="9:14" x14ac:dyDescent="0.3">
      <c r="I2040" s="7"/>
      <c r="J2040" s="9"/>
      <c r="K2040" s="9"/>
      <c r="L2040" s="9"/>
      <c r="M2040" s="9"/>
      <c r="N2040" s="4"/>
    </row>
    <row r="2041" spans="9:14" x14ac:dyDescent="0.3">
      <c r="I2041" s="7"/>
      <c r="J2041" s="9"/>
      <c r="K2041" s="9"/>
      <c r="L2041" s="9"/>
      <c r="M2041" s="9"/>
      <c r="N2041" s="4"/>
    </row>
    <row r="2042" spans="9:14" x14ac:dyDescent="0.3">
      <c r="I2042" s="7"/>
      <c r="J2042" s="9"/>
      <c r="K2042" s="9"/>
      <c r="L2042" s="9"/>
      <c r="M2042" s="9"/>
      <c r="N2042" s="4"/>
    </row>
    <row r="2043" spans="9:14" x14ac:dyDescent="0.3">
      <c r="I2043" s="7"/>
      <c r="J2043" s="9"/>
      <c r="K2043" s="9"/>
      <c r="L2043" s="9"/>
      <c r="M2043" s="9"/>
      <c r="N2043" s="4"/>
    </row>
    <row r="2044" spans="9:14" x14ac:dyDescent="0.3">
      <c r="I2044" s="7"/>
      <c r="J2044" s="9"/>
      <c r="K2044" s="9"/>
      <c r="L2044" s="9"/>
      <c r="M2044" s="9"/>
      <c r="N2044" s="4"/>
    </row>
    <row r="2045" spans="9:14" x14ac:dyDescent="0.3">
      <c r="I2045" s="7"/>
      <c r="J2045" s="9"/>
      <c r="K2045" s="9"/>
      <c r="L2045" s="9"/>
      <c r="M2045" s="9"/>
      <c r="N2045" s="4"/>
    </row>
    <row r="2046" spans="9:14" x14ac:dyDescent="0.3">
      <c r="I2046" s="7"/>
      <c r="J2046" s="9"/>
      <c r="K2046" s="9"/>
      <c r="L2046" s="9"/>
      <c r="M2046" s="9"/>
      <c r="N2046" s="4"/>
    </row>
    <row r="2047" spans="9:14" x14ac:dyDescent="0.3">
      <c r="I2047" s="7"/>
      <c r="J2047" s="9"/>
      <c r="K2047" s="9"/>
      <c r="L2047" s="9"/>
      <c r="M2047" s="9"/>
      <c r="N2047" s="4"/>
    </row>
    <row r="2048" spans="9:14" x14ac:dyDescent="0.3">
      <c r="I2048" s="7"/>
      <c r="J2048" s="9"/>
      <c r="K2048" s="9"/>
      <c r="L2048" s="9"/>
      <c r="M2048" s="9"/>
      <c r="N2048" s="4"/>
    </row>
    <row r="2049" spans="9:14" x14ac:dyDescent="0.3">
      <c r="I2049" s="7"/>
      <c r="J2049" s="9"/>
      <c r="K2049" s="9"/>
      <c r="L2049" s="9"/>
      <c r="M2049" s="9"/>
      <c r="N2049" s="4"/>
    </row>
    <row r="2050" spans="9:14" x14ac:dyDescent="0.3">
      <c r="I2050" s="7"/>
      <c r="J2050" s="9"/>
      <c r="K2050" s="9"/>
      <c r="L2050" s="9"/>
      <c r="M2050" s="9"/>
      <c r="N2050" s="4"/>
    </row>
    <row r="2051" spans="9:14" x14ac:dyDescent="0.3">
      <c r="I2051" s="7"/>
      <c r="J2051" s="9"/>
      <c r="K2051" s="9"/>
      <c r="L2051" s="9"/>
      <c r="M2051" s="9"/>
      <c r="N2051" s="4"/>
    </row>
    <row r="2052" spans="9:14" x14ac:dyDescent="0.3">
      <c r="I2052" s="7"/>
      <c r="J2052" s="9"/>
      <c r="K2052" s="9"/>
      <c r="L2052" s="9"/>
      <c r="M2052" s="9"/>
      <c r="N2052" s="4"/>
    </row>
    <row r="2053" spans="9:14" x14ac:dyDescent="0.3">
      <c r="I2053" s="7"/>
      <c r="J2053" s="9"/>
      <c r="K2053" s="9"/>
      <c r="L2053" s="9"/>
      <c r="M2053" s="9"/>
      <c r="N2053" s="4"/>
    </row>
    <row r="2054" spans="9:14" x14ac:dyDescent="0.3">
      <c r="I2054" s="7"/>
      <c r="J2054" s="9"/>
      <c r="K2054" s="9"/>
      <c r="L2054" s="9"/>
      <c r="M2054" s="9"/>
      <c r="N2054" s="4"/>
    </row>
    <row r="2055" spans="9:14" x14ac:dyDescent="0.3">
      <c r="I2055" s="7"/>
      <c r="J2055" s="9"/>
      <c r="K2055" s="9"/>
      <c r="L2055" s="9"/>
      <c r="M2055" s="9"/>
      <c r="N2055" s="4"/>
    </row>
    <row r="2056" spans="9:14" x14ac:dyDescent="0.3">
      <c r="I2056" s="7"/>
      <c r="J2056" s="9"/>
      <c r="K2056" s="9"/>
      <c r="L2056" s="9"/>
      <c r="M2056" s="9"/>
      <c r="N2056" s="4"/>
    </row>
    <row r="2057" spans="9:14" x14ac:dyDescent="0.3">
      <c r="I2057" s="7"/>
      <c r="J2057" s="9"/>
      <c r="K2057" s="9"/>
      <c r="L2057" s="9"/>
      <c r="M2057" s="9"/>
      <c r="N2057" s="4"/>
    </row>
    <row r="2058" spans="9:14" x14ac:dyDescent="0.3">
      <c r="I2058" s="7"/>
      <c r="J2058" s="9"/>
      <c r="K2058" s="9"/>
      <c r="L2058" s="9"/>
      <c r="M2058" s="9"/>
      <c r="N2058" s="4"/>
    </row>
    <row r="2059" spans="9:14" x14ac:dyDescent="0.3">
      <c r="I2059" s="7"/>
      <c r="J2059" s="9"/>
      <c r="K2059" s="9"/>
      <c r="L2059" s="9"/>
      <c r="M2059" s="9"/>
      <c r="N2059" s="4"/>
    </row>
    <row r="2060" spans="9:14" x14ac:dyDescent="0.3">
      <c r="I2060" s="7"/>
      <c r="J2060" s="9"/>
      <c r="K2060" s="9"/>
      <c r="L2060" s="9"/>
      <c r="M2060" s="9"/>
      <c r="N2060" s="4"/>
    </row>
    <row r="2061" spans="9:14" x14ac:dyDescent="0.3">
      <c r="I2061" s="7"/>
      <c r="J2061" s="9"/>
      <c r="K2061" s="9"/>
      <c r="L2061" s="9"/>
      <c r="M2061" s="9"/>
      <c r="N2061" s="4"/>
    </row>
    <row r="2062" spans="9:14" x14ac:dyDescent="0.3">
      <c r="I2062" s="7"/>
      <c r="J2062" s="9"/>
      <c r="K2062" s="9"/>
      <c r="L2062" s="9"/>
      <c r="M2062" s="9"/>
      <c r="N2062" s="4"/>
    </row>
    <row r="2063" spans="9:14" x14ac:dyDescent="0.3">
      <c r="I2063" s="7"/>
      <c r="J2063" s="9"/>
      <c r="K2063" s="9"/>
      <c r="L2063" s="9"/>
      <c r="M2063" s="9"/>
      <c r="N2063" s="4"/>
    </row>
    <row r="2064" spans="9:14" x14ac:dyDescent="0.3">
      <c r="I2064" s="7"/>
      <c r="J2064" s="9"/>
      <c r="K2064" s="9"/>
      <c r="L2064" s="9"/>
      <c r="M2064" s="9"/>
      <c r="N2064" s="4"/>
    </row>
    <row r="2065" spans="9:14" x14ac:dyDescent="0.3">
      <c r="I2065" s="7"/>
      <c r="J2065" s="9"/>
      <c r="K2065" s="9"/>
      <c r="L2065" s="9"/>
      <c r="M2065" s="9"/>
      <c r="N2065" s="4"/>
    </row>
    <row r="2066" spans="9:14" x14ac:dyDescent="0.3">
      <c r="I2066" s="7"/>
      <c r="J2066" s="9"/>
      <c r="K2066" s="9"/>
      <c r="L2066" s="9"/>
      <c r="M2066" s="9"/>
      <c r="N2066" s="4"/>
    </row>
    <row r="2067" spans="9:14" x14ac:dyDescent="0.3">
      <c r="I2067" s="7"/>
      <c r="J2067" s="9"/>
      <c r="K2067" s="9"/>
      <c r="L2067" s="9"/>
      <c r="M2067" s="9"/>
      <c r="N2067" s="4"/>
    </row>
    <row r="2068" spans="9:14" x14ac:dyDescent="0.3">
      <c r="I2068" s="7"/>
      <c r="J2068" s="9"/>
      <c r="K2068" s="9"/>
      <c r="L2068" s="9"/>
      <c r="M2068" s="9"/>
      <c r="N2068" s="4"/>
    </row>
    <row r="2069" spans="9:14" x14ac:dyDescent="0.3">
      <c r="I2069" s="7"/>
      <c r="J2069" s="9"/>
      <c r="K2069" s="9"/>
      <c r="L2069" s="9"/>
      <c r="M2069" s="9"/>
      <c r="N2069" s="4"/>
    </row>
    <row r="2070" spans="9:14" x14ac:dyDescent="0.3">
      <c r="I2070" s="7"/>
      <c r="J2070" s="9"/>
      <c r="K2070" s="9"/>
      <c r="L2070" s="9"/>
      <c r="M2070" s="9"/>
      <c r="N2070" s="4"/>
    </row>
    <row r="2071" spans="9:14" x14ac:dyDescent="0.3">
      <c r="I2071" s="7"/>
      <c r="J2071" s="9"/>
      <c r="K2071" s="9"/>
      <c r="L2071" s="9"/>
      <c r="M2071" s="9"/>
      <c r="N2071" s="4"/>
    </row>
    <row r="2072" spans="9:14" x14ac:dyDescent="0.3">
      <c r="I2072" s="7"/>
      <c r="J2072" s="9"/>
      <c r="K2072" s="9"/>
      <c r="L2072" s="9"/>
      <c r="M2072" s="9"/>
      <c r="N2072" s="4"/>
    </row>
    <row r="2073" spans="9:14" x14ac:dyDescent="0.3">
      <c r="I2073" s="7"/>
      <c r="J2073" s="9"/>
      <c r="K2073" s="9"/>
      <c r="L2073" s="9"/>
      <c r="M2073" s="9"/>
      <c r="N2073" s="4"/>
    </row>
    <row r="2074" spans="9:14" x14ac:dyDescent="0.3">
      <c r="I2074" s="7"/>
      <c r="J2074" s="9"/>
      <c r="K2074" s="9"/>
      <c r="L2074" s="9"/>
      <c r="M2074" s="9"/>
      <c r="N2074" s="4"/>
    </row>
    <row r="2075" spans="9:14" x14ac:dyDescent="0.3">
      <c r="I2075" s="7"/>
      <c r="J2075" s="9"/>
      <c r="K2075" s="9"/>
      <c r="L2075" s="9"/>
      <c r="M2075" s="9"/>
      <c r="N2075" s="4"/>
    </row>
    <row r="2076" spans="9:14" x14ac:dyDescent="0.3">
      <c r="I2076" s="7"/>
      <c r="J2076" s="9"/>
      <c r="K2076" s="9"/>
      <c r="L2076" s="9"/>
      <c r="M2076" s="9"/>
      <c r="N2076" s="4"/>
    </row>
    <row r="2077" spans="9:14" x14ac:dyDescent="0.3">
      <c r="I2077" s="7"/>
      <c r="J2077" s="9"/>
      <c r="K2077" s="9"/>
      <c r="L2077" s="9"/>
      <c r="M2077" s="9"/>
      <c r="N2077" s="4"/>
    </row>
    <row r="2078" spans="9:14" x14ac:dyDescent="0.3">
      <c r="I2078" s="7"/>
      <c r="J2078" s="9"/>
      <c r="K2078" s="9"/>
      <c r="L2078" s="9"/>
      <c r="M2078" s="9"/>
      <c r="N2078" s="4"/>
    </row>
    <row r="2079" spans="9:14" x14ac:dyDescent="0.3">
      <c r="I2079" s="7"/>
      <c r="J2079" s="9"/>
      <c r="K2079" s="9"/>
      <c r="L2079" s="9"/>
      <c r="M2079" s="9"/>
      <c r="N2079" s="4"/>
    </row>
    <row r="2080" spans="9:14" x14ac:dyDescent="0.3">
      <c r="I2080" s="7"/>
      <c r="J2080" s="9"/>
      <c r="K2080" s="9"/>
      <c r="L2080" s="9"/>
      <c r="M2080" s="9"/>
      <c r="N2080" s="4"/>
    </row>
    <row r="2081" spans="9:14" x14ac:dyDescent="0.3">
      <c r="I2081" s="7"/>
      <c r="J2081" s="9"/>
      <c r="K2081" s="9"/>
      <c r="L2081" s="9"/>
      <c r="M2081" s="9"/>
      <c r="N2081" s="4"/>
    </row>
    <row r="2082" spans="9:14" x14ac:dyDescent="0.3">
      <c r="I2082" s="7"/>
      <c r="J2082" s="9"/>
      <c r="K2082" s="9"/>
      <c r="L2082" s="9"/>
      <c r="M2082" s="9"/>
      <c r="N2082" s="4"/>
    </row>
    <row r="2083" spans="9:14" x14ac:dyDescent="0.3">
      <c r="I2083" s="7"/>
      <c r="J2083" s="9"/>
      <c r="K2083" s="9"/>
      <c r="L2083" s="9"/>
      <c r="M2083" s="9"/>
      <c r="N2083" s="4"/>
    </row>
    <row r="2084" spans="9:14" x14ac:dyDescent="0.3">
      <c r="I2084" s="7"/>
      <c r="J2084" s="9"/>
      <c r="K2084" s="9"/>
      <c r="L2084" s="9"/>
      <c r="M2084" s="9"/>
      <c r="N2084" s="4"/>
    </row>
    <row r="2085" spans="9:14" x14ac:dyDescent="0.3">
      <c r="I2085" s="7"/>
      <c r="J2085" s="9"/>
      <c r="K2085" s="9"/>
      <c r="L2085" s="9"/>
      <c r="M2085" s="9"/>
      <c r="N2085" s="4"/>
    </row>
    <row r="2086" spans="9:14" x14ac:dyDescent="0.3">
      <c r="I2086" s="7"/>
      <c r="J2086" s="9"/>
      <c r="K2086" s="9"/>
      <c r="L2086" s="9"/>
      <c r="M2086" s="9"/>
      <c r="N2086" s="4"/>
    </row>
    <row r="2087" spans="9:14" x14ac:dyDescent="0.3">
      <c r="I2087" s="7"/>
      <c r="J2087" s="9"/>
      <c r="K2087" s="9"/>
      <c r="L2087" s="9"/>
      <c r="M2087" s="9"/>
      <c r="N2087" s="4"/>
    </row>
    <row r="2088" spans="9:14" x14ac:dyDescent="0.3">
      <c r="I2088" s="7"/>
      <c r="J2088" s="9"/>
      <c r="K2088" s="9"/>
      <c r="L2088" s="9"/>
      <c r="M2088" s="9"/>
      <c r="N2088" s="4"/>
    </row>
    <row r="2089" spans="9:14" x14ac:dyDescent="0.3">
      <c r="I2089" s="7"/>
      <c r="J2089" s="9"/>
      <c r="K2089" s="9"/>
      <c r="L2089" s="9"/>
      <c r="M2089" s="9"/>
      <c r="N2089" s="4"/>
    </row>
    <row r="2090" spans="9:14" x14ac:dyDescent="0.3">
      <c r="I2090" s="7"/>
      <c r="J2090" s="9"/>
      <c r="K2090" s="9"/>
      <c r="L2090" s="9"/>
      <c r="M2090" s="9"/>
      <c r="N2090" s="4"/>
    </row>
    <row r="2091" spans="9:14" x14ac:dyDescent="0.3">
      <c r="I2091" s="7"/>
      <c r="J2091" s="9"/>
      <c r="K2091" s="9"/>
      <c r="L2091" s="9"/>
      <c r="M2091" s="9"/>
      <c r="N2091" s="4"/>
    </row>
    <row r="2092" spans="9:14" x14ac:dyDescent="0.3">
      <c r="I2092" s="7"/>
      <c r="J2092" s="9"/>
      <c r="K2092" s="9"/>
      <c r="L2092" s="9"/>
      <c r="M2092" s="9"/>
      <c r="N2092" s="4"/>
    </row>
    <row r="2093" spans="9:14" x14ac:dyDescent="0.3">
      <c r="I2093" s="7"/>
      <c r="J2093" s="9"/>
      <c r="K2093" s="9"/>
      <c r="L2093" s="9"/>
      <c r="M2093" s="9"/>
      <c r="N2093" s="4"/>
    </row>
    <row r="2094" spans="9:14" x14ac:dyDescent="0.3">
      <c r="I2094" s="7"/>
      <c r="J2094" s="9"/>
      <c r="K2094" s="9"/>
      <c r="L2094" s="9"/>
      <c r="M2094" s="9"/>
      <c r="N2094" s="4"/>
    </row>
    <row r="2095" spans="9:14" x14ac:dyDescent="0.3">
      <c r="I2095" s="7"/>
      <c r="J2095" s="9"/>
      <c r="K2095" s="9"/>
      <c r="L2095" s="9"/>
      <c r="M2095" s="9"/>
      <c r="N2095" s="4"/>
    </row>
    <row r="2096" spans="9:14" x14ac:dyDescent="0.3">
      <c r="I2096" s="7"/>
      <c r="J2096" s="9"/>
      <c r="K2096" s="9"/>
      <c r="L2096" s="9"/>
      <c r="M2096" s="9"/>
      <c r="N2096" s="4"/>
    </row>
    <row r="2097" spans="9:14" x14ac:dyDescent="0.3">
      <c r="I2097" s="7"/>
      <c r="J2097" s="9"/>
      <c r="K2097" s="9"/>
      <c r="L2097" s="9"/>
      <c r="M2097" s="9"/>
      <c r="N2097" s="4"/>
    </row>
    <row r="2098" spans="9:14" x14ac:dyDescent="0.3">
      <c r="I2098" s="7"/>
      <c r="J2098" s="9"/>
      <c r="K2098" s="9"/>
      <c r="L2098" s="9"/>
      <c r="M2098" s="9"/>
      <c r="N2098" s="4"/>
    </row>
    <row r="2099" spans="9:14" x14ac:dyDescent="0.3">
      <c r="I2099" s="7"/>
      <c r="J2099" s="9"/>
      <c r="K2099" s="9"/>
      <c r="L2099" s="9"/>
      <c r="M2099" s="9"/>
      <c r="N2099" s="4"/>
    </row>
    <row r="2100" spans="9:14" x14ac:dyDescent="0.3">
      <c r="I2100" s="7"/>
      <c r="J2100" s="9"/>
      <c r="K2100" s="9"/>
      <c r="L2100" s="9"/>
      <c r="M2100" s="9"/>
      <c r="N2100" s="4"/>
    </row>
    <row r="2101" spans="9:14" x14ac:dyDescent="0.3">
      <c r="I2101" s="7"/>
      <c r="J2101" s="9"/>
      <c r="K2101" s="9"/>
      <c r="L2101" s="9"/>
      <c r="M2101" s="9"/>
      <c r="N2101" s="4"/>
    </row>
    <row r="2102" spans="9:14" x14ac:dyDescent="0.3">
      <c r="I2102" s="7"/>
      <c r="J2102" s="9"/>
      <c r="K2102" s="9"/>
      <c r="L2102" s="9"/>
      <c r="M2102" s="9"/>
      <c r="N2102" s="4"/>
    </row>
    <row r="2103" spans="9:14" x14ac:dyDescent="0.3">
      <c r="I2103" s="7"/>
      <c r="J2103" s="9"/>
      <c r="K2103" s="9"/>
      <c r="L2103" s="9"/>
      <c r="M2103" s="9"/>
      <c r="N2103" s="4"/>
    </row>
    <row r="2104" spans="9:14" x14ac:dyDescent="0.3">
      <c r="I2104" s="7"/>
      <c r="J2104" s="9"/>
      <c r="K2104" s="9"/>
      <c r="L2104" s="9"/>
      <c r="M2104" s="9"/>
      <c r="N2104" s="4"/>
    </row>
    <row r="2105" spans="9:14" x14ac:dyDescent="0.3">
      <c r="I2105" s="7"/>
      <c r="J2105" s="9"/>
      <c r="K2105" s="9"/>
      <c r="L2105" s="9"/>
      <c r="M2105" s="9"/>
      <c r="N2105" s="4"/>
    </row>
    <row r="2106" spans="9:14" x14ac:dyDescent="0.3">
      <c r="I2106" s="7"/>
      <c r="J2106" s="9"/>
      <c r="K2106" s="9"/>
      <c r="L2106" s="9"/>
      <c r="M2106" s="9"/>
      <c r="N2106" s="4"/>
    </row>
    <row r="2107" spans="9:14" x14ac:dyDescent="0.3">
      <c r="I2107" s="7"/>
      <c r="J2107" s="9"/>
      <c r="K2107" s="9"/>
      <c r="L2107" s="9"/>
      <c r="M2107" s="9"/>
      <c r="N2107" s="4"/>
    </row>
    <row r="2108" spans="9:14" x14ac:dyDescent="0.3">
      <c r="I2108" s="7"/>
      <c r="J2108" s="9"/>
      <c r="K2108" s="9"/>
      <c r="L2108" s="9"/>
      <c r="M2108" s="9"/>
      <c r="N2108" s="4"/>
    </row>
    <row r="2109" spans="9:14" x14ac:dyDescent="0.3">
      <c r="I2109" s="7"/>
      <c r="J2109" s="9"/>
      <c r="K2109" s="9"/>
      <c r="L2109" s="9"/>
      <c r="M2109" s="9"/>
      <c r="N2109" s="4"/>
    </row>
    <row r="2110" spans="9:14" x14ac:dyDescent="0.3">
      <c r="I2110" s="7"/>
      <c r="J2110" s="9"/>
      <c r="K2110" s="9"/>
      <c r="L2110" s="9"/>
      <c r="M2110" s="9"/>
      <c r="N2110" s="4"/>
    </row>
    <row r="2111" spans="9:14" x14ac:dyDescent="0.3">
      <c r="I2111" s="7"/>
      <c r="J2111" s="9"/>
      <c r="K2111" s="9"/>
      <c r="L2111" s="9"/>
      <c r="M2111" s="9"/>
      <c r="N2111" s="4"/>
    </row>
    <row r="2112" spans="9:14" x14ac:dyDescent="0.3">
      <c r="I2112" s="7"/>
      <c r="J2112" s="9"/>
      <c r="K2112" s="9"/>
      <c r="L2112" s="9"/>
      <c r="M2112" s="9"/>
      <c r="N2112" s="4"/>
    </row>
    <row r="2113" spans="9:14" x14ac:dyDescent="0.3">
      <c r="I2113" s="7"/>
      <c r="J2113" s="9"/>
      <c r="K2113" s="9"/>
      <c r="L2113" s="9"/>
      <c r="M2113" s="9"/>
      <c r="N2113" s="4"/>
    </row>
    <row r="2114" spans="9:14" x14ac:dyDescent="0.3">
      <c r="I2114" s="7"/>
      <c r="J2114" s="9"/>
      <c r="K2114" s="9"/>
      <c r="L2114" s="9"/>
      <c r="M2114" s="9"/>
      <c r="N2114" s="4"/>
    </row>
    <row r="2115" spans="9:14" x14ac:dyDescent="0.3">
      <c r="I2115" s="7"/>
      <c r="J2115" s="9"/>
      <c r="K2115" s="9"/>
      <c r="L2115" s="9"/>
      <c r="M2115" s="9"/>
      <c r="N2115" s="4"/>
    </row>
    <row r="2116" spans="9:14" x14ac:dyDescent="0.3">
      <c r="I2116" s="7"/>
      <c r="J2116" s="9"/>
      <c r="K2116" s="9"/>
      <c r="L2116" s="9"/>
      <c r="M2116" s="9"/>
      <c r="N2116" s="4"/>
    </row>
    <row r="2117" spans="9:14" x14ac:dyDescent="0.3">
      <c r="I2117" s="7"/>
      <c r="J2117" s="9"/>
      <c r="K2117" s="9"/>
      <c r="L2117" s="9"/>
      <c r="M2117" s="9"/>
      <c r="N2117" s="4"/>
    </row>
    <row r="2118" spans="9:14" x14ac:dyDescent="0.3">
      <c r="I2118" s="7"/>
      <c r="J2118" s="9"/>
      <c r="K2118" s="9"/>
      <c r="L2118" s="9"/>
      <c r="M2118" s="9"/>
      <c r="N2118" s="4"/>
    </row>
    <row r="2119" spans="9:14" x14ac:dyDescent="0.3">
      <c r="I2119" s="7"/>
      <c r="J2119" s="9"/>
      <c r="K2119" s="9"/>
      <c r="L2119" s="9"/>
      <c r="M2119" s="9"/>
      <c r="N2119" s="4"/>
    </row>
    <row r="2120" spans="9:14" x14ac:dyDescent="0.3">
      <c r="I2120" s="7"/>
      <c r="J2120" s="9"/>
      <c r="K2120" s="9"/>
      <c r="L2120" s="9"/>
      <c r="M2120" s="9"/>
      <c r="N2120" s="4"/>
    </row>
    <row r="2121" spans="9:14" x14ac:dyDescent="0.3">
      <c r="I2121" s="7"/>
      <c r="J2121" s="9"/>
      <c r="K2121" s="9"/>
      <c r="L2121" s="9"/>
      <c r="M2121" s="9"/>
      <c r="N2121" s="4"/>
    </row>
    <row r="2122" spans="9:14" x14ac:dyDescent="0.3">
      <c r="I2122" s="7"/>
      <c r="J2122" s="9"/>
      <c r="K2122" s="9"/>
      <c r="L2122" s="9"/>
      <c r="M2122" s="9"/>
      <c r="N2122" s="4"/>
    </row>
    <row r="2123" spans="9:14" x14ac:dyDescent="0.3">
      <c r="I2123" s="7"/>
      <c r="J2123" s="9"/>
      <c r="K2123" s="9"/>
      <c r="L2123" s="9"/>
      <c r="M2123" s="9"/>
      <c r="N2123" s="4"/>
    </row>
    <row r="2124" spans="9:14" x14ac:dyDescent="0.3">
      <c r="I2124" s="7"/>
      <c r="J2124" s="9"/>
      <c r="K2124" s="9"/>
      <c r="L2124" s="9"/>
      <c r="M2124" s="9"/>
      <c r="N2124" s="4"/>
    </row>
    <row r="2125" spans="9:14" x14ac:dyDescent="0.3">
      <c r="I2125" s="7"/>
      <c r="J2125" s="9"/>
      <c r="K2125" s="9"/>
      <c r="L2125" s="9"/>
      <c r="M2125" s="9"/>
      <c r="N2125" s="4"/>
    </row>
    <row r="2126" spans="9:14" x14ac:dyDescent="0.3">
      <c r="I2126" s="7"/>
      <c r="J2126" s="9"/>
      <c r="K2126" s="9"/>
      <c r="L2126" s="9"/>
      <c r="M2126" s="9"/>
      <c r="N2126" s="4"/>
    </row>
    <row r="2127" spans="9:14" x14ac:dyDescent="0.3">
      <c r="I2127" s="7"/>
      <c r="J2127" s="9"/>
      <c r="K2127" s="9"/>
      <c r="L2127" s="9"/>
      <c r="M2127" s="9"/>
    </row>
    <row r="2128" spans="9:14" x14ac:dyDescent="0.3">
      <c r="I2128" s="7"/>
      <c r="J2128" s="9"/>
      <c r="K2128" s="9"/>
      <c r="L2128" s="9"/>
      <c r="M2128" s="9"/>
    </row>
    <row r="2129" spans="9:13" x14ac:dyDescent="0.3">
      <c r="I2129" s="7"/>
      <c r="J2129" s="9"/>
      <c r="K2129" s="9"/>
      <c r="L2129" s="9"/>
      <c r="M2129" s="9"/>
    </row>
    <row r="2130" spans="9:13" x14ac:dyDescent="0.3">
      <c r="I2130" s="7"/>
      <c r="J2130" s="9"/>
      <c r="K2130" s="9"/>
      <c r="L2130" s="9"/>
      <c r="M2130" s="9"/>
    </row>
    <row r="2131" spans="9:13" x14ac:dyDescent="0.3">
      <c r="I2131" s="7"/>
      <c r="J2131" s="9"/>
      <c r="K2131" s="9"/>
      <c r="L2131" s="9"/>
      <c r="M2131" s="9"/>
    </row>
    <row r="2132" spans="9:13" x14ac:dyDescent="0.3">
      <c r="I2132" s="7"/>
      <c r="J2132" s="9"/>
      <c r="K2132" s="9"/>
      <c r="L2132" s="9"/>
      <c r="M2132" s="9"/>
    </row>
    <row r="2133" spans="9:13" x14ac:dyDescent="0.3">
      <c r="I2133" s="7"/>
      <c r="J2133" s="9"/>
      <c r="K2133" s="9"/>
      <c r="L2133" s="9"/>
      <c r="M2133" s="9"/>
    </row>
    <row r="2134" spans="9:13" x14ac:dyDescent="0.3">
      <c r="I2134" s="7"/>
      <c r="J2134" s="9"/>
      <c r="K2134" s="9"/>
      <c r="L2134" s="9"/>
      <c r="M2134" s="9"/>
    </row>
    <row r="2135" spans="9:13" x14ac:dyDescent="0.3">
      <c r="I2135" s="7"/>
      <c r="J2135" s="9"/>
      <c r="K2135" s="9"/>
      <c r="L2135" s="9"/>
      <c r="M2135" s="9"/>
    </row>
    <row r="2136" spans="9:13" x14ac:dyDescent="0.3">
      <c r="I2136" s="7"/>
      <c r="J2136" s="9"/>
      <c r="K2136" s="9"/>
      <c r="L2136" s="9"/>
      <c r="M2136" s="9"/>
    </row>
    <row r="2137" spans="9:13" x14ac:dyDescent="0.3">
      <c r="I2137" s="7"/>
      <c r="J2137" s="9"/>
      <c r="K2137" s="9"/>
      <c r="L2137" s="9"/>
      <c r="M2137" s="9"/>
    </row>
    <row r="2138" spans="9:13" x14ac:dyDescent="0.3">
      <c r="I2138" s="7"/>
      <c r="J2138" s="9"/>
      <c r="K2138" s="9"/>
      <c r="L2138" s="9"/>
      <c r="M2138" s="9"/>
    </row>
    <row r="2139" spans="9:13" x14ac:dyDescent="0.3">
      <c r="I2139" s="7"/>
      <c r="J2139" s="9"/>
      <c r="K2139" s="9"/>
      <c r="L2139" s="9"/>
      <c r="M2139" s="9"/>
    </row>
    <row r="2140" spans="9:13" x14ac:dyDescent="0.3">
      <c r="I2140" s="7"/>
      <c r="J2140" s="9"/>
      <c r="K2140" s="9"/>
      <c r="L2140" s="9"/>
      <c r="M2140" s="9"/>
    </row>
    <row r="2141" spans="9:13" x14ac:dyDescent="0.3">
      <c r="I2141" s="7"/>
      <c r="J2141" s="9"/>
      <c r="K2141" s="9"/>
      <c r="L2141" s="9"/>
      <c r="M2141" s="9"/>
    </row>
    <row r="2142" spans="9:13" x14ac:dyDescent="0.3">
      <c r="I2142" s="7"/>
      <c r="J2142" s="9"/>
      <c r="K2142" s="9"/>
      <c r="L2142" s="9"/>
      <c r="M2142" s="9"/>
    </row>
    <row r="2143" spans="9:13" x14ac:dyDescent="0.3">
      <c r="I2143" s="7"/>
      <c r="J2143" s="9"/>
      <c r="K2143" s="9"/>
      <c r="L2143" s="9"/>
      <c r="M2143" s="9"/>
    </row>
    <row r="2144" spans="9:13" x14ac:dyDescent="0.3">
      <c r="I2144" s="7"/>
      <c r="J2144" s="9"/>
      <c r="K2144" s="9"/>
      <c r="L2144" s="9"/>
      <c r="M2144" s="9"/>
    </row>
    <row r="2145" spans="9:13" x14ac:dyDescent="0.3">
      <c r="I2145" s="7"/>
      <c r="J2145" s="9"/>
      <c r="K2145" s="9"/>
      <c r="L2145" s="9"/>
      <c r="M2145" s="9"/>
    </row>
    <row r="2146" spans="9:13" x14ac:dyDescent="0.3">
      <c r="I2146" s="7"/>
      <c r="J2146" s="9"/>
      <c r="K2146" s="9"/>
      <c r="L2146" s="9"/>
      <c r="M2146" s="9"/>
    </row>
    <row r="2147" spans="9:13" x14ac:dyDescent="0.3">
      <c r="I2147" s="7"/>
      <c r="J2147" s="9"/>
      <c r="K2147" s="9"/>
      <c r="L2147" s="9"/>
      <c r="M2147" s="9"/>
    </row>
    <row r="2148" spans="9:13" x14ac:dyDescent="0.3">
      <c r="I2148" s="7"/>
      <c r="J2148" s="9"/>
      <c r="K2148" s="9"/>
      <c r="L2148" s="9"/>
      <c r="M2148" s="9"/>
    </row>
    <row r="2149" spans="9:13" x14ac:dyDescent="0.3">
      <c r="I2149" s="7"/>
      <c r="J2149" s="9"/>
      <c r="K2149" s="9"/>
      <c r="L2149" s="9"/>
      <c r="M2149" s="9"/>
    </row>
    <row r="2150" spans="9:13" x14ac:dyDescent="0.3">
      <c r="I2150" s="7"/>
      <c r="J2150" s="9"/>
      <c r="K2150" s="9"/>
      <c r="L2150" s="9"/>
      <c r="M2150" s="9"/>
    </row>
    <row r="2151" spans="9:13" x14ac:dyDescent="0.3">
      <c r="I2151" s="7"/>
      <c r="J2151" s="9"/>
      <c r="K2151" s="9"/>
      <c r="L2151" s="9"/>
      <c r="M2151" s="9"/>
    </row>
    <row r="2152" spans="9:13" x14ac:dyDescent="0.3">
      <c r="I2152" s="7"/>
      <c r="J2152" s="9"/>
      <c r="K2152" s="9"/>
      <c r="L2152" s="9"/>
      <c r="M2152" s="9"/>
    </row>
    <row r="2153" spans="9:13" x14ac:dyDescent="0.3">
      <c r="I2153" s="7"/>
      <c r="J2153" s="9"/>
      <c r="K2153" s="9"/>
      <c r="L2153" s="9"/>
      <c r="M2153" s="9"/>
    </row>
    <row r="2154" spans="9:13" x14ac:dyDescent="0.3">
      <c r="I2154" s="7"/>
      <c r="J2154" s="9"/>
      <c r="K2154" s="9"/>
      <c r="L2154" s="9"/>
      <c r="M2154" s="9"/>
    </row>
    <row r="2155" spans="9:13" x14ac:dyDescent="0.3">
      <c r="I2155" s="7"/>
      <c r="J2155" s="9"/>
      <c r="K2155" s="9"/>
      <c r="L2155" s="9"/>
      <c r="M2155" s="9"/>
    </row>
    <row r="2156" spans="9:13" x14ac:dyDescent="0.3">
      <c r="I2156" s="7"/>
      <c r="J2156" s="9"/>
      <c r="K2156" s="9"/>
      <c r="L2156" s="9"/>
      <c r="M2156" s="9"/>
    </row>
    <row r="2157" spans="9:13" x14ac:dyDescent="0.3">
      <c r="I2157" s="7"/>
      <c r="J2157" s="9"/>
      <c r="K2157" s="9"/>
      <c r="L2157" s="9"/>
      <c r="M2157" s="9"/>
    </row>
    <row r="2158" spans="9:13" x14ac:dyDescent="0.3">
      <c r="I2158" s="7"/>
      <c r="J2158" s="9"/>
      <c r="K2158" s="9"/>
      <c r="L2158" s="9"/>
      <c r="M2158" s="9"/>
    </row>
    <row r="2159" spans="9:13" x14ac:dyDescent="0.3">
      <c r="I2159" s="7"/>
      <c r="J2159" s="9"/>
      <c r="K2159" s="9"/>
      <c r="L2159" s="9"/>
      <c r="M2159" s="9"/>
    </row>
    <row r="2160" spans="9:13" x14ac:dyDescent="0.3">
      <c r="I2160" s="7"/>
      <c r="J2160" s="9"/>
      <c r="K2160" s="9"/>
      <c r="L2160" s="9"/>
      <c r="M2160" s="9"/>
    </row>
    <row r="2161" spans="9:13" x14ac:dyDescent="0.3">
      <c r="I2161" s="7"/>
      <c r="J2161" s="9"/>
      <c r="K2161" s="9"/>
      <c r="L2161" s="9"/>
      <c r="M2161" s="9"/>
    </row>
    <row r="2162" spans="9:13" x14ac:dyDescent="0.3">
      <c r="I2162" s="7"/>
      <c r="J2162" s="9"/>
      <c r="K2162" s="9"/>
      <c r="L2162" s="9"/>
      <c r="M2162" s="9"/>
    </row>
    <row r="2163" spans="9:13" x14ac:dyDescent="0.3">
      <c r="I2163" s="7"/>
      <c r="J2163" s="9"/>
      <c r="K2163" s="9"/>
      <c r="L2163" s="9"/>
      <c r="M2163" s="9"/>
    </row>
    <row r="2164" spans="9:13" x14ac:dyDescent="0.3">
      <c r="I2164" s="7"/>
      <c r="J2164" s="9"/>
      <c r="K2164" s="9"/>
      <c r="L2164" s="9"/>
      <c r="M2164" s="9"/>
    </row>
    <row r="2165" spans="9:13" x14ac:dyDescent="0.3">
      <c r="I2165" s="7"/>
      <c r="J2165" s="9"/>
      <c r="K2165" s="9"/>
      <c r="L2165" s="9"/>
      <c r="M2165" s="9"/>
    </row>
    <row r="2166" spans="9:13" x14ac:dyDescent="0.3">
      <c r="I2166" s="7"/>
      <c r="J2166" s="9"/>
      <c r="K2166" s="9"/>
      <c r="L2166" s="9"/>
      <c r="M2166" s="9"/>
    </row>
    <row r="2167" spans="9:13" x14ac:dyDescent="0.3">
      <c r="I2167" s="7"/>
      <c r="J2167" s="9"/>
      <c r="K2167" s="9"/>
      <c r="L2167" s="9"/>
      <c r="M2167" s="9"/>
    </row>
    <row r="2168" spans="9:13" x14ac:dyDescent="0.3">
      <c r="I2168" s="7"/>
      <c r="J2168" s="9"/>
      <c r="K2168" s="9"/>
      <c r="L2168" s="9"/>
      <c r="M2168" s="9"/>
    </row>
    <row r="2169" spans="9:13" x14ac:dyDescent="0.3">
      <c r="I2169" s="7"/>
      <c r="J2169" s="9"/>
      <c r="K2169" s="9"/>
      <c r="L2169" s="9"/>
      <c r="M2169" s="9"/>
    </row>
    <row r="2170" spans="9:13" x14ac:dyDescent="0.3">
      <c r="I2170" s="7"/>
      <c r="J2170" s="9"/>
      <c r="K2170" s="9"/>
      <c r="L2170" s="9"/>
      <c r="M2170" s="9"/>
    </row>
    <row r="2171" spans="9:13" x14ac:dyDescent="0.3">
      <c r="I2171" s="7"/>
      <c r="J2171" s="9"/>
      <c r="K2171" s="9"/>
      <c r="L2171" s="9"/>
      <c r="M2171" s="9"/>
    </row>
    <row r="2172" spans="9:13" x14ac:dyDescent="0.3">
      <c r="I2172" s="7"/>
      <c r="J2172" s="9"/>
      <c r="K2172" s="9"/>
      <c r="L2172" s="9"/>
      <c r="M2172" s="9"/>
    </row>
    <row r="2173" spans="9:13" x14ac:dyDescent="0.3">
      <c r="I2173" s="7"/>
      <c r="J2173" s="9"/>
      <c r="K2173" s="9"/>
      <c r="L2173" s="9"/>
      <c r="M2173" s="9"/>
    </row>
    <row r="2174" spans="9:13" x14ac:dyDescent="0.3">
      <c r="I2174" s="7"/>
      <c r="J2174" s="9"/>
      <c r="K2174" s="9"/>
      <c r="L2174" s="9"/>
      <c r="M2174" s="9"/>
    </row>
    <row r="2175" spans="9:13" x14ac:dyDescent="0.3">
      <c r="I2175" s="7"/>
      <c r="J2175" s="9"/>
      <c r="K2175" s="9"/>
      <c r="L2175" s="9"/>
      <c r="M2175" s="9"/>
    </row>
    <row r="2176" spans="9:13" x14ac:dyDescent="0.3">
      <c r="I2176" s="7"/>
      <c r="J2176" s="9"/>
      <c r="K2176" s="9"/>
      <c r="L2176" s="9"/>
      <c r="M2176" s="9"/>
    </row>
    <row r="2177" spans="9:13" x14ac:dyDescent="0.3">
      <c r="I2177" s="7"/>
      <c r="J2177" s="9"/>
      <c r="K2177" s="9"/>
      <c r="L2177" s="9"/>
      <c r="M2177" s="9"/>
    </row>
    <row r="2178" spans="9:13" x14ac:dyDescent="0.3">
      <c r="I2178" s="7"/>
      <c r="J2178" s="9"/>
      <c r="K2178" s="9"/>
      <c r="L2178" s="9"/>
      <c r="M2178" s="9"/>
    </row>
    <row r="2179" spans="9:13" x14ac:dyDescent="0.3">
      <c r="I2179" s="7"/>
      <c r="J2179" s="9"/>
      <c r="K2179" s="9"/>
      <c r="L2179" s="9"/>
      <c r="M2179" s="9"/>
    </row>
    <row r="2180" spans="9:13" x14ac:dyDescent="0.3">
      <c r="I2180" s="7"/>
      <c r="J2180" s="9"/>
      <c r="K2180" s="9"/>
      <c r="L2180" s="9"/>
      <c r="M2180" s="9"/>
    </row>
    <row r="2181" spans="9:13" x14ac:dyDescent="0.3">
      <c r="I2181" s="7"/>
      <c r="J2181" s="9"/>
      <c r="K2181" s="9"/>
      <c r="L2181" s="9"/>
      <c r="M2181" s="9"/>
    </row>
    <row r="2182" spans="9:13" x14ac:dyDescent="0.3">
      <c r="I2182" s="7"/>
      <c r="J2182" s="9"/>
      <c r="K2182" s="9"/>
      <c r="L2182" s="9"/>
      <c r="M2182" s="9"/>
    </row>
    <row r="2183" spans="9:13" x14ac:dyDescent="0.3">
      <c r="I2183" s="7"/>
      <c r="J2183" s="9"/>
      <c r="K2183" s="9"/>
      <c r="L2183" s="9"/>
      <c r="M2183" s="9"/>
    </row>
    <row r="2184" spans="9:13" x14ac:dyDescent="0.3">
      <c r="I2184" s="7"/>
      <c r="J2184" s="9"/>
      <c r="K2184" s="9"/>
      <c r="L2184" s="9"/>
      <c r="M2184" s="9"/>
    </row>
    <row r="2185" spans="9:13" x14ac:dyDescent="0.3">
      <c r="I2185" s="7"/>
      <c r="J2185" s="9"/>
      <c r="K2185" s="9"/>
      <c r="L2185" s="9"/>
      <c r="M2185" s="9"/>
    </row>
    <row r="2186" spans="9:13" x14ac:dyDescent="0.3">
      <c r="I2186" s="7"/>
      <c r="J2186" s="9"/>
      <c r="K2186" s="9"/>
      <c r="L2186" s="9"/>
      <c r="M2186" s="9"/>
    </row>
    <row r="2187" spans="9:13" x14ac:dyDescent="0.3">
      <c r="I2187" s="7"/>
      <c r="J2187" s="9"/>
      <c r="K2187" s="9"/>
      <c r="L2187" s="9"/>
      <c r="M2187" s="9"/>
    </row>
    <row r="2188" spans="9:13" x14ac:dyDescent="0.3">
      <c r="I2188" s="7"/>
      <c r="J2188" s="9"/>
      <c r="K2188" s="9"/>
      <c r="L2188" s="9"/>
      <c r="M2188" s="9"/>
    </row>
    <row r="2189" spans="9:13" x14ac:dyDescent="0.3">
      <c r="I2189" s="7"/>
      <c r="J2189" s="9"/>
      <c r="K2189" s="9"/>
      <c r="L2189" s="9"/>
      <c r="M2189" s="9"/>
    </row>
    <row r="2190" spans="9:13" x14ac:dyDescent="0.3">
      <c r="I2190" s="7"/>
      <c r="J2190" s="9"/>
      <c r="K2190" s="9"/>
      <c r="L2190" s="9"/>
      <c r="M2190" s="9"/>
    </row>
    <row r="2191" spans="9:13" x14ac:dyDescent="0.3">
      <c r="I2191" s="7"/>
      <c r="J2191" s="9"/>
      <c r="K2191" s="9"/>
      <c r="L2191" s="9"/>
      <c r="M2191" s="9"/>
    </row>
    <row r="2192" spans="9:13" x14ac:dyDescent="0.3">
      <c r="I2192" s="7"/>
      <c r="J2192" s="9"/>
      <c r="K2192" s="9"/>
      <c r="L2192" s="9"/>
      <c r="M2192" s="9"/>
    </row>
    <row r="2193" spans="9:13" x14ac:dyDescent="0.3">
      <c r="I2193" s="7"/>
      <c r="J2193" s="9"/>
      <c r="K2193" s="9"/>
      <c r="L2193" s="9"/>
      <c r="M2193" s="9"/>
    </row>
    <row r="2194" spans="9:13" x14ac:dyDescent="0.3">
      <c r="I2194" s="7"/>
      <c r="J2194" s="9"/>
      <c r="K2194" s="9"/>
      <c r="L2194" s="9"/>
      <c r="M2194" s="9"/>
    </row>
    <row r="2195" spans="9:13" x14ac:dyDescent="0.3">
      <c r="I2195" s="7"/>
      <c r="J2195" s="9"/>
      <c r="K2195" s="9"/>
      <c r="L2195" s="9"/>
      <c r="M2195" s="9"/>
    </row>
    <row r="2196" spans="9:13" x14ac:dyDescent="0.3">
      <c r="I2196" s="7"/>
      <c r="J2196" s="9"/>
      <c r="K2196" s="9"/>
      <c r="L2196" s="9"/>
      <c r="M2196" s="9"/>
    </row>
    <row r="2197" spans="9:13" x14ac:dyDescent="0.3">
      <c r="I2197" s="7"/>
      <c r="J2197" s="9"/>
      <c r="K2197" s="9"/>
      <c r="L2197" s="9"/>
      <c r="M2197" s="9"/>
    </row>
    <row r="2198" spans="9:13" x14ac:dyDescent="0.3">
      <c r="I2198" s="7"/>
      <c r="J2198" s="9"/>
      <c r="K2198" s="9"/>
      <c r="L2198" s="9"/>
      <c r="M2198" s="9"/>
    </row>
    <row r="2199" spans="9:13" x14ac:dyDescent="0.3">
      <c r="I2199" s="7"/>
      <c r="J2199" s="9"/>
      <c r="K2199" s="9"/>
      <c r="L2199" s="9"/>
      <c r="M2199" s="9"/>
    </row>
    <row r="2200" spans="9:13" x14ac:dyDescent="0.3">
      <c r="I2200" s="7"/>
      <c r="J2200" s="9"/>
      <c r="K2200" s="9"/>
      <c r="L2200" s="9"/>
      <c r="M2200" s="9"/>
    </row>
    <row r="2201" spans="9:13" x14ac:dyDescent="0.3">
      <c r="I2201" s="7"/>
      <c r="J2201" s="9"/>
      <c r="K2201" s="9"/>
      <c r="L2201" s="9"/>
      <c r="M2201" s="9"/>
    </row>
    <row r="2202" spans="9:13" x14ac:dyDescent="0.3">
      <c r="I2202" s="7"/>
      <c r="J2202" s="9"/>
      <c r="K2202" s="9"/>
      <c r="L2202" s="9"/>
      <c r="M2202" s="9"/>
    </row>
    <row r="2203" spans="9:13" x14ac:dyDescent="0.3">
      <c r="I2203" s="7"/>
      <c r="J2203" s="9"/>
      <c r="K2203" s="9"/>
      <c r="L2203" s="9"/>
      <c r="M2203" s="9"/>
    </row>
    <row r="2204" spans="9:13" x14ac:dyDescent="0.3">
      <c r="I2204" s="7"/>
      <c r="J2204" s="9"/>
      <c r="K2204" s="9"/>
      <c r="L2204" s="9"/>
      <c r="M2204" s="9"/>
    </row>
    <row r="2205" spans="9:13" x14ac:dyDescent="0.3">
      <c r="I2205" s="7"/>
      <c r="J2205" s="9"/>
      <c r="K2205" s="9"/>
      <c r="L2205" s="9"/>
      <c r="M2205" s="9"/>
    </row>
    <row r="2206" spans="9:13" x14ac:dyDescent="0.3">
      <c r="I2206" s="7"/>
      <c r="J2206" s="9"/>
      <c r="K2206" s="9"/>
      <c r="L2206" s="9"/>
      <c r="M2206" s="9"/>
    </row>
    <row r="2207" spans="9:13" x14ac:dyDescent="0.3">
      <c r="I2207" s="7"/>
      <c r="J2207" s="9"/>
      <c r="K2207" s="9"/>
      <c r="L2207" s="9"/>
      <c r="M2207" s="9"/>
    </row>
    <row r="2208" spans="9:13" x14ac:dyDescent="0.3">
      <c r="I2208" s="7"/>
      <c r="J2208" s="9"/>
      <c r="K2208" s="9"/>
      <c r="L2208" s="9"/>
      <c r="M2208" s="9"/>
    </row>
    <row r="2209" spans="9:13" x14ac:dyDescent="0.3">
      <c r="I2209" s="7"/>
      <c r="J2209" s="9"/>
      <c r="K2209" s="9"/>
      <c r="L2209" s="9"/>
      <c r="M2209" s="9"/>
    </row>
    <row r="2210" spans="9:13" x14ac:dyDescent="0.3">
      <c r="I2210" s="7"/>
      <c r="J2210" s="9"/>
      <c r="K2210" s="9"/>
      <c r="L2210" s="9"/>
      <c r="M2210" s="9"/>
    </row>
    <row r="2211" spans="9:13" x14ac:dyDescent="0.3">
      <c r="I2211" s="7"/>
      <c r="J2211" s="9"/>
      <c r="K2211" s="9"/>
      <c r="L2211" s="9"/>
      <c r="M2211" s="9"/>
    </row>
    <row r="2212" spans="9:13" x14ac:dyDescent="0.3">
      <c r="I2212" s="7"/>
      <c r="J2212" s="9"/>
      <c r="K2212" s="9"/>
      <c r="L2212" s="9"/>
      <c r="M2212" s="9"/>
    </row>
    <row r="2213" spans="9:13" x14ac:dyDescent="0.3">
      <c r="I2213" s="7"/>
      <c r="J2213" s="9"/>
      <c r="K2213" s="9"/>
      <c r="L2213" s="9"/>
      <c r="M2213" s="9"/>
    </row>
    <row r="2214" spans="9:13" x14ac:dyDescent="0.3">
      <c r="I2214" s="7"/>
      <c r="J2214" s="9"/>
      <c r="K2214" s="9"/>
      <c r="L2214" s="9"/>
      <c r="M2214" s="9"/>
    </row>
    <row r="2215" spans="9:13" x14ac:dyDescent="0.3">
      <c r="I2215" s="7"/>
      <c r="J2215" s="9"/>
      <c r="K2215" s="9"/>
      <c r="L2215" s="9"/>
      <c r="M2215" s="9"/>
    </row>
    <row r="2216" spans="9:13" x14ac:dyDescent="0.3">
      <c r="I2216" s="7"/>
      <c r="J2216" s="9"/>
      <c r="K2216" s="9"/>
      <c r="L2216" s="9"/>
      <c r="M2216" s="9"/>
    </row>
    <row r="2217" spans="9:13" x14ac:dyDescent="0.3">
      <c r="I2217" s="7"/>
      <c r="J2217" s="9"/>
      <c r="K2217" s="9"/>
      <c r="L2217" s="9"/>
      <c r="M2217" s="9"/>
    </row>
    <row r="2218" spans="9:13" x14ac:dyDescent="0.3">
      <c r="I2218" s="7"/>
      <c r="J2218" s="9"/>
      <c r="K2218" s="9"/>
      <c r="L2218" s="9"/>
      <c r="M2218" s="9"/>
    </row>
    <row r="2219" spans="9:13" x14ac:dyDescent="0.3">
      <c r="I2219" s="7"/>
      <c r="J2219" s="9"/>
      <c r="K2219" s="9"/>
      <c r="L2219" s="9"/>
      <c r="M2219" s="9"/>
    </row>
    <row r="2220" spans="9:13" x14ac:dyDescent="0.3">
      <c r="I2220" s="7"/>
      <c r="J2220" s="9"/>
      <c r="K2220" s="9"/>
      <c r="L2220" s="9"/>
      <c r="M2220" s="9"/>
    </row>
    <row r="2221" spans="9:13" x14ac:dyDescent="0.3">
      <c r="I2221" s="7"/>
      <c r="J2221" s="9"/>
      <c r="K2221" s="9"/>
      <c r="L2221" s="9"/>
      <c r="M2221" s="9"/>
    </row>
    <row r="2222" spans="9:13" x14ac:dyDescent="0.3">
      <c r="I2222" s="7"/>
      <c r="J2222" s="9"/>
      <c r="K2222" s="9"/>
      <c r="L2222" s="9"/>
      <c r="M2222" s="9"/>
    </row>
    <row r="2223" spans="9:13" x14ac:dyDescent="0.3">
      <c r="I2223" s="7"/>
      <c r="J2223" s="9"/>
      <c r="K2223" s="9"/>
      <c r="L2223" s="9"/>
      <c r="M2223" s="9"/>
    </row>
    <row r="2224" spans="9:13" x14ac:dyDescent="0.3">
      <c r="I2224" s="7"/>
      <c r="J2224" s="9"/>
      <c r="K2224" s="9"/>
      <c r="L2224" s="9"/>
      <c r="M2224" s="9"/>
    </row>
    <row r="2225" spans="9:13" x14ac:dyDescent="0.3">
      <c r="I2225" s="7"/>
      <c r="J2225" s="9"/>
      <c r="K2225" s="9"/>
      <c r="L2225" s="9"/>
      <c r="M2225" s="9"/>
    </row>
    <row r="2226" spans="9:13" x14ac:dyDescent="0.3">
      <c r="I2226" s="7"/>
      <c r="J2226" s="9"/>
      <c r="K2226" s="9"/>
      <c r="L2226" s="9"/>
      <c r="M2226" s="9"/>
    </row>
    <row r="2227" spans="9:13" x14ac:dyDescent="0.3">
      <c r="I2227" s="7"/>
      <c r="J2227" s="9"/>
      <c r="K2227" s="9"/>
      <c r="L2227" s="9"/>
      <c r="M2227" s="9"/>
    </row>
    <row r="2228" spans="9:13" x14ac:dyDescent="0.3">
      <c r="I2228" s="7"/>
      <c r="J2228" s="9"/>
      <c r="K2228" s="9"/>
      <c r="L2228" s="9"/>
      <c r="M2228" s="9"/>
    </row>
    <row r="2229" spans="9:13" x14ac:dyDescent="0.3">
      <c r="I2229" s="7"/>
      <c r="J2229" s="9"/>
      <c r="K2229" s="9"/>
      <c r="L2229" s="9"/>
      <c r="M2229" s="9"/>
    </row>
    <row r="2230" spans="9:13" x14ac:dyDescent="0.3">
      <c r="I2230" s="7"/>
      <c r="J2230" s="9"/>
      <c r="K2230" s="9"/>
      <c r="L2230" s="9"/>
      <c r="M2230" s="9"/>
    </row>
    <row r="2231" spans="9:13" x14ac:dyDescent="0.3">
      <c r="I2231" s="7"/>
      <c r="J2231" s="9"/>
      <c r="K2231" s="9"/>
      <c r="L2231" s="9"/>
      <c r="M2231" s="9"/>
    </row>
    <row r="2232" spans="9:13" x14ac:dyDescent="0.3">
      <c r="I2232" s="7"/>
      <c r="J2232" s="9"/>
      <c r="K2232" s="9"/>
      <c r="L2232" s="9"/>
      <c r="M2232" s="9"/>
    </row>
    <row r="2233" spans="9:13" x14ac:dyDescent="0.3">
      <c r="I2233" s="7"/>
      <c r="J2233" s="9"/>
      <c r="K2233" s="9"/>
      <c r="L2233" s="9"/>
      <c r="M2233" s="9"/>
    </row>
    <row r="2234" spans="9:13" x14ac:dyDescent="0.3">
      <c r="I2234" s="7"/>
      <c r="J2234" s="9"/>
      <c r="K2234" s="9"/>
      <c r="L2234" s="9"/>
      <c r="M2234" s="9"/>
    </row>
    <row r="2235" spans="9:13" x14ac:dyDescent="0.3">
      <c r="I2235" s="7"/>
      <c r="J2235" s="9"/>
      <c r="K2235" s="9"/>
      <c r="L2235" s="9"/>
      <c r="M2235" s="9"/>
    </row>
    <row r="2236" spans="9:13" x14ac:dyDescent="0.3">
      <c r="I2236" s="7"/>
      <c r="J2236" s="9"/>
      <c r="K2236" s="9"/>
      <c r="L2236" s="9"/>
      <c r="M2236" s="9"/>
    </row>
    <row r="2237" spans="9:13" x14ac:dyDescent="0.3">
      <c r="I2237" s="7"/>
      <c r="J2237" s="9"/>
      <c r="K2237" s="9"/>
      <c r="L2237" s="9"/>
      <c r="M2237" s="9"/>
    </row>
    <row r="2238" spans="9:13" x14ac:dyDescent="0.3">
      <c r="I2238" s="7"/>
      <c r="J2238" s="9"/>
      <c r="K2238" s="9"/>
      <c r="L2238" s="9"/>
      <c r="M2238" s="9"/>
    </row>
    <row r="2239" spans="9:13" x14ac:dyDescent="0.3">
      <c r="I2239" s="7"/>
      <c r="J2239" s="9"/>
      <c r="K2239" s="9"/>
      <c r="L2239" s="9"/>
      <c r="M2239" s="9"/>
    </row>
    <row r="2240" spans="9:13" x14ac:dyDescent="0.3">
      <c r="I2240" s="7"/>
      <c r="J2240" s="9"/>
      <c r="K2240" s="9"/>
      <c r="L2240" s="9"/>
      <c r="M2240" s="9"/>
    </row>
    <row r="2241" spans="9:13" x14ac:dyDescent="0.3">
      <c r="I2241" s="7"/>
      <c r="J2241" s="9"/>
      <c r="K2241" s="9"/>
      <c r="L2241" s="9"/>
      <c r="M2241" s="9"/>
    </row>
    <row r="2242" spans="9:13" x14ac:dyDescent="0.3">
      <c r="I2242" s="7"/>
      <c r="J2242" s="9"/>
      <c r="K2242" s="9"/>
      <c r="L2242" s="9"/>
      <c r="M2242" s="9"/>
    </row>
    <row r="2243" spans="9:13" x14ac:dyDescent="0.3">
      <c r="I2243" s="7"/>
      <c r="J2243" s="9"/>
      <c r="K2243" s="9"/>
      <c r="L2243" s="9"/>
      <c r="M2243" s="9"/>
    </row>
    <row r="2244" spans="9:13" x14ac:dyDescent="0.3">
      <c r="I2244" s="7"/>
      <c r="J2244" s="9"/>
      <c r="K2244" s="9"/>
      <c r="L2244" s="9"/>
      <c r="M2244" s="9"/>
    </row>
    <row r="2245" spans="9:13" x14ac:dyDescent="0.3">
      <c r="I2245" s="7"/>
      <c r="J2245" s="9"/>
      <c r="K2245" s="9"/>
      <c r="L2245" s="9"/>
      <c r="M2245" s="9"/>
    </row>
    <row r="2246" spans="9:13" x14ac:dyDescent="0.3">
      <c r="I2246" s="7"/>
      <c r="J2246" s="9"/>
      <c r="K2246" s="9"/>
      <c r="L2246" s="9"/>
      <c r="M2246" s="9"/>
    </row>
    <row r="2247" spans="9:13" x14ac:dyDescent="0.3">
      <c r="I2247" s="7"/>
      <c r="J2247" s="9"/>
      <c r="K2247" s="9"/>
      <c r="L2247" s="9"/>
      <c r="M2247" s="9"/>
    </row>
    <row r="2248" spans="9:13" x14ac:dyDescent="0.3">
      <c r="I2248" s="7"/>
      <c r="J2248" s="9"/>
      <c r="K2248" s="9"/>
      <c r="L2248" s="9"/>
      <c r="M2248" s="9"/>
    </row>
    <row r="2249" spans="9:13" x14ac:dyDescent="0.3">
      <c r="I2249" s="7"/>
      <c r="J2249" s="9"/>
      <c r="K2249" s="9"/>
      <c r="L2249" s="9"/>
      <c r="M2249" s="9"/>
    </row>
    <row r="2250" spans="9:13" x14ac:dyDescent="0.3">
      <c r="I2250" s="7"/>
      <c r="J2250" s="9"/>
      <c r="K2250" s="9"/>
      <c r="L2250" s="9"/>
      <c r="M2250" s="9"/>
    </row>
    <row r="2251" spans="9:13" x14ac:dyDescent="0.3">
      <c r="I2251" s="7"/>
      <c r="J2251" s="9"/>
      <c r="K2251" s="9"/>
      <c r="L2251" s="9"/>
      <c r="M2251" s="9"/>
    </row>
    <row r="2252" spans="9:13" x14ac:dyDescent="0.3">
      <c r="I2252" s="7"/>
      <c r="J2252" s="9"/>
      <c r="K2252" s="9"/>
      <c r="L2252" s="9"/>
      <c r="M2252" s="9"/>
    </row>
    <row r="2253" spans="9:13" x14ac:dyDescent="0.3">
      <c r="I2253" s="7"/>
      <c r="J2253" s="9"/>
      <c r="K2253" s="9"/>
      <c r="L2253" s="9"/>
      <c r="M2253" s="9"/>
    </row>
    <row r="2254" spans="9:13" x14ac:dyDescent="0.3">
      <c r="I2254" s="7"/>
      <c r="J2254" s="9"/>
      <c r="K2254" s="9"/>
      <c r="L2254" s="9"/>
      <c r="M2254" s="9"/>
    </row>
    <row r="2255" spans="9:13" x14ac:dyDescent="0.3">
      <c r="I2255" s="7"/>
      <c r="J2255" s="9"/>
      <c r="K2255" s="9"/>
      <c r="L2255" s="9"/>
      <c r="M2255" s="9"/>
    </row>
    <row r="2256" spans="9:13" x14ac:dyDescent="0.3">
      <c r="I2256" s="7"/>
      <c r="J2256" s="9"/>
      <c r="K2256" s="9"/>
      <c r="L2256" s="9"/>
      <c r="M2256" s="9"/>
    </row>
    <row r="2257" spans="9:13" x14ac:dyDescent="0.3">
      <c r="I2257" s="7"/>
      <c r="J2257" s="9"/>
      <c r="K2257" s="9"/>
      <c r="L2257" s="9"/>
      <c r="M2257" s="9"/>
    </row>
    <row r="2258" spans="9:13" x14ac:dyDescent="0.3">
      <c r="I2258" s="7"/>
      <c r="J2258" s="9"/>
      <c r="K2258" s="9"/>
      <c r="L2258" s="9"/>
      <c r="M2258" s="9"/>
    </row>
    <row r="2259" spans="9:13" x14ac:dyDescent="0.3">
      <c r="I2259" s="7"/>
      <c r="J2259" s="9"/>
      <c r="K2259" s="9"/>
      <c r="L2259" s="9"/>
      <c r="M2259" s="9"/>
    </row>
    <row r="2260" spans="9:13" x14ac:dyDescent="0.3">
      <c r="I2260" s="7"/>
      <c r="J2260" s="9"/>
      <c r="K2260" s="9"/>
      <c r="L2260" s="9"/>
      <c r="M2260" s="9"/>
    </row>
    <row r="2261" spans="9:13" x14ac:dyDescent="0.3">
      <c r="I2261" s="7"/>
      <c r="J2261" s="9"/>
      <c r="K2261" s="9"/>
      <c r="L2261" s="9"/>
      <c r="M2261" s="9"/>
    </row>
    <row r="2262" spans="9:13" x14ac:dyDescent="0.3">
      <c r="I2262" s="7"/>
      <c r="J2262" s="9"/>
      <c r="K2262" s="9"/>
      <c r="L2262" s="9"/>
      <c r="M2262" s="9"/>
    </row>
    <row r="2263" spans="9:13" x14ac:dyDescent="0.3">
      <c r="I2263" s="7"/>
      <c r="J2263" s="9"/>
      <c r="K2263" s="9"/>
      <c r="L2263" s="9"/>
      <c r="M2263" s="9"/>
    </row>
    <row r="2264" spans="9:13" x14ac:dyDescent="0.3">
      <c r="I2264" s="7"/>
      <c r="J2264" s="9"/>
      <c r="K2264" s="9"/>
      <c r="L2264" s="9"/>
      <c r="M2264" s="9"/>
    </row>
    <row r="2265" spans="9:13" x14ac:dyDescent="0.3">
      <c r="I2265" s="7"/>
      <c r="J2265" s="9"/>
      <c r="K2265" s="9"/>
      <c r="L2265" s="9"/>
      <c r="M2265" s="9"/>
    </row>
    <row r="2266" spans="9:13" x14ac:dyDescent="0.3">
      <c r="I2266" s="7"/>
      <c r="J2266" s="9"/>
      <c r="K2266" s="9"/>
      <c r="L2266" s="9"/>
      <c r="M2266" s="9"/>
    </row>
    <row r="2267" spans="9:13" x14ac:dyDescent="0.3">
      <c r="I2267" s="7"/>
      <c r="J2267" s="9"/>
      <c r="K2267" s="9"/>
      <c r="L2267" s="9"/>
      <c r="M2267" s="9"/>
    </row>
    <row r="2268" spans="9:13" x14ac:dyDescent="0.3">
      <c r="I2268" s="7"/>
      <c r="J2268" s="9"/>
      <c r="K2268" s="9"/>
      <c r="L2268" s="9"/>
      <c r="M2268" s="9"/>
    </row>
    <row r="2269" spans="9:13" x14ac:dyDescent="0.3">
      <c r="I2269" s="7"/>
      <c r="J2269" s="9"/>
      <c r="K2269" s="9"/>
      <c r="L2269" s="9"/>
      <c r="M2269" s="9"/>
    </row>
    <row r="2270" spans="9:13" x14ac:dyDescent="0.3">
      <c r="I2270" s="7"/>
      <c r="J2270" s="9"/>
      <c r="K2270" s="9"/>
      <c r="L2270" s="9"/>
      <c r="M2270" s="9"/>
    </row>
    <row r="2271" spans="9:13" x14ac:dyDescent="0.3">
      <c r="I2271" s="7"/>
      <c r="J2271" s="9"/>
      <c r="K2271" s="9"/>
      <c r="L2271" s="9"/>
      <c r="M2271" s="9"/>
    </row>
    <row r="2272" spans="9:13" x14ac:dyDescent="0.3">
      <c r="I2272" s="7"/>
      <c r="J2272" s="9"/>
      <c r="K2272" s="9"/>
      <c r="L2272" s="9"/>
      <c r="M2272" s="9"/>
    </row>
    <row r="2273" spans="9:13" x14ac:dyDescent="0.3">
      <c r="I2273" s="7"/>
      <c r="J2273" s="9"/>
      <c r="K2273" s="9"/>
      <c r="L2273" s="9"/>
      <c r="M2273" s="9"/>
    </row>
    <row r="2274" spans="9:13" x14ac:dyDescent="0.3">
      <c r="I2274" s="7"/>
      <c r="J2274" s="9"/>
      <c r="K2274" s="9"/>
      <c r="L2274" s="9"/>
      <c r="M2274" s="9"/>
    </row>
    <row r="2275" spans="9:13" x14ac:dyDescent="0.3">
      <c r="I2275" s="7"/>
      <c r="J2275" s="9"/>
      <c r="K2275" s="9"/>
      <c r="L2275" s="9"/>
      <c r="M2275" s="9"/>
    </row>
    <row r="2276" spans="9:13" x14ac:dyDescent="0.3">
      <c r="I2276" s="7"/>
      <c r="J2276" s="9"/>
      <c r="K2276" s="9"/>
      <c r="L2276" s="9"/>
      <c r="M2276" s="9"/>
    </row>
    <row r="2277" spans="9:13" x14ac:dyDescent="0.3">
      <c r="I2277" s="7"/>
      <c r="J2277" s="9"/>
      <c r="K2277" s="9"/>
      <c r="L2277" s="9"/>
      <c r="M2277" s="9"/>
    </row>
    <row r="2278" spans="9:13" x14ac:dyDescent="0.3">
      <c r="I2278" s="7"/>
      <c r="J2278" s="9"/>
      <c r="K2278" s="9"/>
      <c r="L2278" s="9"/>
      <c r="M2278" s="9"/>
    </row>
    <row r="2279" spans="9:13" x14ac:dyDescent="0.3">
      <c r="I2279" s="7"/>
      <c r="J2279" s="9"/>
      <c r="K2279" s="9"/>
      <c r="L2279" s="9"/>
      <c r="M2279" s="9"/>
    </row>
    <row r="2280" spans="9:13" x14ac:dyDescent="0.3">
      <c r="I2280" s="7"/>
      <c r="J2280" s="9"/>
      <c r="K2280" s="9"/>
      <c r="L2280" s="9"/>
      <c r="M2280" s="9"/>
    </row>
    <row r="2281" spans="9:13" x14ac:dyDescent="0.3">
      <c r="I2281" s="7"/>
      <c r="J2281" s="9"/>
      <c r="K2281" s="9"/>
      <c r="L2281" s="9"/>
      <c r="M2281" s="9"/>
    </row>
    <row r="2282" spans="9:13" x14ac:dyDescent="0.3">
      <c r="I2282" s="7"/>
      <c r="J2282" s="9"/>
      <c r="K2282" s="9"/>
      <c r="L2282" s="9"/>
      <c r="M2282" s="9"/>
    </row>
    <row r="2283" spans="9:13" x14ac:dyDescent="0.3">
      <c r="I2283" s="7"/>
      <c r="J2283" s="9"/>
      <c r="K2283" s="9"/>
      <c r="L2283" s="9"/>
      <c r="M2283" s="9"/>
    </row>
    <row r="2284" spans="9:13" x14ac:dyDescent="0.3">
      <c r="I2284" s="7"/>
      <c r="J2284" s="9"/>
      <c r="K2284" s="9"/>
      <c r="L2284" s="9"/>
      <c r="M2284" s="9"/>
    </row>
    <row r="2285" spans="9:13" x14ac:dyDescent="0.3">
      <c r="I2285" s="7"/>
      <c r="J2285" s="9"/>
      <c r="K2285" s="9"/>
      <c r="L2285" s="9"/>
      <c r="M2285" s="9"/>
    </row>
    <row r="2286" spans="9:13" x14ac:dyDescent="0.3">
      <c r="I2286" s="7"/>
      <c r="J2286" s="9"/>
      <c r="K2286" s="9"/>
      <c r="L2286" s="9"/>
      <c r="M2286" s="9"/>
    </row>
    <row r="2287" spans="9:13" x14ac:dyDescent="0.3">
      <c r="I2287" s="7"/>
      <c r="J2287" s="9"/>
      <c r="K2287" s="9"/>
      <c r="L2287" s="9"/>
      <c r="M2287" s="9"/>
    </row>
    <row r="2288" spans="9:13" x14ac:dyDescent="0.3">
      <c r="I2288" s="7"/>
      <c r="J2288" s="9"/>
      <c r="K2288" s="9"/>
      <c r="L2288" s="9"/>
      <c r="M2288" s="9"/>
    </row>
    <row r="2289" spans="9:13" x14ac:dyDescent="0.3">
      <c r="I2289" s="7"/>
      <c r="J2289" s="9"/>
      <c r="K2289" s="9"/>
      <c r="L2289" s="9"/>
      <c r="M2289" s="9"/>
    </row>
    <row r="2290" spans="9:13" x14ac:dyDescent="0.3">
      <c r="I2290" s="7"/>
      <c r="J2290" s="9"/>
      <c r="K2290" s="9"/>
      <c r="L2290" s="9"/>
      <c r="M2290" s="9"/>
    </row>
    <row r="2291" spans="9:13" x14ac:dyDescent="0.3">
      <c r="I2291" s="7"/>
      <c r="J2291" s="9"/>
      <c r="K2291" s="9"/>
      <c r="L2291" s="9"/>
      <c r="M2291" s="9"/>
    </row>
    <row r="2292" spans="9:13" x14ac:dyDescent="0.3">
      <c r="I2292" s="7"/>
      <c r="J2292" s="9"/>
      <c r="K2292" s="9"/>
      <c r="L2292" s="9"/>
      <c r="M2292" s="9"/>
    </row>
    <row r="2293" spans="9:13" x14ac:dyDescent="0.3">
      <c r="I2293" s="7"/>
      <c r="J2293" s="9"/>
      <c r="K2293" s="9"/>
      <c r="L2293" s="9"/>
      <c r="M2293" s="9"/>
    </row>
    <row r="2294" spans="9:13" x14ac:dyDescent="0.3">
      <c r="I2294" s="7"/>
      <c r="J2294" s="9"/>
      <c r="K2294" s="9"/>
      <c r="L2294" s="9"/>
      <c r="M2294" s="9"/>
    </row>
    <row r="2295" spans="9:13" x14ac:dyDescent="0.3">
      <c r="I2295" s="7"/>
      <c r="J2295" s="9"/>
      <c r="K2295" s="9"/>
      <c r="L2295" s="9"/>
      <c r="M2295" s="9"/>
    </row>
    <row r="2296" spans="9:13" x14ac:dyDescent="0.3">
      <c r="I2296" s="7"/>
      <c r="J2296" s="9"/>
      <c r="K2296" s="9"/>
      <c r="L2296" s="9"/>
      <c r="M2296" s="9"/>
    </row>
    <row r="2297" spans="9:13" x14ac:dyDescent="0.3">
      <c r="I2297" s="7"/>
      <c r="J2297" s="9"/>
      <c r="K2297" s="9"/>
      <c r="L2297" s="9"/>
      <c r="M2297" s="9"/>
    </row>
    <row r="2298" spans="9:13" x14ac:dyDescent="0.3">
      <c r="I2298" s="7"/>
      <c r="J2298" s="9"/>
      <c r="K2298" s="9"/>
      <c r="L2298" s="9"/>
      <c r="M2298" s="9"/>
    </row>
    <row r="2299" spans="9:13" x14ac:dyDescent="0.3">
      <c r="I2299" s="7"/>
      <c r="J2299" s="9"/>
      <c r="K2299" s="9"/>
      <c r="L2299" s="9"/>
      <c r="M2299" s="9"/>
    </row>
    <row r="2300" spans="9:13" x14ac:dyDescent="0.3">
      <c r="I2300" s="7"/>
      <c r="J2300" s="9"/>
      <c r="K2300" s="9"/>
      <c r="L2300" s="9"/>
      <c r="M2300" s="9"/>
    </row>
    <row r="2301" spans="9:13" x14ac:dyDescent="0.3">
      <c r="I2301" s="7"/>
      <c r="J2301" s="9"/>
      <c r="K2301" s="9"/>
      <c r="L2301" s="9"/>
      <c r="M2301" s="9"/>
    </row>
    <row r="2302" spans="9:13" x14ac:dyDescent="0.3">
      <c r="I2302" s="7"/>
      <c r="J2302" s="9"/>
      <c r="K2302" s="9"/>
      <c r="L2302" s="9"/>
      <c r="M2302" s="9"/>
    </row>
    <row r="2303" spans="9:13" x14ac:dyDescent="0.3">
      <c r="I2303" s="7"/>
      <c r="J2303" s="9"/>
      <c r="K2303" s="9"/>
      <c r="L2303" s="9"/>
      <c r="M2303" s="9"/>
    </row>
    <row r="2304" spans="9:13" x14ac:dyDescent="0.3">
      <c r="I2304" s="7"/>
      <c r="J2304" s="9"/>
      <c r="K2304" s="9"/>
      <c r="L2304" s="9"/>
      <c r="M2304" s="9"/>
    </row>
    <row r="2305" spans="9:13" x14ac:dyDescent="0.3">
      <c r="I2305" s="7"/>
      <c r="J2305" s="9"/>
      <c r="K2305" s="9"/>
      <c r="L2305" s="9"/>
      <c r="M2305" s="9"/>
    </row>
    <row r="2306" spans="9:13" x14ac:dyDescent="0.3">
      <c r="I2306" s="7"/>
      <c r="J2306" s="9"/>
      <c r="K2306" s="9"/>
      <c r="L2306" s="9"/>
      <c r="M2306" s="9"/>
    </row>
    <row r="2307" spans="9:13" x14ac:dyDescent="0.3">
      <c r="I2307" s="7"/>
      <c r="J2307" s="9"/>
      <c r="K2307" s="9"/>
      <c r="L2307" s="9"/>
      <c r="M2307" s="9"/>
    </row>
    <row r="2308" spans="9:13" x14ac:dyDescent="0.3">
      <c r="I2308" s="7"/>
      <c r="J2308" s="9"/>
      <c r="K2308" s="9"/>
      <c r="L2308" s="9"/>
      <c r="M2308" s="9"/>
    </row>
    <row r="2309" spans="9:13" x14ac:dyDescent="0.3">
      <c r="I2309" s="7"/>
      <c r="J2309" s="9"/>
      <c r="K2309" s="9"/>
      <c r="L2309" s="9"/>
      <c r="M2309" s="9"/>
    </row>
    <row r="2310" spans="9:13" x14ac:dyDescent="0.3">
      <c r="I2310" s="7"/>
      <c r="J2310" s="9"/>
      <c r="K2310" s="9"/>
      <c r="L2310" s="9"/>
      <c r="M2310" s="9"/>
    </row>
    <row r="2311" spans="9:13" x14ac:dyDescent="0.3">
      <c r="I2311" s="7"/>
      <c r="J2311" s="9"/>
      <c r="K2311" s="9"/>
      <c r="L2311" s="9"/>
      <c r="M2311" s="9"/>
    </row>
    <row r="2312" spans="9:13" x14ac:dyDescent="0.3">
      <c r="I2312" s="7"/>
      <c r="J2312" s="9"/>
      <c r="K2312" s="9"/>
      <c r="L2312" s="9"/>
      <c r="M2312" s="9"/>
    </row>
    <row r="2313" spans="9:13" x14ac:dyDescent="0.3">
      <c r="I2313" s="7"/>
      <c r="J2313" s="9"/>
      <c r="K2313" s="9"/>
      <c r="L2313" s="9"/>
      <c r="M2313" s="9"/>
    </row>
    <row r="2314" spans="9:13" x14ac:dyDescent="0.3">
      <c r="I2314" s="7"/>
      <c r="J2314" s="9"/>
      <c r="K2314" s="9"/>
      <c r="L2314" s="9"/>
      <c r="M2314" s="9"/>
    </row>
    <row r="2315" spans="9:13" x14ac:dyDescent="0.3">
      <c r="I2315" s="7"/>
      <c r="J2315" s="9"/>
      <c r="K2315" s="9"/>
      <c r="L2315" s="9"/>
      <c r="M2315" s="9"/>
    </row>
    <row r="2316" spans="9:13" x14ac:dyDescent="0.3">
      <c r="I2316" s="7"/>
      <c r="J2316" s="9"/>
      <c r="K2316" s="9"/>
      <c r="L2316" s="9"/>
      <c r="M2316" s="9"/>
    </row>
    <row r="2317" spans="9:13" x14ac:dyDescent="0.3">
      <c r="I2317" s="7"/>
      <c r="J2317" s="9"/>
      <c r="K2317" s="9"/>
      <c r="L2317" s="9"/>
      <c r="M2317" s="9"/>
    </row>
    <row r="2318" spans="9:13" x14ac:dyDescent="0.3">
      <c r="I2318" s="7"/>
      <c r="J2318" s="9"/>
      <c r="K2318" s="9"/>
      <c r="L2318" s="9"/>
      <c r="M2318" s="9"/>
    </row>
    <row r="2319" spans="9:13" x14ac:dyDescent="0.3">
      <c r="I2319" s="7"/>
      <c r="J2319" s="9"/>
      <c r="K2319" s="9"/>
      <c r="L2319" s="9"/>
      <c r="M2319" s="9"/>
    </row>
    <row r="2320" spans="9:13" x14ac:dyDescent="0.3">
      <c r="I2320" s="7"/>
      <c r="J2320" s="9"/>
      <c r="K2320" s="9"/>
      <c r="L2320" s="9"/>
      <c r="M2320" s="9"/>
    </row>
    <row r="2321" spans="9:13" x14ac:dyDescent="0.3">
      <c r="I2321" s="7"/>
      <c r="J2321" s="9"/>
      <c r="K2321" s="9"/>
      <c r="L2321" s="9"/>
      <c r="M2321" s="9"/>
    </row>
    <row r="2322" spans="9:13" x14ac:dyDescent="0.3">
      <c r="I2322" s="7"/>
      <c r="J2322" s="9"/>
      <c r="K2322" s="9"/>
      <c r="L2322" s="9"/>
      <c r="M2322" s="9"/>
    </row>
    <row r="2323" spans="9:13" x14ac:dyDescent="0.3">
      <c r="I2323" s="7"/>
      <c r="J2323" s="9"/>
      <c r="K2323" s="9"/>
      <c r="L2323" s="9"/>
      <c r="M2323" s="9"/>
    </row>
    <row r="2324" spans="9:13" x14ac:dyDescent="0.3">
      <c r="I2324" s="7"/>
      <c r="J2324" s="9"/>
      <c r="K2324" s="9"/>
      <c r="L2324" s="9"/>
      <c r="M2324" s="9"/>
    </row>
    <row r="2325" spans="9:13" x14ac:dyDescent="0.3">
      <c r="I2325" s="7"/>
      <c r="J2325" s="9"/>
      <c r="K2325" s="9"/>
      <c r="L2325" s="9"/>
      <c r="M2325" s="9"/>
    </row>
    <row r="2326" spans="9:13" x14ac:dyDescent="0.3">
      <c r="I2326" s="7"/>
      <c r="J2326" s="9"/>
      <c r="K2326" s="9"/>
      <c r="L2326" s="9"/>
      <c r="M2326" s="9"/>
    </row>
    <row r="2327" spans="9:13" x14ac:dyDescent="0.3">
      <c r="I2327" s="7"/>
      <c r="J2327" s="9"/>
      <c r="K2327" s="9"/>
      <c r="L2327" s="9"/>
      <c r="M2327" s="9"/>
    </row>
    <row r="2328" spans="9:13" x14ac:dyDescent="0.3">
      <c r="I2328" s="7"/>
      <c r="J2328" s="9"/>
      <c r="K2328" s="9"/>
      <c r="L2328" s="9"/>
      <c r="M2328" s="9"/>
    </row>
    <row r="2329" spans="9:13" x14ac:dyDescent="0.3">
      <c r="I2329" s="7"/>
      <c r="J2329" s="9"/>
      <c r="K2329" s="9"/>
      <c r="L2329" s="9"/>
      <c r="M2329" s="9"/>
    </row>
    <row r="2330" spans="9:13" x14ac:dyDescent="0.3">
      <c r="I2330" s="7"/>
      <c r="J2330" s="9"/>
      <c r="K2330" s="9"/>
      <c r="L2330" s="9"/>
      <c r="M2330" s="9"/>
    </row>
    <row r="2331" spans="9:13" x14ac:dyDescent="0.3">
      <c r="I2331" s="7"/>
      <c r="J2331" s="9"/>
      <c r="K2331" s="9"/>
      <c r="L2331" s="9"/>
      <c r="M2331" s="9"/>
    </row>
    <row r="2332" spans="9:13" x14ac:dyDescent="0.3">
      <c r="I2332" s="7"/>
      <c r="J2332" s="9"/>
      <c r="K2332" s="9"/>
      <c r="L2332" s="9"/>
      <c r="M2332" s="9"/>
    </row>
    <row r="2333" spans="9:13" x14ac:dyDescent="0.3">
      <c r="I2333" s="7"/>
      <c r="J2333" s="9"/>
      <c r="K2333" s="9"/>
      <c r="L2333" s="9"/>
      <c r="M2333" s="9"/>
    </row>
    <row r="2334" spans="9:13" x14ac:dyDescent="0.3">
      <c r="I2334" s="7"/>
      <c r="J2334" s="9"/>
      <c r="K2334" s="9"/>
      <c r="L2334" s="9"/>
      <c r="M2334" s="9"/>
    </row>
    <row r="2335" spans="9:13" x14ac:dyDescent="0.3">
      <c r="I2335" s="7"/>
      <c r="J2335" s="9"/>
      <c r="K2335" s="9"/>
      <c r="L2335" s="9"/>
      <c r="M2335" s="9"/>
    </row>
    <row r="2336" spans="9:13" x14ac:dyDescent="0.3">
      <c r="I2336" s="7"/>
      <c r="J2336" s="9"/>
      <c r="K2336" s="9"/>
      <c r="L2336" s="9"/>
      <c r="M2336" s="9"/>
    </row>
    <row r="2337" spans="9:13" x14ac:dyDescent="0.3">
      <c r="I2337" s="7"/>
      <c r="J2337" s="9"/>
      <c r="K2337" s="9"/>
      <c r="L2337" s="9"/>
      <c r="M2337" s="9"/>
    </row>
    <row r="2338" spans="9:13" x14ac:dyDescent="0.3">
      <c r="I2338" s="7"/>
      <c r="J2338" s="9"/>
      <c r="K2338" s="9"/>
      <c r="L2338" s="9"/>
      <c r="M2338" s="9"/>
    </row>
    <row r="2339" spans="9:13" x14ac:dyDescent="0.3">
      <c r="I2339" s="7"/>
      <c r="J2339" s="9"/>
      <c r="K2339" s="9"/>
      <c r="L2339" s="9"/>
      <c r="M2339" s="9"/>
    </row>
    <row r="2340" spans="9:13" x14ac:dyDescent="0.3">
      <c r="I2340" s="7"/>
      <c r="J2340" s="9"/>
      <c r="K2340" s="9"/>
      <c r="L2340" s="9"/>
      <c r="M2340" s="9"/>
    </row>
    <row r="2341" spans="9:13" x14ac:dyDescent="0.3">
      <c r="I2341" s="7"/>
      <c r="J2341" s="9"/>
      <c r="K2341" s="9"/>
      <c r="L2341" s="9"/>
      <c r="M2341" s="9"/>
    </row>
    <row r="2342" spans="9:13" x14ac:dyDescent="0.3">
      <c r="I2342" s="7"/>
      <c r="J2342" s="9"/>
      <c r="K2342" s="9"/>
      <c r="L2342" s="9"/>
      <c r="M2342" s="9"/>
    </row>
    <row r="2343" spans="9:13" x14ac:dyDescent="0.3">
      <c r="I2343" s="7"/>
      <c r="J2343" s="9"/>
      <c r="K2343" s="9"/>
      <c r="L2343" s="9"/>
      <c r="M2343" s="9"/>
    </row>
    <row r="2344" spans="9:13" x14ac:dyDescent="0.3">
      <c r="I2344" s="7"/>
      <c r="J2344" s="9"/>
      <c r="K2344" s="9"/>
      <c r="L2344" s="9"/>
      <c r="M2344" s="9"/>
    </row>
    <row r="2345" spans="9:13" x14ac:dyDescent="0.3">
      <c r="I2345" s="7"/>
      <c r="J2345" s="9"/>
      <c r="K2345" s="9"/>
      <c r="L2345" s="9"/>
      <c r="M2345" s="9"/>
    </row>
    <row r="2346" spans="9:13" x14ac:dyDescent="0.3">
      <c r="I2346" s="7"/>
      <c r="J2346" s="9"/>
      <c r="K2346" s="9"/>
      <c r="L2346" s="9"/>
      <c r="M2346" s="9"/>
    </row>
    <row r="2347" spans="9:13" x14ac:dyDescent="0.3">
      <c r="I2347" s="7"/>
      <c r="J2347" s="9"/>
      <c r="K2347" s="9"/>
      <c r="L2347" s="9"/>
      <c r="M2347" s="9"/>
    </row>
    <row r="2348" spans="9:13" x14ac:dyDescent="0.3">
      <c r="I2348" s="7"/>
      <c r="J2348" s="9"/>
      <c r="K2348" s="9"/>
      <c r="L2348" s="9"/>
      <c r="M2348" s="9"/>
    </row>
    <row r="2349" spans="9:13" x14ac:dyDescent="0.3">
      <c r="I2349" s="7"/>
      <c r="J2349" s="9"/>
      <c r="K2349" s="9"/>
      <c r="L2349" s="9"/>
      <c r="M2349" s="9"/>
    </row>
    <row r="2350" spans="9:13" x14ac:dyDescent="0.3">
      <c r="I2350" s="7"/>
      <c r="J2350" s="9"/>
      <c r="K2350" s="9"/>
      <c r="L2350" s="9"/>
      <c r="M2350" s="9"/>
    </row>
    <row r="2351" spans="9:13" x14ac:dyDescent="0.3">
      <c r="I2351" s="7"/>
      <c r="J2351" s="9"/>
      <c r="K2351" s="9"/>
      <c r="L2351" s="9"/>
      <c r="M2351" s="9"/>
    </row>
    <row r="2352" spans="9:13" x14ac:dyDescent="0.3">
      <c r="I2352" s="7"/>
      <c r="J2352" s="9"/>
      <c r="K2352" s="9"/>
      <c r="L2352" s="9"/>
      <c r="M2352" s="9"/>
    </row>
    <row r="2353" spans="9:13" x14ac:dyDescent="0.3">
      <c r="I2353" s="7"/>
      <c r="J2353" s="9"/>
      <c r="K2353" s="9"/>
      <c r="L2353" s="9"/>
      <c r="M2353" s="9"/>
    </row>
    <row r="2354" spans="9:13" x14ac:dyDescent="0.3">
      <c r="I2354" s="7"/>
      <c r="J2354" s="9"/>
      <c r="K2354" s="9"/>
      <c r="L2354" s="9"/>
      <c r="M2354" s="9"/>
    </row>
    <row r="2355" spans="9:13" x14ac:dyDescent="0.3">
      <c r="I2355" s="7"/>
      <c r="J2355" s="9"/>
      <c r="K2355" s="9"/>
      <c r="L2355" s="9"/>
      <c r="M2355" s="9"/>
    </row>
    <row r="2356" spans="9:13" x14ac:dyDescent="0.3">
      <c r="I2356" s="7"/>
      <c r="J2356" s="9"/>
      <c r="K2356" s="9"/>
      <c r="L2356" s="9"/>
      <c r="M2356" s="9"/>
    </row>
    <row r="2357" spans="9:13" x14ac:dyDescent="0.3">
      <c r="I2357" s="7"/>
      <c r="J2357" s="9"/>
      <c r="K2357" s="9"/>
      <c r="L2357" s="9"/>
      <c r="M2357" s="9"/>
    </row>
    <row r="2358" spans="9:13" x14ac:dyDescent="0.3">
      <c r="I2358" s="7"/>
      <c r="J2358" s="9"/>
      <c r="K2358" s="9"/>
      <c r="L2358" s="9"/>
      <c r="M2358" s="9"/>
    </row>
    <row r="2359" spans="9:13" x14ac:dyDescent="0.3">
      <c r="I2359" s="7"/>
      <c r="J2359" s="9"/>
      <c r="K2359" s="9"/>
      <c r="L2359" s="9"/>
      <c r="M2359" s="9"/>
    </row>
    <row r="2360" spans="9:13" x14ac:dyDescent="0.3">
      <c r="I2360" s="7"/>
      <c r="J2360" s="9"/>
      <c r="K2360" s="9"/>
      <c r="L2360" s="9"/>
      <c r="M2360" s="9"/>
    </row>
    <row r="2361" spans="9:13" x14ac:dyDescent="0.3">
      <c r="I2361" s="7"/>
      <c r="J2361" s="9"/>
      <c r="K2361" s="9"/>
      <c r="L2361" s="9"/>
      <c r="M2361" s="9"/>
    </row>
    <row r="2362" spans="9:13" x14ac:dyDescent="0.3">
      <c r="I2362" s="7"/>
      <c r="J2362" s="9"/>
      <c r="K2362" s="9"/>
      <c r="L2362" s="9"/>
      <c r="M2362" s="9"/>
    </row>
    <row r="2363" spans="9:13" x14ac:dyDescent="0.3">
      <c r="I2363" s="7"/>
      <c r="J2363" s="9"/>
      <c r="K2363" s="9"/>
      <c r="L2363" s="9"/>
      <c r="M2363" s="9"/>
    </row>
    <row r="2364" spans="9:13" x14ac:dyDescent="0.3">
      <c r="I2364" s="7"/>
      <c r="J2364" s="9"/>
      <c r="K2364" s="9"/>
      <c r="L2364" s="9"/>
      <c r="M2364" s="9"/>
    </row>
    <row r="2365" spans="9:13" x14ac:dyDescent="0.3">
      <c r="I2365" s="7"/>
      <c r="J2365" s="9"/>
      <c r="K2365" s="9"/>
      <c r="L2365" s="9"/>
      <c r="M2365" s="9"/>
    </row>
    <row r="2366" spans="9:13" x14ac:dyDescent="0.3">
      <c r="I2366" s="7"/>
      <c r="J2366" s="9"/>
      <c r="K2366" s="9"/>
      <c r="L2366" s="9"/>
      <c r="M2366" s="9"/>
    </row>
    <row r="2367" spans="9:13" x14ac:dyDescent="0.3">
      <c r="I2367" s="7"/>
      <c r="J2367" s="9"/>
      <c r="K2367" s="9"/>
      <c r="L2367" s="9"/>
      <c r="M2367" s="9"/>
    </row>
    <row r="2368" spans="9:13" x14ac:dyDescent="0.3">
      <c r="I2368" s="7"/>
      <c r="J2368" s="9"/>
      <c r="K2368" s="9"/>
      <c r="L2368" s="9"/>
      <c r="M2368" s="9"/>
    </row>
    <row r="2369" spans="9:13" x14ac:dyDescent="0.3">
      <c r="I2369" s="7"/>
      <c r="J2369" s="9"/>
      <c r="K2369" s="9"/>
      <c r="L2369" s="9"/>
      <c r="M2369" s="9"/>
    </row>
    <row r="2370" spans="9:13" x14ac:dyDescent="0.3">
      <c r="I2370" s="7"/>
      <c r="J2370" s="9"/>
      <c r="K2370" s="9"/>
      <c r="L2370" s="9"/>
      <c r="M2370" s="9"/>
    </row>
    <row r="2371" spans="9:13" x14ac:dyDescent="0.3">
      <c r="I2371" s="7"/>
      <c r="J2371" s="9"/>
      <c r="K2371" s="9"/>
      <c r="L2371" s="9"/>
      <c r="M2371" s="9"/>
    </row>
    <row r="2372" spans="9:13" x14ac:dyDescent="0.3">
      <c r="I2372" s="7"/>
      <c r="J2372" s="9"/>
      <c r="K2372" s="9"/>
      <c r="L2372" s="9"/>
      <c r="M2372" s="9"/>
    </row>
    <row r="2373" spans="9:13" x14ac:dyDescent="0.3">
      <c r="I2373" s="7"/>
      <c r="J2373" s="9"/>
      <c r="K2373" s="9"/>
      <c r="L2373" s="9"/>
      <c r="M2373" s="9"/>
    </row>
    <row r="2374" spans="9:13" x14ac:dyDescent="0.3">
      <c r="I2374" s="7"/>
      <c r="J2374" s="9"/>
      <c r="K2374" s="9"/>
      <c r="L2374" s="9"/>
      <c r="M2374" s="9"/>
    </row>
    <row r="2375" spans="9:13" x14ac:dyDescent="0.3">
      <c r="I2375" s="7"/>
      <c r="J2375" s="9"/>
      <c r="K2375" s="9"/>
      <c r="L2375" s="9"/>
      <c r="M2375" s="9"/>
    </row>
    <row r="2376" spans="9:13" x14ac:dyDescent="0.3">
      <c r="I2376" s="7"/>
      <c r="J2376" s="9"/>
      <c r="K2376" s="9"/>
      <c r="L2376" s="9"/>
      <c r="M2376" s="9"/>
    </row>
    <row r="2377" spans="9:13" x14ac:dyDescent="0.3">
      <c r="I2377" s="7"/>
      <c r="J2377" s="9"/>
      <c r="K2377" s="9"/>
      <c r="L2377" s="9"/>
      <c r="M2377" s="9"/>
    </row>
    <row r="2378" spans="9:13" x14ac:dyDescent="0.3">
      <c r="I2378" s="7"/>
      <c r="J2378" s="9"/>
      <c r="K2378" s="9"/>
      <c r="L2378" s="9"/>
      <c r="M2378" s="9"/>
    </row>
    <row r="2379" spans="9:13" x14ac:dyDescent="0.3">
      <c r="I2379" s="7"/>
      <c r="J2379" s="9"/>
      <c r="K2379" s="9"/>
      <c r="L2379" s="9"/>
      <c r="M2379" s="9"/>
    </row>
    <row r="2380" spans="9:13" x14ac:dyDescent="0.3">
      <c r="I2380" s="7"/>
      <c r="J2380" s="9"/>
      <c r="K2380" s="9"/>
      <c r="L2380" s="9"/>
      <c r="M2380" s="9"/>
    </row>
    <row r="2381" spans="9:13" x14ac:dyDescent="0.3">
      <c r="I2381" s="7"/>
      <c r="J2381" s="9"/>
      <c r="K2381" s="9"/>
      <c r="L2381" s="9"/>
      <c r="M2381" s="9"/>
    </row>
    <row r="2382" spans="9:13" x14ac:dyDescent="0.3">
      <c r="I2382" s="7"/>
      <c r="J2382" s="9"/>
      <c r="K2382" s="9"/>
      <c r="L2382" s="9"/>
      <c r="M2382" s="9"/>
    </row>
    <row r="2383" spans="9:13" x14ac:dyDescent="0.3">
      <c r="I2383" s="7"/>
      <c r="J2383" s="9"/>
      <c r="K2383" s="9"/>
      <c r="L2383" s="9"/>
      <c r="M2383" s="9"/>
    </row>
    <row r="2384" spans="9:13" x14ac:dyDescent="0.3">
      <c r="I2384" s="7"/>
      <c r="J2384" s="9"/>
      <c r="K2384" s="9"/>
      <c r="L2384" s="9"/>
      <c r="M2384" s="9"/>
    </row>
    <row r="2385" spans="9:13" x14ac:dyDescent="0.3">
      <c r="I2385" s="7"/>
      <c r="J2385" s="9"/>
      <c r="K2385" s="9"/>
      <c r="L2385" s="9"/>
      <c r="M2385" s="9"/>
    </row>
    <row r="2386" spans="9:13" x14ac:dyDescent="0.3">
      <c r="I2386" s="7"/>
      <c r="J2386" s="9"/>
      <c r="K2386" s="9"/>
      <c r="L2386" s="9"/>
      <c r="M2386" s="9"/>
    </row>
    <row r="2387" spans="9:13" x14ac:dyDescent="0.3">
      <c r="I2387" s="7"/>
      <c r="J2387" s="9"/>
      <c r="K2387" s="9"/>
      <c r="L2387" s="9"/>
      <c r="M2387" s="9"/>
    </row>
    <row r="2388" spans="9:13" x14ac:dyDescent="0.3">
      <c r="I2388" s="7"/>
      <c r="J2388" s="9"/>
      <c r="K2388" s="9"/>
      <c r="L2388" s="9"/>
      <c r="M2388" s="9"/>
    </row>
    <row r="2389" spans="9:13" x14ac:dyDescent="0.3">
      <c r="I2389" s="7"/>
      <c r="J2389" s="9"/>
      <c r="K2389" s="9"/>
      <c r="L2389" s="9"/>
      <c r="M2389" s="9"/>
    </row>
    <row r="2390" spans="9:13" x14ac:dyDescent="0.3">
      <c r="I2390" s="7"/>
      <c r="J2390" s="9"/>
      <c r="K2390" s="9"/>
      <c r="L2390" s="9"/>
      <c r="M2390" s="9"/>
    </row>
    <row r="2391" spans="9:13" x14ac:dyDescent="0.3">
      <c r="I2391" s="7"/>
      <c r="J2391" s="9"/>
      <c r="K2391" s="9"/>
      <c r="L2391" s="9"/>
      <c r="M2391" s="9"/>
    </row>
    <row r="2392" spans="9:13" x14ac:dyDescent="0.3">
      <c r="I2392" s="7"/>
      <c r="J2392" s="9"/>
      <c r="K2392" s="9"/>
      <c r="L2392" s="9"/>
      <c r="M2392" s="9"/>
    </row>
    <row r="2393" spans="9:13" x14ac:dyDescent="0.3">
      <c r="I2393" s="7"/>
      <c r="J2393" s="9"/>
      <c r="K2393" s="9"/>
      <c r="L2393" s="9"/>
      <c r="M2393" s="9"/>
    </row>
    <row r="2394" spans="9:13" x14ac:dyDescent="0.3">
      <c r="I2394" s="7"/>
      <c r="J2394" s="9"/>
      <c r="K2394" s="9"/>
      <c r="L2394" s="9"/>
      <c r="M2394" s="9"/>
    </row>
    <row r="2395" spans="9:13" x14ac:dyDescent="0.3">
      <c r="I2395" s="7"/>
      <c r="J2395" s="9"/>
      <c r="K2395" s="9"/>
      <c r="L2395" s="9"/>
      <c r="M2395" s="9"/>
    </row>
    <row r="2396" spans="9:13" x14ac:dyDescent="0.3">
      <c r="I2396" s="7"/>
      <c r="J2396" s="9"/>
      <c r="K2396" s="9"/>
      <c r="L2396" s="9"/>
      <c r="M2396" s="9"/>
    </row>
    <row r="2397" spans="9:13" x14ac:dyDescent="0.3">
      <c r="I2397" s="7"/>
      <c r="J2397" s="9"/>
      <c r="K2397" s="9"/>
      <c r="L2397" s="9"/>
      <c r="M2397" s="9"/>
    </row>
    <row r="2398" spans="9:13" x14ac:dyDescent="0.3">
      <c r="I2398" s="7"/>
      <c r="J2398" s="9"/>
      <c r="K2398" s="9"/>
      <c r="L2398" s="9"/>
      <c r="M2398" s="9"/>
    </row>
    <row r="2399" spans="9:13" x14ac:dyDescent="0.3">
      <c r="I2399" s="7"/>
      <c r="J2399" s="9"/>
      <c r="K2399" s="9"/>
      <c r="L2399" s="9"/>
      <c r="M2399" s="9"/>
    </row>
    <row r="2400" spans="9:13" x14ac:dyDescent="0.3">
      <c r="I2400" s="7"/>
      <c r="J2400" s="9"/>
      <c r="K2400" s="9"/>
      <c r="L2400" s="9"/>
      <c r="M2400" s="9"/>
    </row>
    <row r="2401" spans="9:13" x14ac:dyDescent="0.3">
      <c r="I2401" s="7"/>
      <c r="J2401" s="9"/>
      <c r="K2401" s="9"/>
      <c r="L2401" s="9"/>
      <c r="M2401" s="9"/>
    </row>
    <row r="2402" spans="9:13" x14ac:dyDescent="0.3">
      <c r="I2402" s="7"/>
      <c r="J2402" s="9"/>
      <c r="K2402" s="9"/>
      <c r="L2402" s="9"/>
      <c r="M2402" s="9"/>
    </row>
    <row r="2403" spans="9:13" x14ac:dyDescent="0.3">
      <c r="I2403" s="7"/>
      <c r="J2403" s="9"/>
      <c r="K2403" s="9"/>
      <c r="L2403" s="9"/>
      <c r="M2403" s="9"/>
    </row>
    <row r="2404" spans="9:13" x14ac:dyDescent="0.3">
      <c r="I2404" s="7"/>
      <c r="J2404" s="9"/>
      <c r="K2404" s="9"/>
      <c r="L2404" s="9"/>
      <c r="M2404" s="9"/>
    </row>
    <row r="2405" spans="9:13" x14ac:dyDescent="0.3">
      <c r="I2405" s="7"/>
      <c r="J2405" s="9"/>
      <c r="K2405" s="9"/>
      <c r="L2405" s="9"/>
      <c r="M2405" s="9"/>
    </row>
    <row r="2406" spans="9:13" x14ac:dyDescent="0.3">
      <c r="I2406" s="7"/>
      <c r="J2406" s="9"/>
      <c r="K2406" s="9"/>
      <c r="L2406" s="9"/>
      <c r="M2406" s="9"/>
    </row>
    <row r="2407" spans="9:13" x14ac:dyDescent="0.3">
      <c r="I2407" s="7"/>
      <c r="J2407" s="9"/>
      <c r="K2407" s="9"/>
      <c r="L2407" s="9"/>
      <c r="M2407" s="9"/>
    </row>
    <row r="2408" spans="9:13" x14ac:dyDescent="0.3">
      <c r="I2408" s="7"/>
      <c r="J2408" s="9"/>
      <c r="K2408" s="9"/>
      <c r="L2408" s="9"/>
      <c r="M2408" s="9"/>
    </row>
    <row r="2409" spans="9:13" x14ac:dyDescent="0.3">
      <c r="I2409" s="7"/>
      <c r="J2409" s="9"/>
      <c r="K2409" s="9"/>
      <c r="L2409" s="9"/>
      <c r="M2409" s="9"/>
    </row>
    <row r="2410" spans="9:13" x14ac:dyDescent="0.3">
      <c r="I2410" s="7"/>
      <c r="J2410" s="9"/>
      <c r="K2410" s="9"/>
      <c r="L2410" s="9"/>
      <c r="M2410" s="9"/>
    </row>
    <row r="2411" spans="9:13" x14ac:dyDescent="0.3">
      <c r="I2411" s="7"/>
      <c r="J2411" s="9"/>
      <c r="K2411" s="9"/>
      <c r="L2411" s="9"/>
      <c r="M2411" s="9"/>
    </row>
    <row r="2412" spans="9:13" x14ac:dyDescent="0.3">
      <c r="I2412" s="7"/>
      <c r="J2412" s="9"/>
      <c r="K2412" s="9"/>
      <c r="L2412" s="9"/>
      <c r="M2412" s="9"/>
    </row>
    <row r="2413" spans="9:13" x14ac:dyDescent="0.3">
      <c r="I2413" s="7"/>
      <c r="J2413" s="9"/>
      <c r="K2413" s="9"/>
      <c r="L2413" s="9"/>
      <c r="M2413" s="9"/>
    </row>
    <row r="2414" spans="9:13" x14ac:dyDescent="0.3">
      <c r="I2414" s="7"/>
      <c r="J2414" s="9"/>
      <c r="K2414" s="9"/>
      <c r="L2414" s="9"/>
      <c r="M2414" s="9"/>
    </row>
    <row r="2415" spans="9:13" x14ac:dyDescent="0.3">
      <c r="I2415" s="7"/>
      <c r="J2415" s="9"/>
      <c r="K2415" s="9"/>
      <c r="L2415" s="9"/>
      <c r="M2415" s="9"/>
    </row>
    <row r="2416" spans="9:13" x14ac:dyDescent="0.3">
      <c r="I2416" s="7"/>
      <c r="J2416" s="9"/>
      <c r="K2416" s="9"/>
      <c r="L2416" s="9"/>
      <c r="M2416" s="9"/>
    </row>
    <row r="2417" spans="9:13" x14ac:dyDescent="0.3">
      <c r="I2417" s="7"/>
      <c r="J2417" s="9"/>
      <c r="K2417" s="9"/>
      <c r="L2417" s="9"/>
      <c r="M2417" s="9"/>
    </row>
    <row r="2418" spans="9:13" x14ac:dyDescent="0.3">
      <c r="I2418" s="7"/>
      <c r="J2418" s="9"/>
      <c r="K2418" s="9"/>
      <c r="L2418" s="9"/>
      <c r="M2418" s="9"/>
    </row>
    <row r="2419" spans="9:13" x14ac:dyDescent="0.3">
      <c r="I2419" s="7"/>
      <c r="J2419" s="9"/>
      <c r="K2419" s="9"/>
      <c r="L2419" s="9"/>
      <c r="M2419" s="9"/>
    </row>
    <row r="2420" spans="9:13" x14ac:dyDescent="0.3">
      <c r="I2420" s="7"/>
      <c r="J2420" s="9"/>
      <c r="K2420" s="9"/>
      <c r="L2420" s="9"/>
      <c r="M2420" s="9"/>
    </row>
    <row r="2421" spans="9:13" x14ac:dyDescent="0.3">
      <c r="I2421" s="7"/>
      <c r="J2421" s="9"/>
      <c r="K2421" s="9"/>
      <c r="L2421" s="9"/>
      <c r="M2421" s="9"/>
    </row>
    <row r="2422" spans="9:13" x14ac:dyDescent="0.3">
      <c r="I2422" s="7"/>
      <c r="J2422" s="9"/>
      <c r="K2422" s="9"/>
      <c r="L2422" s="9"/>
      <c r="M2422" s="9"/>
    </row>
    <row r="2423" spans="9:13" x14ac:dyDescent="0.3">
      <c r="I2423" s="7"/>
      <c r="J2423" s="9"/>
      <c r="K2423" s="9"/>
      <c r="L2423" s="9"/>
      <c r="M2423" s="9"/>
    </row>
    <row r="2424" spans="9:13" x14ac:dyDescent="0.3">
      <c r="I2424" s="7"/>
      <c r="J2424" s="9"/>
      <c r="K2424" s="9"/>
      <c r="L2424" s="9"/>
      <c r="M2424" s="9"/>
    </row>
    <row r="2425" spans="9:13" x14ac:dyDescent="0.3">
      <c r="I2425" s="7"/>
      <c r="J2425" s="9"/>
      <c r="K2425" s="9"/>
      <c r="L2425" s="9"/>
      <c r="M2425" s="9"/>
    </row>
    <row r="2426" spans="9:13" x14ac:dyDescent="0.3">
      <c r="I2426" s="7"/>
      <c r="J2426" s="9"/>
      <c r="K2426" s="9"/>
      <c r="L2426" s="9"/>
      <c r="M2426" s="9"/>
    </row>
    <row r="2427" spans="9:13" x14ac:dyDescent="0.3">
      <c r="I2427" s="7"/>
      <c r="J2427" s="9"/>
      <c r="K2427" s="9"/>
      <c r="L2427" s="9"/>
      <c r="M2427" s="9"/>
    </row>
    <row r="2428" spans="9:13" x14ac:dyDescent="0.3">
      <c r="I2428" s="7"/>
      <c r="J2428" s="9"/>
      <c r="K2428" s="9"/>
      <c r="L2428" s="9"/>
      <c r="M2428" s="9"/>
    </row>
    <row r="2429" spans="9:13" x14ac:dyDescent="0.3">
      <c r="I2429" s="7"/>
      <c r="J2429" s="9"/>
      <c r="K2429" s="9"/>
      <c r="L2429" s="9"/>
      <c r="M2429" s="9"/>
    </row>
    <row r="2430" spans="9:13" x14ac:dyDescent="0.3">
      <c r="I2430" s="7"/>
      <c r="J2430" s="9"/>
      <c r="K2430" s="9"/>
      <c r="L2430" s="9"/>
      <c r="M2430" s="9"/>
    </row>
    <row r="2431" spans="9:13" x14ac:dyDescent="0.3">
      <c r="I2431" s="7"/>
      <c r="J2431" s="9"/>
      <c r="K2431" s="9"/>
      <c r="L2431" s="9"/>
      <c r="M2431" s="9"/>
    </row>
    <row r="2432" spans="9:13" x14ac:dyDescent="0.3">
      <c r="I2432" s="7"/>
      <c r="J2432" s="9"/>
      <c r="K2432" s="9"/>
      <c r="L2432" s="9"/>
      <c r="M2432" s="9"/>
    </row>
    <row r="2433" spans="9:13" x14ac:dyDescent="0.3">
      <c r="I2433" s="7"/>
      <c r="J2433" s="9"/>
      <c r="K2433" s="9"/>
      <c r="L2433" s="9"/>
      <c r="M2433" s="9"/>
    </row>
    <row r="2434" spans="9:13" x14ac:dyDescent="0.3">
      <c r="I2434" s="7"/>
      <c r="J2434" s="9"/>
      <c r="K2434" s="9"/>
      <c r="L2434" s="9"/>
      <c r="M2434" s="9"/>
    </row>
    <row r="2435" spans="9:13" x14ac:dyDescent="0.3">
      <c r="I2435" s="7"/>
      <c r="J2435" s="9"/>
      <c r="K2435" s="9"/>
      <c r="L2435" s="9"/>
      <c r="M2435" s="9"/>
    </row>
    <row r="2436" spans="9:13" x14ac:dyDescent="0.3">
      <c r="I2436" s="7"/>
      <c r="J2436" s="9"/>
      <c r="K2436" s="9"/>
      <c r="L2436" s="9"/>
      <c r="M2436" s="9"/>
    </row>
    <row r="2437" spans="9:13" x14ac:dyDescent="0.3">
      <c r="I2437" s="7"/>
      <c r="J2437" s="9"/>
      <c r="K2437" s="9"/>
      <c r="L2437" s="9"/>
      <c r="M2437" s="9"/>
    </row>
    <row r="2438" spans="9:13" x14ac:dyDescent="0.3">
      <c r="I2438" s="7"/>
      <c r="J2438" s="9"/>
      <c r="K2438" s="9"/>
      <c r="L2438" s="9"/>
      <c r="M2438" s="9"/>
    </row>
    <row r="2439" spans="9:13" x14ac:dyDescent="0.3">
      <c r="I2439" s="7"/>
      <c r="J2439" s="9"/>
      <c r="K2439" s="9"/>
      <c r="L2439" s="9"/>
      <c r="M2439" s="9"/>
    </row>
    <row r="2440" spans="9:13" x14ac:dyDescent="0.3">
      <c r="I2440" s="7"/>
      <c r="J2440" s="9"/>
      <c r="K2440" s="9"/>
      <c r="L2440" s="9"/>
      <c r="M2440" s="9"/>
    </row>
    <row r="2441" spans="9:13" x14ac:dyDescent="0.3">
      <c r="I2441" s="7"/>
      <c r="J2441" s="9"/>
      <c r="K2441" s="9"/>
      <c r="L2441" s="9"/>
      <c r="M2441" s="9"/>
    </row>
    <row r="2442" spans="9:13" x14ac:dyDescent="0.3">
      <c r="I2442" s="7"/>
      <c r="J2442" s="9"/>
      <c r="K2442" s="9"/>
      <c r="L2442" s="9"/>
      <c r="M2442" s="9"/>
    </row>
    <row r="2443" spans="9:13" x14ac:dyDescent="0.3">
      <c r="I2443" s="7"/>
      <c r="J2443" s="9"/>
      <c r="K2443" s="9"/>
      <c r="L2443" s="9"/>
      <c r="M2443" s="9"/>
    </row>
    <row r="2444" spans="9:13" x14ac:dyDescent="0.3">
      <c r="I2444" s="7"/>
      <c r="J2444" s="9"/>
      <c r="K2444" s="9"/>
      <c r="L2444" s="9"/>
      <c r="M2444" s="9"/>
    </row>
    <row r="2445" spans="9:13" x14ac:dyDescent="0.3">
      <c r="I2445" s="7"/>
      <c r="J2445" s="9"/>
      <c r="K2445" s="9"/>
      <c r="L2445" s="9"/>
      <c r="M2445" s="9"/>
    </row>
    <row r="2446" spans="9:13" x14ac:dyDescent="0.3">
      <c r="I2446" s="7"/>
      <c r="J2446" s="9"/>
      <c r="K2446" s="9"/>
      <c r="L2446" s="9"/>
      <c r="M2446" s="9"/>
    </row>
    <row r="2447" spans="9:13" x14ac:dyDescent="0.3">
      <c r="I2447" s="7"/>
      <c r="J2447" s="9"/>
      <c r="K2447" s="9"/>
      <c r="L2447" s="9"/>
      <c r="M2447" s="9"/>
    </row>
    <row r="2448" spans="9:13" x14ac:dyDescent="0.3">
      <c r="I2448" s="7"/>
      <c r="J2448" s="9"/>
      <c r="K2448" s="9"/>
      <c r="L2448" s="9"/>
      <c r="M2448" s="9"/>
    </row>
    <row r="2449" spans="9:13" x14ac:dyDescent="0.3">
      <c r="I2449" s="7"/>
      <c r="J2449" s="9"/>
      <c r="K2449" s="9"/>
      <c r="L2449" s="9"/>
      <c r="M2449" s="9"/>
    </row>
    <row r="2450" spans="9:13" x14ac:dyDescent="0.3">
      <c r="I2450" s="7"/>
      <c r="J2450" s="9"/>
      <c r="K2450" s="9"/>
      <c r="L2450" s="9"/>
      <c r="M2450" s="9"/>
    </row>
    <row r="2451" spans="9:13" x14ac:dyDescent="0.3">
      <c r="I2451" s="7"/>
      <c r="J2451" s="9"/>
      <c r="K2451" s="9"/>
      <c r="L2451" s="9"/>
      <c r="M2451" s="9"/>
    </row>
    <row r="2452" spans="9:13" x14ac:dyDescent="0.3">
      <c r="I2452" s="7"/>
      <c r="J2452" s="9"/>
      <c r="K2452" s="9"/>
      <c r="L2452" s="9"/>
      <c r="M2452" s="9"/>
    </row>
    <row r="2453" spans="9:13" x14ac:dyDescent="0.3">
      <c r="I2453" s="7"/>
      <c r="J2453" s="9"/>
      <c r="K2453" s="9"/>
      <c r="L2453" s="9"/>
      <c r="M2453" s="9"/>
    </row>
    <row r="2454" spans="9:13" x14ac:dyDescent="0.3">
      <c r="I2454" s="7"/>
      <c r="J2454" s="9"/>
      <c r="K2454" s="9"/>
      <c r="L2454" s="9"/>
      <c r="M2454" s="9"/>
    </row>
    <row r="2455" spans="9:13" x14ac:dyDescent="0.3">
      <c r="I2455" s="7"/>
      <c r="J2455" s="9"/>
      <c r="K2455" s="9"/>
      <c r="L2455" s="9"/>
      <c r="M2455" s="9"/>
    </row>
    <row r="2456" spans="9:13" x14ac:dyDescent="0.3">
      <c r="I2456" s="7"/>
      <c r="J2456" s="9"/>
      <c r="K2456" s="9"/>
      <c r="L2456" s="9"/>
      <c r="M2456" s="9"/>
    </row>
    <row r="2457" spans="9:13" x14ac:dyDescent="0.3">
      <c r="I2457" s="7"/>
      <c r="J2457" s="9"/>
      <c r="K2457" s="9"/>
      <c r="L2457" s="9"/>
      <c r="M2457" s="9"/>
    </row>
    <row r="2458" spans="9:13" x14ac:dyDescent="0.3">
      <c r="I2458" s="7"/>
      <c r="J2458" s="9"/>
      <c r="K2458" s="9"/>
      <c r="L2458" s="9"/>
      <c r="M2458" s="9"/>
    </row>
    <row r="2459" spans="9:13" x14ac:dyDescent="0.3">
      <c r="I2459" s="7"/>
      <c r="J2459" s="9"/>
      <c r="K2459" s="9"/>
      <c r="L2459" s="9"/>
      <c r="M2459" s="9"/>
    </row>
    <row r="2460" spans="9:13" x14ac:dyDescent="0.3">
      <c r="I2460" s="7"/>
      <c r="J2460" s="9"/>
      <c r="K2460" s="9"/>
      <c r="L2460" s="9"/>
      <c r="M2460" s="9"/>
    </row>
    <row r="2461" spans="9:13" x14ac:dyDescent="0.3">
      <c r="I2461" s="7"/>
      <c r="J2461" s="9"/>
      <c r="K2461" s="9"/>
      <c r="L2461" s="9"/>
      <c r="M2461" s="9"/>
    </row>
    <row r="2462" spans="9:13" x14ac:dyDescent="0.3">
      <c r="I2462" s="7"/>
      <c r="J2462" s="9"/>
      <c r="K2462" s="9"/>
      <c r="L2462" s="9"/>
      <c r="M2462" s="9"/>
    </row>
    <row r="2463" spans="9:13" x14ac:dyDescent="0.3">
      <c r="I2463" s="7"/>
      <c r="J2463" s="9"/>
      <c r="K2463" s="9"/>
      <c r="L2463" s="9"/>
      <c r="M2463" s="9"/>
    </row>
    <row r="2464" spans="9:13" x14ac:dyDescent="0.3">
      <c r="I2464" s="7"/>
      <c r="J2464" s="9"/>
      <c r="K2464" s="9"/>
      <c r="L2464" s="9"/>
      <c r="M2464" s="9"/>
    </row>
    <row r="2465" spans="9:13" x14ac:dyDescent="0.3">
      <c r="I2465" s="7"/>
      <c r="J2465" s="9"/>
      <c r="K2465" s="9"/>
      <c r="L2465" s="9"/>
      <c r="M2465" s="9"/>
    </row>
    <row r="2466" spans="9:13" x14ac:dyDescent="0.3">
      <c r="I2466" s="7"/>
      <c r="J2466" s="9"/>
      <c r="K2466" s="9"/>
      <c r="L2466" s="9"/>
      <c r="M2466" s="9"/>
    </row>
    <row r="2467" spans="9:13" x14ac:dyDescent="0.3">
      <c r="I2467" s="7"/>
      <c r="J2467" s="9"/>
      <c r="K2467" s="9"/>
      <c r="L2467" s="9"/>
      <c r="M2467" s="9"/>
    </row>
    <row r="2468" spans="9:13" x14ac:dyDescent="0.3">
      <c r="I2468" s="7"/>
      <c r="J2468" s="9"/>
      <c r="K2468" s="9"/>
      <c r="L2468" s="9"/>
      <c r="M2468" s="9"/>
    </row>
    <row r="2469" spans="9:13" x14ac:dyDescent="0.3">
      <c r="I2469" s="7"/>
      <c r="J2469" s="9"/>
      <c r="K2469" s="9"/>
      <c r="L2469" s="9"/>
      <c r="M2469" s="9"/>
    </row>
    <row r="2470" spans="9:13" x14ac:dyDescent="0.3">
      <c r="I2470" s="7"/>
      <c r="J2470" s="9"/>
      <c r="K2470" s="9"/>
      <c r="L2470" s="9"/>
      <c r="M2470" s="9"/>
    </row>
    <row r="2471" spans="9:13" x14ac:dyDescent="0.3">
      <c r="I2471" s="7"/>
      <c r="J2471" s="9"/>
      <c r="K2471" s="9"/>
      <c r="L2471" s="9"/>
      <c r="M2471" s="9"/>
    </row>
    <row r="2472" spans="9:13" x14ac:dyDescent="0.3">
      <c r="I2472" s="7"/>
      <c r="J2472" s="9"/>
      <c r="K2472" s="9"/>
      <c r="L2472" s="9"/>
      <c r="M2472" s="9"/>
    </row>
    <row r="2473" spans="9:13" x14ac:dyDescent="0.3">
      <c r="I2473" s="7"/>
      <c r="J2473" s="9"/>
      <c r="K2473" s="9"/>
      <c r="L2473" s="9"/>
      <c r="M2473" s="9"/>
    </row>
    <row r="2474" spans="9:13" x14ac:dyDescent="0.3">
      <c r="I2474" s="7"/>
      <c r="J2474" s="9"/>
      <c r="K2474" s="9"/>
      <c r="L2474" s="9"/>
      <c r="M2474" s="9"/>
    </row>
    <row r="2475" spans="9:13" x14ac:dyDescent="0.3">
      <c r="I2475" s="7"/>
      <c r="J2475" s="9"/>
      <c r="K2475" s="9"/>
      <c r="L2475" s="9"/>
      <c r="M2475" s="9"/>
    </row>
    <row r="2476" spans="9:13" x14ac:dyDescent="0.3">
      <c r="I2476" s="7"/>
      <c r="J2476" s="9"/>
      <c r="K2476" s="9"/>
      <c r="L2476" s="9"/>
      <c r="M2476" s="9"/>
    </row>
    <row r="2477" spans="9:13" x14ac:dyDescent="0.3">
      <c r="I2477" s="7"/>
      <c r="J2477" s="9"/>
      <c r="K2477" s="9"/>
      <c r="L2477" s="9"/>
      <c r="M2477" s="9"/>
    </row>
    <row r="2478" spans="9:13" x14ac:dyDescent="0.3">
      <c r="I2478" s="7"/>
      <c r="J2478" s="9"/>
      <c r="K2478" s="9"/>
      <c r="L2478" s="9"/>
      <c r="M2478" s="9"/>
    </row>
    <row r="2479" spans="9:13" x14ac:dyDescent="0.3">
      <c r="I2479" s="7"/>
      <c r="J2479" s="9"/>
      <c r="K2479" s="9"/>
      <c r="L2479" s="9"/>
      <c r="M2479" s="9"/>
    </row>
    <row r="2480" spans="9:13" x14ac:dyDescent="0.3">
      <c r="I2480" s="7"/>
      <c r="J2480" s="9"/>
      <c r="K2480" s="9"/>
      <c r="L2480" s="9"/>
      <c r="M2480" s="9"/>
    </row>
    <row r="2481" spans="9:13" x14ac:dyDescent="0.3">
      <c r="I2481" s="7"/>
      <c r="J2481" s="9"/>
      <c r="K2481" s="9"/>
      <c r="L2481" s="9"/>
      <c r="M2481" s="9"/>
    </row>
    <row r="2482" spans="9:13" x14ac:dyDescent="0.3">
      <c r="I2482" s="7"/>
      <c r="J2482" s="9"/>
      <c r="K2482" s="9"/>
      <c r="L2482" s="9"/>
      <c r="M2482" s="9"/>
    </row>
    <row r="2483" spans="9:13" x14ac:dyDescent="0.3">
      <c r="I2483" s="7"/>
      <c r="J2483" s="9"/>
      <c r="K2483" s="9"/>
      <c r="L2483" s="9"/>
      <c r="M2483" s="9"/>
    </row>
    <row r="2484" spans="9:13" x14ac:dyDescent="0.3">
      <c r="I2484" s="7"/>
      <c r="J2484" s="9"/>
      <c r="K2484" s="9"/>
      <c r="L2484" s="9"/>
      <c r="M2484" s="9"/>
    </row>
    <row r="2485" spans="9:13" x14ac:dyDescent="0.3">
      <c r="I2485" s="7"/>
      <c r="J2485" s="9"/>
      <c r="K2485" s="9"/>
      <c r="L2485" s="9"/>
      <c r="M2485" s="9"/>
    </row>
    <row r="2486" spans="9:13" x14ac:dyDescent="0.3">
      <c r="I2486" s="7"/>
      <c r="J2486" s="9"/>
      <c r="K2486" s="9"/>
      <c r="L2486" s="9"/>
      <c r="M2486" s="9"/>
    </row>
    <row r="2487" spans="9:13" x14ac:dyDescent="0.3">
      <c r="I2487" s="7"/>
      <c r="J2487" s="9"/>
      <c r="K2487" s="9"/>
      <c r="L2487" s="9"/>
      <c r="M2487" s="9"/>
    </row>
    <row r="2488" spans="9:13" x14ac:dyDescent="0.3">
      <c r="I2488" s="7"/>
      <c r="J2488" s="9"/>
      <c r="K2488" s="9"/>
      <c r="L2488" s="9"/>
      <c r="M2488" s="9"/>
    </row>
    <row r="2489" spans="9:13" x14ac:dyDescent="0.3">
      <c r="I2489" s="7"/>
      <c r="J2489" s="9"/>
      <c r="K2489" s="9"/>
      <c r="L2489" s="9"/>
      <c r="M2489" s="9"/>
    </row>
    <row r="2490" spans="9:13" x14ac:dyDescent="0.3">
      <c r="I2490" s="7"/>
      <c r="J2490" s="9"/>
      <c r="K2490" s="9"/>
      <c r="L2490" s="9"/>
      <c r="M2490" s="9"/>
    </row>
    <row r="2491" spans="9:13" x14ac:dyDescent="0.3">
      <c r="I2491" s="7"/>
      <c r="J2491" s="9"/>
      <c r="K2491" s="9"/>
      <c r="L2491" s="9"/>
      <c r="M2491" s="9"/>
    </row>
    <row r="2492" spans="9:13" x14ac:dyDescent="0.3">
      <c r="I2492" s="7"/>
      <c r="J2492" s="9"/>
      <c r="K2492" s="9"/>
      <c r="L2492" s="9"/>
      <c r="M2492" s="9"/>
    </row>
    <row r="2493" spans="9:13" x14ac:dyDescent="0.3">
      <c r="I2493" s="7"/>
      <c r="J2493" s="9"/>
      <c r="K2493" s="9"/>
      <c r="L2493" s="9"/>
      <c r="M2493" s="9"/>
    </row>
    <row r="2494" spans="9:13" x14ac:dyDescent="0.3">
      <c r="I2494" s="7"/>
      <c r="J2494" s="9"/>
      <c r="K2494" s="9"/>
      <c r="L2494" s="9"/>
      <c r="M2494" s="9"/>
    </row>
    <row r="2495" spans="9:13" x14ac:dyDescent="0.3">
      <c r="I2495" s="7"/>
      <c r="J2495" s="9"/>
      <c r="K2495" s="9"/>
      <c r="L2495" s="9"/>
      <c r="M2495" s="9"/>
    </row>
    <row r="2496" spans="9:13" x14ac:dyDescent="0.3">
      <c r="I2496" s="7"/>
      <c r="J2496" s="9"/>
      <c r="K2496" s="9"/>
      <c r="L2496" s="9"/>
      <c r="M2496" s="9"/>
    </row>
    <row r="2497" spans="9:13" x14ac:dyDescent="0.3">
      <c r="I2497" s="7"/>
      <c r="J2497" s="9"/>
      <c r="K2497" s="9"/>
      <c r="L2497" s="9"/>
      <c r="M2497" s="9"/>
    </row>
    <row r="2498" spans="9:13" x14ac:dyDescent="0.3">
      <c r="I2498" s="7"/>
      <c r="J2498" s="9"/>
      <c r="K2498" s="9"/>
      <c r="L2498" s="9"/>
      <c r="M2498" s="9"/>
    </row>
    <row r="2499" spans="9:13" x14ac:dyDescent="0.3">
      <c r="I2499" s="7"/>
      <c r="J2499" s="9"/>
      <c r="K2499" s="9"/>
      <c r="L2499" s="9"/>
      <c r="M2499" s="9"/>
    </row>
    <row r="2500" spans="9:13" x14ac:dyDescent="0.3">
      <c r="I2500" s="7"/>
      <c r="J2500" s="9"/>
      <c r="K2500" s="9"/>
      <c r="L2500" s="9"/>
      <c r="M2500" s="9"/>
    </row>
    <row r="2501" spans="9:13" x14ac:dyDescent="0.3">
      <c r="I2501" s="7"/>
      <c r="J2501" s="9"/>
      <c r="K2501" s="9"/>
      <c r="L2501" s="9"/>
      <c r="M2501" s="9"/>
    </row>
    <row r="2502" spans="9:13" x14ac:dyDescent="0.3">
      <c r="I2502" s="7"/>
      <c r="J2502" s="9"/>
      <c r="K2502" s="9"/>
      <c r="L2502" s="9"/>
      <c r="M2502" s="9"/>
    </row>
    <row r="2503" spans="9:13" x14ac:dyDescent="0.3">
      <c r="I2503" s="7"/>
      <c r="J2503" s="9"/>
      <c r="K2503" s="9"/>
      <c r="L2503" s="9"/>
      <c r="M2503" s="9"/>
    </row>
    <row r="2504" spans="9:13" x14ac:dyDescent="0.3">
      <c r="I2504" s="7"/>
      <c r="J2504" s="9"/>
      <c r="K2504" s="9"/>
      <c r="L2504" s="9"/>
      <c r="M2504" s="9"/>
    </row>
    <row r="2505" spans="9:13" x14ac:dyDescent="0.3">
      <c r="I2505" s="7"/>
      <c r="J2505" s="9"/>
      <c r="K2505" s="9"/>
      <c r="L2505" s="9"/>
      <c r="M2505" s="9"/>
    </row>
    <row r="2506" spans="9:13" x14ac:dyDescent="0.3">
      <c r="I2506" s="7"/>
      <c r="J2506" s="9"/>
      <c r="K2506" s="9"/>
      <c r="L2506" s="9"/>
      <c r="M2506" s="9"/>
    </row>
    <row r="2507" spans="9:13" x14ac:dyDescent="0.3">
      <c r="I2507" s="7"/>
      <c r="J2507" s="9"/>
      <c r="K2507" s="9"/>
      <c r="L2507" s="9"/>
      <c r="M2507" s="9"/>
    </row>
    <row r="2508" spans="9:13" x14ac:dyDescent="0.3">
      <c r="I2508" s="7"/>
      <c r="J2508" s="9"/>
      <c r="K2508" s="9"/>
      <c r="L2508" s="9"/>
      <c r="M2508" s="9"/>
    </row>
    <row r="2509" spans="9:13" x14ac:dyDescent="0.3">
      <c r="I2509" s="7"/>
      <c r="J2509" s="9"/>
      <c r="K2509" s="9"/>
      <c r="L2509" s="9"/>
      <c r="M2509" s="9"/>
    </row>
    <row r="2510" spans="9:13" x14ac:dyDescent="0.3">
      <c r="I2510" s="7"/>
      <c r="J2510" s="9"/>
      <c r="K2510" s="9"/>
      <c r="L2510" s="9"/>
      <c r="M2510" s="9"/>
    </row>
    <row r="2511" spans="9:13" x14ac:dyDescent="0.3">
      <c r="I2511" s="7"/>
      <c r="J2511" s="9"/>
      <c r="K2511" s="9"/>
      <c r="L2511" s="9"/>
      <c r="M2511" s="9"/>
    </row>
    <row r="2512" spans="9:13" x14ac:dyDescent="0.3">
      <c r="I2512" s="7"/>
      <c r="J2512" s="9"/>
      <c r="K2512" s="9"/>
      <c r="L2512" s="9"/>
      <c r="M2512" s="9"/>
    </row>
    <row r="2513" spans="9:13" x14ac:dyDescent="0.3">
      <c r="I2513" s="7"/>
      <c r="J2513" s="9"/>
      <c r="K2513" s="9"/>
      <c r="L2513" s="9"/>
      <c r="M2513" s="9"/>
    </row>
    <row r="2514" spans="9:13" x14ac:dyDescent="0.3">
      <c r="I2514" s="7"/>
      <c r="J2514" s="9"/>
      <c r="K2514" s="9"/>
      <c r="L2514" s="9"/>
      <c r="M2514" s="9"/>
    </row>
    <row r="2515" spans="9:13" x14ac:dyDescent="0.3">
      <c r="I2515" s="7"/>
      <c r="J2515" s="9"/>
      <c r="K2515" s="9"/>
      <c r="L2515" s="9"/>
      <c r="M2515" s="9"/>
    </row>
    <row r="2516" spans="9:13" x14ac:dyDescent="0.3">
      <c r="I2516" s="7"/>
      <c r="J2516" s="9"/>
      <c r="K2516" s="9"/>
      <c r="L2516" s="9"/>
      <c r="M2516" s="9"/>
    </row>
    <row r="2517" spans="9:13" x14ac:dyDescent="0.3">
      <c r="I2517" s="7"/>
      <c r="J2517" s="9"/>
      <c r="K2517" s="9"/>
      <c r="L2517" s="9"/>
      <c r="M2517" s="9"/>
    </row>
    <row r="2518" spans="9:13" x14ac:dyDescent="0.3">
      <c r="I2518" s="7"/>
      <c r="J2518" s="9"/>
      <c r="K2518" s="9"/>
      <c r="L2518" s="9"/>
      <c r="M2518" s="9"/>
    </row>
    <row r="2519" spans="9:13" x14ac:dyDescent="0.3">
      <c r="I2519" s="7"/>
      <c r="J2519" s="9"/>
      <c r="K2519" s="9"/>
      <c r="L2519" s="9"/>
      <c r="M2519" s="9"/>
    </row>
    <row r="2520" spans="9:13" x14ac:dyDescent="0.3">
      <c r="I2520" s="7"/>
      <c r="J2520" s="9"/>
      <c r="K2520" s="9"/>
      <c r="L2520" s="9"/>
      <c r="M2520" s="9"/>
    </row>
    <row r="2521" spans="9:13" x14ac:dyDescent="0.3">
      <c r="I2521" s="7"/>
      <c r="J2521" s="9"/>
      <c r="K2521" s="9"/>
      <c r="L2521" s="9"/>
      <c r="M2521" s="9"/>
    </row>
    <row r="2522" spans="9:13" x14ac:dyDescent="0.3">
      <c r="I2522" s="7"/>
      <c r="J2522" s="9"/>
      <c r="K2522" s="9"/>
      <c r="L2522" s="9"/>
      <c r="M2522" s="9"/>
    </row>
    <row r="2523" spans="9:13" x14ac:dyDescent="0.3">
      <c r="I2523" s="7"/>
      <c r="J2523" s="9"/>
      <c r="K2523" s="9"/>
      <c r="L2523" s="9"/>
      <c r="M2523" s="9"/>
    </row>
    <row r="2524" spans="9:13" x14ac:dyDescent="0.3">
      <c r="I2524" s="7"/>
      <c r="J2524" s="9"/>
      <c r="K2524" s="9"/>
      <c r="L2524" s="9"/>
      <c r="M2524" s="9"/>
    </row>
    <row r="2525" spans="9:13" x14ac:dyDescent="0.3">
      <c r="I2525" s="7"/>
      <c r="J2525" s="9"/>
      <c r="K2525" s="9"/>
      <c r="L2525" s="9"/>
      <c r="M2525" s="9"/>
    </row>
    <row r="2526" spans="9:13" x14ac:dyDescent="0.3">
      <c r="I2526" s="7"/>
      <c r="J2526" s="9"/>
      <c r="K2526" s="9"/>
      <c r="L2526" s="9"/>
      <c r="M2526" s="9"/>
    </row>
    <row r="2527" spans="9:13" x14ac:dyDescent="0.3">
      <c r="I2527" s="7"/>
      <c r="J2527" s="9"/>
      <c r="K2527" s="9"/>
      <c r="L2527" s="9"/>
      <c r="M2527" s="9"/>
    </row>
    <row r="2528" spans="9:13" x14ac:dyDescent="0.3">
      <c r="I2528" s="7"/>
      <c r="J2528" s="9"/>
      <c r="K2528" s="9"/>
      <c r="L2528" s="9"/>
      <c r="M2528" s="9"/>
    </row>
    <row r="2529" spans="9:13" x14ac:dyDescent="0.3">
      <c r="I2529" s="7"/>
      <c r="J2529" s="9"/>
      <c r="K2529" s="9"/>
      <c r="L2529" s="9"/>
      <c r="M2529" s="9"/>
    </row>
    <row r="2530" spans="9:13" x14ac:dyDescent="0.3">
      <c r="I2530" s="7"/>
      <c r="J2530" s="9"/>
      <c r="K2530" s="9"/>
      <c r="L2530" s="9"/>
      <c r="M2530" s="9"/>
    </row>
    <row r="2531" spans="9:13" x14ac:dyDescent="0.3">
      <c r="I2531" s="7"/>
      <c r="J2531" s="9"/>
      <c r="K2531" s="9"/>
      <c r="L2531" s="9"/>
      <c r="M2531" s="9"/>
    </row>
    <row r="2532" spans="9:13" x14ac:dyDescent="0.3">
      <c r="I2532" s="7"/>
      <c r="J2532" s="9"/>
      <c r="K2532" s="9"/>
      <c r="L2532" s="9"/>
      <c r="M2532" s="9"/>
    </row>
    <row r="2533" spans="9:13" x14ac:dyDescent="0.3">
      <c r="I2533" s="7"/>
      <c r="J2533" s="9"/>
      <c r="K2533" s="9"/>
      <c r="L2533" s="9"/>
      <c r="M2533" s="9"/>
    </row>
    <row r="2534" spans="9:13" x14ac:dyDescent="0.3">
      <c r="I2534" s="7"/>
      <c r="J2534" s="9"/>
      <c r="K2534" s="9"/>
      <c r="L2534" s="9"/>
      <c r="M2534" s="9"/>
    </row>
    <row r="2535" spans="9:13" x14ac:dyDescent="0.3">
      <c r="I2535" s="7"/>
      <c r="J2535" s="9"/>
      <c r="K2535" s="9"/>
      <c r="L2535" s="9"/>
      <c r="M2535" s="9"/>
    </row>
    <row r="2536" spans="9:13" x14ac:dyDescent="0.3">
      <c r="I2536" s="7"/>
      <c r="J2536" s="9"/>
      <c r="K2536" s="9"/>
      <c r="L2536" s="9"/>
      <c r="M2536" s="9"/>
    </row>
    <row r="2537" spans="9:13" x14ac:dyDescent="0.3">
      <c r="I2537" s="7"/>
      <c r="J2537" s="9"/>
      <c r="K2537" s="9"/>
      <c r="L2537" s="9"/>
      <c r="M2537" s="9"/>
    </row>
    <row r="2538" spans="9:13" x14ac:dyDescent="0.3">
      <c r="I2538" s="7"/>
      <c r="J2538" s="9"/>
      <c r="K2538" s="9"/>
      <c r="L2538" s="9"/>
      <c r="M2538" s="9"/>
    </row>
    <row r="2539" spans="9:13" x14ac:dyDescent="0.3">
      <c r="I2539" s="7"/>
      <c r="J2539" s="9"/>
      <c r="K2539" s="9"/>
      <c r="L2539" s="9"/>
      <c r="M2539" s="9"/>
    </row>
    <row r="2540" spans="9:13" x14ac:dyDescent="0.3">
      <c r="I2540" s="7"/>
      <c r="J2540" s="9"/>
      <c r="K2540" s="9"/>
      <c r="L2540" s="9"/>
      <c r="M2540" s="9"/>
    </row>
    <row r="2541" spans="9:13" x14ac:dyDescent="0.3">
      <c r="I2541" s="7"/>
      <c r="J2541" s="9"/>
      <c r="K2541" s="9"/>
      <c r="L2541" s="9"/>
      <c r="M2541" s="9"/>
    </row>
    <row r="2542" spans="9:13" x14ac:dyDescent="0.3">
      <c r="I2542" s="7"/>
      <c r="J2542" s="9"/>
      <c r="K2542" s="9"/>
      <c r="L2542" s="9"/>
      <c r="M2542" s="9"/>
    </row>
    <row r="2543" spans="9:13" x14ac:dyDescent="0.3">
      <c r="I2543" s="7"/>
      <c r="J2543" s="9"/>
      <c r="K2543" s="9"/>
      <c r="L2543" s="9"/>
      <c r="M2543" s="9"/>
    </row>
    <row r="2544" spans="9:13" x14ac:dyDescent="0.3">
      <c r="I2544" s="7"/>
      <c r="J2544" s="9"/>
      <c r="K2544" s="9"/>
      <c r="L2544" s="9"/>
      <c r="M2544" s="9"/>
    </row>
    <row r="2545" spans="9:13" x14ac:dyDescent="0.3">
      <c r="I2545" s="7"/>
      <c r="J2545" s="9"/>
      <c r="K2545" s="9"/>
      <c r="L2545" s="9"/>
      <c r="M2545" s="9"/>
    </row>
    <row r="2546" spans="9:13" x14ac:dyDescent="0.3">
      <c r="I2546" s="7"/>
      <c r="J2546" s="9"/>
      <c r="K2546" s="9"/>
      <c r="L2546" s="9"/>
      <c r="M2546" s="9"/>
    </row>
    <row r="2547" spans="9:13" x14ac:dyDescent="0.3">
      <c r="I2547" s="7"/>
      <c r="J2547" s="9"/>
      <c r="K2547" s="9"/>
      <c r="L2547" s="9"/>
      <c r="M2547" s="9"/>
    </row>
    <row r="2548" spans="9:13" x14ac:dyDescent="0.3">
      <c r="I2548" s="7"/>
      <c r="J2548" s="9"/>
      <c r="K2548" s="9"/>
      <c r="L2548" s="9"/>
      <c r="M2548" s="9"/>
    </row>
    <row r="2549" spans="9:13" x14ac:dyDescent="0.3">
      <c r="I2549" s="7"/>
      <c r="J2549" s="9"/>
      <c r="K2549" s="9"/>
      <c r="L2549" s="9"/>
      <c r="M2549" s="9"/>
    </row>
    <row r="2550" spans="9:13" x14ac:dyDescent="0.3">
      <c r="I2550" s="7"/>
      <c r="J2550" s="9"/>
      <c r="K2550" s="9"/>
      <c r="L2550" s="9"/>
      <c r="M2550" s="9"/>
    </row>
    <row r="2551" spans="9:13" x14ac:dyDescent="0.3">
      <c r="I2551" s="7"/>
      <c r="J2551" s="9"/>
      <c r="K2551" s="9"/>
      <c r="L2551" s="9"/>
      <c r="M2551" s="9"/>
    </row>
    <row r="2552" spans="9:13" x14ac:dyDescent="0.3">
      <c r="I2552" s="7"/>
      <c r="J2552" s="9"/>
      <c r="K2552" s="9"/>
      <c r="L2552" s="9"/>
      <c r="M2552" s="9"/>
    </row>
    <row r="2553" spans="9:13" x14ac:dyDescent="0.3">
      <c r="I2553" s="7"/>
      <c r="J2553" s="9"/>
      <c r="K2553" s="9"/>
      <c r="L2553" s="9"/>
      <c r="M2553" s="9"/>
    </row>
    <row r="2554" spans="9:13" x14ac:dyDescent="0.3">
      <c r="I2554" s="7"/>
      <c r="J2554" s="9"/>
      <c r="K2554" s="9"/>
      <c r="L2554" s="9"/>
      <c r="M2554" s="9"/>
    </row>
    <row r="2555" spans="9:13" x14ac:dyDescent="0.3">
      <c r="I2555" s="7"/>
      <c r="J2555" s="9"/>
      <c r="K2555" s="9"/>
      <c r="L2555" s="9"/>
      <c r="M2555" s="9"/>
    </row>
    <row r="2556" spans="9:13" x14ac:dyDescent="0.3">
      <c r="I2556" s="7"/>
      <c r="J2556" s="9"/>
      <c r="K2556" s="9"/>
      <c r="L2556" s="9"/>
      <c r="M2556" s="9"/>
    </row>
    <row r="2557" spans="9:13" x14ac:dyDescent="0.3">
      <c r="I2557" s="7"/>
      <c r="J2557" s="9"/>
      <c r="K2557" s="9"/>
      <c r="L2557" s="9"/>
      <c r="M2557" s="9"/>
    </row>
    <row r="2558" spans="9:13" x14ac:dyDescent="0.3">
      <c r="I2558" s="7"/>
      <c r="J2558" s="9"/>
      <c r="K2558" s="9"/>
      <c r="L2558" s="9"/>
      <c r="M2558" s="9"/>
    </row>
    <row r="2559" spans="9:13" x14ac:dyDescent="0.3">
      <c r="I2559" s="7"/>
      <c r="J2559" s="9"/>
      <c r="K2559" s="9"/>
      <c r="L2559" s="9"/>
      <c r="M2559" s="9"/>
    </row>
    <row r="2560" spans="9:13" x14ac:dyDescent="0.3">
      <c r="I2560" s="7"/>
      <c r="J2560" s="9"/>
      <c r="K2560" s="9"/>
      <c r="L2560" s="9"/>
      <c r="M2560" s="9"/>
    </row>
    <row r="2561" spans="9:13" x14ac:dyDescent="0.3">
      <c r="I2561" s="7"/>
      <c r="J2561" s="9"/>
      <c r="K2561" s="9"/>
      <c r="L2561" s="9"/>
      <c r="M2561" s="9"/>
    </row>
    <row r="2562" spans="9:13" x14ac:dyDescent="0.3">
      <c r="I2562" s="7"/>
      <c r="J2562" s="9"/>
      <c r="K2562" s="9"/>
      <c r="L2562" s="9"/>
      <c r="M2562" s="9"/>
    </row>
    <row r="2563" spans="9:13" x14ac:dyDescent="0.3">
      <c r="I2563" s="7"/>
      <c r="J2563" s="9"/>
      <c r="K2563" s="9"/>
      <c r="L2563" s="9"/>
      <c r="M2563" s="9"/>
    </row>
    <row r="2564" spans="9:13" x14ac:dyDescent="0.3">
      <c r="I2564" s="7"/>
      <c r="J2564" s="9"/>
      <c r="K2564" s="9"/>
      <c r="L2564" s="9"/>
      <c r="M2564" s="9"/>
    </row>
    <row r="2565" spans="9:13" x14ac:dyDescent="0.3">
      <c r="I2565" s="7"/>
      <c r="J2565" s="9"/>
      <c r="K2565" s="9"/>
      <c r="L2565" s="9"/>
      <c r="M2565" s="9"/>
    </row>
    <row r="2566" spans="9:13" x14ac:dyDescent="0.3">
      <c r="I2566" s="7"/>
      <c r="J2566" s="9"/>
      <c r="K2566" s="9"/>
      <c r="L2566" s="9"/>
      <c r="M2566" s="9"/>
    </row>
    <row r="2567" spans="9:13" x14ac:dyDescent="0.3">
      <c r="I2567" s="7"/>
      <c r="J2567" s="9"/>
      <c r="K2567" s="9"/>
      <c r="L2567" s="9"/>
      <c r="M2567" s="9"/>
    </row>
    <row r="2568" spans="9:13" x14ac:dyDescent="0.3">
      <c r="I2568" s="7"/>
      <c r="J2568" s="9"/>
      <c r="K2568" s="9"/>
      <c r="L2568" s="9"/>
      <c r="M2568" s="9"/>
    </row>
    <row r="2569" spans="9:13" x14ac:dyDescent="0.3">
      <c r="I2569" s="7"/>
      <c r="J2569" s="9"/>
      <c r="K2569" s="9"/>
      <c r="L2569" s="9"/>
      <c r="M2569" s="9"/>
    </row>
    <row r="2570" spans="9:13" x14ac:dyDescent="0.3">
      <c r="I2570" s="7"/>
      <c r="J2570" s="9"/>
      <c r="K2570" s="9"/>
      <c r="L2570" s="9"/>
      <c r="M2570" s="9"/>
    </row>
    <row r="2571" spans="9:13" x14ac:dyDescent="0.3">
      <c r="I2571" s="7"/>
      <c r="J2571" s="9"/>
      <c r="K2571" s="9"/>
      <c r="L2571" s="9"/>
      <c r="M2571" s="9"/>
    </row>
    <row r="2572" spans="9:13" x14ac:dyDescent="0.3">
      <c r="I2572" s="7"/>
      <c r="J2572" s="9"/>
      <c r="K2572" s="9"/>
      <c r="L2572" s="9"/>
      <c r="M2572" s="9"/>
    </row>
    <row r="2573" spans="9:13" x14ac:dyDescent="0.3">
      <c r="I2573" s="7"/>
      <c r="J2573" s="9"/>
      <c r="K2573" s="9"/>
      <c r="L2573" s="9"/>
      <c r="M2573" s="9"/>
    </row>
    <row r="2574" spans="9:13" x14ac:dyDescent="0.3">
      <c r="I2574" s="7"/>
      <c r="J2574" s="9"/>
      <c r="K2574" s="9"/>
      <c r="L2574" s="9"/>
      <c r="M2574" s="9"/>
    </row>
    <row r="2575" spans="9:13" x14ac:dyDescent="0.3">
      <c r="I2575" s="7"/>
      <c r="J2575" s="9"/>
      <c r="K2575" s="9"/>
      <c r="L2575" s="9"/>
      <c r="M2575" s="9"/>
    </row>
    <row r="2576" spans="9:13" x14ac:dyDescent="0.3">
      <c r="I2576" s="7"/>
      <c r="J2576" s="9"/>
      <c r="K2576" s="9"/>
      <c r="L2576" s="9"/>
      <c r="M2576" s="9"/>
    </row>
    <row r="2577" spans="9:13" x14ac:dyDescent="0.3">
      <c r="I2577" s="7"/>
      <c r="J2577" s="9"/>
      <c r="K2577" s="9"/>
      <c r="L2577" s="9"/>
      <c r="M2577" s="9"/>
    </row>
    <row r="2578" spans="9:13" x14ac:dyDescent="0.3">
      <c r="I2578" s="7"/>
      <c r="J2578" s="9"/>
      <c r="K2578" s="9"/>
      <c r="L2578" s="9"/>
      <c r="M2578" s="9"/>
    </row>
    <row r="2579" spans="9:13" x14ac:dyDescent="0.3">
      <c r="I2579" s="7"/>
      <c r="J2579" s="9"/>
      <c r="K2579" s="9"/>
      <c r="L2579" s="9"/>
      <c r="M2579" s="9"/>
    </row>
    <row r="2580" spans="9:13" x14ac:dyDescent="0.3">
      <c r="I2580" s="7"/>
      <c r="J2580" s="9"/>
      <c r="K2580" s="9"/>
      <c r="L2580" s="9"/>
      <c r="M2580" s="9"/>
    </row>
    <row r="2581" spans="9:13" x14ac:dyDescent="0.3">
      <c r="I2581" s="7"/>
      <c r="J2581" s="9"/>
      <c r="K2581" s="9"/>
      <c r="L2581" s="9"/>
      <c r="M2581" s="9"/>
    </row>
    <row r="2582" spans="9:13" x14ac:dyDescent="0.3">
      <c r="I2582" s="7"/>
      <c r="J2582" s="9"/>
      <c r="K2582" s="9"/>
      <c r="L2582" s="9"/>
      <c r="M2582" s="9"/>
    </row>
    <row r="2583" spans="9:13" x14ac:dyDescent="0.3">
      <c r="I2583" s="7"/>
      <c r="J2583" s="9"/>
      <c r="K2583" s="9"/>
      <c r="L2583" s="9"/>
      <c r="M2583" s="9"/>
    </row>
    <row r="2584" spans="9:13" x14ac:dyDescent="0.3">
      <c r="I2584" s="7"/>
      <c r="J2584" s="9"/>
      <c r="K2584" s="9"/>
      <c r="L2584" s="9"/>
      <c r="M2584" s="9"/>
    </row>
    <row r="2585" spans="9:13" x14ac:dyDescent="0.3">
      <c r="I2585" s="7"/>
      <c r="J2585" s="9"/>
      <c r="K2585" s="9"/>
      <c r="L2585" s="9"/>
      <c r="M2585" s="9"/>
    </row>
    <row r="2586" spans="9:13" x14ac:dyDescent="0.3">
      <c r="I2586" s="7"/>
      <c r="J2586" s="9"/>
      <c r="K2586" s="9"/>
      <c r="L2586" s="9"/>
      <c r="M2586" s="9"/>
    </row>
    <row r="2587" spans="9:13" x14ac:dyDescent="0.3">
      <c r="I2587" s="7"/>
      <c r="J2587" s="9"/>
      <c r="K2587" s="9"/>
      <c r="L2587" s="9"/>
      <c r="M2587" s="9"/>
    </row>
    <row r="2588" spans="9:13" x14ac:dyDescent="0.3">
      <c r="I2588" s="7"/>
      <c r="J2588" s="9"/>
      <c r="K2588" s="9"/>
      <c r="L2588" s="9"/>
      <c r="M2588" s="9"/>
    </row>
    <row r="2589" spans="9:13" x14ac:dyDescent="0.3">
      <c r="I2589" s="7"/>
      <c r="J2589" s="9"/>
      <c r="K2589" s="9"/>
      <c r="L2589" s="9"/>
      <c r="M2589" s="9"/>
    </row>
    <row r="2590" spans="9:13" x14ac:dyDescent="0.3">
      <c r="I2590" s="7"/>
      <c r="J2590" s="9"/>
      <c r="K2590" s="9"/>
      <c r="L2590" s="9"/>
      <c r="M2590" s="9"/>
    </row>
    <row r="2591" spans="9:13" x14ac:dyDescent="0.3">
      <c r="I2591" s="7"/>
      <c r="J2591" s="9"/>
      <c r="K2591" s="9"/>
      <c r="L2591" s="9"/>
      <c r="M2591" s="9"/>
    </row>
    <row r="2592" spans="9:13" x14ac:dyDescent="0.3">
      <c r="I2592" s="7"/>
      <c r="J2592" s="9"/>
      <c r="K2592" s="9"/>
      <c r="L2592" s="9"/>
      <c r="M2592" s="9"/>
    </row>
    <row r="2593" spans="9:13" x14ac:dyDescent="0.3">
      <c r="I2593" s="7"/>
      <c r="J2593" s="9"/>
      <c r="K2593" s="9"/>
      <c r="L2593" s="9"/>
      <c r="M2593" s="9"/>
    </row>
    <row r="2594" spans="9:13" x14ac:dyDescent="0.3">
      <c r="I2594" s="7"/>
      <c r="J2594" s="9"/>
      <c r="K2594" s="9"/>
      <c r="L2594" s="9"/>
      <c r="M2594" s="9"/>
    </row>
    <row r="2595" spans="9:13" x14ac:dyDescent="0.3">
      <c r="I2595" s="7"/>
      <c r="J2595" s="9"/>
      <c r="K2595" s="9"/>
      <c r="L2595" s="9"/>
      <c r="M2595" s="9"/>
    </row>
    <row r="2596" spans="9:13" x14ac:dyDescent="0.3">
      <c r="I2596" s="7"/>
      <c r="J2596" s="9"/>
      <c r="K2596" s="9"/>
      <c r="L2596" s="9"/>
      <c r="M2596" s="9"/>
    </row>
    <row r="2597" spans="9:13" x14ac:dyDescent="0.3">
      <c r="I2597" s="7"/>
      <c r="J2597" s="9"/>
      <c r="K2597" s="9"/>
      <c r="L2597" s="9"/>
      <c r="M2597" s="9"/>
    </row>
    <row r="2598" spans="9:13" x14ac:dyDescent="0.3">
      <c r="I2598" s="7"/>
      <c r="J2598" s="9"/>
      <c r="K2598" s="9"/>
      <c r="L2598" s="9"/>
      <c r="M2598" s="9"/>
    </row>
    <row r="2599" spans="9:13" x14ac:dyDescent="0.3">
      <c r="I2599" s="7"/>
      <c r="J2599" s="9"/>
      <c r="K2599" s="9"/>
      <c r="L2599" s="9"/>
      <c r="M2599" s="9"/>
    </row>
    <row r="2600" spans="9:13" x14ac:dyDescent="0.3">
      <c r="I2600" s="7"/>
      <c r="J2600" s="9"/>
      <c r="K2600" s="9"/>
      <c r="L2600" s="9"/>
      <c r="M2600" s="9"/>
    </row>
    <row r="2601" spans="9:13" x14ac:dyDescent="0.3">
      <c r="I2601" s="7"/>
      <c r="J2601" s="9"/>
      <c r="K2601" s="9"/>
      <c r="L2601" s="9"/>
      <c r="M2601" s="9"/>
    </row>
    <row r="2602" spans="9:13" x14ac:dyDescent="0.3">
      <c r="I2602" s="7"/>
      <c r="J2602" s="9"/>
      <c r="K2602" s="9"/>
      <c r="L2602" s="9"/>
      <c r="M2602" s="9"/>
    </row>
    <row r="2603" spans="9:13" x14ac:dyDescent="0.3">
      <c r="I2603" s="7"/>
      <c r="J2603" s="9"/>
      <c r="K2603" s="9"/>
      <c r="L2603" s="9"/>
      <c r="M2603" s="9"/>
    </row>
    <row r="2604" spans="9:13" x14ac:dyDescent="0.3">
      <c r="I2604" s="7"/>
      <c r="J2604" s="9"/>
      <c r="K2604" s="9"/>
      <c r="L2604" s="9"/>
      <c r="M2604" s="9"/>
    </row>
    <row r="2605" spans="9:13" x14ac:dyDescent="0.3">
      <c r="I2605" s="7"/>
      <c r="J2605" s="9"/>
      <c r="K2605" s="9"/>
      <c r="L2605" s="9"/>
      <c r="M2605" s="9"/>
    </row>
    <row r="2606" spans="9:13" x14ac:dyDescent="0.3">
      <c r="I2606" s="7"/>
      <c r="J2606" s="9"/>
      <c r="K2606" s="9"/>
      <c r="L2606" s="9"/>
      <c r="M2606" s="9"/>
    </row>
    <row r="2607" spans="9:13" x14ac:dyDescent="0.3">
      <c r="I2607" s="7"/>
      <c r="J2607" s="9"/>
      <c r="K2607" s="9"/>
      <c r="L2607" s="9"/>
      <c r="M2607" s="9"/>
    </row>
    <row r="2608" spans="9:13" x14ac:dyDescent="0.3">
      <c r="I2608" s="7"/>
      <c r="J2608" s="9"/>
      <c r="K2608" s="9"/>
      <c r="L2608" s="9"/>
      <c r="M2608" s="9"/>
    </row>
    <row r="2609" spans="9:13" x14ac:dyDescent="0.3">
      <c r="I2609" s="7"/>
      <c r="J2609" s="9"/>
      <c r="K2609" s="9"/>
      <c r="L2609" s="9"/>
      <c r="M2609" s="9"/>
    </row>
    <row r="2610" spans="9:13" x14ac:dyDescent="0.3">
      <c r="I2610" s="7"/>
      <c r="J2610" s="9"/>
      <c r="K2610" s="9"/>
      <c r="L2610" s="9"/>
      <c r="M2610" s="9"/>
    </row>
    <row r="2611" spans="9:13" x14ac:dyDescent="0.3">
      <c r="I2611" s="7"/>
      <c r="J2611" s="9"/>
      <c r="K2611" s="9"/>
      <c r="L2611" s="9"/>
      <c r="M2611" s="9"/>
    </row>
    <row r="2612" spans="9:13" x14ac:dyDescent="0.3">
      <c r="I2612" s="7"/>
      <c r="J2612" s="9"/>
      <c r="K2612" s="9"/>
      <c r="L2612" s="9"/>
      <c r="M2612" s="9"/>
    </row>
    <row r="2613" spans="9:13" x14ac:dyDescent="0.3">
      <c r="I2613" s="7"/>
      <c r="J2613" s="9"/>
      <c r="K2613" s="9"/>
      <c r="L2613" s="9"/>
      <c r="M2613" s="9"/>
    </row>
    <row r="2614" spans="9:13" x14ac:dyDescent="0.3">
      <c r="I2614" s="7"/>
      <c r="J2614" s="9"/>
      <c r="K2614" s="9"/>
      <c r="L2614" s="9"/>
      <c r="M2614" s="9"/>
    </row>
    <row r="2615" spans="9:13" x14ac:dyDescent="0.3">
      <c r="I2615" s="7"/>
      <c r="J2615" s="9"/>
      <c r="K2615" s="9"/>
      <c r="L2615" s="9"/>
      <c r="M2615" s="9"/>
    </row>
    <row r="2616" spans="9:13" x14ac:dyDescent="0.3">
      <c r="I2616" s="7"/>
      <c r="J2616" s="9"/>
      <c r="K2616" s="9"/>
      <c r="L2616" s="9"/>
      <c r="M2616" s="9"/>
    </row>
    <row r="2617" spans="9:13" x14ac:dyDescent="0.3">
      <c r="I2617" s="7"/>
      <c r="J2617" s="9"/>
      <c r="K2617" s="9"/>
      <c r="L2617" s="9"/>
      <c r="M2617" s="9"/>
    </row>
    <row r="2618" spans="9:13" x14ac:dyDescent="0.3">
      <c r="I2618" s="7"/>
      <c r="J2618" s="9"/>
      <c r="K2618" s="9"/>
      <c r="L2618" s="9"/>
      <c r="M2618" s="9"/>
    </row>
    <row r="2619" spans="9:13" x14ac:dyDescent="0.3">
      <c r="I2619" s="7"/>
      <c r="J2619" s="9"/>
      <c r="K2619" s="9"/>
      <c r="L2619" s="9"/>
      <c r="M2619" s="9"/>
    </row>
    <row r="2620" spans="9:13" x14ac:dyDescent="0.3">
      <c r="I2620" s="7"/>
      <c r="J2620" s="9"/>
      <c r="K2620" s="9"/>
      <c r="L2620" s="9"/>
      <c r="M2620" s="9"/>
    </row>
    <row r="2621" spans="9:13" x14ac:dyDescent="0.3">
      <c r="I2621" s="7"/>
      <c r="J2621" s="9"/>
      <c r="K2621" s="9"/>
      <c r="L2621" s="9"/>
      <c r="M2621" s="9"/>
    </row>
    <row r="2622" spans="9:13" x14ac:dyDescent="0.3">
      <c r="I2622" s="7"/>
      <c r="J2622" s="9"/>
      <c r="K2622" s="9"/>
      <c r="L2622" s="9"/>
      <c r="M2622" s="9"/>
    </row>
    <row r="2623" spans="9:13" x14ac:dyDescent="0.3">
      <c r="I2623" s="7"/>
      <c r="J2623" s="9"/>
      <c r="K2623" s="9"/>
      <c r="L2623" s="9"/>
      <c r="M2623" s="9"/>
    </row>
    <row r="2624" spans="9:13" x14ac:dyDescent="0.3">
      <c r="I2624" s="7"/>
      <c r="J2624" s="9"/>
      <c r="K2624" s="9"/>
      <c r="L2624" s="9"/>
      <c r="M2624" s="9"/>
    </row>
    <row r="2625" spans="9:13" x14ac:dyDescent="0.3">
      <c r="I2625" s="7"/>
      <c r="J2625" s="9"/>
      <c r="K2625" s="9"/>
      <c r="L2625" s="9"/>
      <c r="M2625" s="9"/>
    </row>
    <row r="2626" spans="9:13" x14ac:dyDescent="0.3">
      <c r="I2626" s="7"/>
      <c r="J2626" s="9"/>
      <c r="K2626" s="9"/>
      <c r="L2626" s="9"/>
      <c r="M2626" s="9"/>
    </row>
    <row r="2627" spans="9:13" x14ac:dyDescent="0.3">
      <c r="I2627" s="7"/>
      <c r="J2627" s="9"/>
      <c r="K2627" s="9"/>
      <c r="L2627" s="9"/>
      <c r="M2627" s="9"/>
    </row>
    <row r="2628" spans="9:13" x14ac:dyDescent="0.3">
      <c r="I2628" s="7"/>
      <c r="J2628" s="9"/>
      <c r="K2628" s="9"/>
      <c r="L2628" s="9"/>
      <c r="M2628" s="9"/>
    </row>
    <row r="2629" spans="9:13" x14ac:dyDescent="0.3">
      <c r="I2629" s="7"/>
      <c r="J2629" s="9"/>
      <c r="K2629" s="9"/>
      <c r="L2629" s="9"/>
      <c r="M2629" s="9"/>
    </row>
    <row r="2630" spans="9:13" x14ac:dyDescent="0.3">
      <c r="I2630" s="7"/>
      <c r="J2630" s="9"/>
      <c r="K2630" s="9"/>
      <c r="L2630" s="9"/>
      <c r="M2630" s="9"/>
    </row>
    <row r="2631" spans="9:13" x14ac:dyDescent="0.3">
      <c r="I2631" s="7"/>
      <c r="J2631" s="9"/>
      <c r="K2631" s="9"/>
      <c r="L2631" s="9"/>
      <c r="M2631" s="9"/>
    </row>
    <row r="2632" spans="9:13" x14ac:dyDescent="0.3">
      <c r="I2632" s="7"/>
      <c r="J2632" s="9"/>
      <c r="K2632" s="9"/>
      <c r="L2632" s="9"/>
      <c r="M2632" s="9"/>
    </row>
    <row r="2633" spans="9:13" x14ac:dyDescent="0.3">
      <c r="I2633" s="7"/>
      <c r="J2633" s="9"/>
      <c r="K2633" s="9"/>
      <c r="L2633" s="9"/>
      <c r="M2633" s="9"/>
    </row>
    <row r="2634" spans="9:13" x14ac:dyDescent="0.3">
      <c r="I2634" s="7"/>
      <c r="J2634" s="9"/>
      <c r="K2634" s="9"/>
      <c r="L2634" s="9"/>
      <c r="M2634" s="9"/>
    </row>
    <row r="2635" spans="9:13" x14ac:dyDescent="0.3">
      <c r="I2635" s="7"/>
      <c r="J2635" s="9"/>
      <c r="K2635" s="9"/>
      <c r="L2635" s="9"/>
      <c r="M2635" s="9"/>
    </row>
    <row r="2636" spans="9:13" x14ac:dyDescent="0.3">
      <c r="I2636" s="7"/>
      <c r="J2636" s="9"/>
      <c r="K2636" s="9"/>
      <c r="L2636" s="9"/>
      <c r="M2636" s="9"/>
    </row>
    <row r="2637" spans="9:13" x14ac:dyDescent="0.3">
      <c r="I2637" s="7"/>
      <c r="J2637" s="9"/>
      <c r="K2637" s="9"/>
      <c r="L2637" s="9"/>
      <c r="M2637" s="9"/>
    </row>
    <row r="2638" spans="9:13" x14ac:dyDescent="0.3">
      <c r="I2638" s="7"/>
      <c r="J2638" s="9"/>
      <c r="K2638" s="9"/>
      <c r="L2638" s="9"/>
      <c r="M2638" s="9"/>
    </row>
    <row r="2639" spans="9:13" x14ac:dyDescent="0.3">
      <c r="I2639" s="7"/>
      <c r="J2639" s="9"/>
      <c r="K2639" s="9"/>
      <c r="L2639" s="9"/>
      <c r="M2639" s="9"/>
    </row>
    <row r="2640" spans="9:13" x14ac:dyDescent="0.3">
      <c r="I2640" s="7"/>
      <c r="J2640" s="9"/>
      <c r="K2640" s="9"/>
      <c r="L2640" s="9"/>
      <c r="M2640" s="9"/>
    </row>
    <row r="2641" spans="9:13" x14ac:dyDescent="0.3">
      <c r="I2641" s="7"/>
      <c r="J2641" s="9"/>
      <c r="K2641" s="9"/>
      <c r="L2641" s="9"/>
      <c r="M2641" s="9"/>
    </row>
    <row r="2642" spans="9:13" x14ac:dyDescent="0.3">
      <c r="I2642" s="7"/>
      <c r="J2642" s="9"/>
      <c r="K2642" s="9"/>
      <c r="L2642" s="9"/>
      <c r="M2642" s="9"/>
    </row>
    <row r="2643" spans="9:13" x14ac:dyDescent="0.3">
      <c r="I2643" s="7"/>
      <c r="J2643" s="9"/>
      <c r="K2643" s="9"/>
      <c r="L2643" s="9"/>
      <c r="M2643" s="9"/>
    </row>
    <row r="2644" spans="9:13" x14ac:dyDescent="0.3">
      <c r="I2644" s="7"/>
      <c r="J2644" s="9"/>
      <c r="K2644" s="9"/>
      <c r="L2644" s="9"/>
      <c r="M2644" s="9"/>
    </row>
    <row r="2645" spans="9:13" x14ac:dyDescent="0.3">
      <c r="I2645" s="7"/>
      <c r="J2645" s="9"/>
      <c r="K2645" s="9"/>
      <c r="L2645" s="9"/>
      <c r="M2645" s="9"/>
    </row>
    <row r="2646" spans="9:13" x14ac:dyDescent="0.3">
      <c r="I2646" s="7"/>
      <c r="J2646" s="9"/>
      <c r="K2646" s="9"/>
      <c r="L2646" s="9"/>
      <c r="M2646" s="9"/>
    </row>
    <row r="2647" spans="9:13" x14ac:dyDescent="0.3">
      <c r="I2647" s="7"/>
      <c r="J2647" s="9"/>
      <c r="K2647" s="9"/>
      <c r="L2647" s="9"/>
      <c r="M2647" s="9"/>
    </row>
    <row r="2648" spans="9:13" x14ac:dyDescent="0.3">
      <c r="I2648" s="7"/>
      <c r="J2648" s="9"/>
      <c r="K2648" s="9"/>
      <c r="L2648" s="9"/>
      <c r="M2648" s="9"/>
    </row>
    <row r="2649" spans="9:13" x14ac:dyDescent="0.3">
      <c r="I2649" s="7"/>
      <c r="J2649" s="9"/>
      <c r="K2649" s="9"/>
      <c r="L2649" s="9"/>
      <c r="M2649" s="9"/>
    </row>
    <row r="2650" spans="9:13" x14ac:dyDescent="0.3">
      <c r="I2650" s="7"/>
      <c r="J2650" s="9"/>
      <c r="K2650" s="9"/>
      <c r="L2650" s="9"/>
      <c r="M2650" s="9"/>
    </row>
    <row r="2651" spans="9:13" x14ac:dyDescent="0.3">
      <c r="I2651" s="7"/>
      <c r="J2651" s="9"/>
      <c r="K2651" s="9"/>
      <c r="L2651" s="9"/>
      <c r="M2651" s="9"/>
    </row>
    <row r="2652" spans="9:13" x14ac:dyDescent="0.3">
      <c r="I2652" s="7"/>
      <c r="J2652" s="9"/>
      <c r="K2652" s="9"/>
      <c r="L2652" s="9"/>
      <c r="M2652" s="9"/>
    </row>
    <row r="2653" spans="9:13" x14ac:dyDescent="0.3">
      <c r="I2653" s="7"/>
      <c r="J2653" s="9"/>
      <c r="K2653" s="9"/>
      <c r="L2653" s="9"/>
      <c r="M2653" s="9"/>
    </row>
    <row r="2654" spans="9:13" x14ac:dyDescent="0.3">
      <c r="I2654" s="7"/>
      <c r="J2654" s="9"/>
      <c r="K2654" s="9"/>
      <c r="L2654" s="9"/>
      <c r="M2654" s="9"/>
    </row>
    <row r="2655" spans="9:13" x14ac:dyDescent="0.3">
      <c r="I2655" s="7"/>
      <c r="J2655" s="9"/>
      <c r="K2655" s="9"/>
      <c r="L2655" s="9"/>
      <c r="M2655" s="9"/>
    </row>
    <row r="2656" spans="9:13" x14ac:dyDescent="0.3">
      <c r="I2656" s="7"/>
      <c r="J2656" s="9"/>
      <c r="K2656" s="9"/>
      <c r="L2656" s="9"/>
      <c r="M2656" s="9"/>
    </row>
    <row r="2657" spans="9:13" x14ac:dyDescent="0.3">
      <c r="I2657" s="7"/>
      <c r="J2657" s="9"/>
      <c r="K2657" s="9"/>
      <c r="L2657" s="9"/>
      <c r="M2657" s="9"/>
    </row>
    <row r="2658" spans="9:13" x14ac:dyDescent="0.3">
      <c r="I2658" s="7"/>
      <c r="J2658" s="9"/>
      <c r="K2658" s="9"/>
      <c r="L2658" s="9"/>
      <c r="M2658" s="9"/>
    </row>
    <row r="2659" spans="9:13" x14ac:dyDescent="0.3">
      <c r="I2659" s="7"/>
      <c r="J2659" s="9"/>
      <c r="K2659" s="9"/>
      <c r="L2659" s="9"/>
      <c r="M2659" s="9"/>
    </row>
    <row r="2660" spans="9:13" x14ac:dyDescent="0.3">
      <c r="I2660" s="7"/>
      <c r="J2660" s="9"/>
      <c r="K2660" s="9"/>
      <c r="L2660" s="9"/>
      <c r="M2660" s="9"/>
    </row>
    <row r="2661" spans="9:13" x14ac:dyDescent="0.3">
      <c r="I2661" s="7"/>
      <c r="J2661" s="9"/>
      <c r="K2661" s="9"/>
      <c r="L2661" s="9"/>
      <c r="M2661" s="9"/>
    </row>
    <row r="2662" spans="9:13" x14ac:dyDescent="0.3">
      <c r="I2662" s="7"/>
      <c r="J2662" s="9"/>
      <c r="K2662" s="9"/>
      <c r="L2662" s="9"/>
      <c r="M2662" s="9"/>
    </row>
    <row r="2663" spans="9:13" x14ac:dyDescent="0.3">
      <c r="I2663" s="7"/>
      <c r="J2663" s="9"/>
      <c r="K2663" s="9"/>
      <c r="L2663" s="9"/>
      <c r="M2663" s="9"/>
    </row>
    <row r="2664" spans="9:13" x14ac:dyDescent="0.3">
      <c r="I2664" s="7"/>
      <c r="J2664" s="9"/>
      <c r="K2664" s="9"/>
      <c r="L2664" s="9"/>
      <c r="M2664" s="9"/>
    </row>
    <row r="2665" spans="9:13" x14ac:dyDescent="0.3">
      <c r="I2665" s="7"/>
      <c r="J2665" s="9"/>
      <c r="K2665" s="9"/>
      <c r="L2665" s="9"/>
      <c r="M2665" s="9"/>
    </row>
    <row r="2666" spans="9:13" x14ac:dyDescent="0.3">
      <c r="I2666" s="7"/>
      <c r="J2666" s="9"/>
      <c r="K2666" s="9"/>
      <c r="L2666" s="9"/>
      <c r="M2666" s="9"/>
    </row>
    <row r="2667" spans="9:13" x14ac:dyDescent="0.3">
      <c r="I2667" s="7"/>
      <c r="J2667" s="9"/>
      <c r="K2667" s="9"/>
      <c r="L2667" s="9"/>
      <c r="M2667" s="9"/>
    </row>
    <row r="2668" spans="9:13" x14ac:dyDescent="0.3">
      <c r="I2668" s="7"/>
      <c r="J2668" s="9"/>
      <c r="K2668" s="9"/>
      <c r="L2668" s="9"/>
      <c r="M2668" s="9"/>
    </row>
    <row r="2669" spans="9:13" x14ac:dyDescent="0.3">
      <c r="I2669" s="7"/>
      <c r="J2669" s="9"/>
      <c r="K2669" s="9"/>
      <c r="L2669" s="9"/>
      <c r="M2669" s="9"/>
    </row>
    <row r="2670" spans="9:13" x14ac:dyDescent="0.3">
      <c r="I2670" s="7"/>
      <c r="J2670" s="9"/>
      <c r="K2670" s="9"/>
      <c r="L2670" s="9"/>
      <c r="M2670" s="9"/>
    </row>
    <row r="2671" spans="9:13" x14ac:dyDescent="0.3">
      <c r="I2671" s="7"/>
      <c r="J2671" s="9"/>
      <c r="K2671" s="9"/>
      <c r="L2671" s="9"/>
      <c r="M2671" s="9"/>
    </row>
    <row r="2672" spans="9:13" x14ac:dyDescent="0.3">
      <c r="I2672" s="7"/>
      <c r="J2672" s="9"/>
      <c r="K2672" s="9"/>
      <c r="L2672" s="9"/>
      <c r="M2672" s="9"/>
    </row>
    <row r="2673" spans="9:13" x14ac:dyDescent="0.3">
      <c r="I2673" s="7"/>
      <c r="J2673" s="9"/>
      <c r="K2673" s="9"/>
      <c r="L2673" s="9"/>
      <c r="M2673" s="9"/>
    </row>
    <row r="2674" spans="9:13" x14ac:dyDescent="0.3">
      <c r="I2674" s="7"/>
      <c r="J2674" s="9"/>
      <c r="K2674" s="9"/>
      <c r="L2674" s="9"/>
      <c r="M2674" s="9"/>
    </row>
    <row r="2675" spans="9:13" x14ac:dyDescent="0.3">
      <c r="I2675" s="7"/>
      <c r="J2675" s="9"/>
      <c r="K2675" s="9"/>
      <c r="L2675" s="9"/>
      <c r="M2675" s="9"/>
    </row>
    <row r="2676" spans="9:13" x14ac:dyDescent="0.3">
      <c r="I2676" s="7"/>
      <c r="J2676" s="9"/>
      <c r="K2676" s="9"/>
      <c r="L2676" s="9"/>
      <c r="M2676" s="9"/>
    </row>
    <row r="2677" spans="9:13" x14ac:dyDescent="0.3">
      <c r="I2677" s="7"/>
      <c r="J2677" s="9"/>
      <c r="K2677" s="9"/>
      <c r="L2677" s="9"/>
      <c r="M2677" s="9"/>
    </row>
    <row r="2678" spans="9:13" x14ac:dyDescent="0.3">
      <c r="I2678" s="7"/>
      <c r="J2678" s="9"/>
      <c r="K2678" s="9"/>
      <c r="L2678" s="9"/>
      <c r="M2678" s="9"/>
    </row>
    <row r="2679" spans="9:13" x14ac:dyDescent="0.3">
      <c r="I2679" s="7"/>
      <c r="J2679" s="9"/>
      <c r="K2679" s="9"/>
      <c r="L2679" s="9"/>
      <c r="M2679" s="9"/>
    </row>
    <row r="2680" spans="9:13" x14ac:dyDescent="0.3">
      <c r="I2680" s="7"/>
      <c r="J2680" s="9"/>
      <c r="K2680" s="9"/>
      <c r="L2680" s="9"/>
      <c r="M2680" s="9"/>
    </row>
    <row r="2681" spans="9:13" x14ac:dyDescent="0.3">
      <c r="I2681" s="7"/>
      <c r="J2681" s="9"/>
      <c r="K2681" s="9"/>
      <c r="L2681" s="9"/>
      <c r="M2681" s="9"/>
    </row>
    <row r="2682" spans="9:13" x14ac:dyDescent="0.3">
      <c r="I2682" s="7"/>
      <c r="J2682" s="9"/>
      <c r="K2682" s="9"/>
      <c r="L2682" s="9"/>
      <c r="M2682" s="9"/>
    </row>
    <row r="2683" spans="9:13" x14ac:dyDescent="0.3">
      <c r="I2683" s="7"/>
      <c r="J2683" s="9"/>
      <c r="K2683" s="9"/>
      <c r="L2683" s="9"/>
      <c r="M2683" s="9"/>
    </row>
    <row r="2684" spans="9:13" x14ac:dyDescent="0.3">
      <c r="I2684" s="7"/>
      <c r="J2684" s="9"/>
      <c r="K2684" s="9"/>
      <c r="L2684" s="9"/>
      <c r="M2684" s="9"/>
    </row>
    <row r="2685" spans="9:13" x14ac:dyDescent="0.3">
      <c r="I2685" s="7"/>
      <c r="J2685" s="9"/>
      <c r="K2685" s="9"/>
      <c r="L2685" s="9"/>
      <c r="M2685" s="9"/>
    </row>
    <row r="2686" spans="9:13" x14ac:dyDescent="0.3">
      <c r="I2686" s="7"/>
      <c r="J2686" s="9"/>
      <c r="K2686" s="9"/>
      <c r="L2686" s="9"/>
      <c r="M2686" s="9"/>
    </row>
    <row r="2687" spans="9:13" x14ac:dyDescent="0.3">
      <c r="I2687" s="7"/>
      <c r="J2687" s="9"/>
      <c r="K2687" s="9"/>
      <c r="L2687" s="9"/>
      <c r="M2687" s="9"/>
    </row>
    <row r="2688" spans="9:13" x14ac:dyDescent="0.3">
      <c r="I2688" s="7"/>
      <c r="J2688" s="9"/>
      <c r="K2688" s="9"/>
      <c r="L2688" s="9"/>
      <c r="M2688" s="9"/>
    </row>
    <row r="2689" spans="9:13" x14ac:dyDescent="0.3">
      <c r="I2689" s="7"/>
      <c r="J2689" s="9"/>
      <c r="K2689" s="9"/>
      <c r="L2689" s="9"/>
      <c r="M2689" s="9"/>
    </row>
    <row r="2690" spans="9:13" x14ac:dyDescent="0.3">
      <c r="I2690" s="7"/>
      <c r="J2690" s="9"/>
      <c r="K2690" s="9"/>
      <c r="L2690" s="9"/>
      <c r="M2690" s="9"/>
    </row>
    <row r="2691" spans="9:13" x14ac:dyDescent="0.3">
      <c r="I2691" s="7"/>
      <c r="J2691" s="9"/>
      <c r="K2691" s="9"/>
      <c r="L2691" s="9"/>
      <c r="M2691" s="9"/>
    </row>
    <row r="2692" spans="9:13" x14ac:dyDescent="0.3">
      <c r="I2692" s="7"/>
      <c r="J2692" s="9"/>
      <c r="K2692" s="9"/>
      <c r="L2692" s="9"/>
      <c r="M2692" s="9"/>
    </row>
    <row r="2693" spans="9:13" x14ac:dyDescent="0.3">
      <c r="I2693" s="7"/>
      <c r="J2693" s="9"/>
      <c r="K2693" s="9"/>
      <c r="L2693" s="9"/>
      <c r="M2693" s="9"/>
    </row>
    <row r="2694" spans="9:13" x14ac:dyDescent="0.3">
      <c r="I2694" s="7"/>
      <c r="J2694" s="9"/>
      <c r="K2694" s="9"/>
      <c r="L2694" s="9"/>
      <c r="M2694" s="9"/>
    </row>
    <row r="2695" spans="9:13" x14ac:dyDescent="0.3">
      <c r="I2695" s="7"/>
      <c r="J2695" s="9"/>
      <c r="K2695" s="9"/>
      <c r="L2695" s="9"/>
      <c r="M2695" s="9"/>
    </row>
    <row r="2696" spans="9:13" x14ac:dyDescent="0.3">
      <c r="I2696" s="7"/>
      <c r="J2696" s="9"/>
      <c r="K2696" s="9"/>
      <c r="L2696" s="9"/>
      <c r="M2696" s="9"/>
    </row>
    <row r="2697" spans="9:13" x14ac:dyDescent="0.3">
      <c r="I2697" s="7"/>
      <c r="J2697" s="9"/>
      <c r="K2697" s="9"/>
      <c r="L2697" s="9"/>
      <c r="M2697" s="9"/>
    </row>
    <row r="2698" spans="9:13" x14ac:dyDescent="0.3">
      <c r="I2698" s="7"/>
      <c r="J2698" s="9"/>
      <c r="K2698" s="9"/>
      <c r="L2698" s="9"/>
      <c r="M2698" s="9"/>
    </row>
    <row r="2699" spans="9:13" x14ac:dyDescent="0.3">
      <c r="I2699" s="7"/>
      <c r="J2699" s="9"/>
      <c r="K2699" s="9"/>
      <c r="L2699" s="9"/>
      <c r="M2699" s="9"/>
    </row>
    <row r="2700" spans="9:13" x14ac:dyDescent="0.3">
      <c r="I2700" s="7"/>
      <c r="J2700" s="9"/>
      <c r="K2700" s="9"/>
      <c r="L2700" s="9"/>
      <c r="M2700" s="9"/>
    </row>
    <row r="2701" spans="9:13" x14ac:dyDescent="0.3">
      <c r="I2701" s="7"/>
      <c r="J2701" s="9"/>
      <c r="K2701" s="9"/>
      <c r="L2701" s="9"/>
      <c r="M2701" s="9"/>
    </row>
    <row r="2702" spans="9:13" x14ac:dyDescent="0.3">
      <c r="I2702" s="7"/>
      <c r="J2702" s="9"/>
      <c r="K2702" s="9"/>
      <c r="L2702" s="9"/>
      <c r="M2702" s="9"/>
    </row>
    <row r="2703" spans="9:13" x14ac:dyDescent="0.3">
      <c r="I2703" s="7"/>
      <c r="J2703" s="9"/>
      <c r="K2703" s="9"/>
      <c r="L2703" s="9"/>
      <c r="M2703" s="9"/>
    </row>
    <row r="2704" spans="9:13" x14ac:dyDescent="0.3">
      <c r="I2704" s="7"/>
      <c r="J2704" s="9"/>
      <c r="K2704" s="9"/>
      <c r="L2704" s="9"/>
      <c r="M2704" s="9"/>
    </row>
    <row r="2705" spans="9:13" x14ac:dyDescent="0.3">
      <c r="I2705" s="7"/>
      <c r="J2705" s="9"/>
      <c r="K2705" s="9"/>
      <c r="L2705" s="9"/>
      <c r="M2705" s="9"/>
    </row>
    <row r="2706" spans="9:13" x14ac:dyDescent="0.3">
      <c r="I2706" s="7"/>
      <c r="J2706" s="9"/>
      <c r="K2706" s="9"/>
      <c r="L2706" s="9"/>
      <c r="M2706" s="9"/>
    </row>
    <row r="2707" spans="9:13" x14ac:dyDescent="0.3">
      <c r="I2707" s="7"/>
      <c r="J2707" s="9"/>
      <c r="K2707" s="9"/>
      <c r="L2707" s="9"/>
      <c r="M2707" s="9"/>
    </row>
    <row r="2708" spans="9:13" x14ac:dyDescent="0.3">
      <c r="I2708" s="7"/>
      <c r="J2708" s="9"/>
      <c r="K2708" s="9"/>
      <c r="L2708" s="9"/>
      <c r="M2708" s="9"/>
    </row>
    <row r="2709" spans="9:13" x14ac:dyDescent="0.3">
      <c r="I2709" s="7"/>
      <c r="J2709" s="9"/>
      <c r="K2709" s="9"/>
      <c r="L2709" s="9"/>
      <c r="M2709" s="9"/>
    </row>
    <row r="2710" spans="9:13" x14ac:dyDescent="0.3">
      <c r="I2710" s="7"/>
      <c r="J2710" s="9"/>
      <c r="K2710" s="9"/>
      <c r="L2710" s="9"/>
      <c r="M2710" s="9"/>
    </row>
    <row r="2711" spans="9:13" x14ac:dyDescent="0.3">
      <c r="I2711" s="7"/>
      <c r="J2711" s="9"/>
      <c r="K2711" s="9"/>
      <c r="L2711" s="9"/>
      <c r="M2711" s="9"/>
    </row>
    <row r="2712" spans="9:13" x14ac:dyDescent="0.3">
      <c r="I2712" s="7"/>
      <c r="J2712" s="9"/>
      <c r="K2712" s="9"/>
      <c r="L2712" s="9"/>
      <c r="M2712" s="9"/>
    </row>
    <row r="2713" spans="9:13" x14ac:dyDescent="0.3">
      <c r="I2713" s="7"/>
      <c r="J2713" s="9"/>
      <c r="K2713" s="9"/>
      <c r="L2713" s="9"/>
      <c r="M2713" s="9"/>
    </row>
    <row r="2714" spans="9:13" x14ac:dyDescent="0.3">
      <c r="I2714" s="7"/>
      <c r="J2714" s="9"/>
      <c r="K2714" s="9"/>
      <c r="L2714" s="9"/>
      <c r="M2714" s="9"/>
    </row>
    <row r="2715" spans="9:13" x14ac:dyDescent="0.3">
      <c r="I2715" s="7"/>
      <c r="J2715" s="9"/>
      <c r="K2715" s="9"/>
      <c r="L2715" s="9"/>
      <c r="M2715" s="9"/>
    </row>
    <row r="2716" spans="9:13" x14ac:dyDescent="0.3">
      <c r="I2716" s="7"/>
      <c r="J2716" s="9"/>
      <c r="K2716" s="9"/>
      <c r="L2716" s="9"/>
      <c r="M2716" s="9"/>
    </row>
    <row r="2717" spans="9:13" x14ac:dyDescent="0.3">
      <c r="I2717" s="7"/>
      <c r="J2717" s="9"/>
      <c r="K2717" s="9"/>
      <c r="L2717" s="9"/>
      <c r="M2717" s="9"/>
    </row>
    <row r="2718" spans="9:13" x14ac:dyDescent="0.3">
      <c r="I2718" s="7"/>
      <c r="J2718" s="9"/>
      <c r="K2718" s="9"/>
      <c r="L2718" s="9"/>
      <c r="M2718" s="9"/>
    </row>
    <row r="2719" spans="9:13" x14ac:dyDescent="0.3">
      <c r="I2719" s="7"/>
      <c r="J2719" s="9"/>
      <c r="K2719" s="9"/>
      <c r="L2719" s="9"/>
      <c r="M2719" s="9"/>
    </row>
    <row r="2720" spans="9:13" x14ac:dyDescent="0.3">
      <c r="I2720" s="7"/>
      <c r="J2720" s="9"/>
      <c r="K2720" s="9"/>
      <c r="L2720" s="9"/>
      <c r="M2720" s="9"/>
    </row>
    <row r="2721" spans="9:13" x14ac:dyDescent="0.3">
      <c r="I2721" s="7"/>
      <c r="J2721" s="9"/>
      <c r="K2721" s="9"/>
      <c r="L2721" s="9"/>
      <c r="M2721" s="9"/>
    </row>
    <row r="2722" spans="9:13" x14ac:dyDescent="0.3">
      <c r="I2722" s="7"/>
      <c r="J2722" s="9"/>
      <c r="K2722" s="9"/>
      <c r="L2722" s="9"/>
      <c r="M2722" s="9"/>
    </row>
    <row r="2723" spans="9:13" x14ac:dyDescent="0.3">
      <c r="I2723" s="7"/>
      <c r="J2723" s="9"/>
      <c r="K2723" s="9"/>
      <c r="L2723" s="9"/>
      <c r="M2723" s="9"/>
    </row>
    <row r="2724" spans="9:13" x14ac:dyDescent="0.3">
      <c r="I2724" s="7"/>
      <c r="J2724" s="9"/>
      <c r="K2724" s="9"/>
      <c r="L2724" s="9"/>
      <c r="M2724" s="9"/>
    </row>
    <row r="2725" spans="9:13" x14ac:dyDescent="0.3">
      <c r="I2725" s="7"/>
      <c r="J2725" s="9"/>
      <c r="K2725" s="9"/>
      <c r="L2725" s="9"/>
      <c r="M2725" s="9"/>
    </row>
    <row r="2726" spans="9:13" x14ac:dyDescent="0.3">
      <c r="I2726" s="7"/>
      <c r="J2726" s="9"/>
      <c r="K2726" s="9"/>
      <c r="L2726" s="9"/>
      <c r="M2726" s="9"/>
    </row>
    <row r="2727" spans="9:13" x14ac:dyDescent="0.3">
      <c r="I2727" s="7"/>
      <c r="J2727" s="9"/>
      <c r="K2727" s="9"/>
      <c r="L2727" s="9"/>
      <c r="M2727" s="9"/>
    </row>
    <row r="2728" spans="9:13" x14ac:dyDescent="0.3">
      <c r="I2728" s="7"/>
      <c r="J2728" s="9"/>
      <c r="K2728" s="9"/>
      <c r="L2728" s="9"/>
      <c r="M2728" s="9"/>
    </row>
    <row r="2729" spans="9:13" x14ac:dyDescent="0.3">
      <c r="I2729" s="7"/>
      <c r="J2729" s="9"/>
      <c r="K2729" s="9"/>
      <c r="L2729" s="9"/>
      <c r="M2729" s="9"/>
    </row>
    <row r="2730" spans="9:13" x14ac:dyDescent="0.3">
      <c r="I2730" s="7"/>
      <c r="J2730" s="9"/>
      <c r="K2730" s="9"/>
      <c r="L2730" s="9"/>
      <c r="M2730" s="9"/>
    </row>
    <row r="2731" spans="9:13" x14ac:dyDescent="0.3">
      <c r="I2731" s="7"/>
      <c r="J2731" s="9"/>
      <c r="K2731" s="9"/>
      <c r="L2731" s="9"/>
      <c r="M2731" s="9"/>
    </row>
    <row r="2732" spans="9:13" x14ac:dyDescent="0.3">
      <c r="I2732" s="7"/>
      <c r="J2732" s="9"/>
      <c r="K2732" s="9"/>
      <c r="L2732" s="9"/>
      <c r="M2732" s="9"/>
    </row>
    <row r="2733" spans="9:13" x14ac:dyDescent="0.3">
      <c r="I2733" s="7"/>
      <c r="J2733" s="9"/>
      <c r="K2733" s="9"/>
      <c r="L2733" s="9"/>
      <c r="M2733" s="9"/>
    </row>
    <row r="2734" spans="9:13" x14ac:dyDescent="0.3">
      <c r="I2734" s="7"/>
      <c r="J2734" s="9"/>
      <c r="K2734" s="9"/>
      <c r="L2734" s="9"/>
      <c r="M2734" s="9"/>
    </row>
    <row r="2735" spans="9:13" x14ac:dyDescent="0.3">
      <c r="I2735" s="7"/>
      <c r="J2735" s="9"/>
      <c r="K2735" s="9"/>
      <c r="L2735" s="9"/>
      <c r="M2735" s="9"/>
    </row>
    <row r="2736" spans="9:13" x14ac:dyDescent="0.3">
      <c r="I2736" s="7"/>
      <c r="J2736" s="9"/>
      <c r="K2736" s="9"/>
      <c r="L2736" s="9"/>
      <c r="M2736" s="9"/>
    </row>
    <row r="2737" spans="9:13" x14ac:dyDescent="0.3">
      <c r="I2737" s="7"/>
      <c r="J2737" s="9"/>
      <c r="K2737" s="9"/>
      <c r="L2737" s="9"/>
      <c r="M2737" s="9"/>
    </row>
    <row r="2738" spans="9:13" x14ac:dyDescent="0.3">
      <c r="I2738" s="7"/>
      <c r="J2738" s="9"/>
      <c r="K2738" s="9"/>
      <c r="L2738" s="9"/>
      <c r="M2738" s="9"/>
    </row>
    <row r="2739" spans="9:13" x14ac:dyDescent="0.3">
      <c r="I2739" s="7"/>
      <c r="J2739" s="9"/>
      <c r="K2739" s="9"/>
      <c r="L2739" s="9"/>
      <c r="M2739" s="9"/>
    </row>
    <row r="2740" spans="9:13" x14ac:dyDescent="0.3">
      <c r="I2740" s="7"/>
      <c r="J2740" s="9"/>
      <c r="K2740" s="9"/>
      <c r="L2740" s="9"/>
      <c r="M2740" s="9"/>
    </row>
    <row r="2741" spans="9:13" x14ac:dyDescent="0.3">
      <c r="I2741" s="7"/>
      <c r="J2741" s="9"/>
      <c r="K2741" s="9"/>
      <c r="L2741" s="9"/>
      <c r="M2741" s="9"/>
    </row>
    <row r="2742" spans="9:13" x14ac:dyDescent="0.3">
      <c r="I2742" s="7"/>
      <c r="J2742" s="9"/>
      <c r="K2742" s="9"/>
      <c r="L2742" s="9"/>
      <c r="M2742" s="9"/>
    </row>
    <row r="2743" spans="9:13" x14ac:dyDescent="0.3">
      <c r="I2743" s="7"/>
      <c r="J2743" s="9"/>
      <c r="K2743" s="9"/>
      <c r="L2743" s="9"/>
      <c r="M2743" s="9"/>
    </row>
    <row r="2744" spans="9:13" x14ac:dyDescent="0.3">
      <c r="I2744" s="7"/>
      <c r="J2744" s="9"/>
      <c r="K2744" s="9"/>
      <c r="L2744" s="9"/>
      <c r="M2744" s="9"/>
    </row>
    <row r="2745" spans="9:13" x14ac:dyDescent="0.3">
      <c r="I2745" s="7"/>
      <c r="J2745" s="9"/>
      <c r="K2745" s="9"/>
      <c r="L2745" s="9"/>
      <c r="M2745" s="9"/>
    </row>
    <row r="2746" spans="9:13" x14ac:dyDescent="0.3">
      <c r="I2746" s="7"/>
      <c r="J2746" s="9"/>
      <c r="K2746" s="9"/>
      <c r="L2746" s="9"/>
      <c r="M2746" s="9"/>
    </row>
    <row r="2747" spans="9:13" x14ac:dyDescent="0.3">
      <c r="I2747" s="7"/>
      <c r="J2747" s="9"/>
      <c r="K2747" s="9"/>
      <c r="L2747" s="9"/>
      <c r="M2747" s="9"/>
    </row>
    <row r="2748" spans="9:13" x14ac:dyDescent="0.3">
      <c r="I2748" s="7"/>
      <c r="J2748" s="9"/>
      <c r="K2748" s="9"/>
      <c r="L2748" s="9"/>
      <c r="M2748" s="9"/>
    </row>
    <row r="2749" spans="9:13" x14ac:dyDescent="0.3">
      <c r="I2749" s="7"/>
      <c r="J2749" s="9"/>
      <c r="K2749" s="9"/>
      <c r="L2749" s="9"/>
      <c r="M2749" s="9"/>
    </row>
    <row r="2750" spans="9:13" x14ac:dyDescent="0.3">
      <c r="I2750" s="7"/>
      <c r="J2750" s="9"/>
      <c r="K2750" s="9"/>
      <c r="L2750" s="9"/>
      <c r="M2750" s="9"/>
    </row>
    <row r="2751" spans="9:13" x14ac:dyDescent="0.3">
      <c r="I2751" s="7"/>
      <c r="J2751" s="9"/>
      <c r="K2751" s="9"/>
      <c r="L2751" s="9"/>
      <c r="M2751" s="9"/>
    </row>
    <row r="2752" spans="9:13" x14ac:dyDescent="0.3">
      <c r="I2752" s="7"/>
      <c r="J2752" s="9"/>
      <c r="K2752" s="9"/>
      <c r="L2752" s="9"/>
      <c r="M2752" s="9"/>
    </row>
    <row r="2753" spans="9:13" x14ac:dyDescent="0.3">
      <c r="I2753" s="7"/>
      <c r="J2753" s="9"/>
      <c r="K2753" s="9"/>
      <c r="L2753" s="9"/>
      <c r="M2753" s="9"/>
    </row>
    <row r="2754" spans="9:13" x14ac:dyDescent="0.3">
      <c r="I2754" s="7"/>
      <c r="J2754" s="9"/>
      <c r="K2754" s="9"/>
      <c r="L2754" s="9"/>
      <c r="M2754" s="9"/>
    </row>
    <row r="2755" spans="9:13" x14ac:dyDescent="0.3">
      <c r="I2755" s="7"/>
      <c r="J2755" s="9"/>
      <c r="K2755" s="9"/>
      <c r="L2755" s="9"/>
      <c r="M2755" s="9"/>
    </row>
    <row r="2756" spans="9:13" x14ac:dyDescent="0.3">
      <c r="I2756" s="7"/>
      <c r="J2756" s="9"/>
      <c r="K2756" s="9"/>
      <c r="L2756" s="9"/>
      <c r="M2756" s="9"/>
    </row>
    <row r="2757" spans="9:13" x14ac:dyDescent="0.3">
      <c r="I2757" s="7"/>
      <c r="J2757" s="9"/>
      <c r="K2757" s="9"/>
      <c r="L2757" s="9"/>
      <c r="M2757" s="9"/>
    </row>
    <row r="2758" spans="9:13" x14ac:dyDescent="0.3">
      <c r="I2758" s="7"/>
      <c r="J2758" s="9"/>
      <c r="K2758" s="9"/>
      <c r="L2758" s="9"/>
      <c r="M2758" s="9"/>
    </row>
    <row r="2759" spans="9:13" x14ac:dyDescent="0.3">
      <c r="I2759" s="7"/>
      <c r="J2759" s="9"/>
      <c r="K2759" s="9"/>
      <c r="L2759" s="9"/>
      <c r="M2759" s="9"/>
    </row>
    <row r="2760" spans="9:13" x14ac:dyDescent="0.3">
      <c r="I2760" s="7"/>
      <c r="J2760" s="9"/>
      <c r="K2760" s="9"/>
      <c r="L2760" s="9"/>
      <c r="M2760" s="9"/>
    </row>
    <row r="2761" spans="9:13" x14ac:dyDescent="0.3">
      <c r="I2761" s="7"/>
      <c r="J2761" s="9"/>
      <c r="K2761" s="9"/>
      <c r="L2761" s="9"/>
      <c r="M2761" s="9"/>
    </row>
    <row r="2762" spans="9:13" x14ac:dyDescent="0.3">
      <c r="I2762" s="7"/>
      <c r="J2762" s="9"/>
      <c r="K2762" s="9"/>
      <c r="L2762" s="9"/>
      <c r="M2762" s="9"/>
    </row>
    <row r="2763" spans="9:13" x14ac:dyDescent="0.3">
      <c r="I2763" s="7"/>
      <c r="J2763" s="9"/>
      <c r="K2763" s="9"/>
      <c r="L2763" s="9"/>
      <c r="M2763" s="9"/>
    </row>
    <row r="2764" spans="9:13" x14ac:dyDescent="0.3">
      <c r="I2764" s="7"/>
      <c r="J2764" s="9"/>
      <c r="K2764" s="9"/>
      <c r="L2764" s="9"/>
      <c r="M2764" s="9"/>
    </row>
    <row r="2765" spans="9:13" x14ac:dyDescent="0.3">
      <c r="I2765" s="7"/>
      <c r="J2765" s="9"/>
      <c r="K2765" s="9"/>
      <c r="L2765" s="9"/>
      <c r="M2765" s="9"/>
    </row>
    <row r="2766" spans="9:13" x14ac:dyDescent="0.3">
      <c r="I2766" s="7"/>
      <c r="J2766" s="9"/>
      <c r="K2766" s="9"/>
      <c r="L2766" s="9"/>
      <c r="M2766" s="9"/>
    </row>
    <row r="2767" spans="9:13" x14ac:dyDescent="0.3">
      <c r="I2767" s="7"/>
      <c r="J2767" s="9"/>
      <c r="K2767" s="9"/>
      <c r="L2767" s="9"/>
      <c r="M2767" s="9"/>
    </row>
    <row r="2768" spans="9:13" x14ac:dyDescent="0.3">
      <c r="I2768" s="7"/>
      <c r="J2768" s="9"/>
      <c r="K2768" s="9"/>
      <c r="L2768" s="9"/>
      <c r="M2768" s="9"/>
    </row>
    <row r="2769" spans="9:13" x14ac:dyDescent="0.3">
      <c r="I2769" s="7"/>
      <c r="J2769" s="9"/>
      <c r="K2769" s="9"/>
      <c r="L2769" s="9"/>
      <c r="M2769" s="9"/>
    </row>
    <row r="2770" spans="9:13" x14ac:dyDescent="0.3">
      <c r="I2770" s="7"/>
      <c r="J2770" s="9"/>
      <c r="K2770" s="9"/>
      <c r="L2770" s="9"/>
      <c r="M2770" s="9"/>
    </row>
    <row r="2771" spans="9:13" x14ac:dyDescent="0.3">
      <c r="I2771" s="7"/>
      <c r="J2771" s="9"/>
      <c r="K2771" s="9"/>
      <c r="L2771" s="9"/>
      <c r="M2771" s="9"/>
    </row>
    <row r="2772" spans="9:13" x14ac:dyDescent="0.3">
      <c r="I2772" s="7"/>
      <c r="J2772" s="9"/>
      <c r="K2772" s="9"/>
      <c r="L2772" s="9"/>
      <c r="M2772" s="9"/>
    </row>
    <row r="2773" spans="9:13" x14ac:dyDescent="0.3">
      <c r="I2773" s="7"/>
      <c r="J2773" s="9"/>
      <c r="K2773" s="9"/>
      <c r="L2773" s="9"/>
      <c r="M2773" s="9"/>
    </row>
    <row r="2774" spans="9:13" x14ac:dyDescent="0.3">
      <c r="I2774" s="7"/>
      <c r="J2774" s="9"/>
      <c r="K2774" s="9"/>
      <c r="L2774" s="9"/>
      <c r="M2774" s="9"/>
    </row>
    <row r="2775" spans="9:13" x14ac:dyDescent="0.3">
      <c r="I2775" s="7"/>
      <c r="J2775" s="9"/>
      <c r="K2775" s="9"/>
      <c r="L2775" s="9"/>
      <c r="M2775" s="9"/>
    </row>
    <row r="2776" spans="9:13" x14ac:dyDescent="0.3">
      <c r="I2776" s="7"/>
      <c r="J2776" s="9"/>
      <c r="K2776" s="9"/>
      <c r="L2776" s="9"/>
      <c r="M2776" s="9"/>
    </row>
    <row r="2777" spans="9:13" x14ac:dyDescent="0.3">
      <c r="I2777" s="7"/>
      <c r="J2777" s="9"/>
      <c r="K2777" s="9"/>
      <c r="L2777" s="9"/>
      <c r="M2777" s="9"/>
    </row>
    <row r="2778" spans="9:13" x14ac:dyDescent="0.3">
      <c r="I2778" s="7"/>
      <c r="J2778" s="9"/>
      <c r="K2778" s="9"/>
      <c r="L2778" s="9"/>
      <c r="M2778" s="9"/>
    </row>
    <row r="2779" spans="9:13" x14ac:dyDescent="0.3">
      <c r="I2779" s="7"/>
      <c r="J2779" s="9"/>
      <c r="K2779" s="9"/>
      <c r="L2779" s="9"/>
      <c r="M2779" s="9"/>
    </row>
    <row r="2780" spans="9:13" x14ac:dyDescent="0.3">
      <c r="I2780" s="7"/>
      <c r="J2780" s="9"/>
      <c r="K2780" s="9"/>
      <c r="L2780" s="9"/>
      <c r="M2780" s="9"/>
    </row>
    <row r="2781" spans="9:13" x14ac:dyDescent="0.3">
      <c r="I2781" s="7"/>
      <c r="J2781" s="9"/>
      <c r="K2781" s="9"/>
      <c r="L2781" s="9"/>
      <c r="M2781" s="9"/>
    </row>
    <row r="2782" spans="9:13" x14ac:dyDescent="0.3">
      <c r="I2782" s="7"/>
      <c r="J2782" s="9"/>
      <c r="K2782" s="9"/>
      <c r="L2782" s="9"/>
      <c r="M2782" s="9"/>
    </row>
    <row r="2783" spans="9:13" x14ac:dyDescent="0.3">
      <c r="I2783" s="7"/>
      <c r="J2783" s="9"/>
      <c r="K2783" s="9"/>
      <c r="L2783" s="9"/>
      <c r="M2783" s="9"/>
    </row>
    <row r="2784" spans="9:13" x14ac:dyDescent="0.3">
      <c r="I2784" s="7"/>
      <c r="J2784" s="9"/>
      <c r="K2784" s="9"/>
      <c r="L2784" s="9"/>
      <c r="M2784" s="9"/>
    </row>
    <row r="2785" spans="9:13" x14ac:dyDescent="0.3">
      <c r="I2785" s="7"/>
      <c r="J2785" s="9"/>
      <c r="K2785" s="9"/>
      <c r="L2785" s="9"/>
      <c r="M2785" s="9"/>
    </row>
    <row r="2786" spans="9:13" x14ac:dyDescent="0.3">
      <c r="I2786" s="7"/>
      <c r="J2786" s="9"/>
      <c r="K2786" s="9"/>
      <c r="L2786" s="9"/>
      <c r="M2786" s="9"/>
    </row>
    <row r="2787" spans="9:13" x14ac:dyDescent="0.3">
      <c r="I2787" s="7"/>
      <c r="J2787" s="9"/>
      <c r="K2787" s="9"/>
      <c r="L2787" s="9"/>
      <c r="M2787" s="9"/>
    </row>
    <row r="2788" spans="9:13" x14ac:dyDescent="0.3">
      <c r="I2788" s="7"/>
      <c r="J2788" s="9"/>
      <c r="K2788" s="9"/>
      <c r="L2788" s="9"/>
      <c r="M2788" s="9"/>
    </row>
    <row r="2789" spans="9:13" x14ac:dyDescent="0.3">
      <c r="I2789" s="7"/>
      <c r="J2789" s="9"/>
      <c r="K2789" s="9"/>
      <c r="L2789" s="9"/>
      <c r="M2789" s="9"/>
    </row>
    <row r="2790" spans="9:13" x14ac:dyDescent="0.3">
      <c r="I2790" s="7"/>
      <c r="J2790" s="9"/>
      <c r="K2790" s="9"/>
      <c r="L2790" s="9"/>
      <c r="M2790" s="9"/>
    </row>
    <row r="2791" spans="9:13" x14ac:dyDescent="0.3">
      <c r="I2791" s="7"/>
      <c r="J2791" s="9"/>
      <c r="K2791" s="9"/>
      <c r="L2791" s="9"/>
      <c r="M2791" s="9"/>
    </row>
    <row r="2792" spans="9:13" x14ac:dyDescent="0.3">
      <c r="I2792" s="7"/>
      <c r="J2792" s="9"/>
      <c r="K2792" s="9"/>
      <c r="L2792" s="9"/>
      <c r="M2792" s="9"/>
    </row>
    <row r="2793" spans="9:13" x14ac:dyDescent="0.3">
      <c r="I2793" s="7"/>
      <c r="J2793" s="9"/>
      <c r="K2793" s="9"/>
      <c r="L2793" s="9"/>
      <c r="M2793" s="9"/>
    </row>
    <row r="2794" spans="9:13" x14ac:dyDescent="0.3">
      <c r="I2794" s="7"/>
      <c r="J2794" s="9"/>
      <c r="K2794" s="9"/>
      <c r="L2794" s="9"/>
      <c r="M2794" s="9"/>
    </row>
    <row r="2795" spans="9:13" x14ac:dyDescent="0.3">
      <c r="I2795" s="7"/>
      <c r="J2795" s="9"/>
      <c r="K2795" s="9"/>
      <c r="L2795" s="9"/>
      <c r="M2795" s="9"/>
    </row>
    <row r="2796" spans="9:13" x14ac:dyDescent="0.3">
      <c r="I2796" s="7"/>
      <c r="J2796" s="9"/>
      <c r="K2796" s="9"/>
      <c r="L2796" s="9"/>
      <c r="M2796" s="9"/>
    </row>
    <row r="2797" spans="9:13" x14ac:dyDescent="0.3">
      <c r="I2797" s="7"/>
      <c r="J2797" s="9"/>
      <c r="K2797" s="9"/>
      <c r="L2797" s="9"/>
      <c r="M2797" s="9"/>
    </row>
    <row r="2798" spans="9:13" x14ac:dyDescent="0.3">
      <c r="I2798" s="7"/>
      <c r="J2798" s="9"/>
      <c r="K2798" s="9"/>
      <c r="L2798" s="9"/>
      <c r="M2798" s="9"/>
    </row>
    <row r="2799" spans="9:13" x14ac:dyDescent="0.3">
      <c r="I2799" s="7"/>
      <c r="J2799" s="9"/>
      <c r="K2799" s="9"/>
      <c r="L2799" s="9"/>
      <c r="M2799" s="9"/>
    </row>
    <row r="2800" spans="9:13" x14ac:dyDescent="0.3">
      <c r="I2800" s="7"/>
      <c r="J2800" s="9"/>
      <c r="K2800" s="9"/>
      <c r="L2800" s="9"/>
      <c r="M2800" s="9"/>
    </row>
    <row r="2801" spans="9:13" x14ac:dyDescent="0.3">
      <c r="I2801" s="7"/>
      <c r="J2801" s="9"/>
      <c r="K2801" s="9"/>
      <c r="L2801" s="9"/>
      <c r="M2801" s="9"/>
    </row>
    <row r="2802" spans="9:13" x14ac:dyDescent="0.3">
      <c r="I2802" s="7"/>
      <c r="J2802" s="9"/>
      <c r="K2802" s="9"/>
      <c r="L2802" s="9"/>
      <c r="M2802" s="9"/>
    </row>
    <row r="2803" spans="9:13" x14ac:dyDescent="0.3">
      <c r="I2803" s="7"/>
      <c r="J2803" s="9"/>
      <c r="K2803" s="9"/>
      <c r="L2803" s="9"/>
      <c r="M2803" s="9"/>
    </row>
    <row r="2804" spans="9:13" x14ac:dyDescent="0.3">
      <c r="I2804" s="7"/>
      <c r="J2804" s="9"/>
      <c r="K2804" s="9"/>
      <c r="L2804" s="9"/>
      <c r="M2804" s="9"/>
    </row>
    <row r="2805" spans="9:13" x14ac:dyDescent="0.3">
      <c r="I2805" s="7"/>
      <c r="J2805" s="9"/>
      <c r="K2805" s="9"/>
      <c r="L2805" s="9"/>
      <c r="M2805" s="9"/>
    </row>
    <row r="2806" spans="9:13" x14ac:dyDescent="0.3">
      <c r="I2806" s="7"/>
      <c r="J2806" s="9"/>
      <c r="K2806" s="9"/>
      <c r="L2806" s="9"/>
      <c r="M2806" s="9"/>
    </row>
    <row r="2807" spans="9:13" x14ac:dyDescent="0.3">
      <c r="I2807" s="7"/>
      <c r="J2807" s="9"/>
      <c r="K2807" s="9"/>
      <c r="L2807" s="9"/>
      <c r="M2807" s="9"/>
    </row>
    <row r="2808" spans="9:13" x14ac:dyDescent="0.3">
      <c r="I2808" s="7"/>
      <c r="J2808" s="9"/>
      <c r="K2808" s="9"/>
      <c r="L2808" s="9"/>
      <c r="M2808" s="9"/>
    </row>
    <row r="2809" spans="9:13" x14ac:dyDescent="0.3">
      <c r="I2809" s="7"/>
      <c r="J2809" s="9"/>
      <c r="K2809" s="9"/>
      <c r="L2809" s="9"/>
      <c r="M2809" s="9"/>
    </row>
    <row r="2810" spans="9:13" x14ac:dyDescent="0.3">
      <c r="I2810" s="7"/>
      <c r="J2810" s="9"/>
      <c r="K2810" s="9"/>
      <c r="L2810" s="9"/>
      <c r="M2810" s="9"/>
    </row>
    <row r="2811" spans="9:13" x14ac:dyDescent="0.3">
      <c r="I2811" s="7"/>
      <c r="J2811" s="9"/>
      <c r="K2811" s="9"/>
      <c r="L2811" s="9"/>
      <c r="M2811" s="9"/>
    </row>
    <row r="2812" spans="9:13" x14ac:dyDescent="0.3">
      <c r="I2812" s="7"/>
      <c r="J2812" s="9"/>
      <c r="K2812" s="9"/>
      <c r="L2812" s="9"/>
      <c r="M2812" s="9"/>
    </row>
    <row r="2813" spans="9:13" x14ac:dyDescent="0.3">
      <c r="I2813" s="7"/>
      <c r="J2813" s="9"/>
      <c r="K2813" s="9"/>
      <c r="L2813" s="9"/>
      <c r="M2813" s="9"/>
    </row>
    <row r="2814" spans="9:13" x14ac:dyDescent="0.3">
      <c r="I2814" s="7"/>
      <c r="J2814" s="9"/>
      <c r="K2814" s="9"/>
      <c r="L2814" s="9"/>
      <c r="M2814" s="9"/>
    </row>
    <row r="2815" spans="9:13" x14ac:dyDescent="0.3">
      <c r="I2815" s="7"/>
      <c r="J2815" s="9"/>
      <c r="K2815" s="9"/>
      <c r="L2815" s="9"/>
      <c r="M2815" s="9"/>
    </row>
    <row r="2816" spans="9:13" x14ac:dyDescent="0.3">
      <c r="I2816" s="7"/>
      <c r="J2816" s="9"/>
      <c r="K2816" s="9"/>
      <c r="L2816" s="9"/>
      <c r="M2816" s="9"/>
    </row>
    <row r="2817" spans="9:13" x14ac:dyDescent="0.3">
      <c r="I2817" s="7"/>
      <c r="J2817" s="9"/>
      <c r="K2817" s="9"/>
      <c r="L2817" s="9"/>
      <c r="M2817" s="9"/>
    </row>
    <row r="2818" spans="9:13" x14ac:dyDescent="0.3">
      <c r="I2818" s="7"/>
      <c r="J2818" s="9"/>
      <c r="K2818" s="9"/>
      <c r="L2818" s="9"/>
      <c r="M2818" s="9"/>
    </row>
    <row r="2819" spans="9:13" x14ac:dyDescent="0.3">
      <c r="I2819" s="7"/>
      <c r="J2819" s="9"/>
      <c r="K2819" s="9"/>
      <c r="L2819" s="9"/>
      <c r="M2819" s="9"/>
    </row>
    <row r="2820" spans="9:13" x14ac:dyDescent="0.3">
      <c r="I2820" s="7"/>
      <c r="J2820" s="9"/>
      <c r="K2820" s="9"/>
      <c r="L2820" s="9"/>
      <c r="M2820" s="9"/>
    </row>
    <row r="2821" spans="9:13" x14ac:dyDescent="0.3">
      <c r="I2821" s="7"/>
      <c r="J2821" s="9"/>
      <c r="K2821" s="9"/>
      <c r="L2821" s="9"/>
      <c r="M2821" s="9"/>
    </row>
    <row r="2822" spans="9:13" x14ac:dyDescent="0.3">
      <c r="I2822" s="7"/>
      <c r="J2822" s="9"/>
      <c r="K2822" s="9"/>
      <c r="L2822" s="9"/>
      <c r="M2822" s="9"/>
    </row>
    <row r="2823" spans="9:13" x14ac:dyDescent="0.3">
      <c r="I2823" s="7"/>
      <c r="J2823" s="9"/>
      <c r="K2823" s="9"/>
      <c r="L2823" s="9"/>
      <c r="M2823" s="9"/>
    </row>
    <row r="2824" spans="9:13" x14ac:dyDescent="0.3">
      <c r="I2824" s="7"/>
      <c r="J2824" s="9"/>
      <c r="K2824" s="9"/>
      <c r="L2824" s="9"/>
      <c r="M2824" s="9"/>
    </row>
    <row r="2825" spans="9:13" x14ac:dyDescent="0.3">
      <c r="I2825" s="7"/>
      <c r="J2825" s="9"/>
      <c r="K2825" s="9"/>
      <c r="L2825" s="9"/>
      <c r="M2825" s="9"/>
    </row>
    <row r="2826" spans="9:13" x14ac:dyDescent="0.3">
      <c r="I2826" s="7"/>
      <c r="J2826" s="9"/>
      <c r="K2826" s="9"/>
      <c r="L2826" s="9"/>
      <c r="M2826" s="9"/>
    </row>
    <row r="2827" spans="9:13" x14ac:dyDescent="0.3">
      <c r="I2827" s="7"/>
      <c r="J2827" s="9"/>
      <c r="K2827" s="9"/>
      <c r="L2827" s="9"/>
      <c r="M2827" s="9"/>
    </row>
    <row r="2828" spans="9:13" x14ac:dyDescent="0.3">
      <c r="I2828" s="7"/>
      <c r="J2828" s="9"/>
      <c r="K2828" s="9"/>
      <c r="L2828" s="9"/>
      <c r="M2828" s="9"/>
    </row>
    <row r="2829" spans="9:13" x14ac:dyDescent="0.3">
      <c r="I2829" s="7"/>
      <c r="J2829" s="9"/>
      <c r="K2829" s="9"/>
      <c r="L2829" s="9"/>
      <c r="M2829" s="9"/>
    </row>
    <row r="2830" spans="9:13" x14ac:dyDescent="0.3">
      <c r="I2830" s="7"/>
      <c r="J2830" s="9"/>
      <c r="K2830" s="9"/>
      <c r="L2830" s="9"/>
      <c r="M2830" s="9"/>
    </row>
    <row r="2831" spans="9:13" x14ac:dyDescent="0.3">
      <c r="I2831" s="7"/>
      <c r="J2831" s="9"/>
      <c r="K2831" s="9"/>
      <c r="L2831" s="9"/>
      <c r="M2831" s="9"/>
    </row>
    <row r="2832" spans="9:13" x14ac:dyDescent="0.3">
      <c r="I2832" s="7"/>
      <c r="J2832" s="9"/>
      <c r="K2832" s="9"/>
      <c r="L2832" s="9"/>
      <c r="M2832" s="9"/>
    </row>
    <row r="2833" spans="9:13" x14ac:dyDescent="0.3">
      <c r="I2833" s="7"/>
      <c r="J2833" s="9"/>
      <c r="K2833" s="9"/>
      <c r="L2833" s="9"/>
      <c r="M2833" s="9"/>
    </row>
    <row r="2834" spans="9:13" x14ac:dyDescent="0.3">
      <c r="I2834" s="7"/>
      <c r="J2834" s="9"/>
      <c r="K2834" s="9"/>
      <c r="L2834" s="9"/>
      <c r="M2834" s="9"/>
    </row>
    <row r="2835" spans="9:13" x14ac:dyDescent="0.3">
      <c r="I2835" s="7"/>
      <c r="J2835" s="9"/>
      <c r="K2835" s="9"/>
      <c r="L2835" s="9"/>
      <c r="M2835" s="9"/>
    </row>
    <row r="2836" spans="9:13" x14ac:dyDescent="0.3">
      <c r="I2836" s="7"/>
      <c r="J2836" s="9"/>
      <c r="K2836" s="9"/>
      <c r="L2836" s="9"/>
      <c r="M2836" s="9"/>
    </row>
    <row r="2837" spans="9:13" x14ac:dyDescent="0.3">
      <c r="I2837" s="7"/>
      <c r="J2837" s="9"/>
      <c r="K2837" s="9"/>
      <c r="L2837" s="9"/>
      <c r="M2837" s="9"/>
    </row>
    <row r="2838" spans="9:13" x14ac:dyDescent="0.3">
      <c r="I2838" s="7"/>
      <c r="J2838" s="9"/>
      <c r="K2838" s="9"/>
      <c r="L2838" s="9"/>
      <c r="M2838" s="9"/>
    </row>
    <row r="2839" spans="9:13" x14ac:dyDescent="0.3">
      <c r="I2839" s="7"/>
      <c r="J2839" s="9"/>
      <c r="K2839" s="9"/>
      <c r="L2839" s="9"/>
      <c r="M2839" s="9"/>
    </row>
    <row r="2840" spans="9:13" x14ac:dyDescent="0.3">
      <c r="I2840" s="7"/>
      <c r="J2840" s="9"/>
      <c r="K2840" s="9"/>
      <c r="L2840" s="9"/>
      <c r="M2840" s="9"/>
    </row>
    <row r="2841" spans="9:13" x14ac:dyDescent="0.3">
      <c r="I2841" s="7"/>
      <c r="J2841" s="9"/>
      <c r="K2841" s="9"/>
      <c r="L2841" s="9"/>
      <c r="M2841" s="9"/>
    </row>
    <row r="2842" spans="9:13" x14ac:dyDescent="0.3">
      <c r="I2842" s="7"/>
      <c r="J2842" s="9"/>
      <c r="K2842" s="9"/>
      <c r="L2842" s="9"/>
      <c r="M2842" s="9"/>
    </row>
    <row r="2843" spans="9:13" x14ac:dyDescent="0.3">
      <c r="I2843" s="7"/>
      <c r="J2843" s="9"/>
      <c r="K2843" s="9"/>
      <c r="L2843" s="9"/>
      <c r="M2843" s="9"/>
    </row>
    <row r="2844" spans="9:13" x14ac:dyDescent="0.3">
      <c r="I2844" s="7"/>
      <c r="J2844" s="9"/>
      <c r="K2844" s="9"/>
      <c r="L2844" s="9"/>
      <c r="M2844" s="9"/>
    </row>
    <row r="2845" spans="9:13" x14ac:dyDescent="0.3">
      <c r="I2845" s="7"/>
      <c r="J2845" s="9"/>
      <c r="K2845" s="9"/>
      <c r="L2845" s="9"/>
      <c r="M2845" s="9"/>
    </row>
    <row r="2846" spans="9:13" x14ac:dyDescent="0.3">
      <c r="I2846" s="7"/>
      <c r="J2846" s="9"/>
      <c r="K2846" s="9"/>
      <c r="L2846" s="9"/>
      <c r="M2846" s="9"/>
    </row>
    <row r="2847" spans="9:13" x14ac:dyDescent="0.3">
      <c r="I2847" s="7"/>
      <c r="J2847" s="9"/>
      <c r="K2847" s="9"/>
      <c r="L2847" s="9"/>
      <c r="M2847" s="9"/>
    </row>
    <row r="2848" spans="9:13" x14ac:dyDescent="0.3">
      <c r="I2848" s="7"/>
      <c r="J2848" s="9"/>
      <c r="K2848" s="9"/>
      <c r="L2848" s="9"/>
      <c r="M2848" s="9"/>
    </row>
    <row r="2849" spans="9:13" x14ac:dyDescent="0.3">
      <c r="I2849" s="7"/>
      <c r="J2849" s="9"/>
      <c r="K2849" s="9"/>
      <c r="L2849" s="9"/>
      <c r="M2849" s="9"/>
    </row>
    <row r="2850" spans="9:13" x14ac:dyDescent="0.3">
      <c r="I2850" s="7"/>
      <c r="J2850" s="9"/>
      <c r="K2850" s="9"/>
      <c r="L2850" s="9"/>
      <c r="M2850" s="9"/>
    </row>
    <row r="2851" spans="9:13" x14ac:dyDescent="0.3">
      <c r="I2851" s="7"/>
      <c r="J2851" s="9"/>
      <c r="K2851" s="9"/>
      <c r="L2851" s="9"/>
      <c r="M2851" s="9"/>
    </row>
    <row r="2852" spans="9:13" x14ac:dyDescent="0.3">
      <c r="I2852" s="7"/>
      <c r="J2852" s="9"/>
      <c r="K2852" s="9"/>
      <c r="L2852" s="9"/>
      <c r="M2852" s="9"/>
    </row>
    <row r="2853" spans="9:13" x14ac:dyDescent="0.3">
      <c r="I2853" s="7"/>
      <c r="J2853" s="9"/>
      <c r="K2853" s="9"/>
      <c r="L2853" s="9"/>
      <c r="M2853" s="9"/>
    </row>
    <row r="2854" spans="9:13" x14ac:dyDescent="0.3">
      <c r="I2854" s="7"/>
      <c r="J2854" s="9"/>
      <c r="K2854" s="9"/>
      <c r="L2854" s="9"/>
      <c r="M2854" s="9"/>
    </row>
    <row r="2855" spans="9:13" x14ac:dyDescent="0.3">
      <c r="I2855" s="7"/>
      <c r="J2855" s="9"/>
      <c r="K2855" s="9"/>
      <c r="L2855" s="9"/>
      <c r="M2855" s="9"/>
    </row>
    <row r="2856" spans="9:13" x14ac:dyDescent="0.3">
      <c r="I2856" s="7"/>
      <c r="J2856" s="9"/>
      <c r="K2856" s="9"/>
      <c r="L2856" s="9"/>
      <c r="M2856" s="9"/>
    </row>
    <row r="2857" spans="9:13" x14ac:dyDescent="0.3">
      <c r="I2857" s="7"/>
      <c r="J2857" s="9"/>
      <c r="K2857" s="9"/>
      <c r="L2857" s="9"/>
      <c r="M2857" s="9"/>
    </row>
    <row r="2858" spans="9:13" x14ac:dyDescent="0.3">
      <c r="I2858" s="7"/>
      <c r="J2858" s="9"/>
      <c r="K2858" s="9"/>
      <c r="L2858" s="9"/>
      <c r="M2858" s="9"/>
    </row>
    <row r="2859" spans="9:13" x14ac:dyDescent="0.3">
      <c r="I2859" s="7"/>
      <c r="J2859" s="9"/>
      <c r="K2859" s="9"/>
      <c r="L2859" s="9"/>
      <c r="M2859" s="9"/>
    </row>
    <row r="2860" spans="9:13" x14ac:dyDescent="0.3">
      <c r="I2860" s="7"/>
      <c r="J2860" s="9"/>
      <c r="K2860" s="9"/>
      <c r="L2860" s="9"/>
      <c r="M2860" s="9"/>
    </row>
    <row r="2861" spans="9:13" x14ac:dyDescent="0.3">
      <c r="I2861" s="7"/>
      <c r="J2861" s="9"/>
      <c r="K2861" s="9"/>
      <c r="L2861" s="9"/>
      <c r="M2861" s="9"/>
    </row>
    <row r="2862" spans="9:13" x14ac:dyDescent="0.3">
      <c r="I2862" s="7"/>
      <c r="J2862" s="9"/>
      <c r="K2862" s="9"/>
      <c r="L2862" s="9"/>
      <c r="M2862" s="9"/>
    </row>
    <row r="2863" spans="9:13" x14ac:dyDescent="0.3">
      <c r="I2863" s="7"/>
      <c r="J2863" s="9"/>
      <c r="K2863" s="9"/>
      <c r="L2863" s="9"/>
      <c r="M2863" s="9"/>
    </row>
    <row r="2864" spans="9:13" x14ac:dyDescent="0.3">
      <c r="I2864" s="7"/>
      <c r="J2864" s="9"/>
      <c r="K2864" s="9"/>
      <c r="L2864" s="9"/>
      <c r="M2864" s="9"/>
    </row>
    <row r="2865" spans="9:13" x14ac:dyDescent="0.3">
      <c r="I2865" s="7"/>
      <c r="J2865" s="9"/>
      <c r="K2865" s="9"/>
      <c r="L2865" s="9"/>
      <c r="M2865" s="9"/>
    </row>
    <row r="2866" spans="9:13" x14ac:dyDescent="0.3">
      <c r="I2866" s="7"/>
      <c r="J2866" s="9"/>
      <c r="K2866" s="9"/>
      <c r="L2866" s="9"/>
      <c r="M2866" s="9"/>
    </row>
    <row r="2867" spans="9:13" x14ac:dyDescent="0.3">
      <c r="I2867" s="7"/>
      <c r="J2867" s="9"/>
      <c r="K2867" s="9"/>
      <c r="L2867" s="9"/>
      <c r="M2867" s="9"/>
    </row>
    <row r="2868" spans="9:13" x14ac:dyDescent="0.3">
      <c r="I2868" s="7"/>
      <c r="J2868" s="9"/>
      <c r="K2868" s="9"/>
      <c r="L2868" s="9"/>
      <c r="M2868" s="9"/>
    </row>
    <row r="2869" spans="9:13" x14ac:dyDescent="0.3">
      <c r="I2869" s="7"/>
      <c r="J2869" s="9"/>
      <c r="K2869" s="9"/>
      <c r="L2869" s="9"/>
      <c r="M2869" s="9"/>
    </row>
    <row r="2870" spans="9:13" x14ac:dyDescent="0.3">
      <c r="I2870" s="7"/>
      <c r="J2870" s="9"/>
      <c r="K2870" s="9"/>
      <c r="L2870" s="9"/>
      <c r="M2870" s="9"/>
    </row>
    <row r="2871" spans="9:13" x14ac:dyDescent="0.3">
      <c r="I2871" s="7"/>
      <c r="J2871" s="9"/>
      <c r="K2871" s="9"/>
      <c r="L2871" s="9"/>
      <c r="M2871" s="9"/>
    </row>
    <row r="2872" spans="9:13" x14ac:dyDescent="0.3">
      <c r="I2872" s="7"/>
      <c r="J2872" s="9"/>
      <c r="K2872" s="9"/>
      <c r="L2872" s="9"/>
      <c r="M2872" s="9"/>
    </row>
    <row r="2873" spans="9:13" x14ac:dyDescent="0.3">
      <c r="I2873" s="7"/>
      <c r="J2873" s="9"/>
      <c r="K2873" s="9"/>
      <c r="L2873" s="9"/>
      <c r="M2873" s="9"/>
    </row>
    <row r="2874" spans="9:13" x14ac:dyDescent="0.3">
      <c r="I2874" s="7"/>
      <c r="J2874" s="9"/>
      <c r="K2874" s="9"/>
      <c r="L2874" s="9"/>
      <c r="M2874" s="9"/>
    </row>
    <row r="2875" spans="9:13" x14ac:dyDescent="0.3">
      <c r="I2875" s="7"/>
      <c r="J2875" s="9"/>
      <c r="K2875" s="9"/>
      <c r="L2875" s="9"/>
      <c r="M2875" s="9"/>
    </row>
    <row r="2876" spans="9:13" x14ac:dyDescent="0.3">
      <c r="I2876" s="7"/>
      <c r="J2876" s="9"/>
      <c r="K2876" s="9"/>
      <c r="L2876" s="9"/>
      <c r="M2876" s="9"/>
    </row>
    <row r="2877" spans="9:13" x14ac:dyDescent="0.3">
      <c r="I2877" s="7"/>
      <c r="J2877" s="9"/>
      <c r="K2877" s="9"/>
      <c r="L2877" s="9"/>
      <c r="M2877" s="9"/>
    </row>
    <row r="2878" spans="9:13" x14ac:dyDescent="0.3">
      <c r="I2878" s="7"/>
      <c r="J2878" s="9"/>
      <c r="K2878" s="9"/>
      <c r="L2878" s="9"/>
      <c r="M2878" s="9"/>
    </row>
    <row r="2879" spans="9:13" x14ac:dyDescent="0.3">
      <c r="I2879" s="7"/>
      <c r="J2879" s="9"/>
      <c r="K2879" s="9"/>
      <c r="L2879" s="9"/>
      <c r="M2879" s="9"/>
    </row>
    <row r="2880" spans="9:13" x14ac:dyDescent="0.3">
      <c r="I2880" s="7"/>
      <c r="J2880" s="9"/>
      <c r="K2880" s="9"/>
      <c r="L2880" s="9"/>
      <c r="M2880" s="9"/>
    </row>
    <row r="2881" spans="9:13" x14ac:dyDescent="0.3">
      <c r="I2881" s="7"/>
      <c r="J2881" s="9"/>
      <c r="K2881" s="9"/>
      <c r="L2881" s="9"/>
      <c r="M2881" s="9"/>
    </row>
    <row r="2882" spans="9:13" x14ac:dyDescent="0.3">
      <c r="I2882" s="7"/>
      <c r="J2882" s="9"/>
      <c r="K2882" s="9"/>
      <c r="L2882" s="9"/>
      <c r="M2882" s="9"/>
    </row>
    <row r="2883" spans="9:13" x14ac:dyDescent="0.3">
      <c r="I2883" s="7"/>
      <c r="J2883" s="9"/>
      <c r="K2883" s="9"/>
      <c r="L2883" s="9"/>
      <c r="M2883" s="9"/>
    </row>
    <row r="2884" spans="9:13" x14ac:dyDescent="0.3">
      <c r="I2884" s="7"/>
      <c r="J2884" s="9"/>
      <c r="K2884" s="9"/>
      <c r="L2884" s="9"/>
      <c r="M2884" s="9"/>
    </row>
    <row r="2885" spans="9:13" x14ac:dyDescent="0.3">
      <c r="I2885" s="7"/>
      <c r="J2885" s="9"/>
      <c r="K2885" s="9"/>
      <c r="L2885" s="9"/>
      <c r="M2885" s="9"/>
    </row>
    <row r="2886" spans="9:13" x14ac:dyDescent="0.3">
      <c r="I2886" s="7"/>
      <c r="J2886" s="9"/>
      <c r="K2886" s="9"/>
      <c r="L2886" s="9"/>
      <c r="M2886" s="9"/>
    </row>
    <row r="2887" spans="9:13" x14ac:dyDescent="0.3">
      <c r="I2887" s="7"/>
      <c r="J2887" s="9"/>
      <c r="K2887" s="9"/>
      <c r="L2887" s="9"/>
      <c r="M2887" s="9"/>
    </row>
    <row r="2888" spans="9:13" x14ac:dyDescent="0.3">
      <c r="I2888" s="7"/>
      <c r="J2888" s="9"/>
      <c r="K2888" s="9"/>
      <c r="L2888" s="9"/>
      <c r="M2888" s="9"/>
    </row>
    <row r="2889" spans="9:13" x14ac:dyDescent="0.3">
      <c r="I2889" s="7"/>
      <c r="J2889" s="9"/>
      <c r="K2889" s="9"/>
      <c r="L2889" s="9"/>
      <c r="M2889" s="9"/>
    </row>
    <row r="2890" spans="9:13" x14ac:dyDescent="0.3">
      <c r="I2890" s="7"/>
      <c r="J2890" s="9"/>
      <c r="K2890" s="9"/>
      <c r="L2890" s="9"/>
      <c r="M2890" s="9"/>
    </row>
    <row r="2891" spans="9:13" x14ac:dyDescent="0.3">
      <c r="I2891" s="7"/>
      <c r="J2891" s="9"/>
      <c r="K2891" s="9"/>
      <c r="L2891" s="9"/>
      <c r="M2891" s="9"/>
    </row>
    <row r="2892" spans="9:13" x14ac:dyDescent="0.3">
      <c r="I2892" s="7"/>
      <c r="J2892" s="9"/>
      <c r="K2892" s="9"/>
      <c r="L2892" s="9"/>
      <c r="M2892" s="9"/>
    </row>
    <row r="2893" spans="9:13" x14ac:dyDescent="0.3">
      <c r="I2893" s="7"/>
      <c r="J2893" s="9"/>
      <c r="K2893" s="9"/>
      <c r="L2893" s="9"/>
      <c r="M2893" s="9"/>
    </row>
    <row r="2894" spans="9:13" x14ac:dyDescent="0.3">
      <c r="I2894" s="7"/>
      <c r="J2894" s="9"/>
      <c r="K2894" s="9"/>
      <c r="L2894" s="9"/>
      <c r="M2894" s="9"/>
    </row>
    <row r="2895" spans="9:13" x14ac:dyDescent="0.3">
      <c r="I2895" s="7"/>
      <c r="J2895" s="9"/>
      <c r="K2895" s="9"/>
      <c r="L2895" s="9"/>
      <c r="M2895" s="9"/>
    </row>
    <row r="2896" spans="9:13" x14ac:dyDescent="0.3">
      <c r="I2896" s="7"/>
      <c r="J2896" s="9"/>
      <c r="K2896" s="9"/>
      <c r="L2896" s="9"/>
      <c r="M2896" s="9"/>
    </row>
    <row r="2897" spans="9:13" x14ac:dyDescent="0.3">
      <c r="I2897" s="7"/>
      <c r="J2897" s="9"/>
      <c r="K2897" s="9"/>
      <c r="L2897" s="9"/>
      <c r="M2897" s="9"/>
    </row>
    <row r="2898" spans="9:13" x14ac:dyDescent="0.3">
      <c r="I2898" s="7"/>
      <c r="J2898" s="9"/>
      <c r="K2898" s="9"/>
      <c r="L2898" s="9"/>
      <c r="M2898" s="9"/>
    </row>
    <row r="2899" spans="9:13" x14ac:dyDescent="0.3">
      <c r="I2899" s="7"/>
      <c r="J2899" s="9"/>
      <c r="K2899" s="9"/>
      <c r="L2899" s="9"/>
      <c r="M2899" s="9"/>
    </row>
    <row r="2900" spans="9:13" x14ac:dyDescent="0.3">
      <c r="I2900" s="7"/>
      <c r="J2900" s="9"/>
      <c r="K2900" s="9"/>
      <c r="L2900" s="9"/>
      <c r="M2900" s="9"/>
    </row>
    <row r="2901" spans="9:13" x14ac:dyDescent="0.3">
      <c r="I2901" s="7"/>
      <c r="J2901" s="9"/>
      <c r="K2901" s="9"/>
      <c r="L2901" s="9"/>
      <c r="M2901" s="9"/>
    </row>
    <row r="2902" spans="9:13" x14ac:dyDescent="0.3">
      <c r="I2902" s="7"/>
      <c r="J2902" s="9"/>
      <c r="K2902" s="9"/>
      <c r="L2902" s="9"/>
      <c r="M2902" s="9"/>
    </row>
    <row r="2903" spans="9:13" x14ac:dyDescent="0.3">
      <c r="I2903" s="7"/>
      <c r="J2903" s="9"/>
      <c r="K2903" s="9"/>
      <c r="L2903" s="9"/>
      <c r="M2903" s="9"/>
    </row>
    <row r="2904" spans="9:13" x14ac:dyDescent="0.3">
      <c r="I2904" s="7"/>
      <c r="J2904" s="9"/>
      <c r="K2904" s="9"/>
      <c r="L2904" s="9"/>
      <c r="M2904" s="9"/>
    </row>
    <row r="2905" spans="9:13" x14ac:dyDescent="0.3">
      <c r="I2905" s="7"/>
      <c r="J2905" s="9"/>
      <c r="K2905" s="9"/>
      <c r="L2905" s="9"/>
      <c r="M2905" s="9"/>
    </row>
    <row r="2906" spans="9:13" x14ac:dyDescent="0.3">
      <c r="I2906" s="7"/>
      <c r="J2906" s="9"/>
      <c r="K2906" s="9"/>
      <c r="L2906" s="9"/>
      <c r="M2906" s="9"/>
    </row>
    <row r="2907" spans="9:13" x14ac:dyDescent="0.3">
      <c r="I2907" s="7"/>
      <c r="J2907" s="9"/>
      <c r="K2907" s="9"/>
      <c r="L2907" s="9"/>
      <c r="M2907" s="9"/>
    </row>
    <row r="2908" spans="9:13" x14ac:dyDescent="0.3">
      <c r="I2908" s="7"/>
      <c r="J2908" s="9"/>
      <c r="K2908" s="9"/>
      <c r="L2908" s="9"/>
      <c r="M2908" s="9"/>
    </row>
    <row r="2909" spans="9:13" x14ac:dyDescent="0.3">
      <c r="I2909" s="7"/>
      <c r="J2909" s="9"/>
      <c r="K2909" s="9"/>
      <c r="L2909" s="9"/>
      <c r="M2909" s="9"/>
    </row>
    <row r="2910" spans="9:13" x14ac:dyDescent="0.3">
      <c r="I2910" s="7"/>
      <c r="J2910" s="9"/>
      <c r="K2910" s="9"/>
      <c r="L2910" s="9"/>
      <c r="M2910" s="9"/>
    </row>
    <row r="2911" spans="9:13" x14ac:dyDescent="0.3">
      <c r="I2911" s="7"/>
      <c r="J2911" s="9"/>
      <c r="K2911" s="9"/>
      <c r="L2911" s="9"/>
      <c r="M2911" s="9"/>
    </row>
    <row r="2912" spans="9:13" x14ac:dyDescent="0.3">
      <c r="I2912" s="7"/>
      <c r="J2912" s="9"/>
      <c r="K2912" s="9"/>
      <c r="L2912" s="9"/>
      <c r="M2912" s="9"/>
    </row>
    <row r="2913" spans="9:13" x14ac:dyDescent="0.3">
      <c r="I2913" s="7"/>
      <c r="J2913" s="9"/>
      <c r="K2913" s="9"/>
      <c r="L2913" s="9"/>
      <c r="M2913" s="9"/>
    </row>
    <row r="2914" spans="9:13" x14ac:dyDescent="0.3">
      <c r="I2914" s="7"/>
      <c r="J2914" s="9"/>
      <c r="K2914" s="9"/>
      <c r="L2914" s="9"/>
      <c r="M2914" s="9"/>
    </row>
    <row r="2915" spans="9:13" x14ac:dyDescent="0.3">
      <c r="I2915" s="7"/>
      <c r="J2915" s="9"/>
      <c r="K2915" s="9"/>
      <c r="L2915" s="9"/>
      <c r="M2915" s="9"/>
    </row>
    <row r="2916" spans="9:13" x14ac:dyDescent="0.3">
      <c r="I2916" s="7"/>
      <c r="J2916" s="9"/>
      <c r="K2916" s="9"/>
      <c r="L2916" s="9"/>
      <c r="M2916" s="9"/>
    </row>
    <row r="2917" spans="9:13" x14ac:dyDescent="0.3">
      <c r="I2917" s="7"/>
      <c r="J2917" s="9"/>
      <c r="K2917" s="9"/>
      <c r="L2917" s="9"/>
      <c r="M2917" s="9"/>
    </row>
    <row r="2918" spans="9:13" x14ac:dyDescent="0.3">
      <c r="I2918" s="7"/>
      <c r="J2918" s="9"/>
      <c r="K2918" s="9"/>
      <c r="L2918" s="9"/>
      <c r="M2918" s="9"/>
    </row>
    <row r="2919" spans="9:13" x14ac:dyDescent="0.3">
      <c r="I2919" s="7"/>
      <c r="J2919" s="9"/>
      <c r="K2919" s="9"/>
      <c r="L2919" s="9"/>
      <c r="M2919" s="9"/>
    </row>
    <row r="2920" spans="9:13" x14ac:dyDescent="0.3">
      <c r="I2920" s="7"/>
      <c r="J2920" s="9"/>
      <c r="K2920" s="9"/>
      <c r="L2920" s="9"/>
      <c r="M2920" s="9"/>
    </row>
    <row r="2921" spans="9:13" x14ac:dyDescent="0.3">
      <c r="I2921" s="7"/>
      <c r="J2921" s="9"/>
      <c r="K2921" s="9"/>
      <c r="L2921" s="9"/>
      <c r="M2921" s="9"/>
    </row>
    <row r="2922" spans="9:13" x14ac:dyDescent="0.3">
      <c r="I2922" s="7"/>
      <c r="J2922" s="9"/>
      <c r="K2922" s="9"/>
      <c r="L2922" s="9"/>
      <c r="M2922" s="9"/>
    </row>
    <row r="2923" spans="9:13" x14ac:dyDescent="0.3">
      <c r="I2923" s="7"/>
      <c r="J2923" s="9"/>
      <c r="K2923" s="9"/>
      <c r="L2923" s="9"/>
      <c r="M2923" s="9"/>
    </row>
    <row r="2924" spans="9:13" x14ac:dyDescent="0.3">
      <c r="I2924" s="7"/>
      <c r="J2924" s="9"/>
      <c r="K2924" s="9"/>
      <c r="L2924" s="9"/>
      <c r="M2924" s="9"/>
    </row>
    <row r="2925" spans="9:13" x14ac:dyDescent="0.3">
      <c r="I2925" s="7"/>
      <c r="J2925" s="9"/>
      <c r="K2925" s="9"/>
      <c r="L2925" s="9"/>
      <c r="M2925" s="9"/>
    </row>
    <row r="2926" spans="9:13" x14ac:dyDescent="0.3">
      <c r="I2926" s="7"/>
      <c r="J2926" s="9"/>
      <c r="K2926" s="9"/>
      <c r="L2926" s="9"/>
      <c r="M2926" s="9"/>
    </row>
    <row r="2927" spans="9:13" x14ac:dyDescent="0.3">
      <c r="I2927" s="7"/>
      <c r="J2927" s="9"/>
      <c r="K2927" s="9"/>
      <c r="L2927" s="9"/>
      <c r="M2927" s="9"/>
    </row>
    <row r="2928" spans="9:13" x14ac:dyDescent="0.3">
      <c r="I2928" s="7"/>
      <c r="J2928" s="9"/>
      <c r="K2928" s="9"/>
      <c r="L2928" s="9"/>
      <c r="M2928" s="9"/>
    </row>
    <row r="2929" spans="9:13" x14ac:dyDescent="0.3">
      <c r="I2929" s="7"/>
      <c r="J2929" s="9"/>
      <c r="K2929" s="9"/>
      <c r="L2929" s="9"/>
      <c r="M2929" s="9"/>
    </row>
    <row r="2930" spans="9:13" x14ac:dyDescent="0.3">
      <c r="I2930" s="7"/>
      <c r="J2930" s="9"/>
      <c r="K2930" s="9"/>
      <c r="L2930" s="9"/>
      <c r="M2930" s="9"/>
    </row>
    <row r="2931" spans="9:13" x14ac:dyDescent="0.3">
      <c r="I2931" s="7"/>
      <c r="J2931" s="9"/>
      <c r="K2931" s="9"/>
      <c r="L2931" s="9"/>
      <c r="M2931" s="9"/>
    </row>
    <row r="2932" spans="9:13" x14ac:dyDescent="0.3">
      <c r="I2932" s="7"/>
      <c r="J2932" s="9"/>
      <c r="K2932" s="9"/>
      <c r="L2932" s="9"/>
      <c r="M2932" s="9"/>
    </row>
    <row r="2933" spans="9:13" x14ac:dyDescent="0.3">
      <c r="I2933" s="7"/>
      <c r="J2933" s="9"/>
      <c r="K2933" s="9"/>
      <c r="L2933" s="9"/>
      <c r="M2933" s="9"/>
    </row>
    <row r="2934" spans="9:13" x14ac:dyDescent="0.3">
      <c r="I2934" s="7"/>
      <c r="J2934" s="9"/>
      <c r="K2934" s="9"/>
      <c r="L2934" s="9"/>
      <c r="M2934" s="9"/>
    </row>
    <row r="2935" spans="9:13" x14ac:dyDescent="0.3">
      <c r="I2935" s="7"/>
      <c r="J2935" s="9"/>
      <c r="K2935" s="9"/>
      <c r="L2935" s="9"/>
      <c r="M2935" s="9"/>
    </row>
    <row r="2936" spans="9:13" x14ac:dyDescent="0.3">
      <c r="I2936" s="7"/>
      <c r="J2936" s="9"/>
      <c r="K2936" s="9"/>
      <c r="L2936" s="9"/>
      <c r="M2936" s="9"/>
    </row>
    <row r="2937" spans="9:13" x14ac:dyDescent="0.3">
      <c r="I2937" s="7"/>
      <c r="J2937" s="9"/>
      <c r="K2937" s="9"/>
      <c r="L2937" s="9"/>
      <c r="M2937" s="9"/>
    </row>
    <row r="2938" spans="9:13" x14ac:dyDescent="0.3">
      <c r="I2938" s="7"/>
      <c r="J2938" s="9"/>
      <c r="K2938" s="9"/>
      <c r="L2938" s="9"/>
      <c r="M2938" s="9"/>
    </row>
    <row r="2939" spans="9:13" x14ac:dyDescent="0.3">
      <c r="I2939" s="7"/>
      <c r="J2939" s="9"/>
      <c r="K2939" s="9"/>
      <c r="L2939" s="9"/>
      <c r="M2939" s="9"/>
    </row>
    <row r="2940" spans="9:13" x14ac:dyDescent="0.3">
      <c r="I2940" s="7"/>
      <c r="J2940" s="9"/>
      <c r="K2940" s="9"/>
      <c r="L2940" s="9"/>
      <c r="M2940" s="9"/>
    </row>
    <row r="2941" spans="9:13" x14ac:dyDescent="0.3">
      <c r="I2941" s="7"/>
      <c r="J2941" s="9"/>
      <c r="K2941" s="9"/>
      <c r="L2941" s="9"/>
      <c r="M2941" s="9"/>
    </row>
    <row r="2942" spans="9:13" x14ac:dyDescent="0.3">
      <c r="I2942" s="7"/>
      <c r="J2942" s="9"/>
      <c r="K2942" s="9"/>
      <c r="L2942" s="9"/>
      <c r="M2942" s="9"/>
    </row>
    <row r="2943" spans="9:13" x14ac:dyDescent="0.3">
      <c r="I2943" s="7"/>
      <c r="J2943" s="9"/>
      <c r="K2943" s="9"/>
      <c r="L2943" s="9"/>
      <c r="M2943" s="9"/>
    </row>
    <row r="2944" spans="9:13" x14ac:dyDescent="0.3">
      <c r="I2944" s="7"/>
      <c r="J2944" s="9"/>
      <c r="K2944" s="9"/>
      <c r="L2944" s="9"/>
      <c r="M2944" s="9"/>
    </row>
    <row r="2945" spans="9:13" x14ac:dyDescent="0.3">
      <c r="I2945" s="7"/>
      <c r="J2945" s="9"/>
      <c r="K2945" s="9"/>
      <c r="L2945" s="9"/>
      <c r="M2945" s="9"/>
    </row>
    <row r="2946" spans="9:13" x14ac:dyDescent="0.3">
      <c r="I2946" s="7"/>
      <c r="J2946" s="9"/>
      <c r="K2946" s="9"/>
      <c r="L2946" s="9"/>
      <c r="M2946" s="9"/>
    </row>
    <row r="2947" spans="9:13" x14ac:dyDescent="0.3">
      <c r="I2947" s="7"/>
      <c r="J2947" s="9"/>
      <c r="K2947" s="9"/>
      <c r="L2947" s="9"/>
      <c r="M2947" s="9"/>
    </row>
    <row r="2948" spans="9:13" x14ac:dyDescent="0.3">
      <c r="I2948" s="7"/>
      <c r="J2948" s="9"/>
      <c r="K2948" s="9"/>
      <c r="L2948" s="9"/>
      <c r="M2948" s="9"/>
    </row>
    <row r="2949" spans="9:13" x14ac:dyDescent="0.3">
      <c r="I2949" s="7"/>
      <c r="J2949" s="9"/>
      <c r="K2949" s="9"/>
      <c r="L2949" s="9"/>
      <c r="M2949" s="9"/>
    </row>
    <row r="2950" spans="9:13" x14ac:dyDescent="0.3">
      <c r="I2950" s="7"/>
      <c r="J2950" s="9"/>
      <c r="K2950" s="9"/>
      <c r="L2950" s="9"/>
      <c r="M2950" s="9"/>
    </row>
    <row r="2951" spans="9:13" x14ac:dyDescent="0.3">
      <c r="I2951" s="7"/>
      <c r="J2951" s="9"/>
      <c r="K2951" s="9"/>
      <c r="L2951" s="9"/>
      <c r="M2951" s="9"/>
    </row>
    <row r="2952" spans="9:13" x14ac:dyDescent="0.3">
      <c r="I2952" s="7"/>
      <c r="J2952" s="9"/>
      <c r="K2952" s="9"/>
      <c r="L2952" s="9"/>
      <c r="M2952" s="9"/>
    </row>
    <row r="2953" spans="9:13" x14ac:dyDescent="0.3">
      <c r="I2953" s="7"/>
      <c r="J2953" s="9"/>
      <c r="K2953" s="9"/>
      <c r="L2953" s="9"/>
      <c r="M2953" s="9"/>
    </row>
    <row r="2954" spans="9:13" x14ac:dyDescent="0.3">
      <c r="I2954" s="7"/>
      <c r="J2954" s="9"/>
      <c r="K2954" s="9"/>
      <c r="L2954" s="9"/>
      <c r="M2954" s="9"/>
    </row>
    <row r="2955" spans="9:13" x14ac:dyDescent="0.3">
      <c r="I2955" s="7"/>
      <c r="J2955" s="9"/>
      <c r="K2955" s="9"/>
      <c r="L2955" s="9"/>
      <c r="M2955" s="9"/>
    </row>
    <row r="2956" spans="9:13" x14ac:dyDescent="0.3">
      <c r="I2956" s="7"/>
      <c r="J2956" s="9"/>
      <c r="K2956" s="9"/>
      <c r="L2956" s="9"/>
      <c r="M2956" s="9"/>
    </row>
    <row r="2957" spans="9:13" x14ac:dyDescent="0.3">
      <c r="I2957" s="7"/>
      <c r="J2957" s="9"/>
      <c r="K2957" s="9"/>
      <c r="L2957" s="9"/>
      <c r="M2957" s="9"/>
    </row>
    <row r="2958" spans="9:13" x14ac:dyDescent="0.3">
      <c r="I2958" s="7"/>
      <c r="J2958" s="9"/>
      <c r="K2958" s="9"/>
      <c r="L2958" s="9"/>
      <c r="M2958" s="9"/>
    </row>
    <row r="2959" spans="9:13" x14ac:dyDescent="0.3">
      <c r="I2959" s="7"/>
      <c r="J2959" s="9"/>
      <c r="K2959" s="9"/>
      <c r="L2959" s="9"/>
      <c r="M2959" s="9"/>
    </row>
    <row r="2960" spans="9:13" x14ac:dyDescent="0.3">
      <c r="I2960" s="7"/>
      <c r="J2960" s="9"/>
      <c r="K2960" s="9"/>
      <c r="L2960" s="9"/>
      <c r="M2960" s="9"/>
    </row>
    <row r="2961" spans="9:13" x14ac:dyDescent="0.3">
      <c r="I2961" s="7"/>
      <c r="J2961" s="9"/>
      <c r="K2961" s="9"/>
      <c r="L2961" s="9"/>
      <c r="M2961" s="9"/>
    </row>
    <row r="2962" spans="9:13" x14ac:dyDescent="0.3">
      <c r="I2962" s="7"/>
      <c r="J2962" s="9"/>
      <c r="K2962" s="9"/>
      <c r="L2962" s="9"/>
      <c r="M2962" s="9"/>
    </row>
    <row r="2963" spans="9:13" x14ac:dyDescent="0.3">
      <c r="I2963" s="7"/>
      <c r="J2963" s="9"/>
      <c r="K2963" s="9"/>
      <c r="L2963" s="9"/>
      <c r="M2963" s="9"/>
    </row>
    <row r="2964" spans="9:13" x14ac:dyDescent="0.3">
      <c r="I2964" s="7"/>
      <c r="J2964" s="9"/>
      <c r="K2964" s="9"/>
      <c r="L2964" s="9"/>
      <c r="M2964" s="9"/>
    </row>
    <row r="2965" spans="9:13" x14ac:dyDescent="0.3">
      <c r="I2965" s="7"/>
      <c r="J2965" s="9"/>
      <c r="K2965" s="9"/>
      <c r="L2965" s="9"/>
      <c r="M2965" s="9"/>
    </row>
    <row r="2966" spans="9:13" x14ac:dyDescent="0.3">
      <c r="I2966" s="7"/>
      <c r="J2966" s="9"/>
      <c r="K2966" s="9"/>
      <c r="L2966" s="9"/>
      <c r="M2966" s="9"/>
    </row>
    <row r="2967" spans="9:13" x14ac:dyDescent="0.3">
      <c r="I2967" s="7"/>
      <c r="J2967" s="9"/>
      <c r="K2967" s="9"/>
      <c r="L2967" s="9"/>
      <c r="M2967" s="9"/>
    </row>
    <row r="2968" spans="9:13" x14ac:dyDescent="0.3">
      <c r="I2968" s="7"/>
      <c r="J2968" s="9"/>
      <c r="K2968" s="9"/>
      <c r="L2968" s="9"/>
      <c r="M2968" s="9"/>
    </row>
    <row r="2969" spans="9:13" x14ac:dyDescent="0.3">
      <c r="I2969" s="7"/>
      <c r="J2969" s="9"/>
      <c r="K2969" s="9"/>
      <c r="L2969" s="9"/>
      <c r="M2969" s="9"/>
    </row>
    <row r="2970" spans="9:13" x14ac:dyDescent="0.3">
      <c r="I2970" s="7"/>
      <c r="J2970" s="9"/>
      <c r="K2970" s="9"/>
      <c r="L2970" s="9"/>
      <c r="M2970" s="9"/>
    </row>
    <row r="2971" spans="9:13" x14ac:dyDescent="0.3">
      <c r="I2971" s="7"/>
      <c r="J2971" s="9"/>
      <c r="K2971" s="9"/>
      <c r="L2971" s="9"/>
      <c r="M2971" s="9"/>
    </row>
    <row r="2972" spans="9:13" x14ac:dyDescent="0.3">
      <c r="I2972" s="7"/>
      <c r="J2972" s="9"/>
      <c r="K2972" s="9"/>
      <c r="L2972" s="9"/>
      <c r="M2972" s="9"/>
    </row>
    <row r="2973" spans="9:13" x14ac:dyDescent="0.3">
      <c r="I2973" s="7"/>
      <c r="J2973" s="9"/>
      <c r="K2973" s="9"/>
      <c r="L2973" s="9"/>
      <c r="M2973" s="9"/>
    </row>
    <row r="2974" spans="9:13" x14ac:dyDescent="0.3">
      <c r="I2974" s="7"/>
      <c r="J2974" s="9"/>
      <c r="K2974" s="9"/>
      <c r="L2974" s="9"/>
      <c r="M2974" s="9"/>
    </row>
    <row r="2975" spans="9:13" x14ac:dyDescent="0.3">
      <c r="I2975" s="7"/>
      <c r="J2975" s="9"/>
      <c r="K2975" s="9"/>
      <c r="L2975" s="9"/>
      <c r="M2975" s="9"/>
    </row>
    <row r="2976" spans="9:13" x14ac:dyDescent="0.3">
      <c r="I2976" s="7"/>
      <c r="J2976" s="9"/>
      <c r="K2976" s="9"/>
      <c r="L2976" s="9"/>
      <c r="M2976" s="9"/>
    </row>
    <row r="2977" spans="9:13" x14ac:dyDescent="0.3">
      <c r="I2977" s="7"/>
      <c r="J2977" s="9"/>
      <c r="K2977" s="9"/>
      <c r="L2977" s="9"/>
      <c r="M2977" s="9"/>
    </row>
    <row r="2978" spans="9:13" x14ac:dyDescent="0.3">
      <c r="I2978" s="7"/>
      <c r="J2978" s="9"/>
      <c r="K2978" s="9"/>
      <c r="L2978" s="9"/>
      <c r="M2978" s="9"/>
    </row>
    <row r="2979" spans="9:13" x14ac:dyDescent="0.3">
      <c r="I2979" s="7"/>
      <c r="J2979" s="9"/>
      <c r="K2979" s="9"/>
      <c r="L2979" s="9"/>
      <c r="M2979" s="9"/>
    </row>
    <row r="2980" spans="9:13" x14ac:dyDescent="0.3">
      <c r="I2980" s="7"/>
      <c r="J2980" s="9"/>
      <c r="K2980" s="9"/>
      <c r="L2980" s="9"/>
      <c r="M2980" s="9"/>
    </row>
    <row r="2981" spans="9:13" x14ac:dyDescent="0.3">
      <c r="I2981" s="7"/>
      <c r="J2981" s="9"/>
      <c r="K2981" s="9"/>
      <c r="L2981" s="9"/>
      <c r="M2981" s="9"/>
    </row>
    <row r="2982" spans="9:13" x14ac:dyDescent="0.3">
      <c r="I2982" s="7"/>
      <c r="J2982" s="9"/>
      <c r="K2982" s="9"/>
      <c r="L2982" s="9"/>
      <c r="M2982" s="9"/>
    </row>
    <row r="2983" spans="9:13" x14ac:dyDescent="0.3">
      <c r="I2983" s="7"/>
      <c r="J2983" s="9"/>
      <c r="K2983" s="9"/>
      <c r="L2983" s="9"/>
      <c r="M2983" s="9"/>
    </row>
    <row r="2984" spans="9:13" x14ac:dyDescent="0.3">
      <c r="I2984" s="7"/>
      <c r="J2984" s="9"/>
      <c r="K2984" s="9"/>
      <c r="L2984" s="9"/>
      <c r="M2984" s="9"/>
    </row>
    <row r="2985" spans="9:13" x14ac:dyDescent="0.3">
      <c r="I2985" s="7"/>
      <c r="J2985" s="9"/>
      <c r="K2985" s="9"/>
      <c r="L2985" s="9"/>
      <c r="M2985" s="9"/>
    </row>
    <row r="2986" spans="9:13" x14ac:dyDescent="0.3">
      <c r="I2986" s="7"/>
      <c r="J2986" s="9"/>
      <c r="K2986" s="9"/>
      <c r="L2986" s="9"/>
      <c r="M2986" s="9"/>
    </row>
    <row r="2987" spans="9:13" x14ac:dyDescent="0.3">
      <c r="I2987" s="7"/>
      <c r="J2987" s="9"/>
      <c r="K2987" s="9"/>
      <c r="L2987" s="9"/>
      <c r="M2987" s="9"/>
    </row>
    <row r="2988" spans="9:13" x14ac:dyDescent="0.3">
      <c r="I2988" s="7"/>
      <c r="J2988" s="9"/>
      <c r="K2988" s="9"/>
      <c r="L2988" s="9"/>
      <c r="M2988" s="9"/>
    </row>
    <row r="2989" spans="9:13" x14ac:dyDescent="0.3">
      <c r="I2989" s="7"/>
      <c r="J2989" s="9"/>
      <c r="K2989" s="9"/>
      <c r="L2989" s="9"/>
      <c r="M2989" s="9"/>
    </row>
    <row r="2990" spans="9:13" x14ac:dyDescent="0.3">
      <c r="I2990" s="7"/>
      <c r="J2990" s="9"/>
      <c r="K2990" s="9"/>
      <c r="L2990" s="9"/>
      <c r="M2990" s="9"/>
    </row>
    <row r="2991" spans="9:13" x14ac:dyDescent="0.3">
      <c r="I2991" s="7"/>
      <c r="J2991" s="9"/>
      <c r="K2991" s="9"/>
      <c r="L2991" s="9"/>
      <c r="M2991" s="9"/>
    </row>
    <row r="2992" spans="9:13" x14ac:dyDescent="0.3">
      <c r="I2992" s="7"/>
      <c r="J2992" s="9"/>
      <c r="K2992" s="9"/>
      <c r="L2992" s="9"/>
      <c r="M2992" s="9"/>
    </row>
    <row r="2993" spans="9:13" x14ac:dyDescent="0.3">
      <c r="I2993" s="7"/>
      <c r="J2993" s="9"/>
      <c r="K2993" s="9"/>
      <c r="L2993" s="9"/>
      <c r="M2993" s="9"/>
    </row>
    <row r="2994" spans="9:13" x14ac:dyDescent="0.3">
      <c r="I2994" s="7"/>
      <c r="J2994" s="9"/>
      <c r="K2994" s="9"/>
      <c r="L2994" s="9"/>
      <c r="M2994" s="9"/>
    </row>
    <row r="2995" spans="9:13" x14ac:dyDescent="0.3">
      <c r="I2995" s="7"/>
      <c r="J2995" s="9"/>
      <c r="K2995" s="9"/>
      <c r="L2995" s="9"/>
      <c r="M2995" s="9"/>
    </row>
    <row r="2996" spans="9:13" x14ac:dyDescent="0.3">
      <c r="I2996" s="7"/>
      <c r="J2996" s="9"/>
      <c r="K2996" s="9"/>
      <c r="L2996" s="9"/>
      <c r="M2996" s="9"/>
    </row>
    <row r="2997" spans="9:13" x14ac:dyDescent="0.3">
      <c r="I2997" s="7"/>
      <c r="J2997" s="9"/>
      <c r="K2997" s="9"/>
      <c r="L2997" s="9"/>
      <c r="M2997" s="9"/>
    </row>
    <row r="2998" spans="9:13" x14ac:dyDescent="0.3">
      <c r="I2998" s="7"/>
      <c r="J2998" s="9"/>
      <c r="K2998" s="9"/>
      <c r="L2998" s="9"/>
      <c r="M2998" s="9"/>
    </row>
    <row r="2999" spans="9:13" x14ac:dyDescent="0.3">
      <c r="I2999" s="7"/>
      <c r="J2999" s="9"/>
      <c r="K2999" s="9"/>
      <c r="L2999" s="9"/>
      <c r="M2999" s="9"/>
    </row>
    <row r="3000" spans="9:13" x14ac:dyDescent="0.3">
      <c r="I3000" s="7"/>
      <c r="J3000" s="9"/>
      <c r="K3000" s="9"/>
      <c r="L3000" s="9"/>
      <c r="M3000" s="9"/>
    </row>
    <row r="3001" spans="9:13" x14ac:dyDescent="0.3">
      <c r="I3001" s="7"/>
      <c r="J3001" s="9"/>
      <c r="K3001" s="9"/>
      <c r="L3001" s="9"/>
      <c r="M3001" s="9"/>
    </row>
    <row r="3002" spans="9:13" x14ac:dyDescent="0.3">
      <c r="I3002" s="7"/>
      <c r="J3002" s="9"/>
      <c r="K3002" s="9"/>
      <c r="L3002" s="9"/>
      <c r="M3002" s="9"/>
    </row>
    <row r="3003" spans="9:13" x14ac:dyDescent="0.3">
      <c r="I3003" s="7"/>
      <c r="J3003" s="9"/>
      <c r="K3003" s="9"/>
      <c r="L3003" s="9"/>
      <c r="M3003" s="9"/>
    </row>
    <row r="3004" spans="9:13" x14ac:dyDescent="0.3">
      <c r="I3004" s="7"/>
      <c r="J3004" s="9"/>
      <c r="K3004" s="9"/>
      <c r="L3004" s="9"/>
      <c r="M3004" s="9"/>
    </row>
    <row r="3005" spans="9:13" x14ac:dyDescent="0.3">
      <c r="I3005" s="7"/>
      <c r="J3005" s="9"/>
      <c r="K3005" s="9"/>
      <c r="L3005" s="9"/>
      <c r="M3005" s="9"/>
    </row>
    <row r="3006" spans="9:13" x14ac:dyDescent="0.3">
      <c r="I3006" s="7"/>
      <c r="J3006" s="9"/>
      <c r="K3006" s="9"/>
      <c r="L3006" s="9"/>
      <c r="M3006" s="9"/>
    </row>
    <row r="3007" spans="9:13" x14ac:dyDescent="0.3">
      <c r="I3007" s="7"/>
      <c r="J3007" s="9"/>
      <c r="K3007" s="9"/>
      <c r="L3007" s="9"/>
      <c r="M3007" s="9"/>
    </row>
    <row r="3008" spans="9:13" x14ac:dyDescent="0.3">
      <c r="I3008" s="7"/>
      <c r="J3008" s="9"/>
      <c r="K3008" s="9"/>
      <c r="L3008" s="9"/>
      <c r="M3008" s="9"/>
    </row>
    <row r="3009" spans="9:13" x14ac:dyDescent="0.3">
      <c r="I3009" s="7"/>
      <c r="J3009" s="9"/>
      <c r="K3009" s="9"/>
      <c r="L3009" s="9"/>
      <c r="M3009" s="9"/>
    </row>
    <row r="3010" spans="9:13" x14ac:dyDescent="0.3">
      <c r="I3010" s="7"/>
      <c r="J3010" s="9"/>
      <c r="K3010" s="9"/>
      <c r="L3010" s="9"/>
      <c r="M3010" s="9"/>
    </row>
    <row r="3011" spans="9:13" x14ac:dyDescent="0.3">
      <c r="I3011" s="7"/>
      <c r="J3011" s="9"/>
      <c r="K3011" s="9"/>
      <c r="L3011" s="9"/>
      <c r="M3011" s="9"/>
    </row>
    <row r="3012" spans="9:13" x14ac:dyDescent="0.3">
      <c r="I3012" s="7"/>
      <c r="J3012" s="9"/>
      <c r="K3012" s="9"/>
      <c r="L3012" s="9"/>
      <c r="M3012" s="9"/>
    </row>
    <row r="3013" spans="9:13" x14ac:dyDescent="0.3">
      <c r="I3013" s="7"/>
      <c r="J3013" s="9"/>
      <c r="K3013" s="9"/>
      <c r="L3013" s="9"/>
      <c r="M3013" s="9"/>
    </row>
    <row r="3014" spans="9:13" x14ac:dyDescent="0.3">
      <c r="I3014" s="7"/>
      <c r="J3014" s="9"/>
      <c r="K3014" s="9"/>
      <c r="L3014" s="9"/>
      <c r="M3014" s="9"/>
    </row>
    <row r="3015" spans="9:13" x14ac:dyDescent="0.3">
      <c r="I3015" s="7"/>
      <c r="J3015" s="9"/>
      <c r="K3015" s="9"/>
      <c r="L3015" s="9"/>
      <c r="M3015" s="9"/>
    </row>
    <row r="3016" spans="9:13" x14ac:dyDescent="0.3">
      <c r="I3016" s="7"/>
      <c r="J3016" s="9"/>
      <c r="K3016" s="9"/>
      <c r="L3016" s="9"/>
      <c r="M3016" s="9"/>
    </row>
    <row r="3017" spans="9:13" x14ac:dyDescent="0.3">
      <c r="I3017" s="7"/>
      <c r="J3017" s="9"/>
      <c r="K3017" s="9"/>
      <c r="L3017" s="9"/>
      <c r="M3017" s="9"/>
    </row>
    <row r="3018" spans="9:13" x14ac:dyDescent="0.3">
      <c r="I3018" s="7"/>
      <c r="J3018" s="9"/>
      <c r="K3018" s="9"/>
      <c r="L3018" s="9"/>
      <c r="M3018" s="9"/>
    </row>
    <row r="3019" spans="9:13" x14ac:dyDescent="0.3">
      <c r="I3019" s="7"/>
      <c r="J3019" s="9"/>
      <c r="K3019" s="9"/>
      <c r="L3019" s="9"/>
      <c r="M3019" s="9"/>
    </row>
    <row r="3020" spans="9:13" x14ac:dyDescent="0.3">
      <c r="I3020" s="7"/>
      <c r="J3020" s="9"/>
      <c r="K3020" s="9"/>
      <c r="L3020" s="9"/>
      <c r="M3020" s="9"/>
    </row>
    <row r="3021" spans="9:13" x14ac:dyDescent="0.3">
      <c r="I3021" s="7"/>
      <c r="J3021" s="9"/>
      <c r="K3021" s="9"/>
      <c r="L3021" s="9"/>
      <c r="M3021" s="9"/>
    </row>
    <row r="3022" spans="9:13" x14ac:dyDescent="0.3">
      <c r="I3022" s="7"/>
      <c r="J3022" s="9"/>
      <c r="K3022" s="9"/>
      <c r="L3022" s="9"/>
      <c r="M3022" s="9"/>
    </row>
    <row r="3023" spans="9:13" x14ac:dyDescent="0.3">
      <c r="I3023" s="7"/>
      <c r="J3023" s="9"/>
      <c r="K3023" s="9"/>
      <c r="L3023" s="9"/>
      <c r="M3023" s="9"/>
    </row>
    <row r="3024" spans="9:13" x14ac:dyDescent="0.3">
      <c r="I3024" s="7"/>
      <c r="J3024" s="9"/>
      <c r="K3024" s="9"/>
      <c r="L3024" s="9"/>
      <c r="M3024" s="9"/>
    </row>
    <row r="3025" spans="9:13" x14ac:dyDescent="0.3">
      <c r="I3025" s="7"/>
      <c r="J3025" s="9"/>
      <c r="K3025" s="9"/>
      <c r="L3025" s="9"/>
      <c r="M3025" s="9"/>
    </row>
    <row r="3026" spans="9:13" x14ac:dyDescent="0.3">
      <c r="I3026" s="7"/>
      <c r="J3026" s="9"/>
      <c r="K3026" s="9"/>
      <c r="L3026" s="9"/>
      <c r="M3026" s="9"/>
    </row>
    <row r="3027" spans="9:13" x14ac:dyDescent="0.3">
      <c r="I3027" s="7"/>
      <c r="J3027" s="9"/>
      <c r="K3027" s="9"/>
      <c r="L3027" s="9"/>
      <c r="M3027" s="9"/>
    </row>
    <row r="3028" spans="9:13" x14ac:dyDescent="0.3">
      <c r="I3028" s="7"/>
      <c r="J3028" s="9"/>
      <c r="K3028" s="9"/>
      <c r="L3028" s="9"/>
      <c r="M3028" s="9"/>
    </row>
    <row r="3029" spans="9:13" x14ac:dyDescent="0.3">
      <c r="I3029" s="7"/>
      <c r="J3029" s="9"/>
      <c r="K3029" s="9"/>
      <c r="L3029" s="9"/>
      <c r="M3029" s="9"/>
    </row>
    <row r="3030" spans="9:13" x14ac:dyDescent="0.3">
      <c r="I3030" s="7"/>
      <c r="J3030" s="9"/>
      <c r="K3030" s="9"/>
      <c r="L3030" s="9"/>
      <c r="M3030" s="9"/>
    </row>
    <row r="3031" spans="9:13" x14ac:dyDescent="0.3">
      <c r="I3031" s="7"/>
      <c r="J3031" s="9"/>
      <c r="K3031" s="9"/>
      <c r="L3031" s="9"/>
      <c r="M3031" s="9"/>
    </row>
    <row r="3032" spans="9:13" x14ac:dyDescent="0.3">
      <c r="I3032" s="7"/>
      <c r="J3032" s="9"/>
      <c r="K3032" s="9"/>
      <c r="L3032" s="9"/>
      <c r="M3032" s="9"/>
    </row>
    <row r="3033" spans="9:13" x14ac:dyDescent="0.3">
      <c r="I3033" s="7"/>
      <c r="J3033" s="9"/>
      <c r="K3033" s="9"/>
      <c r="L3033" s="9"/>
      <c r="M3033" s="9"/>
    </row>
    <row r="3034" spans="9:13" x14ac:dyDescent="0.3">
      <c r="I3034" s="7"/>
      <c r="J3034" s="9"/>
      <c r="K3034" s="9"/>
      <c r="L3034" s="9"/>
      <c r="M3034" s="9"/>
    </row>
    <row r="3035" spans="9:13" x14ac:dyDescent="0.3">
      <c r="I3035" s="7"/>
      <c r="J3035" s="9"/>
      <c r="K3035" s="9"/>
      <c r="L3035" s="9"/>
      <c r="M3035" s="9"/>
    </row>
    <row r="3036" spans="9:13" x14ac:dyDescent="0.3">
      <c r="I3036" s="7"/>
      <c r="J3036" s="9"/>
      <c r="K3036" s="9"/>
      <c r="L3036" s="9"/>
      <c r="M3036" s="9"/>
    </row>
    <row r="3037" spans="9:13" x14ac:dyDescent="0.3">
      <c r="I3037" s="7"/>
      <c r="J3037" s="9"/>
      <c r="K3037" s="9"/>
      <c r="L3037" s="9"/>
      <c r="M3037" s="9"/>
    </row>
    <row r="3038" spans="9:13" x14ac:dyDescent="0.3">
      <c r="I3038" s="7"/>
      <c r="J3038" s="9"/>
      <c r="K3038" s="9"/>
      <c r="L3038" s="9"/>
      <c r="M3038" s="9"/>
    </row>
    <row r="3039" spans="9:13" x14ac:dyDescent="0.3">
      <c r="I3039" s="7"/>
      <c r="J3039" s="9"/>
      <c r="K3039" s="9"/>
      <c r="L3039" s="9"/>
      <c r="M3039" s="9"/>
    </row>
    <row r="3040" spans="9:13" x14ac:dyDescent="0.3">
      <c r="I3040" s="7"/>
      <c r="J3040" s="9"/>
      <c r="K3040" s="9"/>
      <c r="L3040" s="9"/>
      <c r="M3040" s="9"/>
    </row>
    <row r="3041" spans="9:13" x14ac:dyDescent="0.3">
      <c r="I3041" s="7"/>
      <c r="J3041" s="9"/>
      <c r="K3041" s="9"/>
      <c r="L3041" s="9"/>
      <c r="M3041" s="9"/>
    </row>
    <row r="3042" spans="9:13" x14ac:dyDescent="0.3">
      <c r="I3042" s="7"/>
      <c r="J3042" s="9"/>
      <c r="K3042" s="9"/>
      <c r="L3042" s="9"/>
      <c r="M3042" s="9"/>
    </row>
    <row r="3043" spans="9:13" x14ac:dyDescent="0.3">
      <c r="I3043" s="7"/>
      <c r="J3043" s="9"/>
      <c r="K3043" s="9"/>
      <c r="L3043" s="9"/>
      <c r="M3043" s="9"/>
    </row>
    <row r="3044" spans="9:13" x14ac:dyDescent="0.3">
      <c r="I3044" s="7"/>
      <c r="J3044" s="9"/>
      <c r="K3044" s="9"/>
      <c r="L3044" s="9"/>
      <c r="M3044" s="9"/>
    </row>
    <row r="3045" spans="9:13" x14ac:dyDescent="0.3">
      <c r="I3045" s="7"/>
      <c r="J3045" s="9"/>
      <c r="K3045" s="9"/>
      <c r="L3045" s="9"/>
      <c r="M3045" s="9"/>
    </row>
    <row r="3046" spans="9:13" x14ac:dyDescent="0.3">
      <c r="I3046" s="7"/>
      <c r="J3046" s="9"/>
      <c r="K3046" s="9"/>
      <c r="L3046" s="9"/>
      <c r="M3046" s="9"/>
    </row>
    <row r="3047" spans="9:13" x14ac:dyDescent="0.3">
      <c r="I3047" s="7"/>
      <c r="J3047" s="9"/>
      <c r="K3047" s="9"/>
      <c r="L3047" s="9"/>
      <c r="M3047" s="9"/>
    </row>
    <row r="3048" spans="9:13" x14ac:dyDescent="0.3">
      <c r="I3048" s="7"/>
      <c r="J3048" s="9"/>
      <c r="K3048" s="9"/>
      <c r="L3048" s="9"/>
      <c r="M3048" s="9"/>
    </row>
    <row r="3049" spans="9:13" x14ac:dyDescent="0.3">
      <c r="I3049" s="7"/>
      <c r="J3049" s="9"/>
      <c r="K3049" s="9"/>
      <c r="L3049" s="9"/>
      <c r="M3049" s="9"/>
    </row>
    <row r="3050" spans="9:13" x14ac:dyDescent="0.3">
      <c r="I3050" s="7"/>
      <c r="J3050" s="9"/>
      <c r="K3050" s="9"/>
      <c r="L3050" s="9"/>
      <c r="M3050" s="9"/>
    </row>
    <row r="3051" spans="9:13" x14ac:dyDescent="0.3">
      <c r="I3051" s="7"/>
      <c r="J3051" s="9"/>
      <c r="K3051" s="9"/>
      <c r="L3051" s="9"/>
      <c r="M3051" s="9"/>
    </row>
    <row r="3052" spans="9:13" x14ac:dyDescent="0.3">
      <c r="I3052" s="7"/>
      <c r="J3052" s="9"/>
      <c r="K3052" s="9"/>
      <c r="L3052" s="9"/>
      <c r="M3052" s="9"/>
    </row>
    <row r="3053" spans="9:13" x14ac:dyDescent="0.3">
      <c r="I3053" s="7"/>
      <c r="J3053" s="9"/>
      <c r="K3053" s="9"/>
      <c r="L3053" s="9"/>
      <c r="M3053" s="9"/>
    </row>
    <row r="3054" spans="9:13" x14ac:dyDescent="0.3">
      <c r="I3054" s="7"/>
      <c r="J3054" s="9"/>
      <c r="K3054" s="9"/>
      <c r="L3054" s="9"/>
      <c r="M3054" s="9"/>
    </row>
    <row r="3055" spans="9:13" x14ac:dyDescent="0.3">
      <c r="I3055" s="7"/>
      <c r="J3055" s="9"/>
      <c r="K3055" s="9"/>
      <c r="L3055" s="9"/>
      <c r="M3055" s="9"/>
    </row>
    <row r="3056" spans="9:13" x14ac:dyDescent="0.3">
      <c r="I3056" s="7"/>
      <c r="J3056" s="9"/>
      <c r="K3056" s="9"/>
      <c r="L3056" s="9"/>
      <c r="M3056" s="9"/>
    </row>
    <row r="3057" spans="9:13" x14ac:dyDescent="0.3">
      <c r="I3057" s="7"/>
      <c r="J3057" s="9"/>
      <c r="K3057" s="9"/>
      <c r="L3057" s="9"/>
      <c r="M3057" s="9"/>
    </row>
    <row r="3058" spans="9:13" x14ac:dyDescent="0.3">
      <c r="I3058" s="7"/>
      <c r="J3058" s="9"/>
      <c r="K3058" s="9"/>
      <c r="L3058" s="9"/>
      <c r="M3058" s="9"/>
    </row>
    <row r="3059" spans="9:13" x14ac:dyDescent="0.3">
      <c r="I3059" s="7"/>
      <c r="J3059" s="9"/>
      <c r="K3059" s="9"/>
      <c r="L3059" s="9"/>
      <c r="M3059" s="9"/>
    </row>
    <row r="3060" spans="9:13" x14ac:dyDescent="0.3">
      <c r="I3060" s="7"/>
      <c r="J3060" s="9"/>
      <c r="K3060" s="9"/>
      <c r="L3060" s="9"/>
      <c r="M3060" s="9"/>
    </row>
    <row r="3061" spans="9:13" x14ac:dyDescent="0.3">
      <c r="I3061" s="7"/>
      <c r="J3061" s="9"/>
      <c r="K3061" s="9"/>
      <c r="L3061" s="9"/>
      <c r="M3061" s="9"/>
    </row>
    <row r="3062" spans="9:13" x14ac:dyDescent="0.3">
      <c r="I3062" s="7"/>
      <c r="J3062" s="9"/>
      <c r="K3062" s="9"/>
      <c r="L3062" s="9"/>
      <c r="M3062" s="9"/>
    </row>
    <row r="3063" spans="9:13" x14ac:dyDescent="0.3">
      <c r="I3063" s="7"/>
      <c r="J3063" s="9"/>
      <c r="K3063" s="9"/>
      <c r="L3063" s="9"/>
      <c r="M3063" s="9"/>
    </row>
    <row r="3064" spans="9:13" x14ac:dyDescent="0.3">
      <c r="I3064" s="7"/>
      <c r="J3064" s="9"/>
      <c r="K3064" s="9"/>
      <c r="L3064" s="9"/>
      <c r="M3064" s="9"/>
    </row>
    <row r="3065" spans="9:13" x14ac:dyDescent="0.3">
      <c r="I3065" s="7"/>
      <c r="J3065" s="9"/>
      <c r="K3065" s="9"/>
      <c r="L3065" s="9"/>
      <c r="M3065" s="9"/>
    </row>
    <row r="3066" spans="9:13" x14ac:dyDescent="0.3">
      <c r="I3066" s="7"/>
      <c r="J3066" s="9"/>
      <c r="K3066" s="9"/>
      <c r="L3066" s="9"/>
      <c r="M3066" s="9"/>
    </row>
    <row r="3067" spans="9:13" x14ac:dyDescent="0.3">
      <c r="I3067" s="7"/>
      <c r="J3067" s="9"/>
      <c r="K3067" s="9"/>
      <c r="L3067" s="9"/>
      <c r="M3067" s="9"/>
    </row>
    <row r="3068" spans="9:13" x14ac:dyDescent="0.3">
      <c r="I3068" s="7"/>
      <c r="J3068" s="9"/>
      <c r="K3068" s="9"/>
      <c r="L3068" s="9"/>
      <c r="M3068" s="9"/>
    </row>
    <row r="3069" spans="9:13" x14ac:dyDescent="0.3">
      <c r="I3069" s="7"/>
      <c r="J3069" s="9"/>
      <c r="K3069" s="9"/>
      <c r="L3069" s="9"/>
      <c r="M3069" s="9"/>
    </row>
    <row r="3070" spans="9:13" x14ac:dyDescent="0.3">
      <c r="I3070" s="7"/>
      <c r="J3070" s="9"/>
      <c r="K3070" s="9"/>
      <c r="L3070" s="9"/>
      <c r="M3070" s="9"/>
    </row>
    <row r="3071" spans="9:13" x14ac:dyDescent="0.3">
      <c r="I3071" s="7"/>
      <c r="J3071" s="9"/>
      <c r="K3071" s="9"/>
      <c r="L3071" s="9"/>
      <c r="M3071" s="9"/>
    </row>
    <row r="3072" spans="9:13" x14ac:dyDescent="0.3">
      <c r="I3072" s="7"/>
      <c r="J3072" s="9"/>
      <c r="K3072" s="9"/>
      <c r="L3072" s="9"/>
      <c r="M3072" s="9"/>
    </row>
    <row r="3073" spans="9:13" x14ac:dyDescent="0.3">
      <c r="I3073" s="7"/>
      <c r="J3073" s="9"/>
      <c r="K3073" s="9"/>
      <c r="L3073" s="9"/>
      <c r="M3073" s="9"/>
    </row>
    <row r="3074" spans="9:13" x14ac:dyDescent="0.3">
      <c r="I3074" s="7"/>
      <c r="J3074" s="9"/>
      <c r="K3074" s="9"/>
      <c r="L3074" s="9"/>
      <c r="M3074" s="9"/>
    </row>
    <row r="3075" spans="9:13" x14ac:dyDescent="0.3">
      <c r="I3075" s="7"/>
      <c r="J3075" s="9"/>
      <c r="K3075" s="9"/>
      <c r="L3075" s="9"/>
      <c r="M3075" s="9"/>
    </row>
    <row r="3076" spans="9:13" x14ac:dyDescent="0.3">
      <c r="I3076" s="7"/>
      <c r="J3076" s="9"/>
      <c r="K3076" s="9"/>
      <c r="L3076" s="9"/>
      <c r="M3076" s="9"/>
    </row>
    <row r="3077" spans="9:13" x14ac:dyDescent="0.3">
      <c r="I3077" s="7"/>
      <c r="J3077" s="9"/>
      <c r="K3077" s="9"/>
      <c r="L3077" s="9"/>
      <c r="M3077" s="9"/>
    </row>
    <row r="3078" spans="9:13" x14ac:dyDescent="0.3">
      <c r="I3078" s="7"/>
      <c r="J3078" s="9"/>
      <c r="K3078" s="9"/>
      <c r="L3078" s="9"/>
      <c r="M3078" s="9"/>
    </row>
    <row r="3079" spans="9:13" x14ac:dyDescent="0.3">
      <c r="I3079" s="7"/>
      <c r="J3079" s="9"/>
      <c r="K3079" s="9"/>
      <c r="L3079" s="9"/>
      <c r="M3079" s="9"/>
    </row>
    <row r="3080" spans="9:13" x14ac:dyDescent="0.3">
      <c r="I3080" s="7"/>
      <c r="J3080" s="9"/>
      <c r="K3080" s="9"/>
      <c r="L3080" s="9"/>
      <c r="M3080" s="9"/>
    </row>
    <row r="3081" spans="9:13" x14ac:dyDescent="0.3">
      <c r="I3081" s="7"/>
      <c r="J3081" s="9"/>
      <c r="K3081" s="9"/>
      <c r="L3081" s="9"/>
      <c r="M3081" s="9"/>
    </row>
    <row r="3082" spans="9:13" x14ac:dyDescent="0.3">
      <c r="I3082" s="7"/>
      <c r="J3082" s="9"/>
      <c r="K3082" s="9"/>
      <c r="L3082" s="9"/>
      <c r="M3082" s="9"/>
    </row>
    <row r="3083" spans="9:13" x14ac:dyDescent="0.3">
      <c r="I3083" s="7"/>
      <c r="J3083" s="9"/>
      <c r="K3083" s="9"/>
      <c r="L3083" s="9"/>
      <c r="M3083" s="9"/>
    </row>
    <row r="3084" spans="9:13" x14ac:dyDescent="0.3">
      <c r="I3084" s="7"/>
      <c r="J3084" s="9"/>
      <c r="K3084" s="9"/>
      <c r="L3084" s="9"/>
      <c r="M3084" s="9"/>
    </row>
    <row r="3085" spans="9:13" x14ac:dyDescent="0.3">
      <c r="I3085" s="7"/>
      <c r="J3085" s="9"/>
      <c r="K3085" s="9"/>
      <c r="L3085" s="9"/>
      <c r="M3085" s="9"/>
    </row>
    <row r="3086" spans="9:13" x14ac:dyDescent="0.3">
      <c r="I3086" s="7"/>
      <c r="J3086" s="9"/>
      <c r="K3086" s="9"/>
      <c r="L3086" s="9"/>
      <c r="M3086" s="9"/>
    </row>
    <row r="3087" spans="9:13" x14ac:dyDescent="0.3">
      <c r="I3087" s="7"/>
      <c r="J3087" s="9"/>
      <c r="K3087" s="9"/>
      <c r="L3087" s="9"/>
      <c r="M3087" s="9"/>
    </row>
    <row r="3088" spans="9:13" x14ac:dyDescent="0.3">
      <c r="I3088" s="7"/>
      <c r="J3088" s="9"/>
      <c r="K3088" s="9"/>
      <c r="L3088" s="9"/>
      <c r="M3088" s="9"/>
    </row>
    <row r="3089" spans="9:13" x14ac:dyDescent="0.3">
      <c r="I3089" s="7"/>
      <c r="J3089" s="9"/>
      <c r="K3089" s="9"/>
      <c r="L3089" s="9"/>
      <c r="M3089" s="9"/>
    </row>
    <row r="3090" spans="9:13" x14ac:dyDescent="0.3">
      <c r="I3090" s="7"/>
      <c r="J3090" s="9"/>
      <c r="K3090" s="9"/>
      <c r="L3090" s="9"/>
      <c r="M3090" s="9"/>
    </row>
    <row r="3091" spans="9:13" x14ac:dyDescent="0.3">
      <c r="I3091" s="7"/>
      <c r="J3091" s="9"/>
      <c r="K3091" s="9"/>
      <c r="L3091" s="9"/>
      <c r="M3091" s="9"/>
    </row>
    <row r="3092" spans="9:13" x14ac:dyDescent="0.3">
      <c r="I3092" s="7"/>
      <c r="J3092" s="9"/>
      <c r="K3092" s="9"/>
      <c r="L3092" s="9"/>
      <c r="M3092" s="9"/>
    </row>
    <row r="3093" spans="9:13" x14ac:dyDescent="0.3">
      <c r="I3093" s="7"/>
      <c r="J3093" s="9"/>
      <c r="K3093" s="9"/>
      <c r="L3093" s="9"/>
      <c r="M3093" s="9"/>
    </row>
    <row r="3094" spans="9:13" x14ac:dyDescent="0.3">
      <c r="I3094" s="7"/>
      <c r="J3094" s="9"/>
      <c r="K3094" s="9"/>
      <c r="L3094" s="9"/>
      <c r="M3094" s="9"/>
    </row>
    <row r="3095" spans="9:13" x14ac:dyDescent="0.3">
      <c r="I3095" s="7"/>
      <c r="J3095" s="9"/>
      <c r="K3095" s="9"/>
      <c r="L3095" s="9"/>
      <c r="M3095" s="9"/>
    </row>
    <row r="3096" spans="9:13" x14ac:dyDescent="0.3">
      <c r="I3096" s="7"/>
      <c r="J3096" s="9"/>
      <c r="K3096" s="9"/>
      <c r="L3096" s="9"/>
      <c r="M3096" s="9"/>
    </row>
    <row r="3097" spans="9:13" x14ac:dyDescent="0.3">
      <c r="I3097" s="7"/>
      <c r="J3097" s="9"/>
      <c r="K3097" s="9"/>
      <c r="L3097" s="9"/>
      <c r="M3097" s="9"/>
    </row>
    <row r="3098" spans="9:13" x14ac:dyDescent="0.3">
      <c r="I3098" s="7"/>
      <c r="J3098" s="9"/>
      <c r="K3098" s="9"/>
      <c r="L3098" s="9"/>
      <c r="M3098" s="9"/>
    </row>
    <row r="3099" spans="9:13" x14ac:dyDescent="0.3">
      <c r="I3099" s="7"/>
      <c r="J3099" s="9"/>
      <c r="K3099" s="9"/>
      <c r="L3099" s="9"/>
      <c r="M3099" s="9"/>
    </row>
    <row r="3100" spans="9:13" x14ac:dyDescent="0.3">
      <c r="I3100" s="7"/>
      <c r="J3100" s="9"/>
      <c r="K3100" s="9"/>
      <c r="L3100" s="9"/>
      <c r="M3100" s="9"/>
    </row>
    <row r="3101" spans="9:13" x14ac:dyDescent="0.3">
      <c r="I3101" s="7"/>
      <c r="J3101" s="9"/>
      <c r="K3101" s="9"/>
      <c r="L3101" s="9"/>
      <c r="M3101" s="9"/>
    </row>
    <row r="3102" spans="9:13" x14ac:dyDescent="0.3">
      <c r="I3102" s="7"/>
      <c r="J3102" s="9"/>
      <c r="K3102" s="9"/>
      <c r="L3102" s="9"/>
      <c r="M3102" s="9"/>
    </row>
    <row r="3103" spans="9:13" x14ac:dyDescent="0.3">
      <c r="I3103" s="7"/>
      <c r="J3103" s="9"/>
      <c r="K3103" s="9"/>
      <c r="L3103" s="9"/>
      <c r="M3103" s="9"/>
    </row>
    <row r="3104" spans="9:13" x14ac:dyDescent="0.3">
      <c r="I3104" s="7"/>
      <c r="J3104" s="9"/>
      <c r="K3104" s="9"/>
      <c r="L3104" s="9"/>
      <c r="M3104" s="9"/>
    </row>
    <row r="3105" spans="9:13" x14ac:dyDescent="0.3">
      <c r="I3105" s="7"/>
      <c r="J3105" s="9"/>
      <c r="K3105" s="9"/>
      <c r="L3105" s="9"/>
      <c r="M3105" s="9"/>
    </row>
    <row r="3106" spans="9:13" x14ac:dyDescent="0.3">
      <c r="I3106" s="7"/>
      <c r="J3106" s="9"/>
      <c r="K3106" s="9"/>
      <c r="L3106" s="9"/>
      <c r="M3106" s="9"/>
    </row>
    <row r="3107" spans="9:13" x14ac:dyDescent="0.3">
      <c r="I3107" s="7"/>
      <c r="J3107" s="9"/>
      <c r="K3107" s="9"/>
      <c r="L3107" s="9"/>
      <c r="M3107" s="9"/>
    </row>
    <row r="3108" spans="9:13" x14ac:dyDescent="0.3">
      <c r="I3108" s="7"/>
      <c r="J3108" s="9"/>
      <c r="K3108" s="9"/>
      <c r="L3108" s="9"/>
      <c r="M3108" s="9"/>
    </row>
    <row r="3109" spans="9:13" x14ac:dyDescent="0.3">
      <c r="I3109" s="7"/>
      <c r="J3109" s="9"/>
      <c r="K3109" s="9"/>
      <c r="L3109" s="9"/>
      <c r="M3109" s="9"/>
    </row>
    <row r="3110" spans="9:13" x14ac:dyDescent="0.3">
      <c r="I3110" s="7"/>
      <c r="J3110" s="9"/>
      <c r="K3110" s="9"/>
      <c r="L3110" s="9"/>
      <c r="M3110" s="9"/>
    </row>
    <row r="3111" spans="9:13" x14ac:dyDescent="0.3">
      <c r="I3111" s="7"/>
      <c r="J3111" s="9"/>
      <c r="K3111" s="9"/>
      <c r="L3111" s="9"/>
      <c r="M3111" s="9"/>
    </row>
    <row r="3112" spans="9:13" x14ac:dyDescent="0.3">
      <c r="I3112" s="7"/>
      <c r="J3112" s="9"/>
      <c r="K3112" s="9"/>
      <c r="L3112" s="9"/>
      <c r="M3112" s="9"/>
    </row>
    <row r="3113" spans="9:13" x14ac:dyDescent="0.3">
      <c r="I3113" s="7"/>
      <c r="J3113" s="9"/>
      <c r="K3113" s="9"/>
      <c r="L3113" s="9"/>
      <c r="M3113" s="9"/>
    </row>
    <row r="3114" spans="9:13" x14ac:dyDescent="0.3">
      <c r="I3114" s="7"/>
      <c r="J3114" s="9"/>
      <c r="K3114" s="9"/>
      <c r="L3114" s="9"/>
      <c r="M3114" s="9"/>
    </row>
    <row r="3115" spans="9:13" x14ac:dyDescent="0.3">
      <c r="I3115" s="7"/>
      <c r="J3115" s="9"/>
      <c r="K3115" s="9"/>
      <c r="L3115" s="9"/>
      <c r="M3115" s="9"/>
    </row>
    <row r="3116" spans="9:13" x14ac:dyDescent="0.3">
      <c r="I3116" s="7"/>
      <c r="J3116" s="9"/>
      <c r="K3116" s="9"/>
      <c r="L3116" s="9"/>
      <c r="M3116" s="9"/>
    </row>
    <row r="3117" spans="9:13" x14ac:dyDescent="0.3">
      <c r="I3117" s="7"/>
      <c r="J3117" s="9"/>
      <c r="K3117" s="9"/>
      <c r="L3117" s="9"/>
      <c r="M3117" s="9"/>
    </row>
    <row r="3118" spans="9:13" x14ac:dyDescent="0.3">
      <c r="I3118" s="7"/>
      <c r="J3118" s="9"/>
      <c r="K3118" s="9"/>
      <c r="L3118" s="9"/>
      <c r="M3118" s="9"/>
    </row>
    <row r="3119" spans="9:13" x14ac:dyDescent="0.3">
      <c r="I3119" s="7"/>
      <c r="J3119" s="9"/>
      <c r="K3119" s="9"/>
      <c r="L3119" s="9"/>
      <c r="M3119" s="9"/>
    </row>
    <row r="3120" spans="9:13" x14ac:dyDescent="0.3">
      <c r="I3120" s="7"/>
      <c r="J3120" s="9"/>
      <c r="K3120" s="9"/>
      <c r="L3120" s="9"/>
      <c r="M3120" s="9"/>
    </row>
    <row r="3121" spans="9:13" x14ac:dyDescent="0.3">
      <c r="I3121" s="7"/>
      <c r="J3121" s="9"/>
      <c r="K3121" s="9"/>
      <c r="L3121" s="9"/>
      <c r="M3121" s="9"/>
    </row>
    <row r="3122" spans="9:13" x14ac:dyDescent="0.3">
      <c r="I3122" s="7"/>
      <c r="J3122" s="9"/>
      <c r="K3122" s="9"/>
      <c r="L3122" s="9"/>
      <c r="M3122" s="9"/>
    </row>
    <row r="3123" spans="9:13" x14ac:dyDescent="0.3">
      <c r="I3123" s="7"/>
      <c r="J3123" s="9"/>
      <c r="K3123" s="9"/>
      <c r="L3123" s="9"/>
      <c r="M3123" s="9"/>
    </row>
    <row r="3124" spans="9:13" x14ac:dyDescent="0.3">
      <c r="I3124" s="7"/>
      <c r="J3124" s="9"/>
      <c r="K3124" s="9"/>
      <c r="L3124" s="9"/>
      <c r="M3124" s="9"/>
    </row>
    <row r="3125" spans="9:13" x14ac:dyDescent="0.3">
      <c r="I3125" s="7"/>
      <c r="J3125" s="9"/>
      <c r="K3125" s="9"/>
      <c r="L3125" s="9"/>
      <c r="M3125" s="9"/>
    </row>
    <row r="3126" spans="9:13" x14ac:dyDescent="0.3">
      <c r="I3126" s="7"/>
      <c r="J3126" s="9"/>
      <c r="K3126" s="9"/>
      <c r="L3126" s="9"/>
      <c r="M3126" s="9"/>
    </row>
    <row r="3127" spans="9:13" x14ac:dyDescent="0.3">
      <c r="I3127" s="7"/>
      <c r="J3127" s="9"/>
      <c r="K3127" s="9"/>
      <c r="L3127" s="9"/>
      <c r="M3127" s="9"/>
    </row>
    <row r="3128" spans="9:13" x14ac:dyDescent="0.3">
      <c r="I3128" s="7"/>
      <c r="J3128" s="9"/>
      <c r="K3128" s="9"/>
      <c r="L3128" s="9"/>
      <c r="M3128" s="9"/>
    </row>
    <row r="3129" spans="9:13" x14ac:dyDescent="0.3">
      <c r="I3129" s="7"/>
      <c r="J3129" s="9"/>
      <c r="K3129" s="9"/>
      <c r="L3129" s="9"/>
      <c r="M3129" s="9"/>
    </row>
    <row r="3130" spans="9:13" x14ac:dyDescent="0.3">
      <c r="I3130" s="7"/>
      <c r="J3130" s="9"/>
      <c r="K3130" s="9"/>
      <c r="L3130" s="9"/>
      <c r="M3130" s="9"/>
    </row>
    <row r="3131" spans="9:13" x14ac:dyDescent="0.3">
      <c r="I3131" s="7"/>
      <c r="J3131" s="9"/>
      <c r="K3131" s="9"/>
      <c r="L3131" s="9"/>
      <c r="M3131" s="9"/>
    </row>
    <row r="3132" spans="9:13" x14ac:dyDescent="0.3">
      <c r="I3132" s="7"/>
      <c r="J3132" s="9"/>
      <c r="K3132" s="9"/>
      <c r="L3132" s="9"/>
      <c r="M3132" s="9"/>
    </row>
    <row r="3133" spans="9:13" x14ac:dyDescent="0.3">
      <c r="I3133" s="7"/>
      <c r="J3133" s="9"/>
      <c r="K3133" s="9"/>
      <c r="L3133" s="9"/>
      <c r="M3133" s="9"/>
    </row>
    <row r="3134" spans="9:13" x14ac:dyDescent="0.3">
      <c r="I3134" s="7"/>
      <c r="J3134" s="9"/>
      <c r="K3134" s="9"/>
      <c r="L3134" s="9"/>
      <c r="M3134" s="9"/>
    </row>
    <row r="3135" spans="9:13" x14ac:dyDescent="0.3">
      <c r="I3135" s="7"/>
      <c r="J3135" s="9"/>
      <c r="K3135" s="9"/>
      <c r="L3135" s="9"/>
      <c r="M3135" s="9"/>
    </row>
    <row r="3136" spans="9:13" x14ac:dyDescent="0.3">
      <c r="I3136" s="7"/>
      <c r="J3136" s="9"/>
      <c r="K3136" s="9"/>
      <c r="L3136" s="9"/>
      <c r="M3136" s="9"/>
    </row>
    <row r="3137" spans="9:13" x14ac:dyDescent="0.3">
      <c r="I3137" s="7"/>
      <c r="J3137" s="9"/>
      <c r="K3137" s="9"/>
      <c r="L3137" s="9"/>
      <c r="M3137" s="9"/>
    </row>
    <row r="3138" spans="9:13" x14ac:dyDescent="0.3">
      <c r="I3138" s="7"/>
      <c r="J3138" s="9"/>
      <c r="K3138" s="9"/>
      <c r="L3138" s="9"/>
      <c r="M3138" s="9"/>
    </row>
    <row r="3139" spans="9:13" x14ac:dyDescent="0.3">
      <c r="I3139" s="7"/>
      <c r="J3139" s="9"/>
      <c r="K3139" s="9"/>
      <c r="L3139" s="9"/>
      <c r="M3139" s="9"/>
    </row>
    <row r="3140" spans="9:13" x14ac:dyDescent="0.3">
      <c r="I3140" s="7"/>
      <c r="J3140" s="9"/>
      <c r="K3140" s="9"/>
      <c r="L3140" s="9"/>
      <c r="M3140" s="9"/>
    </row>
    <row r="3141" spans="9:13" x14ac:dyDescent="0.3">
      <c r="I3141" s="7"/>
      <c r="J3141" s="9"/>
      <c r="K3141" s="9"/>
      <c r="L3141" s="9"/>
      <c r="M3141" s="9"/>
    </row>
    <row r="3142" spans="9:13" x14ac:dyDescent="0.3">
      <c r="I3142" s="7"/>
      <c r="J3142" s="9"/>
      <c r="K3142" s="9"/>
      <c r="L3142" s="9"/>
      <c r="M3142" s="9"/>
    </row>
    <row r="3143" spans="9:13" x14ac:dyDescent="0.3">
      <c r="I3143" s="7"/>
      <c r="J3143" s="9"/>
      <c r="K3143" s="9"/>
      <c r="L3143" s="9"/>
      <c r="M3143" s="9"/>
    </row>
    <row r="3144" spans="9:13" x14ac:dyDescent="0.3">
      <c r="I3144" s="7"/>
      <c r="J3144" s="9"/>
      <c r="K3144" s="9"/>
      <c r="L3144" s="9"/>
      <c r="M3144" s="9"/>
    </row>
    <row r="3145" spans="9:13" x14ac:dyDescent="0.3">
      <c r="I3145" s="7"/>
      <c r="J3145" s="9"/>
      <c r="K3145" s="9"/>
      <c r="L3145" s="9"/>
      <c r="M3145" s="9"/>
    </row>
    <row r="3146" spans="9:13" x14ac:dyDescent="0.3">
      <c r="I3146" s="7"/>
      <c r="J3146" s="9"/>
      <c r="K3146" s="9"/>
      <c r="L3146" s="9"/>
      <c r="M3146" s="9"/>
    </row>
    <row r="3147" spans="9:13" x14ac:dyDescent="0.3">
      <c r="I3147" s="7"/>
      <c r="J3147" s="9"/>
      <c r="K3147" s="9"/>
      <c r="L3147" s="9"/>
      <c r="M3147" s="9"/>
    </row>
    <row r="3148" spans="9:13" x14ac:dyDescent="0.3">
      <c r="I3148" s="7"/>
      <c r="J3148" s="9"/>
      <c r="K3148" s="9"/>
      <c r="L3148" s="9"/>
      <c r="M3148" s="9"/>
    </row>
    <row r="3149" spans="9:13" x14ac:dyDescent="0.3">
      <c r="I3149" s="7"/>
      <c r="J3149" s="9"/>
      <c r="K3149" s="9"/>
      <c r="L3149" s="9"/>
      <c r="M3149" s="9"/>
    </row>
    <row r="3150" spans="9:13" x14ac:dyDescent="0.3">
      <c r="I3150" s="7"/>
      <c r="J3150" s="9"/>
      <c r="K3150" s="9"/>
      <c r="L3150" s="9"/>
      <c r="M3150" s="9"/>
    </row>
    <row r="3151" spans="9:13" x14ac:dyDescent="0.3">
      <c r="I3151" s="7"/>
      <c r="J3151" s="9"/>
      <c r="K3151" s="9"/>
      <c r="L3151" s="9"/>
      <c r="M3151" s="9"/>
    </row>
    <row r="3152" spans="9:13" x14ac:dyDescent="0.3">
      <c r="I3152" s="7"/>
      <c r="J3152" s="9"/>
      <c r="K3152" s="9"/>
      <c r="L3152" s="9"/>
      <c r="M3152" s="9"/>
    </row>
    <row r="3153" spans="9:13" x14ac:dyDescent="0.3">
      <c r="I3153" s="7"/>
      <c r="J3153" s="9"/>
      <c r="K3153" s="9"/>
      <c r="L3153" s="9"/>
      <c r="M3153" s="9"/>
    </row>
    <row r="3154" spans="9:13" x14ac:dyDescent="0.3">
      <c r="I3154" s="7"/>
      <c r="J3154" s="9"/>
      <c r="K3154" s="9"/>
      <c r="L3154" s="9"/>
      <c r="M3154" s="9"/>
    </row>
    <row r="3155" spans="9:13" x14ac:dyDescent="0.3">
      <c r="I3155" s="7"/>
      <c r="J3155" s="9"/>
      <c r="K3155" s="9"/>
      <c r="L3155" s="9"/>
      <c r="M3155" s="9"/>
    </row>
    <row r="3156" spans="9:13" x14ac:dyDescent="0.3">
      <c r="I3156" s="7"/>
      <c r="J3156" s="9"/>
      <c r="K3156" s="9"/>
      <c r="L3156" s="9"/>
      <c r="M3156" s="9"/>
    </row>
    <row r="3157" spans="9:13" x14ac:dyDescent="0.3">
      <c r="I3157" s="7"/>
      <c r="J3157" s="9"/>
      <c r="K3157" s="9"/>
      <c r="L3157" s="9"/>
      <c r="M3157" s="9"/>
    </row>
    <row r="3158" spans="9:13" x14ac:dyDescent="0.3">
      <c r="I3158" s="7"/>
      <c r="J3158" s="9"/>
      <c r="K3158" s="9"/>
      <c r="L3158" s="9"/>
      <c r="M3158" s="9"/>
    </row>
    <row r="3159" spans="9:13" x14ac:dyDescent="0.3">
      <c r="I3159" s="7"/>
      <c r="J3159" s="9"/>
      <c r="K3159" s="9"/>
      <c r="L3159" s="9"/>
      <c r="M3159" s="9"/>
    </row>
    <row r="3160" spans="9:13" x14ac:dyDescent="0.3">
      <c r="I3160" s="7"/>
      <c r="J3160" s="9"/>
      <c r="K3160" s="9"/>
      <c r="L3160" s="9"/>
      <c r="M3160" s="9"/>
    </row>
    <row r="3161" spans="9:13" x14ac:dyDescent="0.3">
      <c r="I3161" s="7"/>
      <c r="J3161" s="9"/>
      <c r="K3161" s="9"/>
      <c r="L3161" s="9"/>
      <c r="M3161" s="9"/>
    </row>
    <row r="3162" spans="9:13" x14ac:dyDescent="0.3">
      <c r="I3162" s="7"/>
      <c r="J3162" s="9"/>
      <c r="K3162" s="9"/>
      <c r="L3162" s="9"/>
      <c r="M3162" s="9"/>
    </row>
    <row r="3163" spans="9:13" x14ac:dyDescent="0.3">
      <c r="I3163" s="7"/>
      <c r="J3163" s="9"/>
      <c r="K3163" s="9"/>
      <c r="L3163" s="9"/>
      <c r="M3163" s="9"/>
    </row>
    <row r="3164" spans="9:13" x14ac:dyDescent="0.3">
      <c r="I3164" s="7"/>
      <c r="J3164" s="9"/>
      <c r="K3164" s="9"/>
      <c r="L3164" s="9"/>
      <c r="M3164" s="9"/>
    </row>
    <row r="3165" spans="9:13" x14ac:dyDescent="0.3">
      <c r="I3165" s="7"/>
      <c r="J3165" s="9"/>
      <c r="K3165" s="9"/>
      <c r="L3165" s="9"/>
      <c r="M3165" s="9"/>
    </row>
    <row r="3166" spans="9:13" x14ac:dyDescent="0.3">
      <c r="I3166" s="7"/>
      <c r="J3166" s="9"/>
      <c r="K3166" s="9"/>
      <c r="L3166" s="9"/>
      <c r="M3166" s="9"/>
    </row>
    <row r="3167" spans="9:13" x14ac:dyDescent="0.3">
      <c r="I3167" s="7"/>
      <c r="J3167" s="9"/>
      <c r="K3167" s="9"/>
      <c r="L3167" s="9"/>
      <c r="M3167" s="9"/>
    </row>
    <row r="3168" spans="9:13" x14ac:dyDescent="0.3">
      <c r="I3168" s="7"/>
      <c r="J3168" s="9"/>
      <c r="K3168" s="9"/>
      <c r="L3168" s="9"/>
      <c r="M3168" s="9"/>
    </row>
    <row r="3169" spans="9:13" x14ac:dyDescent="0.3">
      <c r="I3169" s="7"/>
      <c r="J3169" s="9"/>
      <c r="K3169" s="9"/>
      <c r="L3169" s="9"/>
      <c r="M3169" s="9"/>
    </row>
    <row r="3170" spans="9:13" x14ac:dyDescent="0.3">
      <c r="I3170" s="7"/>
      <c r="J3170" s="9"/>
      <c r="K3170" s="9"/>
      <c r="L3170" s="9"/>
      <c r="M3170" s="9"/>
    </row>
    <row r="3171" spans="9:13" x14ac:dyDescent="0.3">
      <c r="I3171" s="7"/>
      <c r="J3171" s="9"/>
      <c r="K3171" s="9"/>
      <c r="L3171" s="9"/>
      <c r="M3171" s="9"/>
    </row>
    <row r="3172" spans="9:13" x14ac:dyDescent="0.3">
      <c r="I3172" s="7"/>
      <c r="J3172" s="9"/>
      <c r="K3172" s="9"/>
      <c r="L3172" s="9"/>
      <c r="M3172" s="9"/>
    </row>
    <row r="3173" spans="9:13" x14ac:dyDescent="0.3">
      <c r="I3173" s="7"/>
      <c r="J3173" s="9"/>
      <c r="K3173" s="9"/>
      <c r="L3173" s="9"/>
      <c r="M3173" s="9"/>
    </row>
    <row r="3174" spans="9:13" x14ac:dyDescent="0.3">
      <c r="I3174" s="7"/>
      <c r="J3174" s="9"/>
      <c r="K3174" s="9"/>
      <c r="L3174" s="9"/>
      <c r="M3174" s="9"/>
    </row>
    <row r="3175" spans="9:13" x14ac:dyDescent="0.3">
      <c r="I3175" s="7"/>
      <c r="J3175" s="9"/>
      <c r="K3175" s="9"/>
      <c r="L3175" s="9"/>
      <c r="M3175" s="9"/>
    </row>
    <row r="3176" spans="9:13" x14ac:dyDescent="0.3">
      <c r="I3176" s="7"/>
      <c r="J3176" s="9"/>
      <c r="K3176" s="9"/>
      <c r="L3176" s="9"/>
      <c r="M3176" s="9"/>
    </row>
    <row r="3177" spans="9:13" x14ac:dyDescent="0.3">
      <c r="I3177" s="7"/>
      <c r="J3177" s="9"/>
      <c r="K3177" s="9"/>
      <c r="L3177" s="9"/>
      <c r="M3177" s="9"/>
    </row>
    <row r="3178" spans="9:13" x14ac:dyDescent="0.3">
      <c r="I3178" s="7"/>
      <c r="J3178" s="9"/>
      <c r="K3178" s="9"/>
      <c r="L3178" s="9"/>
      <c r="M3178" s="9"/>
    </row>
    <row r="3179" spans="9:13" x14ac:dyDescent="0.3">
      <c r="I3179" s="7"/>
      <c r="J3179" s="9"/>
      <c r="K3179" s="9"/>
      <c r="L3179" s="9"/>
      <c r="M3179" s="9"/>
    </row>
    <row r="3180" spans="9:13" x14ac:dyDescent="0.3">
      <c r="I3180" s="7"/>
      <c r="J3180" s="9"/>
      <c r="K3180" s="9"/>
      <c r="L3180" s="9"/>
      <c r="M3180" s="9"/>
    </row>
    <row r="3181" spans="9:13" x14ac:dyDescent="0.3">
      <c r="I3181" s="7"/>
      <c r="J3181" s="9"/>
      <c r="K3181" s="9"/>
      <c r="L3181" s="9"/>
      <c r="M3181" s="9"/>
    </row>
    <row r="3182" spans="9:13" x14ac:dyDescent="0.3">
      <c r="I3182" s="7"/>
      <c r="J3182" s="9"/>
      <c r="K3182" s="9"/>
      <c r="L3182" s="9"/>
      <c r="M3182" s="9"/>
    </row>
    <row r="3183" spans="9:13" x14ac:dyDescent="0.3">
      <c r="I3183" s="7"/>
      <c r="J3183" s="9"/>
      <c r="K3183" s="9"/>
      <c r="L3183" s="9"/>
      <c r="M3183" s="9"/>
    </row>
    <row r="3184" spans="9:13" x14ac:dyDescent="0.3">
      <c r="I3184" s="7"/>
      <c r="J3184" s="9"/>
      <c r="K3184" s="9"/>
      <c r="L3184" s="9"/>
      <c r="M3184" s="9"/>
    </row>
    <row r="3185" spans="9:13" x14ac:dyDescent="0.3">
      <c r="I3185" s="7"/>
      <c r="J3185" s="9"/>
      <c r="K3185" s="9"/>
      <c r="L3185" s="9"/>
      <c r="M3185" s="9"/>
    </row>
    <row r="3186" spans="9:13" x14ac:dyDescent="0.3">
      <c r="I3186" s="7"/>
      <c r="J3186" s="9"/>
      <c r="K3186" s="9"/>
      <c r="L3186" s="9"/>
      <c r="M3186" s="9"/>
    </row>
    <row r="3187" spans="9:13" x14ac:dyDescent="0.3">
      <c r="I3187" s="7"/>
      <c r="J3187" s="9"/>
      <c r="K3187" s="9"/>
      <c r="L3187" s="9"/>
      <c r="M3187" s="9"/>
    </row>
    <row r="3188" spans="9:13" x14ac:dyDescent="0.3">
      <c r="I3188" s="7"/>
      <c r="J3188" s="9"/>
      <c r="K3188" s="9"/>
      <c r="L3188" s="9"/>
      <c r="M3188" s="9"/>
    </row>
    <row r="3189" spans="9:13" x14ac:dyDescent="0.3">
      <c r="I3189" s="7"/>
      <c r="J3189" s="9"/>
      <c r="K3189" s="9"/>
      <c r="L3189" s="9"/>
      <c r="M3189" s="9"/>
    </row>
    <row r="3190" spans="9:13" x14ac:dyDescent="0.3">
      <c r="I3190" s="7"/>
      <c r="J3190" s="9"/>
      <c r="K3190" s="9"/>
      <c r="L3190" s="9"/>
      <c r="M3190" s="9"/>
    </row>
    <row r="3191" spans="9:13" x14ac:dyDescent="0.3">
      <c r="I3191" s="7"/>
      <c r="J3191" s="9"/>
      <c r="K3191" s="9"/>
      <c r="L3191" s="9"/>
      <c r="M3191" s="9"/>
    </row>
    <row r="3192" spans="9:13" x14ac:dyDescent="0.3">
      <c r="I3192" s="7"/>
      <c r="J3192" s="9"/>
      <c r="K3192" s="9"/>
      <c r="L3192" s="9"/>
      <c r="M3192" s="9"/>
    </row>
    <row r="3193" spans="9:13" x14ac:dyDescent="0.3">
      <c r="I3193" s="7"/>
      <c r="J3193" s="9"/>
      <c r="K3193" s="9"/>
      <c r="L3193" s="9"/>
      <c r="M3193" s="9"/>
    </row>
    <row r="3194" spans="9:13" x14ac:dyDescent="0.3">
      <c r="I3194" s="7"/>
      <c r="J3194" s="9"/>
      <c r="K3194" s="9"/>
      <c r="L3194" s="9"/>
      <c r="M3194" s="9"/>
    </row>
    <row r="3195" spans="9:13" x14ac:dyDescent="0.3">
      <c r="I3195" s="7"/>
      <c r="J3195" s="9"/>
      <c r="K3195" s="9"/>
      <c r="L3195" s="9"/>
      <c r="M3195" s="9"/>
    </row>
    <row r="3196" spans="9:13" x14ac:dyDescent="0.3">
      <c r="I3196" s="7"/>
      <c r="J3196" s="9"/>
      <c r="K3196" s="9"/>
      <c r="L3196" s="9"/>
      <c r="M3196" s="9"/>
    </row>
    <row r="3197" spans="9:13" x14ac:dyDescent="0.3">
      <c r="I3197" s="7"/>
      <c r="J3197" s="9"/>
      <c r="K3197" s="9"/>
      <c r="L3197" s="9"/>
      <c r="M3197" s="9"/>
    </row>
    <row r="3198" spans="9:13" x14ac:dyDescent="0.3">
      <c r="I3198" s="7"/>
      <c r="J3198" s="9"/>
      <c r="K3198" s="9"/>
      <c r="L3198" s="9"/>
      <c r="M3198" s="9"/>
    </row>
    <row r="3199" spans="9:13" x14ac:dyDescent="0.3">
      <c r="I3199" s="7"/>
      <c r="J3199" s="9"/>
      <c r="K3199" s="9"/>
      <c r="L3199" s="9"/>
      <c r="M3199" s="9"/>
    </row>
    <row r="3200" spans="9:13" x14ac:dyDescent="0.3">
      <c r="I3200" s="7"/>
      <c r="J3200" s="9"/>
      <c r="K3200" s="9"/>
      <c r="L3200" s="9"/>
      <c r="M3200" s="9"/>
    </row>
    <row r="3201" spans="9:13" x14ac:dyDescent="0.3">
      <c r="I3201" s="7"/>
      <c r="J3201" s="9"/>
      <c r="K3201" s="9"/>
      <c r="L3201" s="9"/>
      <c r="M3201" s="9"/>
    </row>
    <row r="3202" spans="9:13" x14ac:dyDescent="0.3">
      <c r="I3202" s="7"/>
      <c r="J3202" s="9"/>
      <c r="K3202" s="9"/>
      <c r="L3202" s="9"/>
      <c r="M3202" s="9"/>
    </row>
    <row r="3203" spans="9:13" x14ac:dyDescent="0.3">
      <c r="I3203" s="7"/>
      <c r="J3203" s="9"/>
      <c r="K3203" s="9"/>
      <c r="L3203" s="9"/>
      <c r="M3203" s="9"/>
    </row>
    <row r="3204" spans="9:13" x14ac:dyDescent="0.3">
      <c r="I3204" s="7"/>
      <c r="J3204" s="9"/>
      <c r="K3204" s="9"/>
      <c r="L3204" s="9"/>
      <c r="M3204" s="9"/>
    </row>
    <row r="3205" spans="9:13" x14ac:dyDescent="0.3">
      <c r="I3205" s="7"/>
      <c r="J3205" s="9"/>
      <c r="K3205" s="9"/>
      <c r="L3205" s="9"/>
      <c r="M3205" s="9"/>
    </row>
    <row r="3206" spans="9:13" x14ac:dyDescent="0.3">
      <c r="I3206" s="7"/>
      <c r="J3206" s="9"/>
      <c r="K3206" s="9"/>
      <c r="L3206" s="9"/>
      <c r="M3206" s="9"/>
    </row>
    <row r="3207" spans="9:13" x14ac:dyDescent="0.3">
      <c r="I3207" s="7"/>
      <c r="J3207" s="9"/>
      <c r="K3207" s="9"/>
      <c r="L3207" s="9"/>
      <c r="M3207" s="9"/>
    </row>
    <row r="3208" spans="9:13" x14ac:dyDescent="0.3">
      <c r="I3208" s="7"/>
      <c r="J3208" s="9"/>
      <c r="K3208" s="9"/>
      <c r="L3208" s="9"/>
      <c r="M3208" s="9"/>
    </row>
    <row r="3209" spans="9:13" x14ac:dyDescent="0.3">
      <c r="I3209" s="7"/>
      <c r="J3209" s="9"/>
      <c r="K3209" s="9"/>
      <c r="L3209" s="9"/>
      <c r="M3209" s="9"/>
    </row>
    <row r="3210" spans="9:13" x14ac:dyDescent="0.3">
      <c r="I3210" s="7"/>
      <c r="J3210" s="9"/>
      <c r="K3210" s="9"/>
      <c r="L3210" s="9"/>
      <c r="M3210" s="9"/>
    </row>
    <row r="3211" spans="9:13" x14ac:dyDescent="0.3">
      <c r="I3211" s="7"/>
      <c r="J3211" s="9"/>
      <c r="K3211" s="9"/>
      <c r="L3211" s="9"/>
      <c r="M3211" s="9"/>
    </row>
    <row r="3212" spans="9:13" x14ac:dyDescent="0.3">
      <c r="I3212" s="7"/>
      <c r="J3212" s="9"/>
      <c r="K3212" s="9"/>
      <c r="L3212" s="9"/>
      <c r="M3212" s="9"/>
    </row>
    <row r="3213" spans="9:13" x14ac:dyDescent="0.3">
      <c r="I3213" s="7"/>
      <c r="J3213" s="9"/>
      <c r="K3213" s="9"/>
      <c r="L3213" s="9"/>
      <c r="M3213" s="9"/>
    </row>
    <row r="3214" spans="9:13" x14ac:dyDescent="0.3">
      <c r="I3214" s="7"/>
      <c r="J3214" s="9"/>
      <c r="K3214" s="9"/>
      <c r="L3214" s="9"/>
      <c r="M3214" s="9"/>
    </row>
    <row r="3215" spans="9:13" x14ac:dyDescent="0.3">
      <c r="I3215" s="7"/>
      <c r="J3215" s="9"/>
      <c r="K3215" s="9"/>
      <c r="L3215" s="9"/>
      <c r="M3215" s="9"/>
    </row>
    <row r="3216" spans="9:13" x14ac:dyDescent="0.3">
      <c r="I3216" s="7"/>
      <c r="J3216" s="9"/>
      <c r="K3216" s="9"/>
      <c r="L3216" s="9"/>
      <c r="M3216" s="9"/>
    </row>
    <row r="3217" spans="9:13" x14ac:dyDescent="0.3">
      <c r="I3217" s="7"/>
      <c r="J3217" s="9"/>
      <c r="K3217" s="9"/>
      <c r="L3217" s="9"/>
      <c r="M3217" s="9"/>
    </row>
    <row r="3218" spans="9:13" x14ac:dyDescent="0.3">
      <c r="I3218" s="7"/>
      <c r="J3218" s="9"/>
      <c r="K3218" s="9"/>
      <c r="L3218" s="9"/>
      <c r="M3218" s="9"/>
    </row>
    <row r="3219" spans="9:13" x14ac:dyDescent="0.3">
      <c r="I3219" s="7"/>
      <c r="J3219" s="9"/>
      <c r="K3219" s="9"/>
      <c r="L3219" s="9"/>
      <c r="M3219" s="9"/>
    </row>
    <row r="3220" spans="9:13" x14ac:dyDescent="0.3">
      <c r="I3220" s="7"/>
      <c r="J3220" s="9"/>
      <c r="K3220" s="9"/>
      <c r="L3220" s="9"/>
      <c r="M3220" s="9"/>
    </row>
    <row r="3221" spans="9:13" x14ac:dyDescent="0.3">
      <c r="I3221" s="7"/>
      <c r="J3221" s="9"/>
      <c r="K3221" s="9"/>
      <c r="L3221" s="9"/>
      <c r="M3221" s="9"/>
    </row>
    <row r="3222" spans="9:13" x14ac:dyDescent="0.3">
      <c r="I3222" s="7"/>
      <c r="J3222" s="9"/>
      <c r="K3222" s="9"/>
      <c r="L3222" s="9"/>
      <c r="M3222" s="9"/>
    </row>
    <row r="3223" spans="9:13" x14ac:dyDescent="0.3">
      <c r="I3223" s="7"/>
      <c r="J3223" s="9"/>
      <c r="K3223" s="9"/>
      <c r="L3223" s="9"/>
      <c r="M3223" s="9"/>
    </row>
    <row r="3224" spans="9:13" x14ac:dyDescent="0.3">
      <c r="I3224" s="7"/>
      <c r="J3224" s="9"/>
      <c r="K3224" s="9"/>
      <c r="L3224" s="9"/>
      <c r="M3224" s="9"/>
    </row>
    <row r="3225" spans="9:13" x14ac:dyDescent="0.3">
      <c r="I3225" s="7"/>
      <c r="J3225" s="9"/>
      <c r="K3225" s="9"/>
      <c r="L3225" s="9"/>
      <c r="M3225" s="9"/>
    </row>
    <row r="3226" spans="9:13" x14ac:dyDescent="0.3">
      <c r="I3226" s="7"/>
      <c r="J3226" s="9"/>
      <c r="K3226" s="9"/>
      <c r="L3226" s="9"/>
      <c r="M3226" s="9"/>
    </row>
    <row r="3227" spans="9:13" x14ac:dyDescent="0.3">
      <c r="I3227" s="7"/>
      <c r="J3227" s="9"/>
      <c r="K3227" s="9"/>
      <c r="L3227" s="9"/>
      <c r="M3227" s="9"/>
    </row>
    <row r="3228" spans="9:13" x14ac:dyDescent="0.3">
      <c r="I3228" s="7"/>
      <c r="J3228" s="9"/>
      <c r="K3228" s="9"/>
      <c r="L3228" s="9"/>
      <c r="M3228" s="9"/>
    </row>
    <row r="3229" spans="9:13" x14ac:dyDescent="0.3">
      <c r="I3229" s="7"/>
      <c r="J3229" s="9"/>
      <c r="K3229" s="9"/>
      <c r="L3229" s="9"/>
      <c r="M3229" s="9"/>
    </row>
    <row r="3230" spans="9:13" x14ac:dyDescent="0.3">
      <c r="I3230" s="7"/>
      <c r="J3230" s="9"/>
      <c r="K3230" s="9"/>
      <c r="L3230" s="9"/>
      <c r="M3230" s="9"/>
    </row>
    <row r="3231" spans="9:13" x14ac:dyDescent="0.3">
      <c r="I3231" s="7"/>
      <c r="J3231" s="9"/>
      <c r="K3231" s="9"/>
      <c r="L3231" s="9"/>
      <c r="M3231" s="9"/>
    </row>
    <row r="3232" spans="9:13" x14ac:dyDescent="0.3">
      <c r="I3232" s="7"/>
      <c r="J3232" s="9"/>
      <c r="K3232" s="9"/>
      <c r="L3232" s="9"/>
      <c r="M3232" s="9"/>
    </row>
    <row r="3233" spans="9:13" x14ac:dyDescent="0.3">
      <c r="I3233" s="7"/>
      <c r="J3233" s="9"/>
      <c r="K3233" s="9"/>
      <c r="L3233" s="9"/>
      <c r="M3233" s="9"/>
    </row>
    <row r="3234" spans="9:13" x14ac:dyDescent="0.3">
      <c r="I3234" s="7"/>
      <c r="J3234" s="9"/>
      <c r="K3234" s="9"/>
      <c r="L3234" s="9"/>
      <c r="M3234" s="9"/>
    </row>
    <row r="3235" spans="9:13" x14ac:dyDescent="0.3">
      <c r="I3235" s="7"/>
      <c r="J3235" s="9"/>
      <c r="K3235" s="9"/>
      <c r="L3235" s="9"/>
      <c r="M3235" s="9"/>
    </row>
    <row r="3236" spans="9:13" x14ac:dyDescent="0.3">
      <c r="I3236" s="7"/>
      <c r="J3236" s="9"/>
      <c r="K3236" s="9"/>
      <c r="L3236" s="9"/>
      <c r="M3236" s="9"/>
    </row>
    <row r="3237" spans="9:13" x14ac:dyDescent="0.3">
      <c r="I3237" s="7"/>
      <c r="J3237" s="9"/>
      <c r="K3237" s="9"/>
      <c r="L3237" s="9"/>
      <c r="M3237" s="9"/>
    </row>
    <row r="3238" spans="9:13" x14ac:dyDescent="0.3">
      <c r="I3238" s="7"/>
      <c r="J3238" s="9"/>
      <c r="K3238" s="9"/>
      <c r="L3238" s="9"/>
      <c r="M3238" s="9"/>
    </row>
    <row r="3239" spans="9:13" x14ac:dyDescent="0.3">
      <c r="I3239" s="7"/>
      <c r="J3239" s="9"/>
      <c r="K3239" s="9"/>
      <c r="L3239" s="9"/>
      <c r="M3239" s="9"/>
    </row>
    <row r="3240" spans="9:13" x14ac:dyDescent="0.3">
      <c r="I3240" s="7"/>
      <c r="J3240" s="9"/>
      <c r="K3240" s="9"/>
      <c r="L3240" s="9"/>
      <c r="M3240" s="9"/>
    </row>
    <row r="3241" spans="9:13" x14ac:dyDescent="0.3">
      <c r="I3241" s="7"/>
      <c r="J3241" s="9"/>
      <c r="K3241" s="9"/>
      <c r="L3241" s="9"/>
      <c r="M3241" s="9"/>
    </row>
    <row r="3242" spans="9:13" x14ac:dyDescent="0.3">
      <c r="I3242" s="7"/>
      <c r="J3242" s="9"/>
      <c r="K3242" s="9"/>
      <c r="L3242" s="9"/>
      <c r="M3242" s="9"/>
    </row>
    <row r="3243" spans="9:13" x14ac:dyDescent="0.3">
      <c r="I3243" s="7"/>
      <c r="J3243" s="9"/>
      <c r="K3243" s="9"/>
      <c r="L3243" s="9"/>
      <c r="M3243" s="9"/>
    </row>
    <row r="3244" spans="9:13" x14ac:dyDescent="0.3">
      <c r="I3244" s="7"/>
      <c r="J3244" s="9"/>
      <c r="K3244" s="9"/>
      <c r="L3244" s="9"/>
      <c r="M3244" s="9"/>
    </row>
    <row r="3245" spans="9:13" x14ac:dyDescent="0.3">
      <c r="I3245" s="7"/>
      <c r="J3245" s="9"/>
      <c r="K3245" s="9"/>
      <c r="L3245" s="9"/>
      <c r="M3245" s="9"/>
    </row>
    <row r="3246" spans="9:13" x14ac:dyDescent="0.3">
      <c r="I3246" s="7"/>
      <c r="J3246" s="9"/>
      <c r="K3246" s="9"/>
      <c r="L3246" s="9"/>
      <c r="M3246" s="9"/>
    </row>
    <row r="3247" spans="9:13" x14ac:dyDescent="0.3">
      <c r="I3247" s="7"/>
      <c r="J3247" s="9"/>
      <c r="K3247" s="9"/>
      <c r="L3247" s="9"/>
      <c r="M3247" s="9"/>
    </row>
    <row r="3248" spans="9:13" x14ac:dyDescent="0.3">
      <c r="I3248" s="7"/>
      <c r="J3248" s="9"/>
      <c r="K3248" s="9"/>
      <c r="L3248" s="9"/>
      <c r="M3248" s="9"/>
    </row>
    <row r="3249" spans="9:13" x14ac:dyDescent="0.3">
      <c r="I3249" s="7"/>
      <c r="J3249" s="9"/>
      <c r="K3249" s="9"/>
      <c r="L3249" s="9"/>
      <c r="M3249" s="9"/>
    </row>
    <row r="3250" spans="9:13" x14ac:dyDescent="0.3">
      <c r="I3250" s="7"/>
      <c r="J3250" s="9"/>
      <c r="K3250" s="9"/>
      <c r="L3250" s="9"/>
      <c r="M3250" s="9"/>
    </row>
    <row r="3251" spans="9:13" x14ac:dyDescent="0.3">
      <c r="I3251" s="7"/>
      <c r="J3251" s="9"/>
      <c r="K3251" s="9"/>
      <c r="L3251" s="9"/>
      <c r="M3251" s="9"/>
    </row>
    <row r="3252" spans="9:13" x14ac:dyDescent="0.3">
      <c r="I3252" s="7"/>
      <c r="J3252" s="9"/>
      <c r="K3252" s="9"/>
      <c r="L3252" s="9"/>
      <c r="M3252" s="9"/>
    </row>
    <row r="3253" spans="9:13" x14ac:dyDescent="0.3">
      <c r="I3253" s="7"/>
      <c r="J3253" s="9"/>
      <c r="K3253" s="9"/>
      <c r="L3253" s="9"/>
      <c r="M3253" s="9"/>
    </row>
    <row r="3254" spans="9:13" x14ac:dyDescent="0.3">
      <c r="I3254" s="7"/>
      <c r="J3254" s="9"/>
      <c r="K3254" s="9"/>
      <c r="L3254" s="9"/>
      <c r="M3254" s="9"/>
    </row>
    <row r="3255" spans="9:13" x14ac:dyDescent="0.3">
      <c r="I3255" s="7"/>
      <c r="J3255" s="9"/>
      <c r="K3255" s="9"/>
      <c r="L3255" s="9"/>
      <c r="M3255" s="9"/>
    </row>
    <row r="3256" spans="9:13" x14ac:dyDescent="0.3">
      <c r="I3256" s="7"/>
      <c r="J3256" s="9"/>
      <c r="K3256" s="9"/>
      <c r="L3256" s="9"/>
      <c r="M3256" s="9"/>
    </row>
    <row r="3257" spans="9:13" x14ac:dyDescent="0.3">
      <c r="I3257" s="7"/>
      <c r="J3257" s="9"/>
      <c r="K3257" s="9"/>
      <c r="L3257" s="9"/>
      <c r="M3257" s="9"/>
    </row>
    <row r="3258" spans="9:13" x14ac:dyDescent="0.3">
      <c r="I3258" s="7"/>
      <c r="J3258" s="9"/>
      <c r="K3258" s="9"/>
      <c r="L3258" s="9"/>
      <c r="M3258" s="9"/>
    </row>
    <row r="3259" spans="9:13" x14ac:dyDescent="0.3">
      <c r="I3259" s="7"/>
      <c r="J3259" s="9"/>
      <c r="K3259" s="9"/>
      <c r="L3259" s="9"/>
      <c r="M3259" s="9"/>
    </row>
    <row r="3260" spans="9:13" x14ac:dyDescent="0.3">
      <c r="I3260" s="7"/>
      <c r="J3260" s="9"/>
      <c r="K3260" s="9"/>
      <c r="L3260" s="9"/>
      <c r="M3260" s="9"/>
    </row>
    <row r="3261" spans="9:13" x14ac:dyDescent="0.3">
      <c r="I3261" s="7"/>
      <c r="J3261" s="9"/>
      <c r="K3261" s="9"/>
      <c r="L3261" s="9"/>
      <c r="M3261" s="9"/>
    </row>
    <row r="3262" spans="9:13" x14ac:dyDescent="0.3">
      <c r="I3262" s="7"/>
      <c r="J3262" s="9"/>
      <c r="K3262" s="9"/>
      <c r="L3262" s="9"/>
      <c r="M3262" s="9"/>
    </row>
    <row r="3263" spans="9:13" x14ac:dyDescent="0.3">
      <c r="I3263" s="7"/>
      <c r="J3263" s="9"/>
      <c r="K3263" s="9"/>
      <c r="L3263" s="9"/>
      <c r="M3263" s="9"/>
    </row>
    <row r="3264" spans="9:13" x14ac:dyDescent="0.3">
      <c r="I3264" s="7"/>
      <c r="J3264" s="9"/>
      <c r="K3264" s="9"/>
      <c r="L3264" s="9"/>
      <c r="M3264" s="9"/>
    </row>
    <row r="3265" spans="9:13" x14ac:dyDescent="0.3">
      <c r="I3265" s="7"/>
      <c r="J3265" s="9"/>
      <c r="K3265" s="9"/>
      <c r="L3265" s="9"/>
      <c r="M3265" s="9"/>
    </row>
    <row r="3266" spans="9:13" x14ac:dyDescent="0.3">
      <c r="I3266" s="7"/>
      <c r="J3266" s="9"/>
      <c r="K3266" s="9"/>
      <c r="L3266" s="9"/>
      <c r="M3266" s="9"/>
    </row>
    <row r="3267" spans="9:13" x14ac:dyDescent="0.3">
      <c r="I3267" s="7"/>
      <c r="J3267" s="9"/>
      <c r="K3267" s="9"/>
      <c r="L3267" s="9"/>
      <c r="M3267" s="9"/>
    </row>
    <row r="3268" spans="9:13" x14ac:dyDescent="0.3">
      <c r="I3268" s="7"/>
      <c r="J3268" s="9"/>
      <c r="K3268" s="9"/>
      <c r="L3268" s="9"/>
      <c r="M3268" s="9"/>
    </row>
    <row r="3269" spans="9:13" x14ac:dyDescent="0.3">
      <c r="I3269" s="7"/>
      <c r="J3269" s="9"/>
      <c r="K3269" s="9"/>
      <c r="L3269" s="9"/>
      <c r="M3269" s="9"/>
    </row>
    <row r="3270" spans="9:13" x14ac:dyDescent="0.3">
      <c r="I3270" s="7"/>
      <c r="J3270" s="9"/>
      <c r="K3270" s="9"/>
      <c r="L3270" s="9"/>
      <c r="M3270" s="9"/>
    </row>
    <row r="3271" spans="9:13" x14ac:dyDescent="0.3">
      <c r="I3271" s="7"/>
      <c r="J3271" s="9"/>
      <c r="K3271" s="9"/>
      <c r="L3271" s="9"/>
      <c r="M3271" s="9"/>
    </row>
    <row r="3272" spans="9:13" x14ac:dyDescent="0.3">
      <c r="I3272" s="7"/>
      <c r="J3272" s="9"/>
      <c r="K3272" s="9"/>
      <c r="L3272" s="9"/>
      <c r="M3272" s="9"/>
    </row>
    <row r="3273" spans="9:13" x14ac:dyDescent="0.3">
      <c r="I3273" s="7"/>
      <c r="J3273" s="9"/>
      <c r="K3273" s="9"/>
      <c r="L3273" s="9"/>
      <c r="M3273" s="9"/>
    </row>
    <row r="3274" spans="9:13" x14ac:dyDescent="0.3">
      <c r="I3274" s="7"/>
      <c r="J3274" s="9"/>
      <c r="K3274" s="9"/>
      <c r="L3274" s="9"/>
      <c r="M3274" s="9"/>
    </row>
    <row r="3275" spans="9:13" x14ac:dyDescent="0.3">
      <c r="I3275" s="7"/>
      <c r="J3275" s="9"/>
      <c r="K3275" s="9"/>
      <c r="L3275" s="9"/>
      <c r="M3275" s="9"/>
    </row>
    <row r="3276" spans="9:13" x14ac:dyDescent="0.3">
      <c r="I3276" s="7"/>
      <c r="J3276" s="9"/>
      <c r="K3276" s="9"/>
      <c r="L3276" s="9"/>
      <c r="M3276" s="9"/>
    </row>
    <row r="3277" spans="9:13" x14ac:dyDescent="0.3">
      <c r="I3277" s="7"/>
      <c r="J3277" s="9"/>
      <c r="K3277" s="9"/>
      <c r="L3277" s="9"/>
      <c r="M3277" s="9"/>
    </row>
    <row r="3278" spans="9:13" x14ac:dyDescent="0.3">
      <c r="I3278" s="7"/>
      <c r="J3278" s="9"/>
      <c r="K3278" s="9"/>
      <c r="L3278" s="9"/>
      <c r="M3278" s="9"/>
    </row>
    <row r="3279" spans="9:13" x14ac:dyDescent="0.3">
      <c r="I3279" s="7"/>
      <c r="J3279" s="9"/>
      <c r="K3279" s="9"/>
      <c r="L3279" s="9"/>
      <c r="M3279" s="9"/>
    </row>
    <row r="3280" spans="9:13" x14ac:dyDescent="0.3">
      <c r="I3280" s="7"/>
      <c r="J3280" s="9"/>
      <c r="K3280" s="9"/>
      <c r="L3280" s="9"/>
      <c r="M3280" s="9"/>
    </row>
    <row r="3281" spans="9:13" x14ac:dyDescent="0.3">
      <c r="I3281" s="7"/>
      <c r="J3281" s="9"/>
      <c r="K3281" s="9"/>
      <c r="L3281" s="9"/>
      <c r="M3281" s="9"/>
    </row>
    <row r="3282" spans="9:13" x14ac:dyDescent="0.3">
      <c r="I3282" s="7"/>
      <c r="J3282" s="9"/>
      <c r="K3282" s="9"/>
      <c r="L3282" s="9"/>
      <c r="M3282" s="9"/>
    </row>
    <row r="3283" spans="9:13" x14ac:dyDescent="0.3">
      <c r="I3283" s="7"/>
      <c r="J3283" s="9"/>
      <c r="K3283" s="9"/>
      <c r="L3283" s="9"/>
      <c r="M3283" s="9"/>
    </row>
    <row r="3284" spans="9:13" x14ac:dyDescent="0.3">
      <c r="I3284" s="7"/>
      <c r="J3284" s="9"/>
      <c r="K3284" s="9"/>
      <c r="L3284" s="9"/>
      <c r="M3284" s="9"/>
    </row>
    <row r="3285" spans="9:13" x14ac:dyDescent="0.3">
      <c r="I3285" s="7"/>
      <c r="J3285" s="9"/>
      <c r="K3285" s="9"/>
      <c r="L3285" s="9"/>
      <c r="M3285" s="9"/>
    </row>
    <row r="3286" spans="9:13" x14ac:dyDescent="0.3">
      <c r="I3286" s="7"/>
      <c r="J3286" s="9"/>
      <c r="K3286" s="9"/>
      <c r="L3286" s="9"/>
      <c r="M3286" s="9"/>
    </row>
    <row r="3287" spans="9:13" x14ac:dyDescent="0.3">
      <c r="I3287" s="7"/>
      <c r="J3287" s="9"/>
      <c r="K3287" s="9"/>
      <c r="L3287" s="9"/>
      <c r="M3287" s="9"/>
    </row>
    <row r="3288" spans="9:13" x14ac:dyDescent="0.3">
      <c r="I3288" s="7"/>
      <c r="J3288" s="9"/>
      <c r="K3288" s="9"/>
      <c r="L3288" s="9"/>
      <c r="M3288" s="9"/>
    </row>
    <row r="3289" spans="9:13" x14ac:dyDescent="0.3">
      <c r="I3289" s="7"/>
      <c r="J3289" s="9"/>
      <c r="K3289" s="9"/>
      <c r="L3289" s="9"/>
      <c r="M3289" s="9"/>
    </row>
    <row r="3290" spans="9:13" x14ac:dyDescent="0.3">
      <c r="I3290" s="7"/>
      <c r="J3290" s="9"/>
      <c r="K3290" s="9"/>
      <c r="L3290" s="9"/>
      <c r="M3290" s="9"/>
    </row>
    <row r="3291" spans="9:13" x14ac:dyDescent="0.3">
      <c r="I3291" s="7"/>
      <c r="J3291" s="9"/>
      <c r="K3291" s="9"/>
      <c r="L3291" s="9"/>
      <c r="M3291" s="9"/>
    </row>
    <row r="3292" spans="9:13" x14ac:dyDescent="0.3">
      <c r="I3292" s="7"/>
      <c r="J3292" s="9"/>
      <c r="K3292" s="9"/>
      <c r="L3292" s="9"/>
      <c r="M3292" s="9"/>
    </row>
    <row r="3293" spans="9:13" x14ac:dyDescent="0.3">
      <c r="I3293" s="7"/>
      <c r="J3293" s="9"/>
      <c r="K3293" s="9"/>
      <c r="L3293" s="9"/>
      <c r="M3293" s="9"/>
    </row>
    <row r="3294" spans="9:13" x14ac:dyDescent="0.3">
      <c r="I3294" s="7"/>
      <c r="J3294" s="9"/>
      <c r="K3294" s="9"/>
      <c r="L3294" s="9"/>
      <c r="M3294" s="9"/>
    </row>
    <row r="3295" spans="9:13" x14ac:dyDescent="0.3">
      <c r="I3295" s="7"/>
      <c r="J3295" s="9"/>
      <c r="K3295" s="9"/>
      <c r="L3295" s="9"/>
      <c r="M3295" s="9"/>
    </row>
    <row r="3296" spans="9:13" x14ac:dyDescent="0.3">
      <c r="I3296" s="7"/>
      <c r="J3296" s="9"/>
      <c r="K3296" s="9"/>
      <c r="L3296" s="9"/>
      <c r="M3296" s="9"/>
    </row>
    <row r="3297" spans="9:13" x14ac:dyDescent="0.3">
      <c r="I3297" s="7"/>
      <c r="J3297" s="9"/>
      <c r="K3297" s="9"/>
      <c r="L3297" s="9"/>
      <c r="M3297" s="9"/>
    </row>
    <row r="3298" spans="9:13" x14ac:dyDescent="0.3">
      <c r="I3298" s="7"/>
      <c r="J3298" s="9"/>
      <c r="K3298" s="9"/>
      <c r="L3298" s="9"/>
      <c r="M3298" s="9"/>
    </row>
    <row r="3299" spans="9:13" x14ac:dyDescent="0.3">
      <c r="I3299" s="7"/>
      <c r="J3299" s="9"/>
      <c r="K3299" s="9"/>
      <c r="L3299" s="9"/>
      <c r="M3299" s="9"/>
    </row>
    <row r="3300" spans="9:13" x14ac:dyDescent="0.3">
      <c r="I3300" s="7"/>
      <c r="J3300" s="9"/>
      <c r="K3300" s="9"/>
      <c r="L3300" s="9"/>
      <c r="M3300" s="9"/>
    </row>
    <row r="3301" spans="9:13" x14ac:dyDescent="0.3">
      <c r="I3301" s="7"/>
      <c r="J3301" s="9"/>
      <c r="K3301" s="9"/>
      <c r="L3301" s="9"/>
      <c r="M3301" s="9"/>
    </row>
    <row r="3302" spans="9:13" x14ac:dyDescent="0.3">
      <c r="I3302" s="7"/>
      <c r="J3302" s="9"/>
      <c r="K3302" s="9"/>
      <c r="L3302" s="9"/>
      <c r="M3302" s="9"/>
    </row>
    <row r="3303" spans="9:13" x14ac:dyDescent="0.3">
      <c r="I3303" s="7"/>
      <c r="J3303" s="9"/>
      <c r="K3303" s="9"/>
      <c r="L3303" s="9"/>
      <c r="M3303" s="9"/>
    </row>
    <row r="3304" spans="9:13" x14ac:dyDescent="0.3">
      <c r="I3304" s="7"/>
      <c r="J3304" s="9"/>
      <c r="K3304" s="9"/>
      <c r="L3304" s="9"/>
      <c r="M3304" s="9"/>
    </row>
    <row r="3305" spans="9:13" x14ac:dyDescent="0.3">
      <c r="I3305" s="7"/>
      <c r="J3305" s="9"/>
      <c r="K3305" s="9"/>
      <c r="L3305" s="9"/>
      <c r="M3305" s="9"/>
    </row>
    <row r="3306" spans="9:13" x14ac:dyDescent="0.3">
      <c r="I3306" s="7"/>
      <c r="J3306" s="9"/>
      <c r="K3306" s="9"/>
      <c r="L3306" s="9"/>
      <c r="M3306" s="9"/>
    </row>
    <row r="3307" spans="9:13" x14ac:dyDescent="0.3">
      <c r="I3307" s="7"/>
      <c r="J3307" s="9"/>
      <c r="K3307" s="9"/>
      <c r="L3307" s="9"/>
      <c r="M3307" s="9"/>
    </row>
    <row r="3308" spans="9:13" x14ac:dyDescent="0.3">
      <c r="I3308" s="7"/>
      <c r="J3308" s="9"/>
      <c r="K3308" s="9"/>
      <c r="L3308" s="9"/>
      <c r="M3308" s="9"/>
    </row>
    <row r="3309" spans="9:13" x14ac:dyDescent="0.3">
      <c r="I3309" s="7"/>
      <c r="J3309" s="9"/>
      <c r="K3309" s="9"/>
      <c r="L3309" s="9"/>
      <c r="M3309" s="9"/>
    </row>
    <row r="3310" spans="9:13" x14ac:dyDescent="0.3">
      <c r="I3310" s="7"/>
      <c r="J3310" s="9"/>
      <c r="K3310" s="9"/>
      <c r="L3310" s="9"/>
      <c r="M3310" s="9"/>
    </row>
    <row r="3311" spans="9:13" x14ac:dyDescent="0.3">
      <c r="I3311" s="7"/>
      <c r="J3311" s="9"/>
      <c r="K3311" s="9"/>
      <c r="L3311" s="9"/>
      <c r="M3311" s="9"/>
    </row>
    <row r="3312" spans="9:13" x14ac:dyDescent="0.3">
      <c r="I3312" s="7"/>
      <c r="J3312" s="9"/>
      <c r="K3312" s="9"/>
      <c r="L3312" s="9"/>
      <c r="M3312" s="9"/>
    </row>
    <row r="3313" spans="9:13" x14ac:dyDescent="0.3">
      <c r="I3313" s="7"/>
      <c r="J3313" s="9"/>
      <c r="K3313" s="9"/>
      <c r="L3313" s="9"/>
      <c r="M3313" s="9"/>
    </row>
    <row r="3314" spans="9:13" x14ac:dyDescent="0.3">
      <c r="I3314" s="7"/>
      <c r="J3314" s="9"/>
      <c r="K3314" s="9"/>
      <c r="L3314" s="9"/>
      <c r="M3314" s="9"/>
    </row>
    <row r="3315" spans="9:13" x14ac:dyDescent="0.3">
      <c r="I3315" s="7"/>
      <c r="J3315" s="9"/>
      <c r="K3315" s="9"/>
      <c r="L3315" s="9"/>
      <c r="M3315" s="9"/>
    </row>
    <row r="3316" spans="9:13" x14ac:dyDescent="0.3">
      <c r="I3316" s="7"/>
      <c r="J3316" s="9"/>
      <c r="K3316" s="9"/>
      <c r="L3316" s="9"/>
      <c r="M3316" s="9"/>
    </row>
    <row r="3317" spans="9:13" x14ac:dyDescent="0.3">
      <c r="I3317" s="7"/>
      <c r="J3317" s="9"/>
      <c r="K3317" s="9"/>
      <c r="L3317" s="9"/>
      <c r="M3317" s="9"/>
    </row>
    <row r="3318" spans="9:13" x14ac:dyDescent="0.3">
      <c r="I3318" s="7"/>
      <c r="J3318" s="9"/>
      <c r="K3318" s="9"/>
      <c r="L3318" s="9"/>
      <c r="M3318" s="9"/>
    </row>
    <row r="3319" spans="9:13" x14ac:dyDescent="0.3">
      <c r="I3319" s="7"/>
      <c r="J3319" s="9"/>
      <c r="K3319" s="9"/>
      <c r="L3319" s="9"/>
      <c r="M3319" s="9"/>
    </row>
    <row r="3320" spans="9:13" x14ac:dyDescent="0.3">
      <c r="I3320" s="7"/>
      <c r="J3320" s="9"/>
      <c r="K3320" s="9"/>
      <c r="L3320" s="9"/>
      <c r="M3320" s="9"/>
    </row>
    <row r="3321" spans="9:13" x14ac:dyDescent="0.3">
      <c r="I3321" s="7"/>
      <c r="J3321" s="9"/>
      <c r="K3321" s="9"/>
      <c r="L3321" s="9"/>
      <c r="M3321" s="9"/>
    </row>
    <row r="3322" spans="9:13" x14ac:dyDescent="0.3">
      <c r="I3322" s="7"/>
      <c r="J3322" s="9"/>
      <c r="K3322" s="9"/>
      <c r="L3322" s="9"/>
      <c r="M3322" s="9"/>
    </row>
    <row r="3323" spans="9:13" x14ac:dyDescent="0.3">
      <c r="I3323" s="7"/>
      <c r="J3323" s="9"/>
      <c r="K3323" s="9"/>
      <c r="L3323" s="9"/>
      <c r="M3323" s="9"/>
    </row>
    <row r="3324" spans="9:13" x14ac:dyDescent="0.3">
      <c r="I3324" s="7"/>
      <c r="J3324" s="9"/>
      <c r="K3324" s="9"/>
      <c r="L3324" s="9"/>
      <c r="M3324" s="9"/>
    </row>
    <row r="3325" spans="9:13" x14ac:dyDescent="0.3">
      <c r="I3325" s="7"/>
      <c r="J3325" s="9"/>
      <c r="K3325" s="9"/>
      <c r="L3325" s="9"/>
      <c r="M3325" s="9"/>
    </row>
    <row r="3326" spans="9:13" x14ac:dyDescent="0.3">
      <c r="I3326" s="7"/>
      <c r="J3326" s="9"/>
      <c r="K3326" s="9"/>
      <c r="L3326" s="9"/>
      <c r="M3326" s="9"/>
    </row>
    <row r="3327" spans="9:13" x14ac:dyDescent="0.3">
      <c r="I3327" s="7"/>
      <c r="J3327" s="9"/>
      <c r="K3327" s="9"/>
      <c r="L3327" s="9"/>
      <c r="M3327" s="9"/>
    </row>
    <row r="3328" spans="9:13" x14ac:dyDescent="0.3">
      <c r="I3328" s="7"/>
      <c r="J3328" s="9"/>
      <c r="K3328" s="9"/>
      <c r="L3328" s="9"/>
      <c r="M3328" s="9"/>
    </row>
    <row r="3329" spans="9:13" x14ac:dyDescent="0.3">
      <c r="I3329" s="7"/>
      <c r="J3329" s="9"/>
      <c r="K3329" s="9"/>
      <c r="L3329" s="9"/>
      <c r="M3329" s="9"/>
    </row>
    <row r="3330" spans="9:13" x14ac:dyDescent="0.3">
      <c r="I3330" s="7"/>
      <c r="J3330" s="9"/>
      <c r="K3330" s="9"/>
      <c r="L3330" s="9"/>
      <c r="M3330" s="9"/>
    </row>
    <row r="3331" spans="9:13" x14ac:dyDescent="0.3">
      <c r="I3331" s="7"/>
      <c r="J3331" s="9"/>
      <c r="K3331" s="9"/>
      <c r="L3331" s="9"/>
      <c r="M3331" s="9"/>
    </row>
    <row r="3332" spans="9:13" x14ac:dyDescent="0.3">
      <c r="I3332" s="7"/>
      <c r="J3332" s="9"/>
      <c r="K3332" s="9"/>
      <c r="L3332" s="9"/>
      <c r="M3332" s="9"/>
    </row>
    <row r="3333" spans="9:13" x14ac:dyDescent="0.3">
      <c r="I3333" s="7"/>
      <c r="J3333" s="9"/>
      <c r="K3333" s="9"/>
      <c r="L3333" s="9"/>
      <c r="M3333" s="9"/>
    </row>
    <row r="3334" spans="9:13" x14ac:dyDescent="0.3">
      <c r="I3334" s="7"/>
      <c r="J3334" s="9"/>
      <c r="K3334" s="9"/>
      <c r="L3334" s="9"/>
      <c r="M3334" s="9"/>
    </row>
    <row r="3335" spans="9:13" x14ac:dyDescent="0.3">
      <c r="I3335" s="7"/>
      <c r="J3335" s="9"/>
      <c r="K3335" s="9"/>
      <c r="L3335" s="9"/>
      <c r="M3335" s="9"/>
    </row>
    <row r="3336" spans="9:13" x14ac:dyDescent="0.3">
      <c r="I3336" s="7"/>
      <c r="J3336" s="9"/>
      <c r="K3336" s="9"/>
      <c r="L3336" s="9"/>
      <c r="M3336" s="9"/>
    </row>
    <row r="3337" spans="9:13" x14ac:dyDescent="0.3">
      <c r="I3337" s="7"/>
      <c r="J3337" s="9"/>
      <c r="K3337" s="9"/>
      <c r="L3337" s="9"/>
      <c r="M3337" s="9"/>
    </row>
    <row r="3338" spans="9:13" x14ac:dyDescent="0.3">
      <c r="I3338" s="7"/>
      <c r="J3338" s="9"/>
      <c r="K3338" s="9"/>
      <c r="L3338" s="9"/>
      <c r="M3338" s="9"/>
    </row>
    <row r="3339" spans="9:13" x14ac:dyDescent="0.3">
      <c r="I3339" s="7"/>
      <c r="J3339" s="9"/>
      <c r="K3339" s="9"/>
      <c r="L3339" s="9"/>
      <c r="M3339" s="9"/>
    </row>
    <row r="3340" spans="9:13" x14ac:dyDescent="0.3">
      <c r="I3340" s="7"/>
      <c r="J3340" s="9"/>
      <c r="K3340" s="9"/>
      <c r="L3340" s="9"/>
      <c r="M3340" s="9"/>
    </row>
    <row r="3341" spans="9:13" x14ac:dyDescent="0.3">
      <c r="I3341" s="7"/>
      <c r="J3341" s="9"/>
      <c r="K3341" s="9"/>
      <c r="L3341" s="9"/>
      <c r="M3341" s="9"/>
    </row>
    <row r="3342" spans="9:13" x14ac:dyDescent="0.3">
      <c r="I3342" s="7"/>
      <c r="J3342" s="9"/>
      <c r="K3342" s="9"/>
      <c r="L3342" s="9"/>
      <c r="M3342" s="9"/>
    </row>
    <row r="3343" spans="9:13" x14ac:dyDescent="0.3">
      <c r="I3343" s="7"/>
      <c r="J3343" s="9"/>
      <c r="K3343" s="9"/>
      <c r="L3343" s="9"/>
      <c r="M3343" s="9"/>
    </row>
    <row r="3344" spans="9:13" x14ac:dyDescent="0.3">
      <c r="I3344" s="7"/>
      <c r="J3344" s="9"/>
      <c r="K3344" s="9"/>
      <c r="L3344" s="9"/>
      <c r="M3344" s="9"/>
    </row>
    <row r="3345" spans="9:13" x14ac:dyDescent="0.3">
      <c r="I3345" s="7"/>
      <c r="J3345" s="9"/>
      <c r="K3345" s="9"/>
      <c r="L3345" s="9"/>
      <c r="M3345" s="9"/>
    </row>
    <row r="3346" spans="9:13" x14ac:dyDescent="0.3">
      <c r="I3346" s="7"/>
      <c r="J3346" s="9"/>
      <c r="K3346" s="9"/>
      <c r="L3346" s="9"/>
      <c r="M3346" s="9"/>
    </row>
    <row r="3347" spans="9:13" x14ac:dyDescent="0.3">
      <c r="I3347" s="7"/>
      <c r="J3347" s="9"/>
      <c r="K3347" s="9"/>
      <c r="L3347" s="9"/>
      <c r="M3347" s="9"/>
    </row>
    <row r="3348" spans="9:13" x14ac:dyDescent="0.3">
      <c r="I3348" s="7"/>
      <c r="J3348" s="9"/>
      <c r="K3348" s="9"/>
      <c r="L3348" s="9"/>
      <c r="M3348" s="9"/>
    </row>
    <row r="3349" spans="9:13" x14ac:dyDescent="0.3">
      <c r="I3349" s="7"/>
      <c r="J3349" s="9"/>
      <c r="K3349" s="9"/>
      <c r="L3349" s="9"/>
      <c r="M3349" s="9"/>
    </row>
    <row r="3350" spans="9:13" x14ac:dyDescent="0.3">
      <c r="I3350" s="7"/>
      <c r="J3350" s="9"/>
      <c r="K3350" s="9"/>
      <c r="L3350" s="9"/>
      <c r="M3350" s="9"/>
    </row>
    <row r="3351" spans="9:13" x14ac:dyDescent="0.3">
      <c r="I3351" s="7"/>
      <c r="J3351" s="9"/>
      <c r="K3351" s="9"/>
      <c r="L3351" s="9"/>
      <c r="M3351" s="9"/>
    </row>
    <row r="3352" spans="9:13" x14ac:dyDescent="0.3">
      <c r="I3352" s="7"/>
      <c r="J3352" s="9"/>
      <c r="K3352" s="9"/>
      <c r="L3352" s="9"/>
      <c r="M3352" s="9"/>
    </row>
    <row r="3353" spans="9:13" x14ac:dyDescent="0.3">
      <c r="I3353" s="7"/>
      <c r="J3353" s="9"/>
      <c r="K3353" s="9"/>
      <c r="L3353" s="9"/>
      <c r="M3353" s="9"/>
    </row>
    <row r="3354" spans="9:13" x14ac:dyDescent="0.3">
      <c r="I3354" s="7"/>
      <c r="J3354" s="9"/>
      <c r="K3354" s="9"/>
      <c r="L3354" s="9"/>
      <c r="M3354" s="9"/>
    </row>
    <row r="3355" spans="9:13" x14ac:dyDescent="0.3">
      <c r="I3355" s="7"/>
      <c r="J3355" s="9"/>
      <c r="K3355" s="9"/>
      <c r="L3355" s="9"/>
      <c r="M3355" s="9"/>
    </row>
    <row r="3356" spans="9:13" x14ac:dyDescent="0.3">
      <c r="I3356" s="7"/>
      <c r="J3356" s="9"/>
      <c r="K3356" s="9"/>
      <c r="L3356" s="9"/>
      <c r="M3356" s="9"/>
    </row>
    <row r="3357" spans="9:13" x14ac:dyDescent="0.3">
      <c r="I3357" s="7"/>
      <c r="J3357" s="9"/>
      <c r="K3357" s="9"/>
      <c r="L3357" s="9"/>
      <c r="M3357" s="9"/>
    </row>
    <row r="3358" spans="9:13" x14ac:dyDescent="0.3">
      <c r="I3358" s="7"/>
      <c r="J3358" s="9"/>
      <c r="K3358" s="9"/>
      <c r="L3358" s="9"/>
      <c r="M3358" s="9"/>
    </row>
    <row r="3359" spans="9:13" x14ac:dyDescent="0.3">
      <c r="I3359" s="7"/>
      <c r="J3359" s="9"/>
      <c r="K3359" s="9"/>
      <c r="L3359" s="9"/>
      <c r="M3359" s="9"/>
    </row>
    <row r="3360" spans="9:13" x14ac:dyDescent="0.3">
      <c r="I3360" s="7"/>
      <c r="J3360" s="9"/>
      <c r="K3360" s="9"/>
      <c r="L3360" s="9"/>
      <c r="M3360" s="9"/>
    </row>
    <row r="3361" spans="9:13" x14ac:dyDescent="0.3">
      <c r="I3361" s="7"/>
      <c r="J3361" s="9"/>
      <c r="K3361" s="9"/>
      <c r="L3361" s="9"/>
      <c r="M3361" s="9"/>
    </row>
    <row r="3362" spans="9:13" x14ac:dyDescent="0.3">
      <c r="I3362" s="7"/>
      <c r="J3362" s="9"/>
      <c r="K3362" s="9"/>
      <c r="L3362" s="9"/>
      <c r="M3362" s="9"/>
    </row>
    <row r="3363" spans="9:13" x14ac:dyDescent="0.3">
      <c r="I3363" s="7"/>
      <c r="J3363" s="9"/>
      <c r="K3363" s="9"/>
      <c r="L3363" s="9"/>
      <c r="M3363" s="9"/>
    </row>
    <row r="3364" spans="9:13" x14ac:dyDescent="0.3">
      <c r="I3364" s="7"/>
      <c r="J3364" s="9"/>
      <c r="K3364" s="9"/>
      <c r="L3364" s="9"/>
      <c r="M3364" s="9"/>
    </row>
    <row r="3365" spans="9:13" x14ac:dyDescent="0.3">
      <c r="I3365" s="7"/>
      <c r="J3365" s="9"/>
      <c r="K3365" s="9"/>
      <c r="L3365" s="9"/>
      <c r="M3365" s="9"/>
    </row>
    <row r="3366" spans="9:13" x14ac:dyDescent="0.3">
      <c r="I3366" s="7"/>
      <c r="J3366" s="9"/>
      <c r="K3366" s="9"/>
      <c r="L3366" s="9"/>
      <c r="M3366" s="9"/>
    </row>
    <row r="3367" spans="9:13" x14ac:dyDescent="0.3">
      <c r="I3367" s="7"/>
      <c r="J3367" s="9"/>
      <c r="K3367" s="9"/>
      <c r="L3367" s="9"/>
      <c r="M3367" s="9"/>
    </row>
    <row r="3368" spans="9:13" x14ac:dyDescent="0.3">
      <c r="I3368" s="7"/>
      <c r="J3368" s="9"/>
      <c r="K3368" s="9"/>
      <c r="L3368" s="9"/>
      <c r="M3368" s="9"/>
    </row>
    <row r="3369" spans="9:13" x14ac:dyDescent="0.3">
      <c r="I3369" s="7"/>
      <c r="J3369" s="9"/>
      <c r="K3369" s="9"/>
      <c r="L3369" s="9"/>
      <c r="M3369" s="9"/>
    </row>
    <row r="3370" spans="9:13" x14ac:dyDescent="0.3">
      <c r="I3370" s="7"/>
      <c r="J3370" s="9"/>
      <c r="K3370" s="9"/>
      <c r="L3370" s="9"/>
      <c r="M3370" s="9"/>
    </row>
    <row r="3371" spans="9:13" x14ac:dyDescent="0.3">
      <c r="I3371" s="7"/>
      <c r="J3371" s="9"/>
      <c r="K3371" s="9"/>
      <c r="L3371" s="9"/>
      <c r="M3371" s="9"/>
    </row>
    <row r="3372" spans="9:13" x14ac:dyDescent="0.3">
      <c r="I3372" s="7"/>
      <c r="J3372" s="9"/>
      <c r="K3372" s="9"/>
      <c r="L3372" s="9"/>
      <c r="M3372" s="9"/>
    </row>
    <row r="3373" spans="9:13" x14ac:dyDescent="0.3">
      <c r="I3373" s="7"/>
      <c r="J3373" s="9"/>
      <c r="K3373" s="9"/>
      <c r="L3373" s="9"/>
      <c r="M3373" s="9"/>
    </row>
    <row r="3374" spans="9:13" x14ac:dyDescent="0.3">
      <c r="I3374" s="7"/>
      <c r="J3374" s="9"/>
      <c r="K3374" s="9"/>
      <c r="L3374" s="9"/>
      <c r="M3374" s="9"/>
    </row>
    <row r="3375" spans="9:13" x14ac:dyDescent="0.3">
      <c r="I3375" s="7"/>
      <c r="J3375" s="9"/>
      <c r="K3375" s="9"/>
      <c r="L3375" s="9"/>
      <c r="M3375" s="9"/>
    </row>
    <row r="3376" spans="9:13" x14ac:dyDescent="0.3">
      <c r="I3376" s="7"/>
      <c r="J3376" s="9"/>
      <c r="K3376" s="9"/>
      <c r="L3376" s="9"/>
      <c r="M3376" s="9"/>
    </row>
    <row r="3377" spans="9:13" x14ac:dyDescent="0.3">
      <c r="I3377" s="7"/>
      <c r="J3377" s="9"/>
      <c r="K3377" s="9"/>
      <c r="L3377" s="9"/>
      <c r="M3377" s="9"/>
    </row>
    <row r="3378" spans="9:13" x14ac:dyDescent="0.3">
      <c r="I3378" s="7"/>
      <c r="J3378" s="9"/>
      <c r="K3378" s="9"/>
      <c r="L3378" s="9"/>
      <c r="M3378" s="9"/>
    </row>
    <row r="3379" spans="9:13" x14ac:dyDescent="0.3">
      <c r="I3379" s="7"/>
      <c r="J3379" s="9"/>
      <c r="K3379" s="9"/>
      <c r="L3379" s="9"/>
      <c r="M3379" s="9"/>
    </row>
    <row r="3380" spans="9:13" x14ac:dyDescent="0.3">
      <c r="I3380" s="7"/>
      <c r="J3380" s="9"/>
      <c r="K3380" s="9"/>
      <c r="L3380" s="9"/>
      <c r="M3380" s="9"/>
    </row>
    <row r="3381" spans="9:13" x14ac:dyDescent="0.3">
      <c r="I3381" s="7"/>
      <c r="J3381" s="9"/>
      <c r="K3381" s="9"/>
      <c r="L3381" s="9"/>
      <c r="M3381" s="9"/>
    </row>
    <row r="3382" spans="9:13" x14ac:dyDescent="0.3">
      <c r="I3382" s="7"/>
      <c r="J3382" s="9"/>
      <c r="K3382" s="9"/>
      <c r="L3382" s="9"/>
      <c r="M3382" s="9"/>
    </row>
    <row r="3383" spans="9:13" x14ac:dyDescent="0.3">
      <c r="I3383" s="7"/>
      <c r="J3383" s="9"/>
      <c r="K3383" s="9"/>
      <c r="L3383" s="9"/>
      <c r="M3383" s="9"/>
    </row>
    <row r="3384" spans="9:13" x14ac:dyDescent="0.3">
      <c r="I3384" s="7"/>
      <c r="J3384" s="9"/>
      <c r="K3384" s="9"/>
      <c r="L3384" s="9"/>
      <c r="M3384" s="9"/>
    </row>
    <row r="3385" spans="9:13" x14ac:dyDescent="0.3">
      <c r="I3385" s="7"/>
      <c r="J3385" s="9"/>
      <c r="K3385" s="9"/>
      <c r="L3385" s="9"/>
      <c r="M3385" s="9"/>
    </row>
    <row r="3386" spans="9:13" x14ac:dyDescent="0.3">
      <c r="I3386" s="7"/>
      <c r="J3386" s="9"/>
      <c r="K3386" s="9"/>
      <c r="L3386" s="9"/>
      <c r="M3386" s="9"/>
    </row>
    <row r="3387" spans="9:13" x14ac:dyDescent="0.3">
      <c r="I3387" s="7"/>
      <c r="J3387" s="9"/>
      <c r="K3387" s="9"/>
      <c r="L3387" s="9"/>
      <c r="M3387" s="9"/>
    </row>
    <row r="3388" spans="9:13" x14ac:dyDescent="0.3">
      <c r="I3388" s="7"/>
      <c r="J3388" s="9"/>
      <c r="K3388" s="9"/>
      <c r="L3388" s="9"/>
      <c r="M3388" s="9"/>
    </row>
    <row r="3389" spans="9:13" x14ac:dyDescent="0.3">
      <c r="I3389" s="7"/>
      <c r="J3389" s="9"/>
      <c r="K3389" s="9"/>
      <c r="L3389" s="9"/>
      <c r="M3389" s="9"/>
    </row>
    <row r="3390" spans="9:13" x14ac:dyDescent="0.3">
      <c r="I3390" s="7"/>
      <c r="J3390" s="9"/>
      <c r="K3390" s="9"/>
      <c r="L3390" s="9"/>
      <c r="M3390" s="9"/>
    </row>
    <row r="3391" spans="9:13" x14ac:dyDescent="0.3">
      <c r="I3391" s="7"/>
      <c r="J3391" s="9"/>
      <c r="K3391" s="9"/>
      <c r="L3391" s="9"/>
      <c r="M3391" s="9"/>
    </row>
    <row r="3392" spans="9:13" x14ac:dyDescent="0.3">
      <c r="I3392" s="7"/>
      <c r="J3392" s="9"/>
      <c r="K3392" s="9"/>
      <c r="L3392" s="9"/>
      <c r="M3392" s="9"/>
    </row>
    <row r="3393" spans="9:13" x14ac:dyDescent="0.3">
      <c r="I3393" s="7"/>
      <c r="J3393" s="9"/>
      <c r="K3393" s="9"/>
      <c r="L3393" s="9"/>
      <c r="M3393" s="9"/>
    </row>
    <row r="3394" spans="9:13" x14ac:dyDescent="0.3">
      <c r="I3394" s="7"/>
      <c r="J3394" s="9"/>
      <c r="K3394" s="9"/>
      <c r="L3394" s="9"/>
      <c r="M3394" s="9"/>
    </row>
    <row r="3395" spans="9:13" x14ac:dyDescent="0.3">
      <c r="I3395" s="7"/>
      <c r="J3395" s="9"/>
      <c r="K3395" s="9"/>
      <c r="L3395" s="9"/>
      <c r="M3395" s="9"/>
    </row>
    <row r="3396" spans="9:13" x14ac:dyDescent="0.3">
      <c r="I3396" s="7"/>
      <c r="J3396" s="9"/>
      <c r="K3396" s="9"/>
      <c r="L3396" s="9"/>
      <c r="M3396" s="9"/>
    </row>
    <row r="3397" spans="9:13" x14ac:dyDescent="0.3">
      <c r="I3397" s="7"/>
      <c r="J3397" s="9"/>
      <c r="K3397" s="9"/>
      <c r="L3397" s="9"/>
      <c r="M3397" s="9"/>
    </row>
    <row r="3398" spans="9:13" x14ac:dyDescent="0.3">
      <c r="I3398" s="7"/>
      <c r="J3398" s="9"/>
      <c r="K3398" s="9"/>
      <c r="L3398" s="9"/>
      <c r="M3398" s="9"/>
    </row>
    <row r="3399" spans="9:13" x14ac:dyDescent="0.3">
      <c r="I3399" s="7"/>
      <c r="J3399" s="9"/>
      <c r="K3399" s="9"/>
      <c r="L3399" s="9"/>
      <c r="M3399" s="9"/>
    </row>
    <row r="3400" spans="9:13" x14ac:dyDescent="0.3">
      <c r="I3400" s="7"/>
      <c r="J3400" s="9"/>
      <c r="K3400" s="9"/>
      <c r="L3400" s="9"/>
      <c r="M3400" s="9"/>
    </row>
    <row r="3401" spans="9:13" x14ac:dyDescent="0.3">
      <c r="I3401" s="7"/>
      <c r="J3401" s="9"/>
      <c r="K3401" s="9"/>
      <c r="L3401" s="9"/>
      <c r="M3401" s="9"/>
    </row>
    <row r="3402" spans="9:13" x14ac:dyDescent="0.3">
      <c r="I3402" s="7"/>
      <c r="J3402" s="9"/>
      <c r="K3402" s="9"/>
      <c r="L3402" s="9"/>
      <c r="M3402" s="9"/>
    </row>
    <row r="3403" spans="9:13" x14ac:dyDescent="0.3">
      <c r="I3403" s="7"/>
      <c r="J3403" s="9"/>
      <c r="K3403" s="9"/>
      <c r="L3403" s="9"/>
      <c r="M3403" s="9"/>
    </row>
    <row r="3404" spans="9:13" x14ac:dyDescent="0.3">
      <c r="I3404" s="7"/>
      <c r="J3404" s="9"/>
      <c r="K3404" s="9"/>
      <c r="L3404" s="9"/>
      <c r="M3404" s="9"/>
    </row>
    <row r="3405" spans="9:13" x14ac:dyDescent="0.3">
      <c r="I3405" s="7"/>
      <c r="J3405" s="9"/>
      <c r="K3405" s="9"/>
      <c r="L3405" s="9"/>
      <c r="M3405" s="9"/>
    </row>
    <row r="3406" spans="9:13" x14ac:dyDescent="0.3">
      <c r="I3406" s="7"/>
      <c r="J3406" s="9"/>
      <c r="K3406" s="9"/>
      <c r="L3406" s="9"/>
      <c r="M3406" s="9"/>
    </row>
    <row r="3407" spans="9:13" x14ac:dyDescent="0.3">
      <c r="I3407" s="7"/>
      <c r="J3407" s="9"/>
      <c r="K3407" s="9"/>
      <c r="L3407" s="9"/>
      <c r="M3407" s="9"/>
    </row>
    <row r="3408" spans="9:13" x14ac:dyDescent="0.3">
      <c r="I3408" s="7"/>
      <c r="J3408" s="9"/>
      <c r="K3408" s="9"/>
      <c r="L3408" s="9"/>
      <c r="M3408" s="9"/>
    </row>
    <row r="3409" spans="9:13" x14ac:dyDescent="0.3">
      <c r="I3409" s="7"/>
      <c r="J3409" s="9"/>
      <c r="K3409" s="9"/>
      <c r="L3409" s="9"/>
      <c r="M3409" s="9"/>
    </row>
    <row r="3410" spans="9:13" x14ac:dyDescent="0.3">
      <c r="I3410" s="7"/>
      <c r="J3410" s="9"/>
      <c r="K3410" s="9"/>
      <c r="L3410" s="9"/>
      <c r="M3410" s="9"/>
    </row>
    <row r="3411" spans="9:13" x14ac:dyDescent="0.3">
      <c r="I3411" s="7"/>
      <c r="J3411" s="9"/>
      <c r="K3411" s="9"/>
      <c r="L3411" s="9"/>
      <c r="M3411" s="9"/>
    </row>
    <row r="3412" spans="9:13" x14ac:dyDescent="0.3">
      <c r="I3412" s="7"/>
      <c r="J3412" s="9"/>
      <c r="K3412" s="9"/>
      <c r="L3412" s="9"/>
      <c r="M3412" s="9"/>
    </row>
    <row r="3413" spans="9:13" x14ac:dyDescent="0.3">
      <c r="I3413" s="7"/>
      <c r="J3413" s="9"/>
      <c r="K3413" s="9"/>
      <c r="L3413" s="9"/>
      <c r="M3413" s="9"/>
    </row>
    <row r="3414" spans="9:13" x14ac:dyDescent="0.3">
      <c r="I3414" s="7"/>
      <c r="J3414" s="9"/>
      <c r="K3414" s="9"/>
      <c r="L3414" s="9"/>
      <c r="M3414" s="9"/>
    </row>
    <row r="3415" spans="9:13" x14ac:dyDescent="0.3">
      <c r="I3415" s="7"/>
      <c r="J3415" s="9"/>
      <c r="K3415" s="9"/>
      <c r="L3415" s="9"/>
      <c r="M3415" s="9"/>
    </row>
    <row r="3416" spans="9:13" x14ac:dyDescent="0.3">
      <c r="I3416" s="7"/>
      <c r="J3416" s="9"/>
      <c r="K3416" s="9"/>
      <c r="L3416" s="9"/>
      <c r="M3416" s="9"/>
    </row>
    <row r="3417" spans="9:13" x14ac:dyDescent="0.3">
      <c r="I3417" s="7"/>
      <c r="J3417" s="9"/>
      <c r="K3417" s="9"/>
      <c r="L3417" s="9"/>
      <c r="M3417" s="9"/>
    </row>
    <row r="3418" spans="9:13" x14ac:dyDescent="0.3">
      <c r="I3418" s="7"/>
      <c r="J3418" s="9"/>
      <c r="K3418" s="9"/>
      <c r="L3418" s="9"/>
      <c r="M3418" s="9"/>
    </row>
    <row r="3419" spans="9:13" x14ac:dyDescent="0.3">
      <c r="I3419" s="7"/>
      <c r="J3419" s="9"/>
      <c r="K3419" s="9"/>
      <c r="L3419" s="9"/>
      <c r="M3419" s="9"/>
    </row>
    <row r="3420" spans="9:13" x14ac:dyDescent="0.3">
      <c r="I3420" s="7"/>
      <c r="J3420" s="9"/>
      <c r="K3420" s="9"/>
      <c r="L3420" s="9"/>
      <c r="M3420" s="9"/>
    </row>
    <row r="3421" spans="9:13" x14ac:dyDescent="0.3">
      <c r="I3421" s="7"/>
      <c r="J3421" s="9"/>
      <c r="K3421" s="9"/>
      <c r="L3421" s="9"/>
      <c r="M3421" s="9"/>
    </row>
    <row r="3422" spans="9:13" x14ac:dyDescent="0.3">
      <c r="I3422" s="7"/>
      <c r="J3422" s="9"/>
      <c r="K3422" s="9"/>
      <c r="L3422" s="9"/>
      <c r="M3422" s="9"/>
    </row>
    <row r="3423" spans="9:13" x14ac:dyDescent="0.3">
      <c r="I3423" s="7"/>
      <c r="J3423" s="9"/>
      <c r="K3423" s="9"/>
      <c r="L3423" s="9"/>
      <c r="M3423" s="9"/>
    </row>
    <row r="3424" spans="9:13" x14ac:dyDescent="0.3">
      <c r="I3424" s="7"/>
      <c r="J3424" s="9"/>
      <c r="K3424" s="9"/>
      <c r="L3424" s="9"/>
      <c r="M3424" s="9"/>
    </row>
    <row r="3425" spans="9:13" x14ac:dyDescent="0.3">
      <c r="I3425" s="7"/>
      <c r="J3425" s="9"/>
      <c r="K3425" s="9"/>
      <c r="L3425" s="9"/>
      <c r="M3425" s="9"/>
    </row>
    <row r="3426" spans="9:13" x14ac:dyDescent="0.3">
      <c r="I3426" s="7"/>
      <c r="J3426" s="9"/>
      <c r="K3426" s="9"/>
      <c r="L3426" s="9"/>
      <c r="M3426" s="9"/>
    </row>
    <row r="3427" spans="9:13" x14ac:dyDescent="0.3">
      <c r="I3427" s="7"/>
      <c r="J3427" s="9"/>
      <c r="K3427" s="9"/>
      <c r="L3427" s="9"/>
      <c r="M3427" s="9"/>
    </row>
    <row r="3428" spans="9:13" x14ac:dyDescent="0.3">
      <c r="I3428" s="7"/>
      <c r="J3428" s="9"/>
      <c r="K3428" s="9"/>
      <c r="L3428" s="9"/>
      <c r="M3428" s="9"/>
    </row>
    <row r="3429" spans="9:13" x14ac:dyDescent="0.3">
      <c r="I3429" s="7"/>
      <c r="J3429" s="9"/>
      <c r="K3429" s="9"/>
      <c r="L3429" s="9"/>
      <c r="M3429" s="9"/>
    </row>
    <row r="3430" spans="9:13" x14ac:dyDescent="0.3">
      <c r="I3430" s="7"/>
      <c r="J3430" s="9"/>
      <c r="K3430" s="9"/>
      <c r="L3430" s="9"/>
      <c r="M3430" s="9"/>
    </row>
    <row r="3431" spans="9:13" x14ac:dyDescent="0.3">
      <c r="I3431" s="7"/>
      <c r="J3431" s="9"/>
      <c r="K3431" s="9"/>
      <c r="L3431" s="9"/>
      <c r="M3431" s="9"/>
    </row>
    <row r="3432" spans="9:13" x14ac:dyDescent="0.3">
      <c r="I3432" s="7"/>
      <c r="J3432" s="9"/>
      <c r="K3432" s="9"/>
      <c r="L3432" s="9"/>
      <c r="M3432" s="9"/>
    </row>
    <row r="3433" spans="9:13" x14ac:dyDescent="0.3">
      <c r="I3433" s="7"/>
      <c r="J3433" s="9"/>
      <c r="K3433" s="9"/>
      <c r="L3433" s="9"/>
      <c r="M3433" s="9"/>
    </row>
    <row r="3434" spans="9:13" x14ac:dyDescent="0.3">
      <c r="I3434" s="7"/>
      <c r="J3434" s="9"/>
      <c r="K3434" s="9"/>
      <c r="L3434" s="9"/>
      <c r="M3434" s="9"/>
    </row>
    <row r="3435" spans="9:13" x14ac:dyDescent="0.3">
      <c r="I3435" s="7"/>
      <c r="J3435" s="9"/>
      <c r="K3435" s="9"/>
      <c r="L3435" s="9"/>
      <c r="M3435" s="9"/>
    </row>
    <row r="3436" spans="9:13" x14ac:dyDescent="0.3">
      <c r="I3436" s="7"/>
      <c r="J3436" s="9"/>
      <c r="K3436" s="9"/>
      <c r="L3436" s="9"/>
      <c r="M3436" s="9"/>
    </row>
    <row r="3437" spans="9:13" x14ac:dyDescent="0.3">
      <c r="I3437" s="7"/>
      <c r="J3437" s="9"/>
      <c r="K3437" s="9"/>
      <c r="L3437" s="9"/>
      <c r="M3437" s="9"/>
    </row>
    <row r="3438" spans="9:13" x14ac:dyDescent="0.3">
      <c r="I3438" s="7"/>
      <c r="J3438" s="9"/>
      <c r="K3438" s="9"/>
      <c r="L3438" s="9"/>
      <c r="M3438" s="9"/>
    </row>
    <row r="3439" spans="9:13" x14ac:dyDescent="0.3">
      <c r="I3439" s="7"/>
      <c r="J3439" s="9"/>
      <c r="K3439" s="9"/>
      <c r="L3439" s="9"/>
      <c r="M3439" s="9"/>
    </row>
    <row r="3440" spans="9:13" x14ac:dyDescent="0.3">
      <c r="I3440" s="7"/>
      <c r="J3440" s="9"/>
      <c r="K3440" s="9"/>
      <c r="L3440" s="9"/>
      <c r="M3440" s="9"/>
    </row>
    <row r="3441" spans="9:13" x14ac:dyDescent="0.3">
      <c r="I3441" s="7"/>
      <c r="J3441" s="9"/>
      <c r="K3441" s="9"/>
      <c r="L3441" s="9"/>
      <c r="M3441" s="9"/>
    </row>
    <row r="3442" spans="9:13" x14ac:dyDescent="0.3">
      <c r="I3442" s="7"/>
      <c r="J3442" s="9"/>
      <c r="K3442" s="9"/>
      <c r="L3442" s="9"/>
      <c r="M3442" s="9"/>
    </row>
    <row r="3443" spans="9:13" x14ac:dyDescent="0.3">
      <c r="I3443" s="7"/>
      <c r="J3443" s="9"/>
      <c r="K3443" s="9"/>
      <c r="L3443" s="9"/>
      <c r="M3443" s="9"/>
    </row>
    <row r="3444" spans="9:13" x14ac:dyDescent="0.3">
      <c r="I3444" s="7"/>
      <c r="J3444" s="9"/>
      <c r="K3444" s="9"/>
      <c r="L3444" s="9"/>
      <c r="M3444" s="9"/>
    </row>
    <row r="3445" spans="9:13" x14ac:dyDescent="0.3">
      <c r="I3445" s="7"/>
      <c r="J3445" s="9"/>
      <c r="K3445" s="9"/>
      <c r="L3445" s="9"/>
      <c r="M3445" s="9"/>
    </row>
    <row r="3446" spans="9:13" x14ac:dyDescent="0.3">
      <c r="I3446" s="7"/>
      <c r="J3446" s="9"/>
      <c r="K3446" s="9"/>
      <c r="L3446" s="9"/>
      <c r="M3446" s="9"/>
    </row>
    <row r="3447" spans="9:13" x14ac:dyDescent="0.3">
      <c r="I3447" s="7"/>
      <c r="J3447" s="9"/>
      <c r="K3447" s="9"/>
      <c r="L3447" s="9"/>
      <c r="M3447" s="9"/>
    </row>
    <row r="3448" spans="9:13" x14ac:dyDescent="0.3">
      <c r="I3448" s="7"/>
      <c r="J3448" s="9"/>
      <c r="K3448" s="9"/>
      <c r="L3448" s="9"/>
      <c r="M3448" s="9"/>
    </row>
    <row r="3449" spans="9:13" x14ac:dyDescent="0.3">
      <c r="I3449" s="7"/>
      <c r="J3449" s="9"/>
      <c r="K3449" s="9"/>
      <c r="L3449" s="9"/>
      <c r="M3449" s="9"/>
    </row>
    <row r="3450" spans="9:13" x14ac:dyDescent="0.3">
      <c r="I3450" s="7"/>
      <c r="J3450" s="9"/>
      <c r="K3450" s="9"/>
      <c r="L3450" s="9"/>
      <c r="M3450" s="9"/>
    </row>
    <row r="3451" spans="9:13" x14ac:dyDescent="0.3">
      <c r="I3451" s="7"/>
      <c r="J3451" s="9"/>
      <c r="K3451" s="9"/>
      <c r="L3451" s="9"/>
      <c r="M3451" s="9"/>
    </row>
    <row r="3452" spans="9:13" x14ac:dyDescent="0.3">
      <c r="I3452" s="7"/>
      <c r="J3452" s="9"/>
      <c r="K3452" s="9"/>
      <c r="L3452" s="9"/>
      <c r="M3452" s="9"/>
    </row>
    <row r="3453" spans="9:13" x14ac:dyDescent="0.3">
      <c r="I3453" s="7"/>
      <c r="J3453" s="9"/>
      <c r="K3453" s="9"/>
      <c r="L3453" s="9"/>
      <c r="M3453" s="9"/>
    </row>
    <row r="3454" spans="9:13" x14ac:dyDescent="0.3">
      <c r="I3454" s="7"/>
      <c r="J3454" s="9"/>
      <c r="K3454" s="9"/>
      <c r="L3454" s="9"/>
      <c r="M3454" s="9"/>
    </row>
    <row r="3455" spans="9:13" x14ac:dyDescent="0.3">
      <c r="I3455" s="7"/>
      <c r="J3455" s="9"/>
      <c r="K3455" s="9"/>
      <c r="L3455" s="9"/>
      <c r="M3455" s="9"/>
    </row>
    <row r="3456" spans="9:13" x14ac:dyDescent="0.3">
      <c r="I3456" s="7"/>
      <c r="J3456" s="9"/>
      <c r="K3456" s="9"/>
      <c r="L3456" s="9"/>
      <c r="M3456" s="9"/>
    </row>
    <row r="3457" spans="9:13" x14ac:dyDescent="0.3">
      <c r="I3457" s="7"/>
      <c r="J3457" s="9"/>
      <c r="K3457" s="9"/>
      <c r="L3457" s="9"/>
      <c r="M3457" s="9"/>
    </row>
    <row r="3458" spans="9:13" x14ac:dyDescent="0.3">
      <c r="I3458" s="7"/>
      <c r="J3458" s="9"/>
      <c r="K3458" s="9"/>
      <c r="L3458" s="9"/>
      <c r="M3458" s="9"/>
    </row>
    <row r="3459" spans="9:13" x14ac:dyDescent="0.3">
      <c r="I3459" s="7"/>
      <c r="J3459" s="9"/>
      <c r="K3459" s="9"/>
      <c r="L3459" s="9"/>
      <c r="M3459" s="9"/>
    </row>
    <row r="3460" spans="9:13" x14ac:dyDescent="0.3">
      <c r="I3460" s="7"/>
      <c r="J3460" s="9"/>
      <c r="K3460" s="9"/>
      <c r="L3460" s="9"/>
      <c r="M3460" s="9"/>
    </row>
    <row r="3461" spans="9:13" x14ac:dyDescent="0.3">
      <c r="I3461" s="7"/>
      <c r="J3461" s="9"/>
      <c r="K3461" s="9"/>
      <c r="L3461" s="9"/>
      <c r="M3461" s="9"/>
    </row>
    <row r="3462" spans="9:13" x14ac:dyDescent="0.3">
      <c r="I3462" s="7"/>
      <c r="J3462" s="9"/>
      <c r="K3462" s="9"/>
      <c r="L3462" s="9"/>
      <c r="M3462" s="9"/>
    </row>
    <row r="3463" spans="9:13" x14ac:dyDescent="0.3">
      <c r="I3463" s="7"/>
      <c r="J3463" s="9"/>
      <c r="K3463" s="9"/>
      <c r="L3463" s="9"/>
      <c r="M3463" s="9"/>
    </row>
    <row r="3464" spans="9:13" x14ac:dyDescent="0.3">
      <c r="I3464" s="7"/>
      <c r="J3464" s="9"/>
      <c r="K3464" s="9"/>
      <c r="L3464" s="9"/>
      <c r="M3464" s="9"/>
    </row>
    <row r="3465" spans="9:13" x14ac:dyDescent="0.3">
      <c r="I3465" s="7"/>
      <c r="J3465" s="9"/>
      <c r="K3465" s="9"/>
      <c r="L3465" s="9"/>
      <c r="M3465" s="9"/>
    </row>
    <row r="3466" spans="9:13" x14ac:dyDescent="0.3">
      <c r="I3466" s="7"/>
      <c r="J3466" s="9"/>
      <c r="K3466" s="9"/>
      <c r="L3466" s="9"/>
      <c r="M3466" s="9"/>
    </row>
    <row r="3467" spans="9:13" x14ac:dyDescent="0.3">
      <c r="I3467" s="7"/>
      <c r="J3467" s="9"/>
      <c r="K3467" s="9"/>
      <c r="L3467" s="9"/>
      <c r="M3467" s="9"/>
    </row>
    <row r="3468" spans="9:13" x14ac:dyDescent="0.3">
      <c r="I3468" s="7"/>
      <c r="J3468" s="9"/>
      <c r="K3468" s="9"/>
      <c r="L3468" s="9"/>
      <c r="M3468" s="9"/>
    </row>
    <row r="3469" spans="9:13" x14ac:dyDescent="0.3">
      <c r="I3469" s="7"/>
      <c r="J3469" s="9"/>
      <c r="K3469" s="9"/>
      <c r="L3469" s="9"/>
      <c r="M3469" s="9"/>
    </row>
    <row r="3470" spans="9:13" x14ac:dyDescent="0.3">
      <c r="I3470" s="7"/>
      <c r="J3470" s="9"/>
      <c r="K3470" s="9"/>
      <c r="L3470" s="9"/>
      <c r="M3470" s="9"/>
    </row>
    <row r="3471" spans="9:13" x14ac:dyDescent="0.3">
      <c r="I3471" s="7"/>
      <c r="J3471" s="9"/>
      <c r="K3471" s="9"/>
      <c r="L3471" s="9"/>
      <c r="M3471" s="9"/>
    </row>
    <row r="3472" spans="9:13" x14ac:dyDescent="0.3">
      <c r="I3472" s="7"/>
      <c r="J3472" s="9"/>
      <c r="K3472" s="9"/>
      <c r="L3472" s="9"/>
      <c r="M3472" s="9"/>
    </row>
    <row r="3473" spans="9:13" x14ac:dyDescent="0.3">
      <c r="I3473" s="7"/>
      <c r="J3473" s="9"/>
      <c r="K3473" s="9"/>
      <c r="L3473" s="9"/>
      <c r="M3473" s="9"/>
    </row>
    <row r="3474" spans="9:13" x14ac:dyDescent="0.3">
      <c r="I3474" s="7"/>
      <c r="J3474" s="9"/>
      <c r="K3474" s="9"/>
      <c r="L3474" s="9"/>
      <c r="M3474" s="9"/>
    </row>
    <row r="3475" spans="9:13" x14ac:dyDescent="0.3">
      <c r="I3475" s="7"/>
      <c r="J3475" s="9"/>
      <c r="K3475" s="9"/>
      <c r="L3475" s="9"/>
      <c r="M3475" s="9"/>
    </row>
    <row r="3476" spans="9:13" x14ac:dyDescent="0.3">
      <c r="I3476" s="7"/>
      <c r="J3476" s="9"/>
      <c r="K3476" s="9"/>
      <c r="L3476" s="9"/>
      <c r="M3476" s="9"/>
    </row>
    <row r="3477" spans="9:13" x14ac:dyDescent="0.3">
      <c r="I3477" s="7"/>
      <c r="J3477" s="9"/>
      <c r="K3477" s="9"/>
      <c r="L3477" s="9"/>
      <c r="M3477" s="9"/>
    </row>
    <row r="3478" spans="9:13" x14ac:dyDescent="0.3">
      <c r="I3478" s="7"/>
      <c r="J3478" s="9"/>
      <c r="K3478" s="9"/>
      <c r="L3478" s="9"/>
      <c r="M3478" s="9"/>
    </row>
    <row r="3479" spans="9:13" x14ac:dyDescent="0.3">
      <c r="I3479" s="7"/>
      <c r="J3479" s="9"/>
      <c r="K3479" s="9"/>
      <c r="L3479" s="9"/>
      <c r="M3479" s="9"/>
    </row>
    <row r="3480" spans="9:13" x14ac:dyDescent="0.3">
      <c r="I3480" s="7"/>
      <c r="J3480" s="9"/>
      <c r="K3480" s="9"/>
      <c r="L3480" s="9"/>
      <c r="M3480" s="9"/>
    </row>
    <row r="3481" spans="9:13" x14ac:dyDescent="0.3">
      <c r="I3481" s="7"/>
      <c r="J3481" s="9"/>
      <c r="K3481" s="9"/>
      <c r="L3481" s="9"/>
      <c r="M3481" s="9"/>
    </row>
    <row r="3482" spans="9:13" x14ac:dyDescent="0.3">
      <c r="I3482" s="7"/>
      <c r="J3482" s="9"/>
      <c r="K3482" s="9"/>
      <c r="L3482" s="9"/>
      <c r="M3482" s="9"/>
    </row>
    <row r="3483" spans="9:13" x14ac:dyDescent="0.3">
      <c r="I3483" s="7"/>
      <c r="J3483" s="9"/>
      <c r="K3483" s="9"/>
      <c r="L3483" s="9"/>
      <c r="M3483" s="9"/>
    </row>
    <row r="3484" spans="9:13" x14ac:dyDescent="0.3">
      <c r="I3484" s="7"/>
      <c r="J3484" s="9"/>
      <c r="K3484" s="9"/>
      <c r="L3484" s="9"/>
      <c r="M3484" s="9"/>
    </row>
    <row r="3485" spans="9:13" x14ac:dyDescent="0.3">
      <c r="I3485" s="7"/>
      <c r="J3485" s="9"/>
      <c r="K3485" s="9"/>
      <c r="L3485" s="9"/>
      <c r="M3485" s="9"/>
    </row>
    <row r="3486" spans="9:13" x14ac:dyDescent="0.3">
      <c r="I3486" s="7"/>
      <c r="J3486" s="9"/>
      <c r="K3486" s="9"/>
      <c r="L3486" s="9"/>
      <c r="M3486" s="9"/>
    </row>
    <row r="3487" spans="9:13" x14ac:dyDescent="0.3">
      <c r="I3487" s="7"/>
      <c r="J3487" s="9"/>
      <c r="K3487" s="9"/>
      <c r="L3487" s="9"/>
      <c r="M3487" s="9"/>
    </row>
    <row r="3488" spans="9:13" x14ac:dyDescent="0.3">
      <c r="I3488" s="7"/>
      <c r="J3488" s="9"/>
      <c r="K3488" s="9"/>
      <c r="L3488" s="9"/>
      <c r="M3488" s="9"/>
    </row>
    <row r="3489" spans="9:13" x14ac:dyDescent="0.3">
      <c r="I3489" s="7"/>
      <c r="J3489" s="9"/>
      <c r="K3489" s="9"/>
      <c r="L3489" s="9"/>
      <c r="M3489" s="9"/>
    </row>
    <row r="3490" spans="9:13" x14ac:dyDescent="0.3">
      <c r="I3490" s="7"/>
      <c r="J3490" s="9"/>
      <c r="K3490" s="9"/>
      <c r="L3490" s="9"/>
      <c r="M3490" s="9"/>
    </row>
    <row r="3491" spans="9:13" x14ac:dyDescent="0.3">
      <c r="I3491" s="7"/>
      <c r="J3491" s="9"/>
      <c r="K3491" s="9"/>
      <c r="L3491" s="9"/>
      <c r="M3491" s="9"/>
    </row>
    <row r="3492" spans="9:13" x14ac:dyDescent="0.3">
      <c r="I3492" s="7"/>
      <c r="J3492" s="9"/>
      <c r="K3492" s="9"/>
      <c r="L3492" s="9"/>
      <c r="M3492" s="9"/>
    </row>
    <row r="3493" spans="9:13" x14ac:dyDescent="0.3">
      <c r="I3493" s="7"/>
      <c r="J3493" s="9"/>
      <c r="K3493" s="9"/>
      <c r="L3493" s="9"/>
      <c r="M3493" s="9"/>
    </row>
    <row r="3494" spans="9:13" x14ac:dyDescent="0.3">
      <c r="I3494" s="7"/>
      <c r="J3494" s="9"/>
      <c r="K3494" s="9"/>
      <c r="L3494" s="9"/>
      <c r="M3494" s="9"/>
    </row>
    <row r="3495" spans="9:13" x14ac:dyDescent="0.3">
      <c r="I3495" s="7"/>
      <c r="J3495" s="9"/>
      <c r="K3495" s="9"/>
      <c r="L3495" s="9"/>
      <c r="M3495" s="9"/>
    </row>
    <row r="3496" spans="9:13" x14ac:dyDescent="0.3">
      <c r="I3496" s="7"/>
      <c r="J3496" s="9"/>
      <c r="K3496" s="9"/>
      <c r="L3496" s="9"/>
      <c r="M3496" s="9"/>
    </row>
    <row r="3497" spans="9:13" x14ac:dyDescent="0.3">
      <c r="I3497" s="7"/>
      <c r="J3497" s="9"/>
      <c r="K3497" s="9"/>
      <c r="L3497" s="9"/>
      <c r="M3497" s="9"/>
    </row>
    <row r="3498" spans="9:13" x14ac:dyDescent="0.3">
      <c r="I3498" s="7"/>
      <c r="J3498" s="9"/>
      <c r="K3498" s="9"/>
      <c r="L3498" s="9"/>
      <c r="M3498" s="9"/>
    </row>
    <row r="3499" spans="9:13" x14ac:dyDescent="0.3">
      <c r="I3499" s="7"/>
      <c r="J3499" s="9"/>
      <c r="K3499" s="9"/>
      <c r="L3499" s="9"/>
      <c r="M3499" s="9"/>
    </row>
    <row r="3500" spans="9:13" x14ac:dyDescent="0.3">
      <c r="I3500" s="7"/>
      <c r="J3500" s="9"/>
      <c r="K3500" s="9"/>
      <c r="L3500" s="9"/>
      <c r="M3500" s="9"/>
    </row>
    <row r="3501" spans="9:13" x14ac:dyDescent="0.3">
      <c r="I3501" s="7"/>
      <c r="J3501" s="9"/>
      <c r="K3501" s="9"/>
      <c r="L3501" s="9"/>
      <c r="M3501" s="9"/>
    </row>
    <row r="3502" spans="9:13" x14ac:dyDescent="0.3">
      <c r="I3502" s="7"/>
      <c r="J3502" s="9"/>
      <c r="K3502" s="9"/>
      <c r="L3502" s="9"/>
      <c r="M3502" s="9"/>
    </row>
    <row r="3503" spans="9:13" x14ac:dyDescent="0.3">
      <c r="I3503" s="7"/>
      <c r="J3503" s="9"/>
      <c r="K3503" s="9"/>
      <c r="L3503" s="9"/>
      <c r="M3503" s="9"/>
    </row>
    <row r="3504" spans="9:13" x14ac:dyDescent="0.3">
      <c r="I3504" s="7"/>
      <c r="J3504" s="9"/>
      <c r="K3504" s="9"/>
      <c r="L3504" s="9"/>
      <c r="M3504" s="9"/>
    </row>
    <row r="3505" spans="9:13" x14ac:dyDescent="0.3">
      <c r="I3505" s="7"/>
      <c r="J3505" s="9"/>
      <c r="K3505" s="9"/>
      <c r="L3505" s="9"/>
      <c r="M3505" s="9"/>
    </row>
    <row r="3506" spans="9:13" x14ac:dyDescent="0.3">
      <c r="I3506" s="7"/>
      <c r="J3506" s="9"/>
      <c r="K3506" s="9"/>
      <c r="L3506" s="9"/>
      <c r="M3506" s="9"/>
    </row>
    <row r="3507" spans="9:13" x14ac:dyDescent="0.3">
      <c r="I3507" s="7"/>
      <c r="J3507" s="9"/>
      <c r="K3507" s="9"/>
      <c r="L3507" s="9"/>
      <c r="M3507" s="9"/>
    </row>
    <row r="3508" spans="9:13" x14ac:dyDescent="0.3">
      <c r="I3508" s="7"/>
      <c r="J3508" s="9"/>
      <c r="K3508" s="9"/>
      <c r="L3508" s="9"/>
      <c r="M3508" s="9"/>
    </row>
    <row r="3509" spans="9:13" x14ac:dyDescent="0.3">
      <c r="I3509" s="7"/>
      <c r="J3509" s="9"/>
      <c r="K3509" s="9"/>
      <c r="L3509" s="9"/>
      <c r="M3509" s="9"/>
    </row>
    <row r="3510" spans="9:13" x14ac:dyDescent="0.3">
      <c r="I3510" s="7"/>
      <c r="J3510" s="9"/>
      <c r="K3510" s="9"/>
      <c r="L3510" s="9"/>
      <c r="M3510" s="9"/>
    </row>
    <row r="3511" spans="9:13" x14ac:dyDescent="0.3">
      <c r="I3511" s="7"/>
      <c r="J3511" s="9"/>
      <c r="K3511" s="9"/>
      <c r="L3511" s="9"/>
      <c r="M3511" s="9"/>
    </row>
    <row r="3512" spans="9:13" x14ac:dyDescent="0.3">
      <c r="I3512" s="7"/>
      <c r="J3512" s="9"/>
      <c r="K3512" s="9"/>
      <c r="L3512" s="9"/>
      <c r="M3512" s="9"/>
    </row>
    <row r="3513" spans="9:13" x14ac:dyDescent="0.3">
      <c r="I3513" s="7"/>
      <c r="J3513" s="9"/>
      <c r="K3513" s="9"/>
      <c r="L3513" s="9"/>
      <c r="M3513" s="9"/>
    </row>
    <row r="3514" spans="9:13" x14ac:dyDescent="0.3">
      <c r="I3514" s="7"/>
      <c r="J3514" s="9"/>
      <c r="K3514" s="9"/>
      <c r="L3514" s="9"/>
      <c r="M3514" s="9"/>
    </row>
    <row r="3515" spans="9:13" x14ac:dyDescent="0.3">
      <c r="I3515" s="7"/>
      <c r="J3515" s="9"/>
      <c r="K3515" s="9"/>
      <c r="L3515" s="9"/>
      <c r="M3515" s="9"/>
    </row>
    <row r="3516" spans="9:13" x14ac:dyDescent="0.3">
      <c r="I3516" s="7"/>
      <c r="J3516" s="9"/>
      <c r="K3516" s="9"/>
      <c r="L3516" s="9"/>
      <c r="M3516" s="9"/>
    </row>
    <row r="3517" spans="9:13" x14ac:dyDescent="0.3">
      <c r="I3517" s="7"/>
      <c r="J3517" s="9"/>
      <c r="K3517" s="9"/>
      <c r="L3517" s="9"/>
      <c r="M3517" s="9"/>
    </row>
    <row r="3518" spans="9:13" x14ac:dyDescent="0.3">
      <c r="I3518" s="7"/>
      <c r="J3518" s="9"/>
      <c r="K3518" s="9"/>
      <c r="L3518" s="9"/>
      <c r="M3518" s="9"/>
    </row>
    <row r="3519" spans="9:13" x14ac:dyDescent="0.3">
      <c r="I3519" s="7"/>
      <c r="J3519" s="9"/>
      <c r="K3519" s="9"/>
      <c r="L3519" s="9"/>
      <c r="M3519" s="9"/>
    </row>
    <row r="3520" spans="9:13" x14ac:dyDescent="0.3">
      <c r="I3520" s="7"/>
      <c r="J3520" s="9"/>
      <c r="K3520" s="9"/>
      <c r="L3520" s="9"/>
      <c r="M3520" s="9"/>
    </row>
    <row r="3521" spans="9:13" x14ac:dyDescent="0.3">
      <c r="I3521" s="7"/>
      <c r="J3521" s="9"/>
      <c r="K3521" s="9"/>
      <c r="L3521" s="9"/>
      <c r="M3521" s="9"/>
    </row>
    <row r="3522" spans="9:13" x14ac:dyDescent="0.3">
      <c r="I3522" s="7"/>
      <c r="J3522" s="9"/>
      <c r="K3522" s="9"/>
      <c r="L3522" s="9"/>
      <c r="M3522" s="9"/>
    </row>
    <row r="3523" spans="9:13" x14ac:dyDescent="0.3">
      <c r="I3523" s="7"/>
      <c r="J3523" s="9"/>
      <c r="K3523" s="9"/>
      <c r="L3523" s="9"/>
      <c r="M3523" s="9"/>
    </row>
    <row r="3524" spans="9:13" x14ac:dyDescent="0.3">
      <c r="I3524" s="7"/>
      <c r="J3524" s="9"/>
      <c r="K3524" s="9"/>
      <c r="L3524" s="9"/>
      <c r="M3524" s="9"/>
    </row>
    <row r="3525" spans="9:13" x14ac:dyDescent="0.3">
      <c r="I3525" s="7"/>
      <c r="J3525" s="9"/>
      <c r="K3525" s="9"/>
      <c r="L3525" s="9"/>
      <c r="M3525" s="9"/>
    </row>
    <row r="3526" spans="9:13" x14ac:dyDescent="0.3">
      <c r="I3526" s="7"/>
      <c r="J3526" s="9"/>
      <c r="K3526" s="9"/>
      <c r="L3526" s="9"/>
      <c r="M3526" s="9"/>
    </row>
    <row r="3527" spans="9:13" x14ac:dyDescent="0.3">
      <c r="I3527" s="7"/>
      <c r="J3527" s="9"/>
      <c r="K3527" s="9"/>
      <c r="L3527" s="9"/>
      <c r="M3527" s="9"/>
    </row>
    <row r="3528" spans="9:13" x14ac:dyDescent="0.3">
      <c r="I3528" s="7"/>
      <c r="J3528" s="9"/>
      <c r="K3528" s="9"/>
      <c r="L3528" s="9"/>
      <c r="M3528" s="9"/>
    </row>
    <row r="3529" spans="9:13" x14ac:dyDescent="0.3">
      <c r="I3529" s="7"/>
      <c r="J3529" s="9"/>
      <c r="K3529" s="9"/>
      <c r="L3529" s="9"/>
      <c r="M3529" s="9"/>
    </row>
    <row r="3530" spans="9:13" x14ac:dyDescent="0.3">
      <c r="I3530" s="7"/>
      <c r="J3530" s="9"/>
      <c r="K3530" s="9"/>
      <c r="L3530" s="9"/>
      <c r="M3530" s="9"/>
    </row>
    <row r="3531" spans="9:13" x14ac:dyDescent="0.3">
      <c r="I3531" s="7"/>
      <c r="J3531" s="9"/>
      <c r="K3531" s="9"/>
      <c r="L3531" s="9"/>
      <c r="M3531" s="9"/>
    </row>
    <row r="3532" spans="9:13" x14ac:dyDescent="0.3">
      <c r="I3532" s="7"/>
      <c r="J3532" s="9"/>
      <c r="K3532" s="9"/>
      <c r="L3532" s="9"/>
      <c r="M3532" s="9"/>
    </row>
    <row r="3533" spans="9:13" x14ac:dyDescent="0.3">
      <c r="I3533" s="7"/>
      <c r="J3533" s="9"/>
      <c r="K3533" s="9"/>
      <c r="L3533" s="9"/>
      <c r="M3533" s="9"/>
    </row>
    <row r="3534" spans="9:13" x14ac:dyDescent="0.3">
      <c r="I3534" s="7"/>
      <c r="J3534" s="9"/>
      <c r="K3534" s="9"/>
      <c r="L3534" s="9"/>
      <c r="M3534" s="9"/>
    </row>
    <row r="3535" spans="9:13" x14ac:dyDescent="0.3">
      <c r="I3535" s="7"/>
      <c r="J3535" s="9"/>
      <c r="K3535" s="9"/>
      <c r="L3535" s="9"/>
      <c r="M3535" s="9"/>
    </row>
    <row r="3536" spans="9:13" x14ac:dyDescent="0.3">
      <c r="I3536" s="7"/>
      <c r="J3536" s="9"/>
      <c r="K3536" s="9"/>
      <c r="L3536" s="9"/>
      <c r="M3536" s="9"/>
    </row>
    <row r="3537" spans="9:13" x14ac:dyDescent="0.3">
      <c r="I3537" s="7"/>
      <c r="J3537" s="9"/>
      <c r="K3537" s="9"/>
      <c r="L3537" s="9"/>
      <c r="M3537" s="9"/>
    </row>
    <row r="3538" spans="9:13" x14ac:dyDescent="0.3">
      <c r="I3538" s="7"/>
      <c r="J3538" s="9"/>
      <c r="K3538" s="9"/>
      <c r="L3538" s="9"/>
      <c r="M3538" s="9"/>
    </row>
    <row r="3539" spans="9:13" x14ac:dyDescent="0.3">
      <c r="I3539" s="7"/>
      <c r="J3539" s="9"/>
      <c r="K3539" s="9"/>
      <c r="L3539" s="9"/>
      <c r="M3539" s="9"/>
    </row>
    <row r="3540" spans="9:13" x14ac:dyDescent="0.3">
      <c r="I3540" s="7"/>
      <c r="J3540" s="9"/>
      <c r="K3540" s="9"/>
      <c r="L3540" s="9"/>
      <c r="M3540" s="9"/>
    </row>
    <row r="3541" spans="9:13" x14ac:dyDescent="0.3">
      <c r="I3541" s="7"/>
      <c r="J3541" s="9"/>
      <c r="K3541" s="9"/>
      <c r="L3541" s="9"/>
      <c r="M3541" s="9"/>
    </row>
    <row r="3542" spans="9:13" x14ac:dyDescent="0.3">
      <c r="I3542" s="7"/>
      <c r="J3542" s="9"/>
      <c r="K3542" s="9"/>
      <c r="L3542" s="9"/>
      <c r="M3542" s="9"/>
    </row>
    <row r="3543" spans="9:13" x14ac:dyDescent="0.3">
      <c r="I3543" s="7"/>
      <c r="J3543" s="9"/>
      <c r="K3543" s="9"/>
      <c r="L3543" s="9"/>
      <c r="M3543" s="9"/>
    </row>
    <row r="3544" spans="9:13" x14ac:dyDescent="0.3">
      <c r="I3544" s="7"/>
      <c r="J3544" s="9"/>
      <c r="K3544" s="9"/>
      <c r="L3544" s="9"/>
      <c r="M3544" s="9"/>
    </row>
    <row r="3545" spans="9:13" x14ac:dyDescent="0.3">
      <c r="I3545" s="7"/>
      <c r="J3545" s="9"/>
      <c r="K3545" s="9"/>
      <c r="L3545" s="9"/>
      <c r="M3545" s="9"/>
    </row>
    <row r="3546" spans="9:13" x14ac:dyDescent="0.3">
      <c r="I3546" s="7"/>
      <c r="J3546" s="9"/>
      <c r="K3546" s="9"/>
      <c r="L3546" s="9"/>
      <c r="M3546" s="9"/>
    </row>
    <row r="3547" spans="9:13" x14ac:dyDescent="0.3">
      <c r="I3547" s="7"/>
      <c r="J3547" s="9"/>
      <c r="K3547" s="9"/>
      <c r="L3547" s="9"/>
      <c r="M3547" s="9"/>
    </row>
    <row r="3548" spans="9:13" x14ac:dyDescent="0.3">
      <c r="I3548" s="7"/>
      <c r="J3548" s="9"/>
      <c r="K3548" s="9"/>
      <c r="L3548" s="9"/>
      <c r="M3548" s="9"/>
    </row>
    <row r="3549" spans="9:13" x14ac:dyDescent="0.3">
      <c r="I3549" s="7"/>
      <c r="J3549" s="9"/>
      <c r="K3549" s="9"/>
      <c r="L3549" s="9"/>
      <c r="M3549" s="9"/>
    </row>
    <row r="3550" spans="9:13" x14ac:dyDescent="0.3">
      <c r="I3550" s="7"/>
      <c r="J3550" s="9"/>
      <c r="K3550" s="9"/>
      <c r="L3550" s="9"/>
      <c r="M3550" s="9"/>
    </row>
    <row r="3551" spans="9:13" x14ac:dyDescent="0.3">
      <c r="I3551" s="7"/>
      <c r="J3551" s="9"/>
      <c r="K3551" s="9"/>
      <c r="L3551" s="9"/>
      <c r="M3551" s="9"/>
    </row>
    <row r="3552" spans="9:13" x14ac:dyDescent="0.3">
      <c r="I3552" s="7"/>
      <c r="J3552" s="9"/>
      <c r="K3552" s="9"/>
      <c r="L3552" s="9"/>
      <c r="M3552" s="9"/>
    </row>
    <row r="3553" spans="9:13" x14ac:dyDescent="0.3">
      <c r="I3553" s="7"/>
      <c r="J3553" s="9"/>
      <c r="K3553" s="9"/>
      <c r="L3553" s="9"/>
      <c r="M3553" s="9"/>
    </row>
    <row r="3554" spans="9:13" x14ac:dyDescent="0.3">
      <c r="I3554" s="7"/>
      <c r="J3554" s="9"/>
      <c r="K3554" s="9"/>
      <c r="L3554" s="9"/>
      <c r="M3554" s="9"/>
    </row>
    <row r="3555" spans="9:13" x14ac:dyDescent="0.3">
      <c r="I3555" s="7"/>
      <c r="J3555" s="9"/>
      <c r="K3555" s="9"/>
      <c r="L3555" s="9"/>
      <c r="M3555" s="9"/>
    </row>
    <row r="3556" spans="9:13" x14ac:dyDescent="0.3">
      <c r="I3556" s="7"/>
      <c r="J3556" s="9"/>
      <c r="K3556" s="9"/>
      <c r="L3556" s="9"/>
      <c r="M3556" s="9"/>
    </row>
    <row r="3557" spans="9:13" x14ac:dyDescent="0.3">
      <c r="I3557" s="7"/>
      <c r="J3557" s="9"/>
      <c r="K3557" s="9"/>
      <c r="L3557" s="9"/>
      <c r="M3557" s="9"/>
    </row>
    <row r="3558" spans="9:13" x14ac:dyDescent="0.3">
      <c r="I3558" s="7"/>
      <c r="J3558" s="9"/>
      <c r="K3558" s="9"/>
      <c r="L3558" s="9"/>
      <c r="M3558" s="9"/>
    </row>
    <row r="3559" spans="9:13" x14ac:dyDescent="0.3">
      <c r="I3559" s="7"/>
      <c r="J3559" s="9"/>
      <c r="K3559" s="9"/>
      <c r="L3559" s="9"/>
      <c r="M3559" s="9"/>
    </row>
    <row r="3560" spans="9:13" x14ac:dyDescent="0.3">
      <c r="I3560" s="7"/>
      <c r="J3560" s="9"/>
      <c r="K3560" s="9"/>
      <c r="L3560" s="9"/>
      <c r="M3560" s="9"/>
    </row>
    <row r="3561" spans="9:13" x14ac:dyDescent="0.3">
      <c r="I3561" s="7"/>
      <c r="J3561" s="9"/>
      <c r="K3561" s="9"/>
      <c r="L3561" s="9"/>
      <c r="M3561" s="9"/>
    </row>
    <row r="3562" spans="9:13" x14ac:dyDescent="0.3">
      <c r="I3562" s="7"/>
      <c r="J3562" s="9"/>
      <c r="K3562" s="9"/>
      <c r="L3562" s="9"/>
      <c r="M3562" s="9"/>
    </row>
    <row r="3563" spans="9:13" x14ac:dyDescent="0.3">
      <c r="I3563" s="7"/>
      <c r="J3563" s="9"/>
      <c r="K3563" s="9"/>
      <c r="L3563" s="9"/>
      <c r="M3563" s="9"/>
    </row>
    <row r="3564" spans="9:13" x14ac:dyDescent="0.3">
      <c r="I3564" s="7"/>
      <c r="J3564" s="9"/>
      <c r="K3564" s="9"/>
      <c r="L3564" s="9"/>
      <c r="M3564" s="9"/>
    </row>
    <row r="3565" spans="9:13" x14ac:dyDescent="0.3">
      <c r="I3565" s="7"/>
      <c r="J3565" s="9"/>
      <c r="K3565" s="9"/>
      <c r="L3565" s="9"/>
      <c r="M3565" s="9"/>
    </row>
    <row r="3566" spans="9:13" x14ac:dyDescent="0.3">
      <c r="I3566" s="7"/>
      <c r="J3566" s="9"/>
      <c r="K3566" s="9"/>
      <c r="L3566" s="9"/>
      <c r="M3566" s="9"/>
    </row>
    <row r="3567" spans="9:13" x14ac:dyDescent="0.3">
      <c r="I3567" s="7"/>
      <c r="J3567" s="9"/>
      <c r="K3567" s="9"/>
      <c r="L3567" s="9"/>
      <c r="M3567" s="9"/>
    </row>
    <row r="3568" spans="9:13" x14ac:dyDescent="0.3">
      <c r="I3568" s="7"/>
      <c r="J3568" s="9"/>
      <c r="K3568" s="9"/>
      <c r="L3568" s="9"/>
      <c r="M3568" s="9"/>
    </row>
    <row r="3569" spans="9:13" x14ac:dyDescent="0.3">
      <c r="I3569" s="7"/>
      <c r="J3569" s="9"/>
      <c r="K3569" s="9"/>
      <c r="L3569" s="9"/>
      <c r="M3569" s="9"/>
    </row>
    <row r="3570" spans="9:13" x14ac:dyDescent="0.3">
      <c r="I3570" s="7"/>
      <c r="J3570" s="9"/>
      <c r="K3570" s="9"/>
      <c r="L3570" s="9"/>
      <c r="M3570" s="9"/>
    </row>
    <row r="3571" spans="9:13" x14ac:dyDescent="0.3">
      <c r="I3571" s="7"/>
      <c r="J3571" s="9"/>
      <c r="K3571" s="9"/>
      <c r="L3571" s="9"/>
      <c r="M3571" s="9"/>
    </row>
    <row r="3572" spans="9:13" x14ac:dyDescent="0.3">
      <c r="I3572" s="7"/>
      <c r="J3572" s="9"/>
      <c r="K3572" s="9"/>
      <c r="L3572" s="9"/>
      <c r="M3572" s="9"/>
    </row>
    <row r="3573" spans="9:13" x14ac:dyDescent="0.3">
      <c r="I3573" s="7"/>
      <c r="J3573" s="9"/>
      <c r="K3573" s="9"/>
      <c r="L3573" s="9"/>
      <c r="M3573" s="9"/>
    </row>
    <row r="3574" spans="9:13" x14ac:dyDescent="0.3">
      <c r="I3574" s="7"/>
      <c r="J3574" s="9"/>
      <c r="K3574" s="9"/>
      <c r="L3574" s="9"/>
      <c r="M3574" s="9"/>
    </row>
    <row r="3575" spans="9:13" x14ac:dyDescent="0.3">
      <c r="I3575" s="7"/>
      <c r="J3575" s="9"/>
      <c r="K3575" s="9"/>
      <c r="L3575" s="9"/>
      <c r="M3575" s="9"/>
    </row>
    <row r="3576" spans="9:13" x14ac:dyDescent="0.3">
      <c r="I3576" s="7"/>
      <c r="J3576" s="9"/>
      <c r="K3576" s="9"/>
      <c r="L3576" s="9"/>
      <c r="M3576" s="9"/>
    </row>
    <row r="3577" spans="9:13" x14ac:dyDescent="0.3">
      <c r="I3577" s="7"/>
      <c r="J3577" s="9"/>
      <c r="K3577" s="9"/>
      <c r="L3577" s="9"/>
      <c r="M3577" s="9"/>
    </row>
    <row r="3578" spans="9:13" x14ac:dyDescent="0.3">
      <c r="I3578" s="7"/>
      <c r="J3578" s="9"/>
      <c r="K3578" s="9"/>
      <c r="L3578" s="9"/>
      <c r="M3578" s="9"/>
    </row>
    <row r="3579" spans="9:13" x14ac:dyDescent="0.3">
      <c r="I3579" s="7"/>
      <c r="J3579" s="9"/>
      <c r="K3579" s="9"/>
      <c r="L3579" s="9"/>
      <c r="M3579" s="9"/>
    </row>
    <row r="3580" spans="9:13" x14ac:dyDescent="0.3">
      <c r="I3580" s="7"/>
      <c r="J3580" s="9"/>
      <c r="K3580" s="9"/>
      <c r="L3580" s="9"/>
      <c r="M3580" s="9"/>
    </row>
    <row r="3581" spans="9:13" x14ac:dyDescent="0.3">
      <c r="I3581" s="7"/>
      <c r="J3581" s="9"/>
      <c r="K3581" s="9"/>
      <c r="L3581" s="9"/>
      <c r="M3581" s="9"/>
    </row>
    <row r="3582" spans="9:13" x14ac:dyDescent="0.3">
      <c r="I3582" s="7"/>
      <c r="J3582" s="9"/>
      <c r="K3582" s="9"/>
      <c r="L3582" s="9"/>
      <c r="M3582" s="9"/>
    </row>
    <row r="3583" spans="9:13" x14ac:dyDescent="0.3">
      <c r="I3583" s="7"/>
      <c r="J3583" s="9"/>
      <c r="K3583" s="9"/>
      <c r="L3583" s="9"/>
      <c r="M3583" s="9"/>
    </row>
    <row r="3584" spans="9:13" x14ac:dyDescent="0.3">
      <c r="I3584" s="7"/>
      <c r="J3584" s="9"/>
      <c r="K3584" s="9"/>
      <c r="L3584" s="9"/>
      <c r="M3584" s="9"/>
    </row>
    <row r="3585" spans="9:13" x14ac:dyDescent="0.3">
      <c r="I3585" s="7"/>
      <c r="J3585" s="9"/>
      <c r="K3585" s="9"/>
      <c r="L3585" s="9"/>
      <c r="M3585" s="9"/>
    </row>
    <row r="3586" spans="9:13" x14ac:dyDescent="0.3">
      <c r="I3586" s="7"/>
      <c r="J3586" s="9"/>
      <c r="K3586" s="9"/>
      <c r="L3586" s="9"/>
      <c r="M3586" s="9"/>
    </row>
    <row r="3587" spans="9:13" x14ac:dyDescent="0.3">
      <c r="I3587" s="7"/>
      <c r="J3587" s="9"/>
      <c r="K3587" s="9"/>
      <c r="L3587" s="9"/>
      <c r="M3587" s="9"/>
    </row>
    <row r="3588" spans="9:13" x14ac:dyDescent="0.3">
      <c r="I3588" s="7"/>
      <c r="J3588" s="9"/>
      <c r="K3588" s="9"/>
      <c r="L3588" s="9"/>
      <c r="M3588" s="9"/>
    </row>
    <row r="3589" spans="9:13" x14ac:dyDescent="0.3">
      <c r="I3589" s="7"/>
      <c r="J3589" s="9"/>
      <c r="K3589" s="9"/>
      <c r="L3589" s="9"/>
      <c r="M3589" s="9"/>
    </row>
    <row r="3590" spans="9:13" x14ac:dyDescent="0.3">
      <c r="I3590" s="7"/>
      <c r="J3590" s="9"/>
      <c r="K3590" s="9"/>
      <c r="L3590" s="9"/>
      <c r="M3590" s="9"/>
    </row>
    <row r="3591" spans="9:13" x14ac:dyDescent="0.3">
      <c r="I3591" s="7"/>
      <c r="J3591" s="9"/>
      <c r="K3591" s="9"/>
      <c r="L3591" s="9"/>
      <c r="M3591" s="9"/>
    </row>
    <row r="3592" spans="9:13" x14ac:dyDescent="0.3">
      <c r="I3592" s="7"/>
      <c r="J3592" s="9"/>
      <c r="K3592" s="9"/>
      <c r="L3592" s="9"/>
      <c r="M3592" s="9"/>
    </row>
    <row r="3593" spans="9:13" x14ac:dyDescent="0.3">
      <c r="I3593" s="7"/>
      <c r="J3593" s="9"/>
      <c r="K3593" s="9"/>
      <c r="L3593" s="9"/>
      <c r="M3593" s="9"/>
    </row>
    <row r="3594" spans="9:13" x14ac:dyDescent="0.3">
      <c r="I3594" s="7"/>
      <c r="J3594" s="9"/>
      <c r="K3594" s="9"/>
      <c r="L3594" s="9"/>
      <c r="M3594" s="9"/>
    </row>
    <row r="3595" spans="9:13" x14ac:dyDescent="0.3">
      <c r="I3595" s="7"/>
      <c r="J3595" s="9"/>
      <c r="K3595" s="9"/>
      <c r="L3595" s="9"/>
      <c r="M3595" s="9"/>
    </row>
    <row r="3596" spans="9:13" x14ac:dyDescent="0.3">
      <c r="I3596" s="7"/>
      <c r="J3596" s="9"/>
      <c r="K3596" s="9"/>
      <c r="L3596" s="9"/>
      <c r="M3596" s="9"/>
    </row>
    <row r="3597" spans="9:13" x14ac:dyDescent="0.3">
      <c r="I3597" s="7"/>
      <c r="J3597" s="9"/>
      <c r="K3597" s="9"/>
      <c r="L3597" s="9"/>
      <c r="M3597" s="9"/>
    </row>
    <row r="3598" spans="9:13" x14ac:dyDescent="0.3">
      <c r="I3598" s="7"/>
      <c r="J3598" s="9"/>
      <c r="K3598" s="9"/>
      <c r="L3598" s="9"/>
      <c r="M3598" s="9"/>
    </row>
    <row r="3599" spans="9:13" x14ac:dyDescent="0.3">
      <c r="I3599" s="7"/>
      <c r="J3599" s="9"/>
      <c r="K3599" s="9"/>
      <c r="L3599" s="9"/>
      <c r="M3599" s="9"/>
    </row>
    <row r="3600" spans="9:13" x14ac:dyDescent="0.3">
      <c r="I3600" s="7"/>
      <c r="J3600" s="9"/>
      <c r="K3600" s="9"/>
      <c r="L3600" s="9"/>
      <c r="M3600" s="9"/>
    </row>
    <row r="3601" spans="9:13" x14ac:dyDescent="0.3">
      <c r="I3601" s="7"/>
      <c r="J3601" s="9"/>
      <c r="K3601" s="9"/>
      <c r="L3601" s="9"/>
      <c r="M3601" s="9"/>
    </row>
    <row r="3602" spans="9:13" x14ac:dyDescent="0.3">
      <c r="I3602" s="7"/>
      <c r="J3602" s="9"/>
      <c r="K3602" s="9"/>
      <c r="L3602" s="9"/>
      <c r="M3602" s="9"/>
    </row>
    <row r="3603" spans="9:13" x14ac:dyDescent="0.3">
      <c r="I3603" s="7"/>
      <c r="J3603" s="9"/>
      <c r="K3603" s="9"/>
      <c r="L3603" s="9"/>
      <c r="M3603" s="9"/>
    </row>
    <row r="3604" spans="9:13" x14ac:dyDescent="0.3">
      <c r="I3604" s="7"/>
      <c r="J3604" s="9"/>
      <c r="K3604" s="9"/>
      <c r="L3604" s="9"/>
      <c r="M3604" s="9"/>
    </row>
    <row r="3605" spans="9:13" x14ac:dyDescent="0.3">
      <c r="I3605" s="7"/>
      <c r="J3605" s="9"/>
      <c r="K3605" s="9"/>
      <c r="L3605" s="9"/>
      <c r="M3605" s="9"/>
    </row>
    <row r="3606" spans="9:13" x14ac:dyDescent="0.3">
      <c r="I3606" s="7"/>
      <c r="J3606" s="9"/>
      <c r="K3606" s="9"/>
      <c r="L3606" s="9"/>
      <c r="M3606" s="9"/>
    </row>
    <row r="3607" spans="9:13" x14ac:dyDescent="0.3">
      <c r="I3607" s="7"/>
      <c r="J3607" s="9"/>
      <c r="K3607" s="9"/>
      <c r="L3607" s="9"/>
      <c r="M3607" s="9"/>
    </row>
    <row r="3608" spans="9:13" x14ac:dyDescent="0.3">
      <c r="I3608" s="7"/>
      <c r="J3608" s="9"/>
      <c r="K3608" s="9"/>
      <c r="L3608" s="9"/>
      <c r="M3608" s="9"/>
    </row>
    <row r="3609" spans="9:13" x14ac:dyDescent="0.3">
      <c r="I3609" s="7"/>
      <c r="J3609" s="9"/>
      <c r="K3609" s="9"/>
      <c r="L3609" s="9"/>
      <c r="M3609" s="9"/>
    </row>
    <row r="3610" spans="9:13" x14ac:dyDescent="0.3">
      <c r="I3610" s="7"/>
      <c r="J3610" s="9"/>
      <c r="K3610" s="9"/>
      <c r="L3610" s="9"/>
      <c r="M3610" s="9"/>
    </row>
    <row r="3611" spans="9:13" x14ac:dyDescent="0.3">
      <c r="I3611" s="7"/>
      <c r="J3611" s="9"/>
      <c r="K3611" s="9"/>
      <c r="L3611" s="9"/>
      <c r="M3611" s="9"/>
    </row>
    <row r="3612" spans="9:13" x14ac:dyDescent="0.3">
      <c r="I3612" s="7"/>
      <c r="J3612" s="9"/>
      <c r="K3612" s="9"/>
      <c r="L3612" s="9"/>
      <c r="M3612" s="9"/>
    </row>
    <row r="3613" spans="9:13" x14ac:dyDescent="0.3">
      <c r="I3613" s="7"/>
      <c r="J3613" s="9"/>
      <c r="K3613" s="9"/>
      <c r="L3613" s="9"/>
      <c r="M3613" s="9"/>
    </row>
    <row r="3614" spans="9:13" x14ac:dyDescent="0.3">
      <c r="I3614" s="7"/>
      <c r="J3614" s="9"/>
      <c r="K3614" s="9"/>
      <c r="L3614" s="9"/>
      <c r="M3614" s="9"/>
    </row>
    <row r="3615" spans="9:13" x14ac:dyDescent="0.3">
      <c r="I3615" s="7"/>
      <c r="J3615" s="9"/>
      <c r="K3615" s="9"/>
      <c r="L3615" s="9"/>
      <c r="M3615" s="9"/>
    </row>
    <row r="3616" spans="9:13" x14ac:dyDescent="0.3">
      <c r="I3616" s="7"/>
      <c r="J3616" s="9"/>
      <c r="K3616" s="9"/>
      <c r="L3616" s="9"/>
      <c r="M3616" s="9"/>
    </row>
    <row r="3617" spans="9:13" x14ac:dyDescent="0.3">
      <c r="I3617" s="7"/>
      <c r="J3617" s="9"/>
      <c r="K3617" s="9"/>
      <c r="L3617" s="9"/>
      <c r="M3617" s="9"/>
    </row>
    <row r="3618" spans="9:13" x14ac:dyDescent="0.3">
      <c r="I3618" s="7"/>
      <c r="J3618" s="9"/>
      <c r="K3618" s="9"/>
      <c r="L3618" s="9"/>
      <c r="M3618" s="9"/>
    </row>
    <row r="3619" spans="9:13" x14ac:dyDescent="0.3">
      <c r="I3619" s="7"/>
      <c r="J3619" s="9"/>
      <c r="K3619" s="9"/>
      <c r="L3619" s="9"/>
      <c r="M3619" s="9"/>
    </row>
    <row r="3620" spans="9:13" x14ac:dyDescent="0.3">
      <c r="I3620" s="7"/>
      <c r="J3620" s="9"/>
      <c r="K3620" s="9"/>
      <c r="L3620" s="9"/>
      <c r="M3620" s="9"/>
    </row>
    <row r="3621" spans="9:13" x14ac:dyDescent="0.3">
      <c r="I3621" s="7"/>
      <c r="J3621" s="9"/>
      <c r="K3621" s="9"/>
      <c r="L3621" s="9"/>
      <c r="M3621" s="9"/>
    </row>
    <row r="3622" spans="9:13" x14ac:dyDescent="0.3">
      <c r="I3622" s="7"/>
      <c r="J3622" s="9"/>
      <c r="K3622" s="9"/>
      <c r="L3622" s="9"/>
      <c r="M3622" s="9"/>
    </row>
    <row r="3623" spans="9:13" x14ac:dyDescent="0.3">
      <c r="I3623" s="7"/>
      <c r="J3623" s="9"/>
      <c r="K3623" s="9"/>
      <c r="L3623" s="9"/>
      <c r="M3623" s="9"/>
    </row>
    <row r="3624" spans="9:13" x14ac:dyDescent="0.3">
      <c r="I3624" s="7"/>
      <c r="J3624" s="9"/>
      <c r="K3624" s="9"/>
      <c r="L3624" s="9"/>
      <c r="M3624" s="9"/>
    </row>
    <row r="3625" spans="9:13" x14ac:dyDescent="0.3">
      <c r="I3625" s="7"/>
      <c r="J3625" s="9"/>
      <c r="K3625" s="9"/>
      <c r="L3625" s="9"/>
      <c r="M3625" s="9"/>
    </row>
    <row r="3626" spans="9:13" x14ac:dyDescent="0.3">
      <c r="I3626" s="7"/>
      <c r="J3626" s="9"/>
      <c r="K3626" s="9"/>
      <c r="L3626" s="9"/>
      <c r="M3626" s="9"/>
    </row>
    <row r="3627" spans="9:13" x14ac:dyDescent="0.3">
      <c r="I3627" s="7"/>
      <c r="J3627" s="9"/>
      <c r="K3627" s="9"/>
      <c r="L3627" s="9"/>
      <c r="M3627" s="9"/>
    </row>
    <row r="3628" spans="9:13" x14ac:dyDescent="0.3">
      <c r="I3628" s="7"/>
      <c r="J3628" s="9"/>
      <c r="K3628" s="9"/>
      <c r="L3628" s="9"/>
      <c r="M3628" s="9"/>
    </row>
    <row r="3629" spans="9:13" x14ac:dyDescent="0.3">
      <c r="I3629" s="7"/>
      <c r="J3629" s="9"/>
      <c r="K3629" s="9"/>
      <c r="L3629" s="9"/>
      <c r="M3629" s="9"/>
    </row>
    <row r="3630" spans="9:13" x14ac:dyDescent="0.3">
      <c r="I3630" s="7"/>
      <c r="J3630" s="9"/>
      <c r="K3630" s="9"/>
      <c r="L3630" s="9"/>
      <c r="M3630" s="9"/>
    </row>
    <row r="3631" spans="9:13" x14ac:dyDescent="0.3">
      <c r="I3631" s="7"/>
      <c r="J3631" s="9"/>
      <c r="K3631" s="9"/>
      <c r="L3631" s="9"/>
      <c r="M3631" s="9"/>
    </row>
    <row r="3632" spans="9:13" x14ac:dyDescent="0.3">
      <c r="I3632" s="7"/>
      <c r="J3632" s="9"/>
      <c r="K3632" s="9"/>
      <c r="L3632" s="9"/>
      <c r="M3632" s="9"/>
    </row>
    <row r="3633" spans="9:13" x14ac:dyDescent="0.3">
      <c r="I3633" s="7"/>
      <c r="J3633" s="9"/>
      <c r="K3633" s="9"/>
      <c r="L3633" s="9"/>
      <c r="M3633" s="9"/>
    </row>
    <row r="3634" spans="9:13" x14ac:dyDescent="0.3">
      <c r="I3634" s="7"/>
      <c r="J3634" s="9"/>
      <c r="K3634" s="9"/>
      <c r="L3634" s="9"/>
      <c r="M3634" s="9"/>
    </row>
    <row r="3635" spans="9:13" x14ac:dyDescent="0.3">
      <c r="I3635" s="7"/>
      <c r="J3635" s="9"/>
      <c r="K3635" s="9"/>
      <c r="L3635" s="9"/>
      <c r="M3635" s="9"/>
    </row>
    <row r="3636" spans="9:13" x14ac:dyDescent="0.3">
      <c r="I3636" s="7"/>
      <c r="J3636" s="9"/>
      <c r="K3636" s="9"/>
      <c r="L3636" s="9"/>
      <c r="M3636" s="9"/>
    </row>
    <row r="3637" spans="9:13" x14ac:dyDescent="0.3">
      <c r="I3637" s="7"/>
      <c r="J3637" s="9"/>
      <c r="K3637" s="9"/>
      <c r="L3637" s="9"/>
      <c r="M3637" s="9"/>
    </row>
    <row r="3638" spans="9:13" x14ac:dyDescent="0.3">
      <c r="I3638" s="7"/>
      <c r="J3638" s="9"/>
      <c r="K3638" s="9"/>
      <c r="L3638" s="9"/>
      <c r="M3638" s="9"/>
    </row>
    <row r="3639" spans="9:13" x14ac:dyDescent="0.3">
      <c r="I3639" s="7"/>
      <c r="J3639" s="9"/>
      <c r="K3639" s="9"/>
      <c r="L3639" s="9"/>
      <c r="M3639" s="9"/>
    </row>
    <row r="3640" spans="9:13" x14ac:dyDescent="0.3">
      <c r="I3640" s="7"/>
      <c r="J3640" s="9"/>
      <c r="K3640" s="9"/>
      <c r="L3640" s="9"/>
      <c r="M3640" s="9"/>
    </row>
    <row r="3641" spans="9:13" x14ac:dyDescent="0.3">
      <c r="I3641" s="7"/>
      <c r="J3641" s="9"/>
      <c r="K3641" s="9"/>
      <c r="L3641" s="9"/>
      <c r="M3641" s="9"/>
    </row>
    <row r="3642" spans="9:13" x14ac:dyDescent="0.3">
      <c r="I3642" s="7"/>
      <c r="J3642" s="9"/>
      <c r="K3642" s="9"/>
      <c r="L3642" s="9"/>
      <c r="M3642" s="9"/>
    </row>
    <row r="3643" spans="9:13" x14ac:dyDescent="0.3">
      <c r="I3643" s="7"/>
      <c r="J3643" s="9"/>
      <c r="K3643" s="9"/>
      <c r="L3643" s="9"/>
      <c r="M3643" s="9"/>
    </row>
    <row r="3644" spans="9:13" x14ac:dyDescent="0.3">
      <c r="I3644" s="7"/>
      <c r="J3644" s="9"/>
      <c r="K3644" s="9"/>
      <c r="L3644" s="9"/>
      <c r="M3644" s="9"/>
    </row>
    <row r="3645" spans="9:13" x14ac:dyDescent="0.3">
      <c r="I3645" s="7"/>
      <c r="J3645" s="9"/>
      <c r="K3645" s="9"/>
      <c r="L3645" s="9"/>
      <c r="M3645" s="9"/>
    </row>
    <row r="3646" spans="9:13" x14ac:dyDescent="0.3">
      <c r="I3646" s="7"/>
      <c r="J3646" s="9"/>
      <c r="K3646" s="9"/>
      <c r="L3646" s="9"/>
      <c r="M3646" s="9"/>
    </row>
    <row r="3647" spans="9:13" x14ac:dyDescent="0.3">
      <c r="I3647" s="7"/>
      <c r="J3647" s="9"/>
      <c r="K3647" s="9"/>
      <c r="L3647" s="9"/>
      <c r="M3647" s="9"/>
    </row>
    <row r="3648" spans="9:13" x14ac:dyDescent="0.3">
      <c r="I3648" s="7"/>
      <c r="J3648" s="9"/>
      <c r="K3648" s="9"/>
      <c r="L3648" s="9"/>
      <c r="M3648" s="9"/>
    </row>
    <row r="3649" spans="9:13" x14ac:dyDescent="0.3">
      <c r="I3649" s="7"/>
      <c r="J3649" s="9"/>
      <c r="K3649" s="9"/>
      <c r="L3649" s="9"/>
      <c r="M3649" s="9"/>
    </row>
    <row r="3650" spans="9:13" x14ac:dyDescent="0.3">
      <c r="I3650" s="7"/>
      <c r="J3650" s="9"/>
      <c r="K3650" s="9"/>
      <c r="L3650" s="9"/>
      <c r="M3650" s="9"/>
    </row>
    <row r="3651" spans="9:13" x14ac:dyDescent="0.3">
      <c r="I3651" s="7"/>
      <c r="J3651" s="9"/>
      <c r="K3651" s="9"/>
      <c r="L3651" s="9"/>
      <c r="M3651" s="9"/>
    </row>
    <row r="3652" spans="9:13" x14ac:dyDescent="0.3">
      <c r="I3652" s="7"/>
      <c r="J3652" s="9"/>
      <c r="K3652" s="9"/>
      <c r="L3652" s="9"/>
      <c r="M3652" s="9"/>
    </row>
    <row r="3653" spans="9:13" x14ac:dyDescent="0.3">
      <c r="I3653" s="7"/>
      <c r="J3653" s="9"/>
      <c r="K3653" s="9"/>
      <c r="L3653" s="9"/>
      <c r="M3653" s="9"/>
    </row>
    <row r="3654" spans="9:13" x14ac:dyDescent="0.3">
      <c r="I3654" s="7"/>
      <c r="J3654" s="9"/>
      <c r="K3654" s="9"/>
      <c r="L3654" s="9"/>
      <c r="M3654" s="9"/>
    </row>
    <row r="3655" spans="9:13" x14ac:dyDescent="0.3">
      <c r="I3655" s="7"/>
      <c r="J3655" s="9"/>
      <c r="K3655" s="9"/>
      <c r="L3655" s="9"/>
      <c r="M3655" s="9"/>
    </row>
    <row r="3656" spans="9:13" x14ac:dyDescent="0.3">
      <c r="I3656" s="7"/>
      <c r="J3656" s="9"/>
      <c r="K3656" s="9"/>
      <c r="L3656" s="9"/>
      <c r="M3656" s="9"/>
    </row>
    <row r="3657" spans="9:13" x14ac:dyDescent="0.3">
      <c r="I3657" s="7"/>
      <c r="J3657" s="9"/>
      <c r="K3657" s="9"/>
      <c r="L3657" s="9"/>
      <c r="M3657" s="9"/>
    </row>
    <row r="3658" spans="9:13" x14ac:dyDescent="0.3">
      <c r="I3658" s="7"/>
      <c r="J3658" s="9"/>
      <c r="K3658" s="9"/>
      <c r="L3658" s="9"/>
      <c r="M3658" s="9"/>
    </row>
    <row r="3659" spans="9:13" x14ac:dyDescent="0.3">
      <c r="I3659" s="7"/>
      <c r="J3659" s="9"/>
      <c r="K3659" s="9"/>
      <c r="L3659" s="9"/>
      <c r="M3659" s="9"/>
    </row>
    <row r="3660" spans="9:13" x14ac:dyDescent="0.3">
      <c r="I3660" s="7"/>
      <c r="J3660" s="9"/>
      <c r="K3660" s="9"/>
      <c r="L3660" s="9"/>
      <c r="M3660" s="9"/>
    </row>
    <row r="3661" spans="9:13" x14ac:dyDescent="0.3">
      <c r="I3661" s="7"/>
      <c r="J3661" s="9"/>
      <c r="K3661" s="9"/>
      <c r="L3661" s="9"/>
      <c r="M3661" s="9"/>
    </row>
    <row r="3662" spans="9:13" x14ac:dyDescent="0.3">
      <c r="I3662" s="7"/>
      <c r="J3662" s="9"/>
      <c r="K3662" s="9"/>
      <c r="L3662" s="9"/>
      <c r="M3662" s="9"/>
    </row>
    <row r="3663" spans="9:13" x14ac:dyDescent="0.3">
      <c r="I3663" s="7"/>
      <c r="J3663" s="9"/>
      <c r="K3663" s="9"/>
      <c r="L3663" s="9"/>
      <c r="M3663" s="9"/>
    </row>
    <row r="3664" spans="9:13" x14ac:dyDescent="0.3">
      <c r="I3664" s="7"/>
      <c r="J3664" s="9"/>
      <c r="K3664" s="9"/>
      <c r="L3664" s="9"/>
      <c r="M3664" s="9"/>
    </row>
    <row r="3665" spans="9:13" x14ac:dyDescent="0.3">
      <c r="I3665" s="7"/>
      <c r="J3665" s="9"/>
      <c r="K3665" s="9"/>
      <c r="L3665" s="9"/>
      <c r="M3665" s="9"/>
    </row>
    <row r="3666" spans="9:13" x14ac:dyDescent="0.3">
      <c r="I3666" s="7"/>
      <c r="J3666" s="9"/>
      <c r="K3666" s="9"/>
      <c r="L3666" s="9"/>
      <c r="M3666" s="9"/>
    </row>
    <row r="3667" spans="9:13" x14ac:dyDescent="0.3">
      <c r="I3667" s="7"/>
      <c r="J3667" s="9"/>
      <c r="K3667" s="9"/>
      <c r="L3667" s="9"/>
      <c r="M3667" s="9"/>
    </row>
    <row r="3668" spans="9:13" x14ac:dyDescent="0.3">
      <c r="I3668" s="7"/>
      <c r="J3668" s="9"/>
      <c r="K3668" s="9"/>
      <c r="L3668" s="9"/>
      <c r="M3668" s="9"/>
    </row>
    <row r="3669" spans="9:13" x14ac:dyDescent="0.3">
      <c r="I3669" s="7"/>
      <c r="J3669" s="9"/>
      <c r="K3669" s="9"/>
      <c r="L3669" s="9"/>
      <c r="M3669" s="9"/>
    </row>
    <row r="3670" spans="9:13" x14ac:dyDescent="0.3">
      <c r="I3670" s="7"/>
      <c r="J3670" s="9"/>
      <c r="K3670" s="9"/>
      <c r="L3670" s="9"/>
      <c r="M3670" s="9"/>
    </row>
    <row r="3671" spans="9:13" x14ac:dyDescent="0.3">
      <c r="I3671" s="7"/>
      <c r="J3671" s="9"/>
      <c r="K3671" s="9"/>
      <c r="L3671" s="9"/>
      <c r="M3671" s="9"/>
    </row>
    <row r="3672" spans="9:13" x14ac:dyDescent="0.3">
      <c r="I3672" s="7"/>
      <c r="J3672" s="9"/>
      <c r="K3672" s="9"/>
      <c r="L3672" s="9"/>
      <c r="M3672" s="9"/>
    </row>
    <row r="3673" spans="9:13" x14ac:dyDescent="0.3">
      <c r="I3673" s="7"/>
      <c r="J3673" s="9"/>
      <c r="K3673" s="9"/>
      <c r="L3673" s="9"/>
      <c r="M3673" s="9"/>
    </row>
    <row r="3674" spans="9:13" x14ac:dyDescent="0.3">
      <c r="I3674" s="7"/>
      <c r="J3674" s="9"/>
      <c r="K3674" s="9"/>
      <c r="L3674" s="9"/>
      <c r="M3674" s="9"/>
    </row>
    <row r="3675" spans="9:13" x14ac:dyDescent="0.3">
      <c r="I3675" s="7"/>
      <c r="J3675" s="9"/>
      <c r="K3675" s="9"/>
      <c r="L3675" s="9"/>
      <c r="M3675" s="9"/>
    </row>
    <row r="3676" spans="9:13" x14ac:dyDescent="0.3">
      <c r="I3676" s="7"/>
      <c r="J3676" s="9"/>
      <c r="K3676" s="9"/>
      <c r="L3676" s="9"/>
      <c r="M3676" s="9"/>
    </row>
    <row r="3677" spans="9:13" x14ac:dyDescent="0.3">
      <c r="I3677" s="7"/>
      <c r="J3677" s="9"/>
      <c r="K3677" s="9"/>
      <c r="L3677" s="9"/>
      <c r="M3677" s="9"/>
    </row>
    <row r="3678" spans="9:13" x14ac:dyDescent="0.3">
      <c r="I3678" s="7"/>
      <c r="J3678" s="9"/>
      <c r="K3678" s="9"/>
      <c r="L3678" s="9"/>
      <c r="M3678" s="9"/>
    </row>
    <row r="3679" spans="9:13" x14ac:dyDescent="0.3">
      <c r="I3679" s="7"/>
      <c r="J3679" s="9"/>
      <c r="K3679" s="9"/>
      <c r="L3679" s="9"/>
      <c r="M3679" s="9"/>
    </row>
    <row r="3680" spans="9:13" x14ac:dyDescent="0.3">
      <c r="I3680" s="7"/>
      <c r="J3680" s="9"/>
      <c r="K3680" s="9"/>
      <c r="L3680" s="9"/>
      <c r="M3680" s="9"/>
    </row>
    <row r="3681" spans="9:13" x14ac:dyDescent="0.3">
      <c r="I3681" s="7"/>
      <c r="J3681" s="9"/>
      <c r="K3681" s="9"/>
      <c r="L3681" s="9"/>
      <c r="M3681" s="9"/>
    </row>
    <row r="3682" spans="9:13" x14ac:dyDescent="0.3">
      <c r="I3682" s="7"/>
      <c r="J3682" s="9"/>
      <c r="K3682" s="9"/>
      <c r="L3682" s="9"/>
      <c r="M3682" s="9"/>
    </row>
    <row r="3683" spans="9:13" x14ac:dyDescent="0.3">
      <c r="I3683" s="7"/>
      <c r="J3683" s="9"/>
      <c r="K3683" s="9"/>
      <c r="L3683" s="9"/>
      <c r="M3683" s="9"/>
    </row>
    <row r="3684" spans="9:13" x14ac:dyDescent="0.3">
      <c r="I3684" s="7"/>
      <c r="J3684" s="9"/>
      <c r="K3684" s="9"/>
      <c r="L3684" s="9"/>
      <c r="M3684" s="9"/>
    </row>
    <row r="3685" spans="9:13" x14ac:dyDescent="0.3">
      <c r="I3685" s="7"/>
      <c r="J3685" s="9"/>
      <c r="K3685" s="9"/>
      <c r="L3685" s="9"/>
      <c r="M3685" s="9"/>
    </row>
    <row r="3686" spans="9:13" x14ac:dyDescent="0.3">
      <c r="I3686" s="7"/>
      <c r="J3686" s="9"/>
      <c r="K3686" s="9"/>
      <c r="L3686" s="9"/>
      <c r="M3686" s="9"/>
    </row>
    <row r="3687" spans="9:13" x14ac:dyDescent="0.3">
      <c r="I3687" s="7"/>
      <c r="J3687" s="9"/>
      <c r="K3687" s="9"/>
      <c r="L3687" s="9"/>
      <c r="M3687" s="9"/>
    </row>
    <row r="3688" spans="9:13" x14ac:dyDescent="0.3">
      <c r="I3688" s="7"/>
      <c r="J3688" s="9"/>
      <c r="K3688" s="9"/>
      <c r="L3688" s="9"/>
      <c r="M3688" s="9"/>
    </row>
    <row r="3689" spans="9:13" x14ac:dyDescent="0.3">
      <c r="I3689" s="7"/>
      <c r="J3689" s="9"/>
      <c r="K3689" s="9"/>
      <c r="L3689" s="9"/>
      <c r="M3689" s="9"/>
    </row>
    <row r="3690" spans="9:13" x14ac:dyDescent="0.3">
      <c r="I3690" s="7"/>
      <c r="J3690" s="9"/>
      <c r="K3690" s="9"/>
      <c r="L3690" s="9"/>
      <c r="M3690" s="9"/>
    </row>
    <row r="3691" spans="9:13" x14ac:dyDescent="0.3">
      <c r="I3691" s="7"/>
      <c r="J3691" s="9"/>
      <c r="K3691" s="9"/>
      <c r="L3691" s="9"/>
      <c r="M3691" s="9"/>
    </row>
    <row r="3692" spans="9:13" x14ac:dyDescent="0.3">
      <c r="I3692" s="7"/>
      <c r="J3692" s="9"/>
      <c r="K3692" s="9"/>
      <c r="L3692" s="9"/>
      <c r="M3692" s="9"/>
    </row>
    <row r="3693" spans="9:13" x14ac:dyDescent="0.3">
      <c r="I3693" s="7"/>
      <c r="J3693" s="9"/>
      <c r="K3693" s="9"/>
      <c r="L3693" s="9"/>
      <c r="M3693" s="9"/>
    </row>
    <row r="3694" spans="9:13" x14ac:dyDescent="0.3">
      <c r="I3694" s="7"/>
      <c r="J3694" s="9"/>
      <c r="K3694" s="9"/>
      <c r="L3694" s="9"/>
      <c r="M3694" s="9"/>
    </row>
    <row r="3695" spans="9:13" x14ac:dyDescent="0.3">
      <c r="I3695" s="7"/>
      <c r="J3695" s="9"/>
      <c r="K3695" s="9"/>
      <c r="L3695" s="9"/>
      <c r="M3695" s="9"/>
    </row>
    <row r="3696" spans="9:13" x14ac:dyDescent="0.3">
      <c r="I3696" s="7"/>
      <c r="J3696" s="9"/>
      <c r="K3696" s="9"/>
      <c r="L3696" s="9"/>
      <c r="M3696" s="9"/>
    </row>
    <row r="3697" spans="9:13" x14ac:dyDescent="0.3">
      <c r="I3697" s="7"/>
      <c r="J3697" s="9"/>
      <c r="K3697" s="9"/>
      <c r="L3697" s="9"/>
      <c r="M3697" s="9"/>
    </row>
    <row r="3698" spans="9:13" x14ac:dyDescent="0.3">
      <c r="I3698" s="7"/>
      <c r="J3698" s="9"/>
      <c r="K3698" s="9"/>
      <c r="L3698" s="9"/>
      <c r="M3698" s="9"/>
    </row>
    <row r="3699" spans="9:13" x14ac:dyDescent="0.3">
      <c r="I3699" s="7"/>
      <c r="J3699" s="9"/>
      <c r="K3699" s="9"/>
      <c r="L3699" s="9"/>
      <c r="M3699" s="9"/>
    </row>
    <row r="3700" spans="9:13" x14ac:dyDescent="0.3">
      <c r="I3700" s="7"/>
      <c r="J3700" s="9"/>
      <c r="K3700" s="9"/>
      <c r="L3700" s="9"/>
      <c r="M3700" s="9"/>
    </row>
    <row r="3701" spans="9:13" x14ac:dyDescent="0.3">
      <c r="I3701" s="7"/>
      <c r="J3701" s="9"/>
      <c r="K3701" s="9"/>
      <c r="L3701" s="9"/>
      <c r="M3701" s="9"/>
    </row>
    <row r="3702" spans="9:13" x14ac:dyDescent="0.3">
      <c r="I3702" s="7"/>
      <c r="J3702" s="9"/>
      <c r="K3702" s="9"/>
      <c r="L3702" s="9"/>
      <c r="M3702" s="9"/>
    </row>
    <row r="3703" spans="9:13" x14ac:dyDescent="0.3">
      <c r="I3703" s="7"/>
      <c r="J3703" s="9"/>
      <c r="K3703" s="9"/>
      <c r="L3703" s="9"/>
      <c r="M3703" s="9"/>
    </row>
    <row r="3704" spans="9:13" x14ac:dyDescent="0.3">
      <c r="I3704" s="7"/>
      <c r="J3704" s="9"/>
      <c r="K3704" s="9"/>
      <c r="L3704" s="9"/>
      <c r="M3704" s="9"/>
    </row>
    <row r="3705" spans="9:13" x14ac:dyDescent="0.3">
      <c r="I3705" s="7"/>
      <c r="J3705" s="9"/>
      <c r="K3705" s="9"/>
      <c r="L3705" s="9"/>
      <c r="M3705" s="9"/>
    </row>
    <row r="3706" spans="9:13" x14ac:dyDescent="0.3">
      <c r="I3706" s="7"/>
      <c r="J3706" s="9"/>
      <c r="K3706" s="9"/>
      <c r="L3706" s="9"/>
      <c r="M3706" s="9"/>
    </row>
    <row r="3707" spans="9:13" x14ac:dyDescent="0.3">
      <c r="I3707" s="7"/>
      <c r="J3707" s="9"/>
      <c r="K3707" s="9"/>
      <c r="L3707" s="9"/>
      <c r="M3707" s="9"/>
    </row>
    <row r="3708" spans="9:13" x14ac:dyDescent="0.3">
      <c r="I3708" s="7"/>
      <c r="J3708" s="9"/>
      <c r="K3708" s="9"/>
      <c r="L3708" s="9"/>
      <c r="M3708" s="9"/>
    </row>
    <row r="3709" spans="9:13" x14ac:dyDescent="0.3">
      <c r="I3709" s="7"/>
      <c r="J3709" s="9"/>
      <c r="K3709" s="9"/>
      <c r="L3709" s="9"/>
      <c r="M3709" s="9"/>
    </row>
    <row r="3710" spans="9:13" x14ac:dyDescent="0.3">
      <c r="I3710" s="7"/>
      <c r="J3710" s="9"/>
      <c r="K3710" s="9"/>
      <c r="L3710" s="9"/>
      <c r="M3710" s="9"/>
    </row>
    <row r="3711" spans="9:13" x14ac:dyDescent="0.3">
      <c r="I3711" s="7"/>
      <c r="J3711" s="9"/>
      <c r="K3711" s="9"/>
      <c r="L3711" s="9"/>
      <c r="M3711" s="9"/>
    </row>
    <row r="3712" spans="9:13" x14ac:dyDescent="0.3">
      <c r="I3712" s="7"/>
      <c r="J3712" s="9"/>
      <c r="K3712" s="9"/>
      <c r="L3712" s="9"/>
      <c r="M3712" s="9"/>
    </row>
    <row r="3713" spans="9:13" x14ac:dyDescent="0.3">
      <c r="I3713" s="7"/>
      <c r="J3713" s="9"/>
      <c r="K3713" s="9"/>
      <c r="L3713" s="9"/>
      <c r="M3713" s="9"/>
    </row>
    <row r="3714" spans="9:13" x14ac:dyDescent="0.3">
      <c r="I3714" s="7"/>
      <c r="J3714" s="9"/>
      <c r="K3714" s="9"/>
      <c r="L3714" s="9"/>
      <c r="M3714" s="9"/>
    </row>
    <row r="3715" spans="9:13" x14ac:dyDescent="0.3">
      <c r="I3715" s="7"/>
      <c r="J3715" s="9"/>
      <c r="K3715" s="9"/>
      <c r="L3715" s="9"/>
      <c r="M3715" s="9"/>
    </row>
    <row r="3716" spans="9:13" x14ac:dyDescent="0.3">
      <c r="I3716" s="7"/>
      <c r="J3716" s="9"/>
      <c r="K3716" s="9"/>
      <c r="L3716" s="9"/>
      <c r="M3716" s="9"/>
    </row>
    <row r="3717" spans="9:13" x14ac:dyDescent="0.3">
      <c r="I3717" s="7"/>
      <c r="J3717" s="9"/>
      <c r="K3717" s="9"/>
      <c r="L3717" s="9"/>
      <c r="M3717" s="9"/>
    </row>
    <row r="3718" spans="9:13" x14ac:dyDescent="0.3">
      <c r="I3718" s="7"/>
      <c r="J3718" s="9"/>
      <c r="K3718" s="9"/>
      <c r="L3718" s="9"/>
      <c r="M3718" s="9"/>
    </row>
    <row r="3719" spans="9:13" x14ac:dyDescent="0.3">
      <c r="I3719" s="7"/>
      <c r="J3719" s="9"/>
      <c r="K3719" s="9"/>
      <c r="L3719" s="9"/>
      <c r="M3719" s="9"/>
    </row>
    <row r="3720" spans="9:13" x14ac:dyDescent="0.3">
      <c r="I3720" s="7"/>
      <c r="J3720" s="9"/>
      <c r="K3720" s="9"/>
      <c r="L3720" s="9"/>
      <c r="M3720" s="9"/>
    </row>
    <row r="3721" spans="9:13" x14ac:dyDescent="0.3">
      <c r="I3721" s="7"/>
      <c r="J3721" s="9"/>
      <c r="K3721" s="9"/>
      <c r="L3721" s="9"/>
      <c r="M3721" s="9"/>
    </row>
    <row r="3722" spans="9:13" x14ac:dyDescent="0.3">
      <c r="I3722" s="7"/>
      <c r="J3722" s="9"/>
      <c r="K3722" s="9"/>
      <c r="L3722" s="9"/>
      <c r="M3722" s="9"/>
    </row>
    <row r="3723" spans="9:13" x14ac:dyDescent="0.3">
      <c r="I3723" s="7"/>
      <c r="J3723" s="9"/>
      <c r="K3723" s="9"/>
      <c r="L3723" s="9"/>
      <c r="M3723" s="9"/>
    </row>
    <row r="3724" spans="9:13" x14ac:dyDescent="0.3">
      <c r="I3724" s="7"/>
      <c r="J3724" s="9"/>
      <c r="K3724" s="9"/>
      <c r="L3724" s="9"/>
      <c r="M3724" s="9"/>
    </row>
    <row r="3725" spans="9:13" x14ac:dyDescent="0.3">
      <c r="I3725" s="7"/>
      <c r="J3725" s="9"/>
      <c r="K3725" s="9"/>
      <c r="L3725" s="9"/>
      <c r="M3725" s="9"/>
    </row>
    <row r="3726" spans="9:13" x14ac:dyDescent="0.3">
      <c r="I3726" s="7"/>
      <c r="J3726" s="9"/>
      <c r="K3726" s="9"/>
      <c r="L3726" s="9"/>
      <c r="M3726" s="9"/>
    </row>
    <row r="3727" spans="9:13" x14ac:dyDescent="0.3">
      <c r="I3727" s="7"/>
      <c r="J3727" s="9"/>
      <c r="K3727" s="9"/>
      <c r="L3727" s="9"/>
      <c r="M3727" s="9"/>
    </row>
    <row r="3728" spans="9:13" x14ac:dyDescent="0.3">
      <c r="I3728" s="7"/>
      <c r="J3728" s="9"/>
      <c r="K3728" s="9"/>
      <c r="L3728" s="9"/>
      <c r="M3728" s="9"/>
    </row>
    <row r="3729" spans="9:13" x14ac:dyDescent="0.3">
      <c r="I3729" s="7"/>
      <c r="J3729" s="9"/>
      <c r="K3729" s="9"/>
      <c r="L3729" s="9"/>
      <c r="M3729" s="9"/>
    </row>
    <row r="3730" spans="9:13" x14ac:dyDescent="0.3">
      <c r="I3730" s="7"/>
      <c r="J3730" s="9"/>
      <c r="K3730" s="9"/>
      <c r="L3730" s="9"/>
      <c r="M3730" s="9"/>
    </row>
    <row r="3731" spans="9:13" x14ac:dyDescent="0.3">
      <c r="I3731" s="7"/>
      <c r="J3731" s="9"/>
      <c r="K3731" s="9"/>
      <c r="L3731" s="9"/>
      <c r="M3731" s="9"/>
    </row>
    <row r="3732" spans="9:13" x14ac:dyDescent="0.3">
      <c r="I3732" s="7"/>
      <c r="J3732" s="9"/>
      <c r="K3732" s="9"/>
      <c r="L3732" s="9"/>
      <c r="M3732" s="9"/>
    </row>
    <row r="3733" spans="9:13" x14ac:dyDescent="0.3">
      <c r="I3733" s="7"/>
      <c r="J3733" s="9"/>
      <c r="K3733" s="9"/>
      <c r="L3733" s="9"/>
      <c r="M3733" s="9"/>
    </row>
    <row r="3734" spans="9:13" x14ac:dyDescent="0.3">
      <c r="I3734" s="7"/>
      <c r="J3734" s="9"/>
      <c r="K3734" s="9"/>
      <c r="L3734" s="9"/>
      <c r="M3734" s="9"/>
    </row>
    <row r="3735" spans="9:13" x14ac:dyDescent="0.3">
      <c r="I3735" s="7"/>
      <c r="J3735" s="9"/>
      <c r="K3735" s="9"/>
      <c r="L3735" s="9"/>
      <c r="M3735" s="9"/>
    </row>
    <row r="3736" spans="9:13" x14ac:dyDescent="0.3">
      <c r="I3736" s="7"/>
      <c r="J3736" s="9"/>
      <c r="K3736" s="9"/>
      <c r="L3736" s="9"/>
      <c r="M3736" s="9"/>
    </row>
    <row r="3737" spans="9:13" x14ac:dyDescent="0.3">
      <c r="I3737" s="7"/>
      <c r="J3737" s="9"/>
      <c r="K3737" s="9"/>
      <c r="L3737" s="9"/>
      <c r="M3737" s="9"/>
    </row>
    <row r="3738" spans="9:13" x14ac:dyDescent="0.3">
      <c r="I3738" s="7"/>
      <c r="J3738" s="9"/>
      <c r="K3738" s="9"/>
      <c r="L3738" s="9"/>
      <c r="M3738" s="9"/>
    </row>
    <row r="3739" spans="9:13" x14ac:dyDescent="0.3">
      <c r="I3739" s="7"/>
      <c r="J3739" s="9"/>
      <c r="K3739" s="9"/>
      <c r="L3739" s="9"/>
      <c r="M3739" s="9"/>
    </row>
    <row r="3740" spans="9:13" x14ac:dyDescent="0.3">
      <c r="I3740" s="7"/>
      <c r="J3740" s="9"/>
      <c r="K3740" s="9"/>
      <c r="L3740" s="9"/>
      <c r="M3740" s="9"/>
    </row>
    <row r="3741" spans="9:13" x14ac:dyDescent="0.3">
      <c r="I3741" s="7"/>
      <c r="J3741" s="9"/>
      <c r="K3741" s="9"/>
      <c r="L3741" s="9"/>
      <c r="M3741" s="9"/>
    </row>
    <row r="3742" spans="9:13" x14ac:dyDescent="0.3">
      <c r="I3742" s="7"/>
      <c r="J3742" s="9"/>
      <c r="K3742" s="9"/>
      <c r="L3742" s="9"/>
      <c r="M3742" s="9"/>
    </row>
    <row r="3743" spans="9:13" x14ac:dyDescent="0.3">
      <c r="I3743" s="7"/>
      <c r="J3743" s="9"/>
      <c r="K3743" s="9"/>
      <c r="L3743" s="9"/>
      <c r="M3743" s="9"/>
    </row>
    <row r="3744" spans="9:13" x14ac:dyDescent="0.3">
      <c r="I3744" s="7"/>
      <c r="J3744" s="9"/>
      <c r="K3744" s="9"/>
      <c r="L3744" s="9"/>
      <c r="M3744" s="9"/>
    </row>
    <row r="3745" spans="9:13" x14ac:dyDescent="0.3">
      <c r="I3745" s="7"/>
      <c r="J3745" s="9"/>
      <c r="K3745" s="9"/>
      <c r="L3745" s="9"/>
      <c r="M3745" s="9"/>
    </row>
    <row r="3746" spans="9:13" x14ac:dyDescent="0.3">
      <c r="I3746" s="7"/>
      <c r="J3746" s="9"/>
      <c r="K3746" s="9"/>
      <c r="L3746" s="9"/>
      <c r="M3746" s="9"/>
    </row>
    <row r="3747" spans="9:13" x14ac:dyDescent="0.3">
      <c r="I3747" s="7"/>
      <c r="J3747" s="9"/>
      <c r="K3747" s="9"/>
      <c r="L3747" s="9"/>
      <c r="M3747" s="9"/>
    </row>
    <row r="3748" spans="9:13" x14ac:dyDescent="0.3">
      <c r="I3748" s="7"/>
      <c r="J3748" s="9"/>
      <c r="K3748" s="9"/>
      <c r="L3748" s="9"/>
      <c r="M3748" s="9"/>
    </row>
    <row r="3749" spans="9:13" x14ac:dyDescent="0.3">
      <c r="I3749" s="7"/>
      <c r="J3749" s="9"/>
      <c r="K3749" s="9"/>
      <c r="L3749" s="9"/>
      <c r="M3749" s="9"/>
    </row>
    <row r="3750" spans="9:13" x14ac:dyDescent="0.3">
      <c r="I3750" s="7"/>
      <c r="J3750" s="9"/>
      <c r="K3750" s="9"/>
      <c r="L3750" s="9"/>
      <c r="M3750" s="9"/>
    </row>
    <row r="3751" spans="9:13" x14ac:dyDescent="0.3">
      <c r="I3751" s="7"/>
      <c r="J3751" s="9"/>
      <c r="K3751" s="9"/>
      <c r="L3751" s="9"/>
      <c r="M3751" s="9"/>
    </row>
    <row r="3752" spans="9:13" x14ac:dyDescent="0.3">
      <c r="I3752" s="7"/>
      <c r="J3752" s="9"/>
      <c r="K3752" s="9"/>
      <c r="L3752" s="9"/>
      <c r="M3752" s="9"/>
    </row>
    <row r="3753" spans="9:13" x14ac:dyDescent="0.3">
      <c r="I3753" s="7"/>
      <c r="J3753" s="9"/>
      <c r="K3753" s="9"/>
      <c r="L3753" s="9"/>
      <c r="M3753" s="9"/>
    </row>
    <row r="3754" spans="9:13" x14ac:dyDescent="0.3">
      <c r="I3754" s="7"/>
      <c r="J3754" s="9"/>
      <c r="K3754" s="9"/>
      <c r="L3754" s="9"/>
      <c r="M3754" s="9"/>
    </row>
    <row r="3755" spans="9:13" x14ac:dyDescent="0.3">
      <c r="I3755" s="7"/>
      <c r="J3755" s="9"/>
      <c r="K3755" s="9"/>
      <c r="L3755" s="9"/>
      <c r="M3755" s="9"/>
    </row>
    <row r="3756" spans="9:13" x14ac:dyDescent="0.3">
      <c r="I3756" s="7"/>
      <c r="J3756" s="9"/>
      <c r="K3756" s="9"/>
      <c r="L3756" s="9"/>
      <c r="M3756" s="9"/>
    </row>
    <row r="3757" spans="9:13" x14ac:dyDescent="0.3">
      <c r="I3757" s="7"/>
      <c r="J3757" s="9"/>
      <c r="K3757" s="9"/>
      <c r="L3757" s="9"/>
      <c r="M3757" s="9"/>
    </row>
    <row r="3758" spans="9:13" x14ac:dyDescent="0.3">
      <c r="I3758" s="7"/>
      <c r="J3758" s="9"/>
      <c r="K3758" s="9"/>
      <c r="L3758" s="9"/>
      <c r="M3758" s="9"/>
    </row>
    <row r="3759" spans="9:13" x14ac:dyDescent="0.3">
      <c r="I3759" s="7"/>
      <c r="J3759" s="9"/>
      <c r="K3759" s="9"/>
      <c r="L3759" s="9"/>
      <c r="M3759" s="9"/>
    </row>
    <row r="3760" spans="9:13" x14ac:dyDescent="0.3">
      <c r="I3760" s="7"/>
      <c r="J3760" s="9"/>
      <c r="K3760" s="9"/>
      <c r="L3760" s="9"/>
      <c r="M3760" s="9"/>
    </row>
    <row r="3761" spans="9:13" x14ac:dyDescent="0.3">
      <c r="I3761" s="7"/>
      <c r="J3761" s="9"/>
      <c r="K3761" s="9"/>
      <c r="L3761" s="9"/>
      <c r="M3761" s="9"/>
    </row>
    <row r="3762" spans="9:13" x14ac:dyDescent="0.3">
      <c r="I3762" s="7"/>
      <c r="J3762" s="9"/>
      <c r="K3762" s="9"/>
      <c r="L3762" s="9"/>
      <c r="M3762" s="9"/>
    </row>
    <row r="3763" spans="9:13" x14ac:dyDescent="0.3">
      <c r="I3763" s="7"/>
      <c r="J3763" s="9"/>
      <c r="K3763" s="9"/>
      <c r="L3763" s="9"/>
      <c r="M3763" s="9"/>
    </row>
    <row r="3764" spans="9:13" x14ac:dyDescent="0.3">
      <c r="I3764" s="7"/>
      <c r="J3764" s="9"/>
      <c r="K3764" s="9"/>
      <c r="L3764" s="9"/>
      <c r="M3764" s="9"/>
    </row>
    <row r="3765" spans="9:13" x14ac:dyDescent="0.3">
      <c r="I3765" s="7"/>
      <c r="J3765" s="9"/>
      <c r="K3765" s="9"/>
      <c r="L3765" s="9"/>
      <c r="M3765" s="9"/>
    </row>
    <row r="3766" spans="9:13" x14ac:dyDescent="0.3">
      <c r="I3766" s="7"/>
      <c r="J3766" s="9"/>
      <c r="K3766" s="9"/>
      <c r="L3766" s="9"/>
      <c r="M3766" s="9"/>
    </row>
    <row r="3767" spans="9:13" x14ac:dyDescent="0.3">
      <c r="I3767" s="7"/>
      <c r="J3767" s="9"/>
      <c r="K3767" s="9"/>
      <c r="L3767" s="9"/>
      <c r="M3767" s="9"/>
    </row>
    <row r="3768" spans="9:13" x14ac:dyDescent="0.3">
      <c r="I3768" s="7"/>
      <c r="J3768" s="9"/>
      <c r="K3768" s="9"/>
      <c r="L3768" s="9"/>
      <c r="M3768" s="9"/>
    </row>
    <row r="3769" spans="9:13" x14ac:dyDescent="0.3">
      <c r="I3769" s="7"/>
      <c r="J3769" s="9"/>
      <c r="K3769" s="9"/>
      <c r="L3769" s="9"/>
      <c r="M3769" s="9"/>
    </row>
    <row r="3770" spans="9:13" x14ac:dyDescent="0.3">
      <c r="I3770" s="7"/>
      <c r="J3770" s="9"/>
      <c r="K3770" s="9"/>
      <c r="L3770" s="9"/>
      <c r="M3770" s="9"/>
    </row>
    <row r="3771" spans="9:13" x14ac:dyDescent="0.3">
      <c r="I3771" s="7"/>
      <c r="J3771" s="9"/>
      <c r="K3771" s="9"/>
      <c r="L3771" s="9"/>
      <c r="M3771" s="9"/>
    </row>
    <row r="3772" spans="9:13" x14ac:dyDescent="0.3">
      <c r="I3772" s="7"/>
      <c r="J3772" s="9"/>
      <c r="K3772" s="9"/>
      <c r="L3772" s="9"/>
      <c r="M3772" s="9"/>
    </row>
    <row r="3773" spans="9:13" x14ac:dyDescent="0.3">
      <c r="I3773" s="7"/>
      <c r="J3773" s="9"/>
      <c r="K3773" s="9"/>
      <c r="L3773" s="9"/>
      <c r="M3773" s="9"/>
    </row>
    <row r="3774" spans="9:13" x14ac:dyDescent="0.3">
      <c r="I3774" s="7"/>
      <c r="J3774" s="9"/>
      <c r="K3774" s="9"/>
      <c r="L3774" s="9"/>
      <c r="M3774" s="9"/>
    </row>
    <row r="3775" spans="9:13" x14ac:dyDescent="0.3">
      <c r="I3775" s="7"/>
      <c r="J3775" s="9"/>
      <c r="K3775" s="9"/>
      <c r="L3775" s="9"/>
      <c r="M3775" s="9"/>
    </row>
    <row r="3776" spans="9:13" x14ac:dyDescent="0.3">
      <c r="I3776" s="7"/>
      <c r="J3776" s="9"/>
      <c r="K3776" s="9"/>
      <c r="L3776" s="9"/>
      <c r="M3776" s="9"/>
    </row>
    <row r="3777" spans="9:13" x14ac:dyDescent="0.3">
      <c r="I3777" s="7"/>
      <c r="J3777" s="9"/>
      <c r="K3777" s="9"/>
      <c r="L3777" s="9"/>
      <c r="M3777" s="9"/>
    </row>
    <row r="3778" spans="9:13" x14ac:dyDescent="0.3">
      <c r="I3778" s="7"/>
      <c r="J3778" s="9"/>
      <c r="K3778" s="9"/>
      <c r="L3778" s="9"/>
      <c r="M3778" s="9"/>
    </row>
    <row r="3779" spans="9:13" x14ac:dyDescent="0.3">
      <c r="I3779" s="7"/>
      <c r="J3779" s="9"/>
      <c r="K3779" s="9"/>
      <c r="L3779" s="9"/>
      <c r="M3779" s="9"/>
    </row>
    <row r="3780" spans="9:13" x14ac:dyDescent="0.3">
      <c r="I3780" s="7"/>
      <c r="J3780" s="9"/>
      <c r="K3780" s="9"/>
      <c r="L3780" s="9"/>
      <c r="M3780" s="9"/>
    </row>
    <row r="3781" spans="9:13" x14ac:dyDescent="0.3">
      <c r="I3781" s="7"/>
      <c r="J3781" s="9"/>
      <c r="K3781" s="9"/>
      <c r="L3781" s="9"/>
      <c r="M3781" s="9"/>
    </row>
    <row r="3782" spans="9:13" x14ac:dyDescent="0.3">
      <c r="I3782" s="7"/>
      <c r="J3782" s="9"/>
      <c r="K3782" s="9"/>
      <c r="L3782" s="9"/>
      <c r="M3782" s="9"/>
    </row>
    <row r="3783" spans="9:13" x14ac:dyDescent="0.3">
      <c r="I3783" s="7"/>
      <c r="J3783" s="9"/>
      <c r="K3783" s="9"/>
      <c r="L3783" s="9"/>
      <c r="M3783" s="9"/>
    </row>
    <row r="3784" spans="9:13" x14ac:dyDescent="0.3">
      <c r="I3784" s="7"/>
      <c r="J3784" s="9"/>
      <c r="K3784" s="9"/>
      <c r="L3784" s="9"/>
      <c r="M3784" s="9"/>
    </row>
    <row r="3785" spans="9:13" x14ac:dyDescent="0.3">
      <c r="I3785" s="7"/>
      <c r="J3785" s="9"/>
      <c r="K3785" s="9"/>
      <c r="L3785" s="9"/>
      <c r="M3785" s="9"/>
    </row>
    <row r="3786" spans="9:13" x14ac:dyDescent="0.3">
      <c r="I3786" s="7"/>
      <c r="J3786" s="9"/>
      <c r="K3786" s="9"/>
      <c r="L3786" s="9"/>
      <c r="M3786" s="9"/>
    </row>
    <row r="3787" spans="9:13" x14ac:dyDescent="0.3">
      <c r="I3787" s="7"/>
      <c r="J3787" s="9"/>
      <c r="K3787" s="9"/>
      <c r="L3787" s="9"/>
      <c r="M3787" s="9"/>
    </row>
    <row r="3788" spans="9:13" x14ac:dyDescent="0.3">
      <c r="I3788" s="7"/>
      <c r="J3788" s="9"/>
      <c r="K3788" s="9"/>
      <c r="L3788" s="9"/>
      <c r="M3788" s="9"/>
    </row>
    <row r="3789" spans="9:13" x14ac:dyDescent="0.3">
      <c r="I3789" s="7"/>
      <c r="J3789" s="9"/>
      <c r="K3789" s="9"/>
      <c r="L3789" s="9"/>
      <c r="M3789" s="9"/>
    </row>
    <row r="3790" spans="9:13" x14ac:dyDescent="0.3">
      <c r="I3790" s="7"/>
      <c r="J3790" s="9"/>
      <c r="K3790" s="9"/>
      <c r="L3790" s="9"/>
      <c r="M3790" s="9"/>
    </row>
    <row r="3791" spans="9:13" x14ac:dyDescent="0.3">
      <c r="I3791" s="7"/>
      <c r="J3791" s="9"/>
      <c r="K3791" s="9"/>
      <c r="L3791" s="9"/>
      <c r="M3791" s="9"/>
    </row>
    <row r="3792" spans="9:13" x14ac:dyDescent="0.3">
      <c r="I3792" s="7"/>
      <c r="J3792" s="9"/>
      <c r="K3792" s="9"/>
      <c r="L3792" s="9"/>
      <c r="M3792" s="9"/>
    </row>
    <row r="3793" spans="9:13" x14ac:dyDescent="0.3">
      <c r="I3793" s="7"/>
      <c r="J3793" s="9"/>
      <c r="K3793" s="9"/>
      <c r="L3793" s="9"/>
      <c r="M3793" s="9"/>
    </row>
    <row r="3794" spans="9:13" x14ac:dyDescent="0.3">
      <c r="I3794" s="7"/>
      <c r="J3794" s="9"/>
      <c r="K3794" s="9"/>
      <c r="L3794" s="9"/>
      <c r="M3794" s="9"/>
    </row>
    <row r="3795" spans="9:13" x14ac:dyDescent="0.3">
      <c r="I3795" s="7"/>
      <c r="J3795" s="9"/>
      <c r="K3795" s="9"/>
      <c r="L3795" s="9"/>
      <c r="M3795" s="9"/>
    </row>
    <row r="3796" spans="9:13" x14ac:dyDescent="0.3">
      <c r="I3796" s="7"/>
      <c r="J3796" s="9"/>
      <c r="K3796" s="9"/>
      <c r="L3796" s="9"/>
      <c r="M3796" s="9"/>
    </row>
    <row r="3797" spans="9:13" x14ac:dyDescent="0.3">
      <c r="I3797" s="7"/>
      <c r="J3797" s="9"/>
      <c r="K3797" s="9"/>
      <c r="L3797" s="9"/>
      <c r="M3797" s="9"/>
    </row>
    <row r="3798" spans="9:13" x14ac:dyDescent="0.3">
      <c r="I3798" s="7"/>
      <c r="J3798" s="9"/>
      <c r="K3798" s="9"/>
      <c r="L3798" s="9"/>
      <c r="M3798" s="9"/>
    </row>
    <row r="3799" spans="9:13" x14ac:dyDescent="0.3">
      <c r="I3799" s="7"/>
      <c r="J3799" s="9"/>
      <c r="K3799" s="9"/>
      <c r="L3799" s="9"/>
      <c r="M3799" s="9"/>
    </row>
    <row r="3800" spans="9:13" x14ac:dyDescent="0.3">
      <c r="I3800" s="7"/>
      <c r="J3800" s="9"/>
      <c r="K3800" s="9"/>
      <c r="L3800" s="9"/>
      <c r="M3800" s="9"/>
    </row>
    <row r="3801" spans="9:13" x14ac:dyDescent="0.3">
      <c r="I3801" s="7"/>
      <c r="J3801" s="9"/>
      <c r="K3801" s="9"/>
      <c r="L3801" s="9"/>
      <c r="M3801" s="9"/>
    </row>
    <row r="3802" spans="9:13" x14ac:dyDescent="0.3">
      <c r="I3802" s="7"/>
      <c r="J3802" s="9"/>
      <c r="K3802" s="9"/>
      <c r="L3802" s="9"/>
      <c r="M3802" s="9"/>
    </row>
    <row r="3803" spans="9:13" x14ac:dyDescent="0.3">
      <c r="I3803" s="7"/>
      <c r="J3803" s="9"/>
      <c r="K3803" s="9"/>
      <c r="L3803" s="9"/>
      <c r="M3803" s="9"/>
    </row>
    <row r="3804" spans="9:13" x14ac:dyDescent="0.3">
      <c r="I3804" s="7"/>
      <c r="J3804" s="9"/>
      <c r="K3804" s="9"/>
      <c r="L3804" s="9"/>
      <c r="M3804" s="9"/>
    </row>
    <row r="3805" spans="9:13" x14ac:dyDescent="0.3">
      <c r="I3805" s="7"/>
      <c r="J3805" s="9"/>
      <c r="K3805" s="9"/>
      <c r="L3805" s="9"/>
      <c r="M3805" s="9"/>
    </row>
    <row r="3806" spans="9:13" x14ac:dyDescent="0.3">
      <c r="I3806" s="7"/>
      <c r="J3806" s="9"/>
      <c r="K3806" s="9"/>
      <c r="L3806" s="9"/>
      <c r="M3806" s="9"/>
    </row>
    <row r="3807" spans="9:13" x14ac:dyDescent="0.3">
      <c r="I3807" s="7"/>
      <c r="J3807" s="9"/>
      <c r="K3807" s="9"/>
      <c r="L3807" s="9"/>
      <c r="M3807" s="9"/>
    </row>
    <row r="3808" spans="9:13" x14ac:dyDescent="0.3">
      <c r="I3808" s="7"/>
      <c r="J3808" s="9"/>
      <c r="K3808" s="9"/>
      <c r="L3808" s="9"/>
      <c r="M3808" s="9"/>
    </row>
    <row r="3809" spans="9:13" x14ac:dyDescent="0.3">
      <c r="I3809" s="7"/>
      <c r="J3809" s="9"/>
      <c r="K3809" s="9"/>
      <c r="L3809" s="9"/>
      <c r="M3809" s="9"/>
    </row>
    <row r="3810" spans="9:13" x14ac:dyDescent="0.3">
      <c r="I3810" s="7"/>
      <c r="J3810" s="9"/>
      <c r="K3810" s="9"/>
      <c r="L3810" s="9"/>
      <c r="M3810" s="9"/>
    </row>
    <row r="3811" spans="9:13" x14ac:dyDescent="0.3">
      <c r="I3811" s="7"/>
      <c r="J3811" s="9"/>
      <c r="K3811" s="9"/>
      <c r="L3811" s="9"/>
      <c r="M3811" s="9"/>
    </row>
    <row r="3812" spans="9:13" x14ac:dyDescent="0.3">
      <c r="I3812" s="7"/>
      <c r="J3812" s="9"/>
      <c r="K3812" s="9"/>
      <c r="L3812" s="9"/>
      <c r="M3812" s="9"/>
    </row>
    <row r="3813" spans="9:13" x14ac:dyDescent="0.3">
      <c r="I3813" s="7"/>
      <c r="J3813" s="9"/>
      <c r="K3813" s="9"/>
      <c r="L3813" s="9"/>
      <c r="M3813" s="9"/>
    </row>
    <row r="3814" spans="9:13" x14ac:dyDescent="0.3">
      <c r="I3814" s="7"/>
      <c r="J3814" s="9"/>
      <c r="K3814" s="9"/>
      <c r="L3814" s="9"/>
      <c r="M3814" s="9"/>
    </row>
    <row r="3815" spans="9:13" x14ac:dyDescent="0.3">
      <c r="I3815" s="7"/>
      <c r="J3815" s="9"/>
      <c r="K3815" s="9"/>
      <c r="L3815" s="9"/>
      <c r="M3815" s="9"/>
    </row>
    <row r="3816" spans="9:13" x14ac:dyDescent="0.3">
      <c r="I3816" s="7"/>
      <c r="J3816" s="9"/>
      <c r="K3816" s="9"/>
      <c r="L3816" s="9"/>
      <c r="M3816" s="9"/>
    </row>
    <row r="3817" spans="9:13" x14ac:dyDescent="0.3">
      <c r="I3817" s="7"/>
      <c r="J3817" s="9"/>
      <c r="K3817" s="9"/>
      <c r="L3817" s="9"/>
      <c r="M3817" s="9"/>
    </row>
    <row r="3818" spans="9:13" x14ac:dyDescent="0.3">
      <c r="I3818" s="7"/>
      <c r="J3818" s="9"/>
      <c r="K3818" s="9"/>
      <c r="L3818" s="9"/>
      <c r="M3818" s="9"/>
    </row>
    <row r="3819" spans="9:13" x14ac:dyDescent="0.3">
      <c r="I3819" s="7"/>
      <c r="J3819" s="9"/>
      <c r="K3819" s="9"/>
      <c r="L3819" s="9"/>
      <c r="M3819" s="9"/>
    </row>
    <row r="3820" spans="9:13" x14ac:dyDescent="0.3">
      <c r="I3820" s="7"/>
      <c r="J3820" s="9"/>
      <c r="K3820" s="9"/>
      <c r="L3820" s="9"/>
      <c r="M3820" s="9"/>
    </row>
    <row r="3821" spans="9:13" x14ac:dyDescent="0.3">
      <c r="I3821" s="7"/>
      <c r="J3821" s="9"/>
      <c r="K3821" s="9"/>
      <c r="L3821" s="9"/>
      <c r="M3821" s="9"/>
    </row>
    <row r="3822" spans="9:13" x14ac:dyDescent="0.3">
      <c r="I3822" s="7"/>
      <c r="J3822" s="9"/>
      <c r="K3822" s="9"/>
      <c r="L3822" s="9"/>
      <c r="M3822" s="9"/>
    </row>
    <row r="3823" spans="9:13" x14ac:dyDescent="0.3">
      <c r="I3823" s="7"/>
      <c r="J3823" s="9"/>
      <c r="K3823" s="9"/>
      <c r="L3823" s="9"/>
      <c r="M3823" s="9"/>
    </row>
    <row r="3824" spans="9:13" x14ac:dyDescent="0.3">
      <c r="I3824" s="7"/>
      <c r="J3824" s="9"/>
      <c r="K3824" s="9"/>
      <c r="L3824" s="9"/>
      <c r="M3824" s="9"/>
    </row>
    <row r="3825" spans="9:13" x14ac:dyDescent="0.3">
      <c r="I3825" s="7"/>
      <c r="J3825" s="9"/>
      <c r="K3825" s="9"/>
      <c r="L3825" s="9"/>
      <c r="M3825" s="9"/>
    </row>
    <row r="3826" spans="9:13" x14ac:dyDescent="0.3">
      <c r="I3826" s="7"/>
      <c r="J3826" s="9"/>
      <c r="K3826" s="9"/>
      <c r="L3826" s="9"/>
      <c r="M3826" s="9"/>
    </row>
    <row r="3827" spans="9:13" x14ac:dyDescent="0.3">
      <c r="I3827" s="7"/>
      <c r="J3827" s="9"/>
      <c r="K3827" s="9"/>
      <c r="L3827" s="9"/>
      <c r="M3827" s="9"/>
    </row>
    <row r="3828" spans="9:13" x14ac:dyDescent="0.3">
      <c r="I3828" s="7"/>
      <c r="J3828" s="9"/>
      <c r="K3828" s="9"/>
      <c r="L3828" s="9"/>
      <c r="M3828" s="9"/>
    </row>
    <row r="3829" spans="9:13" x14ac:dyDescent="0.3">
      <c r="I3829" s="7"/>
      <c r="J3829" s="9"/>
      <c r="K3829" s="9"/>
      <c r="L3829" s="9"/>
      <c r="M3829" s="9"/>
    </row>
    <row r="3830" spans="9:13" x14ac:dyDescent="0.3">
      <c r="I3830" s="7"/>
      <c r="J3830" s="9"/>
      <c r="K3830" s="9"/>
      <c r="L3830" s="9"/>
      <c r="M3830" s="9"/>
    </row>
    <row r="3831" spans="9:13" x14ac:dyDescent="0.3">
      <c r="I3831" s="7"/>
      <c r="J3831" s="9"/>
      <c r="K3831" s="9"/>
      <c r="L3831" s="9"/>
      <c r="M3831" s="9"/>
    </row>
    <row r="3832" spans="9:13" x14ac:dyDescent="0.3">
      <c r="I3832" s="7"/>
      <c r="J3832" s="9"/>
      <c r="K3832" s="9"/>
      <c r="L3832" s="9"/>
      <c r="M3832" s="9"/>
    </row>
    <row r="3833" spans="9:13" x14ac:dyDescent="0.3">
      <c r="I3833" s="7"/>
      <c r="J3833" s="9"/>
      <c r="K3833" s="9"/>
      <c r="L3833" s="9"/>
      <c r="M3833" s="9"/>
    </row>
    <row r="3834" spans="9:13" x14ac:dyDescent="0.3">
      <c r="I3834" s="7"/>
      <c r="J3834" s="9"/>
      <c r="K3834" s="9"/>
      <c r="L3834" s="9"/>
      <c r="M3834" s="9"/>
    </row>
    <row r="3835" spans="9:13" x14ac:dyDescent="0.3">
      <c r="I3835" s="7"/>
      <c r="J3835" s="9"/>
      <c r="K3835" s="9"/>
      <c r="L3835" s="9"/>
      <c r="M3835" s="9"/>
    </row>
    <row r="3836" spans="9:13" x14ac:dyDescent="0.3">
      <c r="I3836" s="7"/>
      <c r="J3836" s="9"/>
      <c r="K3836" s="9"/>
      <c r="L3836" s="9"/>
      <c r="M3836" s="9"/>
    </row>
    <row r="3837" spans="9:13" x14ac:dyDescent="0.3">
      <c r="I3837" s="7"/>
      <c r="J3837" s="9"/>
      <c r="K3837" s="9"/>
      <c r="L3837" s="9"/>
      <c r="M3837" s="9"/>
    </row>
    <row r="3838" spans="9:13" x14ac:dyDescent="0.3">
      <c r="I3838" s="7"/>
      <c r="J3838" s="9"/>
      <c r="K3838" s="9"/>
      <c r="L3838" s="9"/>
      <c r="M3838" s="9"/>
    </row>
    <row r="3839" spans="9:13" x14ac:dyDescent="0.3">
      <c r="I3839" s="7"/>
      <c r="J3839" s="9"/>
      <c r="K3839" s="9"/>
      <c r="L3839" s="9"/>
      <c r="M3839" s="9"/>
    </row>
    <row r="3840" spans="9:13" x14ac:dyDescent="0.3">
      <c r="I3840" s="7"/>
      <c r="J3840" s="9"/>
      <c r="K3840" s="9"/>
      <c r="L3840" s="9"/>
      <c r="M3840" s="9"/>
    </row>
    <row r="3841" spans="9:13" x14ac:dyDescent="0.3">
      <c r="I3841" s="7"/>
      <c r="J3841" s="9"/>
      <c r="K3841" s="9"/>
      <c r="L3841" s="9"/>
      <c r="M3841" s="9"/>
    </row>
    <row r="3842" spans="9:13" x14ac:dyDescent="0.3">
      <c r="I3842" s="7"/>
      <c r="J3842" s="9"/>
      <c r="K3842" s="9"/>
      <c r="L3842" s="9"/>
      <c r="M3842" s="9"/>
    </row>
    <row r="3843" spans="9:13" x14ac:dyDescent="0.3">
      <c r="I3843" s="7"/>
      <c r="J3843" s="9"/>
      <c r="K3843" s="9"/>
      <c r="L3843" s="9"/>
      <c r="M3843" s="9"/>
    </row>
    <row r="3844" spans="9:13" x14ac:dyDescent="0.3">
      <c r="I3844" s="7"/>
      <c r="J3844" s="9"/>
      <c r="K3844" s="9"/>
      <c r="L3844" s="9"/>
      <c r="M3844" s="9"/>
    </row>
    <row r="3845" spans="9:13" x14ac:dyDescent="0.3">
      <c r="I3845" s="7"/>
      <c r="J3845" s="9"/>
      <c r="K3845" s="9"/>
      <c r="L3845" s="9"/>
      <c r="M3845" s="9"/>
    </row>
    <row r="3846" spans="9:13" x14ac:dyDescent="0.3">
      <c r="I3846" s="7"/>
      <c r="J3846" s="9"/>
      <c r="K3846" s="9"/>
      <c r="L3846" s="9"/>
      <c r="M3846" s="9"/>
    </row>
    <row r="3847" spans="9:13" x14ac:dyDescent="0.3">
      <c r="I3847" s="7"/>
      <c r="J3847" s="9"/>
      <c r="K3847" s="9"/>
      <c r="L3847" s="9"/>
      <c r="M3847" s="9"/>
    </row>
    <row r="3848" spans="9:13" x14ac:dyDescent="0.3">
      <c r="I3848" s="7"/>
      <c r="J3848" s="9"/>
      <c r="K3848" s="9"/>
      <c r="L3848" s="9"/>
      <c r="M3848" s="9"/>
    </row>
    <row r="3849" spans="9:13" x14ac:dyDescent="0.3">
      <c r="I3849" s="7"/>
      <c r="J3849" s="9"/>
      <c r="K3849" s="9"/>
      <c r="L3849" s="9"/>
      <c r="M3849" s="9"/>
    </row>
    <row r="3850" spans="9:13" x14ac:dyDescent="0.3">
      <c r="I3850" s="7"/>
      <c r="J3850" s="9"/>
      <c r="K3850" s="9"/>
      <c r="L3850" s="9"/>
      <c r="M3850" s="9"/>
    </row>
    <row r="3851" spans="9:13" x14ac:dyDescent="0.3">
      <c r="I3851" s="7"/>
      <c r="J3851" s="9"/>
      <c r="K3851" s="9"/>
      <c r="L3851" s="9"/>
      <c r="M3851" s="9"/>
    </row>
    <row r="3852" spans="9:13" x14ac:dyDescent="0.3">
      <c r="I3852" s="7"/>
      <c r="J3852" s="9"/>
      <c r="K3852" s="9"/>
      <c r="L3852" s="9"/>
      <c r="M3852" s="9"/>
    </row>
    <row r="3853" spans="9:13" x14ac:dyDescent="0.3">
      <c r="I3853" s="7"/>
      <c r="J3853" s="9"/>
      <c r="K3853" s="9"/>
      <c r="L3853" s="9"/>
      <c r="M3853" s="9"/>
    </row>
    <row r="3854" spans="9:13" x14ac:dyDescent="0.3">
      <c r="I3854" s="7"/>
      <c r="J3854" s="9"/>
      <c r="K3854" s="9"/>
      <c r="L3854" s="9"/>
      <c r="M3854" s="9"/>
    </row>
    <row r="3855" spans="9:13" x14ac:dyDescent="0.3">
      <c r="I3855" s="7"/>
      <c r="J3855" s="9"/>
      <c r="K3855" s="9"/>
      <c r="L3855" s="9"/>
      <c r="M3855" s="9"/>
    </row>
    <row r="3856" spans="9:13" x14ac:dyDescent="0.3">
      <c r="I3856" s="7"/>
      <c r="J3856" s="9"/>
      <c r="K3856" s="9"/>
      <c r="L3856" s="9"/>
      <c r="M3856" s="9"/>
    </row>
    <row r="3857" spans="9:13" x14ac:dyDescent="0.3">
      <c r="I3857" s="7"/>
      <c r="J3857" s="9"/>
      <c r="K3857" s="9"/>
      <c r="L3857" s="9"/>
      <c r="M3857" s="9"/>
    </row>
    <row r="3858" spans="9:13" x14ac:dyDescent="0.3">
      <c r="I3858" s="7"/>
      <c r="J3858" s="9"/>
      <c r="K3858" s="9"/>
      <c r="L3858" s="9"/>
      <c r="M3858" s="9"/>
    </row>
    <row r="3859" spans="9:13" x14ac:dyDescent="0.3">
      <c r="I3859" s="7"/>
      <c r="J3859" s="9"/>
      <c r="K3859" s="9"/>
      <c r="L3859" s="9"/>
      <c r="M3859" s="9"/>
    </row>
    <row r="3860" spans="9:13" x14ac:dyDescent="0.3">
      <c r="I3860" s="7"/>
      <c r="J3860" s="9"/>
      <c r="K3860" s="9"/>
      <c r="L3860" s="9"/>
      <c r="M3860" s="9"/>
    </row>
    <row r="3861" spans="9:13" x14ac:dyDescent="0.3">
      <c r="I3861" s="7"/>
      <c r="J3861" s="9"/>
      <c r="K3861" s="9"/>
      <c r="L3861" s="9"/>
      <c r="M3861" s="9"/>
    </row>
    <row r="3862" spans="9:13" x14ac:dyDescent="0.3">
      <c r="I3862" s="7"/>
      <c r="J3862" s="9"/>
      <c r="K3862" s="9"/>
      <c r="L3862" s="9"/>
      <c r="M3862" s="9"/>
    </row>
    <row r="3863" spans="9:13" x14ac:dyDescent="0.3">
      <c r="I3863" s="7"/>
      <c r="J3863" s="9"/>
      <c r="K3863" s="9"/>
      <c r="L3863" s="9"/>
      <c r="M3863" s="9"/>
    </row>
    <row r="3864" spans="9:13" x14ac:dyDescent="0.3">
      <c r="I3864" s="7"/>
      <c r="J3864" s="9"/>
      <c r="K3864" s="9"/>
      <c r="L3864" s="9"/>
      <c r="M3864" s="9"/>
    </row>
    <row r="3865" spans="9:13" x14ac:dyDescent="0.3">
      <c r="I3865" s="7"/>
      <c r="J3865" s="9"/>
      <c r="K3865" s="9"/>
      <c r="L3865" s="9"/>
      <c r="M3865" s="9"/>
    </row>
    <row r="3866" spans="9:13" x14ac:dyDescent="0.3">
      <c r="I3866" s="7"/>
      <c r="J3866" s="9"/>
      <c r="K3866" s="9"/>
      <c r="L3866" s="9"/>
      <c r="M3866" s="9"/>
    </row>
    <row r="3867" spans="9:13" x14ac:dyDescent="0.3">
      <c r="I3867" s="7"/>
      <c r="J3867" s="9"/>
      <c r="K3867" s="9"/>
      <c r="L3867" s="9"/>
      <c r="M3867" s="9"/>
    </row>
    <row r="3868" spans="9:13" x14ac:dyDescent="0.3">
      <c r="I3868" s="7"/>
      <c r="J3868" s="9"/>
      <c r="K3868" s="9"/>
      <c r="L3868" s="9"/>
      <c r="M3868" s="9"/>
    </row>
    <row r="3869" spans="9:13" x14ac:dyDescent="0.3">
      <c r="I3869" s="7"/>
      <c r="J3869" s="9"/>
      <c r="K3869" s="9"/>
      <c r="L3869" s="9"/>
      <c r="M3869" s="9"/>
    </row>
    <row r="3870" spans="9:13" x14ac:dyDescent="0.3">
      <c r="I3870" s="7"/>
      <c r="J3870" s="9"/>
      <c r="K3870" s="9"/>
      <c r="L3870" s="9"/>
      <c r="M3870" s="9"/>
    </row>
    <row r="3871" spans="9:13" x14ac:dyDescent="0.3">
      <c r="I3871" s="7"/>
      <c r="J3871" s="9"/>
      <c r="K3871" s="9"/>
      <c r="L3871" s="9"/>
      <c r="M3871" s="9"/>
    </row>
    <row r="3872" spans="9:13" x14ac:dyDescent="0.3">
      <c r="I3872" s="7"/>
      <c r="J3872" s="9"/>
      <c r="K3872" s="9"/>
      <c r="L3872" s="9"/>
      <c r="M3872" s="9"/>
    </row>
    <row r="3873" spans="9:13" x14ac:dyDescent="0.3">
      <c r="I3873" s="7"/>
      <c r="J3873" s="9"/>
      <c r="K3873" s="9"/>
      <c r="L3873" s="9"/>
      <c r="M3873" s="9"/>
    </row>
    <row r="3874" spans="9:13" x14ac:dyDescent="0.3">
      <c r="I3874" s="7"/>
      <c r="J3874" s="9"/>
      <c r="K3874" s="9"/>
      <c r="L3874" s="9"/>
      <c r="M3874" s="9"/>
    </row>
    <row r="3875" spans="9:13" x14ac:dyDescent="0.3">
      <c r="I3875" s="7"/>
      <c r="J3875" s="9"/>
      <c r="K3875" s="9"/>
      <c r="L3875" s="9"/>
      <c r="M3875" s="9"/>
    </row>
    <row r="3876" spans="9:13" x14ac:dyDescent="0.3">
      <c r="I3876" s="7"/>
      <c r="J3876" s="9"/>
      <c r="K3876" s="9"/>
      <c r="L3876" s="9"/>
      <c r="M3876" s="9"/>
    </row>
    <row r="3877" spans="9:13" x14ac:dyDescent="0.3">
      <c r="I3877" s="7"/>
      <c r="J3877" s="9"/>
      <c r="K3877" s="9"/>
      <c r="L3877" s="9"/>
      <c r="M3877" s="9"/>
    </row>
    <row r="3878" spans="9:13" x14ac:dyDescent="0.3">
      <c r="I3878" s="7"/>
      <c r="J3878" s="9"/>
      <c r="K3878" s="9"/>
      <c r="L3878" s="9"/>
      <c r="M3878" s="9"/>
    </row>
    <row r="3879" spans="9:13" x14ac:dyDescent="0.3">
      <c r="I3879" s="7"/>
      <c r="J3879" s="9"/>
      <c r="K3879" s="9"/>
      <c r="L3879" s="9"/>
      <c r="M3879" s="9"/>
    </row>
    <row r="3880" spans="9:13" x14ac:dyDescent="0.3">
      <c r="I3880" s="7"/>
      <c r="J3880" s="9"/>
      <c r="K3880" s="9"/>
      <c r="L3880" s="9"/>
      <c r="M3880" s="9"/>
    </row>
    <row r="3881" spans="9:13" x14ac:dyDescent="0.3">
      <c r="I3881" s="7"/>
      <c r="J3881" s="9"/>
      <c r="K3881" s="9"/>
      <c r="L3881" s="9"/>
      <c r="M3881" s="9"/>
    </row>
    <row r="3882" spans="9:13" x14ac:dyDescent="0.3">
      <c r="I3882" s="7"/>
      <c r="J3882" s="9"/>
      <c r="K3882" s="9"/>
      <c r="L3882" s="9"/>
      <c r="M3882" s="9"/>
    </row>
    <row r="3883" spans="9:13" x14ac:dyDescent="0.3">
      <c r="I3883" s="7"/>
      <c r="J3883" s="9"/>
      <c r="K3883" s="9"/>
      <c r="L3883" s="9"/>
      <c r="M3883" s="9"/>
    </row>
    <row r="3884" spans="9:13" x14ac:dyDescent="0.3">
      <c r="I3884" s="7"/>
      <c r="J3884" s="9"/>
      <c r="K3884" s="9"/>
      <c r="L3884" s="9"/>
      <c r="M3884" s="9"/>
    </row>
    <row r="3885" spans="9:13" x14ac:dyDescent="0.3">
      <c r="I3885" s="7"/>
      <c r="J3885" s="9"/>
      <c r="K3885" s="9"/>
      <c r="L3885" s="9"/>
      <c r="M3885" s="9"/>
    </row>
    <row r="3886" spans="9:13" x14ac:dyDescent="0.3">
      <c r="I3886" s="7"/>
      <c r="J3886" s="9"/>
      <c r="K3886" s="9"/>
      <c r="L3886" s="9"/>
      <c r="M3886" s="9"/>
    </row>
    <row r="3887" spans="9:13" x14ac:dyDescent="0.3">
      <c r="I3887" s="7"/>
      <c r="J3887" s="9"/>
      <c r="K3887" s="9"/>
      <c r="L3887" s="9"/>
      <c r="M3887" s="9"/>
    </row>
    <row r="3888" spans="9:13" x14ac:dyDescent="0.3">
      <c r="I3888" s="7"/>
      <c r="J3888" s="9"/>
      <c r="K3888" s="9"/>
      <c r="L3888" s="9"/>
      <c r="M3888" s="9"/>
    </row>
    <row r="3889" spans="9:13" x14ac:dyDescent="0.3">
      <c r="I3889" s="7"/>
      <c r="J3889" s="9"/>
      <c r="K3889" s="9"/>
      <c r="L3889" s="9"/>
      <c r="M3889" s="9"/>
    </row>
    <row r="3890" spans="9:13" x14ac:dyDescent="0.3">
      <c r="I3890" s="7"/>
      <c r="J3890" s="9"/>
      <c r="K3890" s="9"/>
      <c r="L3890" s="9"/>
      <c r="M3890" s="9"/>
    </row>
    <row r="3891" spans="9:13" x14ac:dyDescent="0.3">
      <c r="I3891" s="7"/>
      <c r="J3891" s="9"/>
      <c r="K3891" s="9"/>
      <c r="L3891" s="9"/>
      <c r="M3891" s="9"/>
    </row>
    <row r="3892" spans="9:13" x14ac:dyDescent="0.3">
      <c r="I3892" s="7"/>
      <c r="J3892" s="9"/>
      <c r="K3892" s="9"/>
      <c r="L3892" s="9"/>
      <c r="M3892" s="9"/>
    </row>
    <row r="3893" spans="9:13" x14ac:dyDescent="0.3">
      <c r="I3893" s="7"/>
      <c r="J3893" s="9"/>
      <c r="K3893" s="9"/>
      <c r="L3893" s="9"/>
      <c r="M3893" s="9"/>
    </row>
    <row r="3894" spans="9:13" x14ac:dyDescent="0.3">
      <c r="I3894" s="7"/>
      <c r="J3894" s="9"/>
      <c r="K3894" s="9"/>
      <c r="L3894" s="9"/>
      <c r="M3894" s="9"/>
    </row>
    <row r="3895" spans="9:13" x14ac:dyDescent="0.3">
      <c r="I3895" s="7"/>
      <c r="J3895" s="9"/>
      <c r="K3895" s="9"/>
      <c r="L3895" s="9"/>
      <c r="M3895" s="9"/>
    </row>
    <row r="3896" spans="9:13" x14ac:dyDescent="0.3">
      <c r="I3896" s="7"/>
      <c r="J3896" s="9"/>
      <c r="K3896" s="9"/>
      <c r="L3896" s="9"/>
      <c r="M3896" s="9"/>
    </row>
    <row r="3897" spans="9:13" x14ac:dyDescent="0.3">
      <c r="I3897" s="7"/>
      <c r="J3897" s="9"/>
      <c r="K3897" s="9"/>
      <c r="L3897" s="9"/>
      <c r="M3897" s="9"/>
    </row>
    <row r="3898" spans="9:13" x14ac:dyDescent="0.3">
      <c r="I3898" s="7"/>
      <c r="J3898" s="9"/>
      <c r="K3898" s="9"/>
      <c r="L3898" s="9"/>
      <c r="M3898" s="9"/>
    </row>
    <row r="3899" spans="9:13" x14ac:dyDescent="0.3">
      <c r="I3899" s="7"/>
      <c r="J3899" s="9"/>
      <c r="K3899" s="9"/>
      <c r="L3899" s="9"/>
      <c r="M3899" s="9"/>
    </row>
    <row r="3900" spans="9:13" x14ac:dyDescent="0.3">
      <c r="I3900" s="7"/>
      <c r="J3900" s="9"/>
      <c r="K3900" s="9"/>
      <c r="L3900" s="9"/>
      <c r="M3900" s="9"/>
    </row>
    <row r="3901" spans="9:13" x14ac:dyDescent="0.3">
      <c r="I3901" s="7"/>
      <c r="J3901" s="9"/>
      <c r="K3901" s="9"/>
      <c r="L3901" s="9"/>
      <c r="M3901" s="9"/>
    </row>
    <row r="3902" spans="9:13" x14ac:dyDescent="0.3">
      <c r="I3902" s="7"/>
      <c r="J3902" s="9"/>
      <c r="K3902" s="9"/>
      <c r="L3902" s="9"/>
      <c r="M3902" s="9"/>
    </row>
    <row r="3903" spans="9:13" x14ac:dyDescent="0.3">
      <c r="I3903" s="7"/>
      <c r="J3903" s="9"/>
      <c r="K3903" s="9"/>
      <c r="L3903" s="9"/>
      <c r="M3903" s="9"/>
    </row>
    <row r="3904" spans="9:13" x14ac:dyDescent="0.3">
      <c r="I3904" s="7"/>
      <c r="J3904" s="9"/>
      <c r="K3904" s="9"/>
      <c r="L3904" s="9"/>
      <c r="M3904" s="9"/>
    </row>
    <row r="3905" spans="9:13" x14ac:dyDescent="0.3">
      <c r="I3905" s="7"/>
      <c r="J3905" s="9"/>
      <c r="K3905" s="9"/>
      <c r="L3905" s="9"/>
      <c r="M3905" s="9"/>
    </row>
    <row r="3906" spans="9:13" x14ac:dyDescent="0.3">
      <c r="I3906" s="7"/>
      <c r="J3906" s="9"/>
      <c r="K3906" s="9"/>
      <c r="L3906" s="9"/>
      <c r="M3906" s="9"/>
    </row>
    <row r="3907" spans="9:13" x14ac:dyDescent="0.3">
      <c r="I3907" s="7"/>
      <c r="J3907" s="9"/>
      <c r="K3907" s="9"/>
      <c r="L3907" s="9"/>
      <c r="M3907" s="9"/>
    </row>
    <row r="3908" spans="9:13" x14ac:dyDescent="0.3">
      <c r="I3908" s="7"/>
      <c r="J3908" s="9"/>
      <c r="K3908" s="9"/>
      <c r="L3908" s="9"/>
      <c r="M3908" s="9"/>
    </row>
    <row r="3909" spans="9:13" x14ac:dyDescent="0.3">
      <c r="I3909" s="7"/>
      <c r="J3909" s="9"/>
      <c r="K3909" s="9"/>
      <c r="L3909" s="9"/>
      <c r="M3909" s="9"/>
    </row>
    <row r="3910" spans="9:13" x14ac:dyDescent="0.3">
      <c r="I3910" s="7"/>
      <c r="J3910" s="9"/>
      <c r="K3910" s="9"/>
      <c r="L3910" s="9"/>
      <c r="M3910" s="9"/>
    </row>
    <row r="3911" spans="9:13" x14ac:dyDescent="0.3">
      <c r="I3911" s="7"/>
      <c r="J3911" s="9"/>
      <c r="K3911" s="9"/>
      <c r="L3911" s="9"/>
      <c r="M3911" s="9"/>
    </row>
    <row r="3912" spans="9:13" x14ac:dyDescent="0.3">
      <c r="I3912" s="7"/>
      <c r="J3912" s="9"/>
      <c r="K3912" s="9"/>
      <c r="L3912" s="9"/>
      <c r="M3912" s="9"/>
    </row>
    <row r="3913" spans="9:13" x14ac:dyDescent="0.3">
      <c r="I3913" s="7"/>
      <c r="J3913" s="9"/>
      <c r="K3913" s="9"/>
      <c r="L3913" s="9"/>
      <c r="M3913" s="9"/>
    </row>
    <row r="3914" spans="9:13" x14ac:dyDescent="0.3">
      <c r="I3914" s="7"/>
      <c r="J3914" s="9"/>
      <c r="K3914" s="9"/>
      <c r="L3914" s="9"/>
      <c r="M3914" s="9"/>
    </row>
    <row r="3915" spans="9:13" x14ac:dyDescent="0.3">
      <c r="I3915" s="7"/>
      <c r="J3915" s="9"/>
      <c r="K3915" s="9"/>
      <c r="L3915" s="9"/>
      <c r="M3915" s="9"/>
    </row>
    <row r="3916" spans="9:13" x14ac:dyDescent="0.3">
      <c r="I3916" s="7"/>
      <c r="J3916" s="9"/>
      <c r="K3916" s="9"/>
      <c r="L3916" s="9"/>
      <c r="M3916" s="9"/>
    </row>
    <row r="3917" spans="9:13" x14ac:dyDescent="0.3">
      <c r="I3917" s="7"/>
      <c r="J3917" s="9"/>
      <c r="K3917" s="9"/>
      <c r="L3917" s="9"/>
      <c r="M3917" s="9"/>
    </row>
    <row r="3918" spans="9:13" x14ac:dyDescent="0.3">
      <c r="I3918" s="7"/>
      <c r="J3918" s="9"/>
      <c r="K3918" s="9"/>
      <c r="L3918" s="9"/>
      <c r="M3918" s="9"/>
    </row>
    <row r="3919" spans="9:13" x14ac:dyDescent="0.3">
      <c r="I3919" s="7"/>
      <c r="J3919" s="9"/>
      <c r="K3919" s="9"/>
      <c r="L3919" s="9"/>
      <c r="M3919" s="9"/>
    </row>
    <row r="3920" spans="9:13" x14ac:dyDescent="0.3">
      <c r="I3920" s="7"/>
      <c r="J3920" s="9"/>
      <c r="K3920" s="9"/>
      <c r="L3920" s="9"/>
      <c r="M3920" s="9"/>
    </row>
    <row r="3921" spans="9:13" x14ac:dyDescent="0.3">
      <c r="I3921" s="7"/>
      <c r="J3921" s="9"/>
      <c r="K3921" s="9"/>
      <c r="L3921" s="9"/>
      <c r="M3921" s="9"/>
    </row>
    <row r="3922" spans="9:13" x14ac:dyDescent="0.3">
      <c r="I3922" s="7"/>
      <c r="J3922" s="9"/>
      <c r="K3922" s="9"/>
      <c r="L3922" s="9"/>
      <c r="M3922" s="9"/>
    </row>
    <row r="3923" spans="9:13" x14ac:dyDescent="0.3">
      <c r="I3923" s="7"/>
      <c r="J3923" s="9"/>
      <c r="K3923" s="9"/>
      <c r="L3923" s="9"/>
      <c r="M3923" s="9"/>
    </row>
    <row r="3924" spans="9:13" x14ac:dyDescent="0.3">
      <c r="I3924" s="7"/>
      <c r="J3924" s="9"/>
      <c r="K3924" s="9"/>
      <c r="L3924" s="9"/>
      <c r="M3924" s="9"/>
    </row>
    <row r="3925" spans="9:13" x14ac:dyDescent="0.3">
      <c r="I3925" s="7"/>
      <c r="J3925" s="9"/>
      <c r="K3925" s="9"/>
      <c r="L3925" s="9"/>
      <c r="M3925" s="9"/>
    </row>
    <row r="3926" spans="9:13" x14ac:dyDescent="0.3">
      <c r="I3926" s="7"/>
      <c r="J3926" s="9"/>
      <c r="K3926" s="9"/>
      <c r="L3926" s="9"/>
      <c r="M3926" s="9"/>
    </row>
    <row r="3927" spans="9:13" x14ac:dyDescent="0.3">
      <c r="I3927" s="7"/>
      <c r="J3927" s="9"/>
      <c r="K3927" s="9"/>
      <c r="L3927" s="9"/>
      <c r="M3927" s="9"/>
    </row>
    <row r="3928" spans="9:13" x14ac:dyDescent="0.3">
      <c r="I3928" s="7"/>
      <c r="J3928" s="9"/>
      <c r="K3928" s="9"/>
      <c r="L3928" s="9"/>
      <c r="M3928" s="9"/>
    </row>
    <row r="3929" spans="9:13" x14ac:dyDescent="0.3">
      <c r="I3929" s="7"/>
      <c r="J3929" s="9"/>
      <c r="K3929" s="9"/>
      <c r="L3929" s="9"/>
      <c r="M3929" s="9"/>
    </row>
    <row r="3930" spans="9:13" x14ac:dyDescent="0.3">
      <c r="I3930" s="7"/>
      <c r="J3930" s="9"/>
      <c r="K3930" s="9"/>
      <c r="L3930" s="9"/>
      <c r="M3930" s="9"/>
    </row>
    <row r="3931" spans="9:13" x14ac:dyDescent="0.3">
      <c r="I3931" s="7"/>
      <c r="J3931" s="9"/>
      <c r="K3931" s="9"/>
      <c r="L3931" s="9"/>
      <c r="M3931" s="9"/>
    </row>
    <row r="3932" spans="9:13" x14ac:dyDescent="0.3">
      <c r="I3932" s="7"/>
      <c r="J3932" s="9"/>
      <c r="K3932" s="9"/>
      <c r="L3932" s="9"/>
      <c r="M3932" s="9"/>
    </row>
    <row r="3933" spans="9:13" x14ac:dyDescent="0.3">
      <c r="I3933" s="7"/>
      <c r="J3933" s="9"/>
      <c r="K3933" s="9"/>
      <c r="L3933" s="9"/>
      <c r="M3933" s="9"/>
    </row>
    <row r="3934" spans="9:13" x14ac:dyDescent="0.3">
      <c r="I3934" s="7"/>
      <c r="J3934" s="9"/>
      <c r="K3934" s="9"/>
      <c r="L3934" s="9"/>
      <c r="M3934" s="9"/>
    </row>
    <row r="3935" spans="9:13" x14ac:dyDescent="0.3">
      <c r="I3935" s="7"/>
      <c r="J3935" s="9"/>
      <c r="K3935" s="9"/>
      <c r="L3935" s="9"/>
      <c r="M3935" s="9"/>
    </row>
    <row r="3936" spans="9:13" x14ac:dyDescent="0.3">
      <c r="I3936" s="7"/>
      <c r="J3936" s="9"/>
      <c r="K3936" s="9"/>
      <c r="L3936" s="9"/>
      <c r="M3936" s="9"/>
    </row>
    <row r="3937" spans="9:13" x14ac:dyDescent="0.3">
      <c r="I3937" s="7"/>
      <c r="J3937" s="9"/>
      <c r="K3937" s="9"/>
      <c r="L3937" s="9"/>
      <c r="M3937" s="9"/>
    </row>
    <row r="3938" spans="9:13" x14ac:dyDescent="0.3">
      <c r="I3938" s="7"/>
      <c r="J3938" s="9"/>
      <c r="K3938" s="9"/>
      <c r="L3938" s="9"/>
      <c r="M3938" s="9"/>
    </row>
    <row r="3939" spans="9:13" x14ac:dyDescent="0.3">
      <c r="I3939" s="7"/>
      <c r="J3939" s="9"/>
      <c r="K3939" s="9"/>
      <c r="L3939" s="9"/>
      <c r="M3939" s="9"/>
    </row>
    <row r="3940" spans="9:13" x14ac:dyDescent="0.3">
      <c r="I3940" s="7"/>
      <c r="J3940" s="9"/>
      <c r="K3940" s="9"/>
      <c r="L3940" s="9"/>
      <c r="M3940" s="9"/>
    </row>
    <row r="3941" spans="9:13" x14ac:dyDescent="0.3">
      <c r="I3941" s="7"/>
      <c r="J3941" s="9"/>
      <c r="K3941" s="9"/>
      <c r="L3941" s="9"/>
      <c r="M3941" s="9"/>
    </row>
    <row r="3942" spans="9:13" x14ac:dyDescent="0.3">
      <c r="I3942" s="7"/>
      <c r="J3942" s="9"/>
      <c r="K3942" s="9"/>
      <c r="L3942" s="9"/>
      <c r="M3942" s="9"/>
    </row>
    <row r="3943" spans="9:13" x14ac:dyDescent="0.3">
      <c r="I3943" s="7"/>
      <c r="J3943" s="9"/>
      <c r="K3943" s="9"/>
      <c r="L3943" s="9"/>
      <c r="M3943" s="9"/>
    </row>
    <row r="3944" spans="9:13" x14ac:dyDescent="0.3">
      <c r="I3944" s="7"/>
      <c r="J3944" s="9"/>
      <c r="K3944" s="9"/>
      <c r="L3944" s="9"/>
      <c r="M3944" s="9"/>
    </row>
    <row r="3945" spans="9:13" x14ac:dyDescent="0.3">
      <c r="I3945" s="7"/>
      <c r="J3945" s="9"/>
      <c r="K3945" s="9"/>
      <c r="L3945" s="9"/>
      <c r="M3945" s="9"/>
    </row>
    <row r="3946" spans="9:13" x14ac:dyDescent="0.3">
      <c r="I3946" s="7"/>
      <c r="J3946" s="9"/>
      <c r="K3946" s="9"/>
      <c r="L3946" s="9"/>
      <c r="M3946" s="9"/>
    </row>
    <row r="3947" spans="9:13" x14ac:dyDescent="0.3">
      <c r="I3947" s="7"/>
      <c r="J3947" s="9"/>
      <c r="K3947" s="9"/>
      <c r="L3947" s="9"/>
      <c r="M3947" s="9"/>
    </row>
    <row r="3948" spans="9:13" x14ac:dyDescent="0.3">
      <c r="I3948" s="7"/>
      <c r="J3948" s="9"/>
      <c r="K3948" s="9"/>
      <c r="L3948" s="9"/>
      <c r="M3948" s="9"/>
    </row>
    <row r="3949" spans="9:13" x14ac:dyDescent="0.3">
      <c r="I3949" s="7"/>
      <c r="J3949" s="9"/>
      <c r="K3949" s="9"/>
      <c r="L3949" s="9"/>
      <c r="M3949" s="9"/>
    </row>
    <row r="3950" spans="9:13" x14ac:dyDescent="0.3">
      <c r="I3950" s="7"/>
      <c r="J3950" s="9"/>
      <c r="K3950" s="9"/>
      <c r="L3950" s="9"/>
      <c r="M3950" s="9"/>
    </row>
    <row r="3951" spans="9:13" x14ac:dyDescent="0.3">
      <c r="I3951" s="7"/>
      <c r="J3951" s="9"/>
      <c r="K3951" s="9"/>
      <c r="L3951" s="9"/>
      <c r="M3951" s="9"/>
    </row>
    <row r="3952" spans="9:13" x14ac:dyDescent="0.3">
      <c r="I3952" s="7"/>
      <c r="J3952" s="9"/>
      <c r="K3952" s="9"/>
      <c r="L3952" s="9"/>
      <c r="M3952" s="9"/>
    </row>
    <row r="3953" spans="9:13" x14ac:dyDescent="0.3">
      <c r="I3953" s="7"/>
      <c r="J3953" s="9"/>
      <c r="K3953" s="9"/>
      <c r="L3953" s="9"/>
      <c r="M3953" s="9"/>
    </row>
    <row r="3954" spans="9:13" x14ac:dyDescent="0.3">
      <c r="I3954" s="7"/>
      <c r="J3954" s="9"/>
      <c r="K3954" s="9"/>
      <c r="L3954" s="9"/>
      <c r="M3954" s="9"/>
    </row>
    <row r="3955" spans="9:13" x14ac:dyDescent="0.3">
      <c r="I3955" s="7"/>
      <c r="J3955" s="9"/>
      <c r="K3955" s="9"/>
      <c r="L3955" s="9"/>
      <c r="M3955" s="9"/>
    </row>
    <row r="3956" spans="9:13" x14ac:dyDescent="0.3">
      <c r="I3956" s="7"/>
      <c r="J3956" s="9"/>
      <c r="K3956" s="9"/>
      <c r="L3956" s="9"/>
      <c r="M3956" s="9"/>
    </row>
    <row r="3957" spans="9:13" x14ac:dyDescent="0.3">
      <c r="I3957" s="7"/>
      <c r="J3957" s="9"/>
      <c r="K3957" s="9"/>
      <c r="L3957" s="9"/>
      <c r="M3957" s="9"/>
    </row>
    <row r="3958" spans="9:13" x14ac:dyDescent="0.3">
      <c r="I3958" s="7"/>
      <c r="J3958" s="9"/>
      <c r="K3958" s="9"/>
      <c r="L3958" s="9"/>
      <c r="M3958" s="9"/>
    </row>
    <row r="3959" spans="9:13" x14ac:dyDescent="0.3">
      <c r="I3959" s="7"/>
      <c r="J3959" s="9"/>
      <c r="K3959" s="9"/>
      <c r="L3959" s="9"/>
      <c r="M3959" s="9"/>
    </row>
    <row r="3960" spans="9:13" x14ac:dyDescent="0.3">
      <c r="I3960" s="7"/>
      <c r="J3960" s="9"/>
      <c r="K3960" s="9"/>
      <c r="L3960" s="9"/>
      <c r="M3960" s="9"/>
    </row>
    <row r="3961" spans="9:13" x14ac:dyDescent="0.3">
      <c r="I3961" s="7"/>
      <c r="J3961" s="9"/>
      <c r="K3961" s="9"/>
      <c r="L3961" s="9"/>
      <c r="M3961" s="9"/>
    </row>
    <row r="3962" spans="9:13" x14ac:dyDescent="0.3">
      <c r="I3962" s="7"/>
      <c r="J3962" s="9"/>
      <c r="K3962" s="9"/>
      <c r="L3962" s="9"/>
      <c r="M3962" s="9"/>
    </row>
    <row r="3963" spans="9:13" x14ac:dyDescent="0.3">
      <c r="I3963" s="7"/>
      <c r="J3963" s="9"/>
      <c r="K3963" s="9"/>
      <c r="L3963" s="9"/>
      <c r="M3963" s="9"/>
    </row>
    <row r="3964" spans="9:13" x14ac:dyDescent="0.3">
      <c r="I3964" s="7"/>
      <c r="J3964" s="9"/>
      <c r="K3964" s="9"/>
      <c r="L3964" s="9"/>
      <c r="M3964" s="9"/>
    </row>
    <row r="3965" spans="9:13" x14ac:dyDescent="0.3">
      <c r="I3965" s="7"/>
      <c r="J3965" s="9"/>
      <c r="K3965" s="9"/>
      <c r="L3965" s="9"/>
      <c r="M3965" s="9"/>
    </row>
    <row r="3966" spans="9:13" x14ac:dyDescent="0.3">
      <c r="I3966" s="7"/>
      <c r="J3966" s="9"/>
      <c r="K3966" s="9"/>
      <c r="L3966" s="9"/>
      <c r="M3966" s="9"/>
    </row>
    <row r="3967" spans="9:13" x14ac:dyDescent="0.3">
      <c r="I3967" s="7"/>
      <c r="J3967" s="9"/>
      <c r="K3967" s="9"/>
      <c r="L3967" s="9"/>
      <c r="M3967" s="9"/>
    </row>
    <row r="3968" spans="9:13" x14ac:dyDescent="0.3">
      <c r="I3968" s="7"/>
      <c r="J3968" s="9"/>
      <c r="K3968" s="9"/>
      <c r="L3968" s="9"/>
      <c r="M3968" s="9"/>
    </row>
    <row r="3969" spans="9:13" x14ac:dyDescent="0.3">
      <c r="I3969" s="7"/>
      <c r="J3969" s="9"/>
      <c r="K3969" s="9"/>
      <c r="L3969" s="9"/>
      <c r="M3969" s="9"/>
    </row>
    <row r="3970" spans="9:13" x14ac:dyDescent="0.3">
      <c r="I3970" s="7"/>
      <c r="J3970" s="9"/>
      <c r="K3970" s="9"/>
      <c r="L3970" s="9"/>
      <c r="M3970" s="9"/>
    </row>
    <row r="3971" spans="9:13" x14ac:dyDescent="0.3">
      <c r="I3971" s="7"/>
      <c r="J3971" s="9"/>
      <c r="K3971" s="9"/>
      <c r="L3971" s="9"/>
      <c r="M3971" s="9"/>
    </row>
    <row r="3972" spans="9:13" x14ac:dyDescent="0.3">
      <c r="I3972" s="7"/>
      <c r="J3972" s="9"/>
      <c r="K3972" s="9"/>
      <c r="L3972" s="9"/>
      <c r="M3972" s="9"/>
    </row>
    <row r="3973" spans="9:13" x14ac:dyDescent="0.3">
      <c r="I3973" s="7"/>
      <c r="J3973" s="9"/>
      <c r="K3973" s="9"/>
      <c r="L3973" s="9"/>
      <c r="M3973" s="9"/>
    </row>
    <row r="3974" spans="9:13" x14ac:dyDescent="0.3">
      <c r="I3974" s="7"/>
      <c r="J3974" s="9"/>
      <c r="K3974" s="9"/>
      <c r="L3974" s="9"/>
      <c r="M3974" s="9"/>
    </row>
    <row r="3975" spans="9:13" x14ac:dyDescent="0.3">
      <c r="I3975" s="7"/>
      <c r="J3975" s="9"/>
      <c r="K3975" s="9"/>
      <c r="L3975" s="9"/>
      <c r="M3975" s="9"/>
    </row>
    <row r="3976" spans="9:13" x14ac:dyDescent="0.3">
      <c r="I3976" s="7"/>
      <c r="J3976" s="9"/>
      <c r="K3976" s="9"/>
      <c r="L3976" s="9"/>
      <c r="M3976" s="9"/>
    </row>
    <row r="3977" spans="9:13" x14ac:dyDescent="0.3">
      <c r="I3977" s="7"/>
      <c r="J3977" s="9"/>
      <c r="K3977" s="9"/>
      <c r="L3977" s="9"/>
      <c r="M3977" s="9"/>
    </row>
    <row r="3978" spans="9:13" x14ac:dyDescent="0.3">
      <c r="I3978" s="7"/>
      <c r="J3978" s="9"/>
      <c r="K3978" s="9"/>
      <c r="L3978" s="9"/>
      <c r="M3978" s="9"/>
    </row>
    <row r="3979" spans="9:13" x14ac:dyDescent="0.3">
      <c r="I3979" s="7"/>
      <c r="J3979" s="9"/>
      <c r="K3979" s="9"/>
      <c r="L3979" s="9"/>
      <c r="M3979" s="9"/>
    </row>
    <row r="3980" spans="9:13" x14ac:dyDescent="0.3">
      <c r="I3980" s="7"/>
      <c r="J3980" s="9"/>
      <c r="K3980" s="9"/>
      <c r="L3980" s="9"/>
      <c r="M3980" s="9"/>
    </row>
    <row r="3981" spans="9:13" x14ac:dyDescent="0.3">
      <c r="I3981" s="7"/>
      <c r="J3981" s="9"/>
      <c r="K3981" s="9"/>
      <c r="L3981" s="9"/>
      <c r="M3981" s="9"/>
    </row>
    <row r="3982" spans="9:13" x14ac:dyDescent="0.3">
      <c r="I3982" s="7"/>
      <c r="J3982" s="9"/>
      <c r="K3982" s="9"/>
      <c r="L3982" s="9"/>
      <c r="M3982" s="9"/>
    </row>
    <row r="3983" spans="9:13" x14ac:dyDescent="0.3">
      <c r="I3983" s="7"/>
      <c r="J3983" s="9"/>
      <c r="K3983" s="9"/>
      <c r="L3983" s="9"/>
      <c r="M3983" s="9"/>
    </row>
    <row r="3984" spans="9:13" x14ac:dyDescent="0.3">
      <c r="I3984" s="7"/>
      <c r="J3984" s="9"/>
      <c r="K3984" s="9"/>
      <c r="L3984" s="9"/>
      <c r="M3984" s="9"/>
    </row>
    <row r="3985" spans="9:13" x14ac:dyDescent="0.3">
      <c r="I3985" s="7"/>
      <c r="J3985" s="9"/>
      <c r="K3985" s="9"/>
      <c r="L3985" s="9"/>
      <c r="M3985" s="9"/>
    </row>
    <row r="3986" spans="9:13" x14ac:dyDescent="0.3">
      <c r="I3986" s="7"/>
      <c r="J3986" s="9"/>
      <c r="K3986" s="9"/>
      <c r="L3986" s="9"/>
      <c r="M3986" s="9"/>
    </row>
    <row r="3987" spans="9:13" x14ac:dyDescent="0.3">
      <c r="I3987" s="7"/>
      <c r="J3987" s="9"/>
      <c r="K3987" s="9"/>
      <c r="L3987" s="9"/>
      <c r="M3987" s="9"/>
    </row>
    <row r="3988" spans="9:13" x14ac:dyDescent="0.3">
      <c r="I3988" s="7"/>
      <c r="J3988" s="9"/>
      <c r="K3988" s="9"/>
      <c r="L3988" s="9"/>
      <c r="M3988" s="9"/>
    </row>
    <row r="3989" spans="9:13" x14ac:dyDescent="0.3">
      <c r="I3989" s="7"/>
      <c r="J3989" s="9"/>
      <c r="K3989" s="9"/>
      <c r="L3989" s="9"/>
      <c r="M3989" s="9"/>
    </row>
    <row r="3990" spans="9:13" x14ac:dyDescent="0.3">
      <c r="I3990" s="7"/>
      <c r="J3990" s="9"/>
      <c r="K3990" s="9"/>
      <c r="L3990" s="9"/>
      <c r="M3990" s="9"/>
    </row>
    <row r="3991" spans="9:13" x14ac:dyDescent="0.3">
      <c r="I3991" s="7"/>
      <c r="J3991" s="9"/>
      <c r="K3991" s="9"/>
      <c r="L3991" s="9"/>
      <c r="M3991" s="9"/>
    </row>
    <row r="3992" spans="9:13" x14ac:dyDescent="0.3">
      <c r="I3992" s="7"/>
      <c r="J3992" s="9"/>
      <c r="K3992" s="9"/>
      <c r="L3992" s="9"/>
      <c r="M3992" s="9"/>
    </row>
    <row r="3993" spans="9:13" x14ac:dyDescent="0.3">
      <c r="I3993" s="7"/>
      <c r="J3993" s="9"/>
      <c r="K3993" s="9"/>
      <c r="L3993" s="9"/>
      <c r="M3993" s="9"/>
    </row>
    <row r="3994" spans="9:13" x14ac:dyDescent="0.3">
      <c r="I3994" s="7"/>
      <c r="J3994" s="9"/>
      <c r="K3994" s="9"/>
      <c r="L3994" s="9"/>
      <c r="M3994" s="9"/>
    </row>
    <row r="3995" spans="9:13" x14ac:dyDescent="0.3">
      <c r="I3995" s="7"/>
      <c r="J3995" s="9"/>
      <c r="K3995" s="9"/>
      <c r="L3995" s="9"/>
      <c r="M3995" s="9"/>
    </row>
    <row r="3996" spans="9:13" x14ac:dyDescent="0.3">
      <c r="I3996" s="7"/>
      <c r="J3996" s="9"/>
      <c r="K3996" s="9"/>
      <c r="L3996" s="9"/>
      <c r="M3996" s="9"/>
    </row>
    <row r="3997" spans="9:13" x14ac:dyDescent="0.3">
      <c r="I3997" s="7"/>
      <c r="J3997" s="9"/>
      <c r="K3997" s="9"/>
      <c r="L3997" s="9"/>
      <c r="M3997" s="9"/>
    </row>
    <row r="3998" spans="9:13" x14ac:dyDescent="0.3">
      <c r="I3998" s="7"/>
      <c r="J3998" s="9"/>
      <c r="K3998" s="9"/>
      <c r="L3998" s="9"/>
      <c r="M3998" s="9"/>
    </row>
    <row r="3999" spans="9:13" x14ac:dyDescent="0.3">
      <c r="I3999" s="7"/>
      <c r="J3999" s="9"/>
      <c r="K3999" s="9"/>
      <c r="L3999" s="9"/>
      <c r="M3999" s="9"/>
    </row>
    <row r="4000" spans="9:13" x14ac:dyDescent="0.3">
      <c r="I4000" s="7"/>
      <c r="J4000" s="9"/>
      <c r="K4000" s="9"/>
      <c r="L4000" s="9"/>
      <c r="M4000" s="9"/>
    </row>
    <row r="4001" spans="9:13" x14ac:dyDescent="0.3">
      <c r="I4001" s="7"/>
      <c r="J4001" s="9"/>
      <c r="K4001" s="9"/>
      <c r="L4001" s="9"/>
      <c r="M4001" s="9"/>
    </row>
    <row r="4002" spans="9:13" x14ac:dyDescent="0.3">
      <c r="I4002" s="7"/>
      <c r="J4002" s="9"/>
      <c r="K4002" s="9"/>
      <c r="L4002" s="9"/>
      <c r="M4002" s="9"/>
    </row>
    <row r="4003" spans="9:13" x14ac:dyDescent="0.3">
      <c r="I4003" s="7"/>
      <c r="J4003" s="9"/>
      <c r="K4003" s="9"/>
      <c r="L4003" s="9"/>
      <c r="M4003" s="9"/>
    </row>
    <row r="4004" spans="9:13" x14ac:dyDescent="0.3">
      <c r="I4004" s="7"/>
      <c r="J4004" s="9"/>
      <c r="K4004" s="9"/>
      <c r="L4004" s="9"/>
      <c r="M4004" s="9"/>
    </row>
    <row r="4005" spans="9:13" x14ac:dyDescent="0.3">
      <c r="I4005" s="7"/>
      <c r="J4005" s="9"/>
      <c r="K4005" s="9"/>
      <c r="L4005" s="9"/>
      <c r="M4005" s="9"/>
    </row>
    <row r="4006" spans="9:13" x14ac:dyDescent="0.3">
      <c r="I4006" s="7"/>
      <c r="J4006" s="9"/>
      <c r="K4006" s="9"/>
      <c r="L4006" s="9"/>
      <c r="M4006" s="9"/>
    </row>
    <row r="4007" spans="9:13" x14ac:dyDescent="0.3">
      <c r="I4007" s="7"/>
      <c r="J4007" s="9"/>
      <c r="K4007" s="9"/>
      <c r="L4007" s="9"/>
      <c r="M4007" s="9"/>
    </row>
    <row r="4008" spans="9:13" x14ac:dyDescent="0.3">
      <c r="I4008" s="7"/>
      <c r="J4008" s="9"/>
      <c r="K4008" s="9"/>
      <c r="L4008" s="9"/>
      <c r="M4008" s="9"/>
    </row>
    <row r="4009" spans="9:13" x14ac:dyDescent="0.3">
      <c r="I4009" s="7"/>
      <c r="J4009" s="9"/>
      <c r="K4009" s="9"/>
      <c r="L4009" s="9"/>
      <c r="M4009" s="9"/>
    </row>
    <row r="4010" spans="9:13" x14ac:dyDescent="0.3">
      <c r="I4010" s="7"/>
      <c r="J4010" s="9"/>
      <c r="K4010" s="9"/>
      <c r="L4010" s="9"/>
      <c r="M4010" s="9"/>
    </row>
    <row r="4011" spans="9:13" x14ac:dyDescent="0.3">
      <c r="I4011" s="7"/>
      <c r="J4011" s="9"/>
      <c r="K4011" s="9"/>
      <c r="L4011" s="9"/>
      <c r="M4011" s="9"/>
    </row>
    <row r="4012" spans="9:13" x14ac:dyDescent="0.3">
      <c r="I4012" s="7"/>
      <c r="J4012" s="9"/>
      <c r="K4012" s="9"/>
      <c r="L4012" s="9"/>
      <c r="M4012" s="9"/>
    </row>
    <row r="4013" spans="9:13" x14ac:dyDescent="0.3">
      <c r="I4013" s="7"/>
      <c r="J4013" s="9"/>
      <c r="K4013" s="9"/>
      <c r="L4013" s="9"/>
      <c r="M4013" s="9"/>
    </row>
    <row r="4014" spans="9:13" x14ac:dyDescent="0.3">
      <c r="I4014" s="7"/>
      <c r="J4014" s="9"/>
      <c r="K4014" s="9"/>
      <c r="L4014" s="9"/>
      <c r="M4014" s="9"/>
    </row>
    <row r="4015" spans="9:13" x14ac:dyDescent="0.3">
      <c r="I4015" s="7"/>
      <c r="J4015" s="9"/>
      <c r="K4015" s="9"/>
      <c r="L4015" s="9"/>
      <c r="M4015" s="9"/>
    </row>
    <row r="4016" spans="9:13" x14ac:dyDescent="0.3">
      <c r="I4016" s="7"/>
      <c r="J4016" s="9"/>
      <c r="K4016" s="9"/>
      <c r="L4016" s="9"/>
      <c r="M4016" s="9"/>
    </row>
    <row r="4017" spans="9:13" x14ac:dyDescent="0.3">
      <c r="I4017" s="7"/>
      <c r="J4017" s="9"/>
      <c r="K4017" s="9"/>
      <c r="L4017" s="9"/>
      <c r="M4017" s="9"/>
    </row>
    <row r="4018" spans="9:13" x14ac:dyDescent="0.3">
      <c r="I4018" s="7"/>
      <c r="J4018" s="9"/>
      <c r="K4018" s="9"/>
      <c r="L4018" s="9"/>
      <c r="M4018" s="9"/>
    </row>
    <row r="4019" spans="9:13" x14ac:dyDescent="0.3">
      <c r="I4019" s="7"/>
      <c r="J4019" s="9"/>
      <c r="K4019" s="9"/>
      <c r="L4019" s="9"/>
      <c r="M4019" s="9"/>
    </row>
    <row r="4020" spans="9:13" x14ac:dyDescent="0.3">
      <c r="I4020" s="7"/>
      <c r="J4020" s="9"/>
      <c r="K4020" s="9"/>
      <c r="L4020" s="9"/>
      <c r="M4020" s="9"/>
    </row>
    <row r="4021" spans="9:13" x14ac:dyDescent="0.3">
      <c r="I4021" s="7"/>
      <c r="J4021" s="9"/>
      <c r="K4021" s="9"/>
      <c r="L4021" s="9"/>
      <c r="M4021" s="9"/>
    </row>
    <row r="4022" spans="9:13" x14ac:dyDescent="0.3">
      <c r="I4022" s="7"/>
      <c r="J4022" s="9"/>
      <c r="K4022" s="9"/>
      <c r="L4022" s="9"/>
      <c r="M4022" s="9"/>
    </row>
    <row r="4023" spans="9:13" x14ac:dyDescent="0.3">
      <c r="I4023" s="7"/>
      <c r="J4023" s="9"/>
      <c r="K4023" s="9"/>
      <c r="L4023" s="9"/>
      <c r="M4023" s="9"/>
    </row>
    <row r="4024" spans="9:13" x14ac:dyDescent="0.3">
      <c r="I4024" s="7"/>
      <c r="J4024" s="9"/>
      <c r="K4024" s="9"/>
      <c r="L4024" s="9"/>
      <c r="M4024" s="9"/>
    </row>
    <row r="4025" spans="9:13" x14ac:dyDescent="0.3">
      <c r="I4025" s="7"/>
      <c r="J4025" s="9"/>
      <c r="K4025" s="9"/>
      <c r="L4025" s="9"/>
      <c r="M4025" s="9"/>
    </row>
    <row r="4026" spans="9:13" x14ac:dyDescent="0.3">
      <c r="I4026" s="7"/>
      <c r="J4026" s="9"/>
      <c r="K4026" s="9"/>
      <c r="L4026" s="9"/>
      <c r="M4026" s="9"/>
    </row>
    <row r="4027" spans="9:13" x14ac:dyDescent="0.3">
      <c r="I4027" s="7"/>
      <c r="J4027" s="9"/>
      <c r="K4027" s="9"/>
      <c r="L4027" s="9"/>
      <c r="M4027" s="9"/>
    </row>
    <row r="4028" spans="9:13" x14ac:dyDescent="0.3">
      <c r="I4028" s="7"/>
      <c r="J4028" s="9"/>
      <c r="K4028" s="9"/>
      <c r="L4028" s="9"/>
      <c r="M4028" s="9"/>
    </row>
    <row r="4029" spans="9:13" x14ac:dyDescent="0.3">
      <c r="I4029" s="7"/>
      <c r="J4029" s="9"/>
      <c r="K4029" s="9"/>
      <c r="L4029" s="9"/>
      <c r="M4029" s="9"/>
    </row>
    <row r="4030" spans="9:13" x14ac:dyDescent="0.3">
      <c r="I4030" s="7"/>
      <c r="J4030" s="9"/>
      <c r="K4030" s="9"/>
      <c r="L4030" s="9"/>
      <c r="M4030" s="9"/>
    </row>
    <row r="4031" spans="9:13" x14ac:dyDescent="0.3">
      <c r="I4031" s="7"/>
      <c r="J4031" s="9"/>
      <c r="K4031" s="9"/>
      <c r="L4031" s="9"/>
      <c r="M4031" s="9"/>
    </row>
    <row r="4032" spans="9:13" x14ac:dyDescent="0.3">
      <c r="I4032" s="7"/>
      <c r="J4032" s="9"/>
      <c r="K4032" s="9"/>
      <c r="L4032" s="9"/>
      <c r="M4032" s="9"/>
    </row>
    <row r="4033" spans="9:13" x14ac:dyDescent="0.3">
      <c r="I4033" s="7"/>
      <c r="J4033" s="9"/>
      <c r="K4033" s="9"/>
      <c r="L4033" s="9"/>
      <c r="M4033" s="9"/>
    </row>
    <row r="4034" spans="9:13" x14ac:dyDescent="0.3">
      <c r="I4034" s="7"/>
      <c r="J4034" s="9"/>
      <c r="K4034" s="9"/>
      <c r="L4034" s="9"/>
      <c r="M4034" s="9"/>
    </row>
    <row r="4035" spans="9:13" x14ac:dyDescent="0.3">
      <c r="I4035" s="7"/>
      <c r="J4035" s="9"/>
      <c r="K4035" s="9"/>
      <c r="L4035" s="9"/>
      <c r="M4035" s="9"/>
    </row>
    <row r="4036" spans="9:13" x14ac:dyDescent="0.3">
      <c r="I4036" s="7"/>
      <c r="J4036" s="9"/>
      <c r="K4036" s="9"/>
      <c r="L4036" s="9"/>
      <c r="M4036" s="9"/>
    </row>
    <row r="4037" spans="9:13" x14ac:dyDescent="0.3">
      <c r="I4037" s="7"/>
      <c r="J4037" s="9"/>
      <c r="K4037" s="9"/>
      <c r="L4037" s="9"/>
      <c r="M4037" s="9"/>
    </row>
    <row r="4038" spans="9:13" x14ac:dyDescent="0.3">
      <c r="I4038" s="7"/>
      <c r="J4038" s="9"/>
      <c r="K4038" s="9"/>
      <c r="L4038" s="9"/>
      <c r="M4038" s="9"/>
    </row>
    <row r="4039" spans="9:13" x14ac:dyDescent="0.3">
      <c r="I4039" s="7"/>
      <c r="J4039" s="9"/>
      <c r="K4039" s="9"/>
      <c r="L4039" s="9"/>
      <c r="M4039" s="9"/>
    </row>
    <row r="4040" spans="9:13" x14ac:dyDescent="0.3">
      <c r="I4040" s="7"/>
      <c r="J4040" s="9"/>
      <c r="K4040" s="9"/>
      <c r="L4040" s="9"/>
      <c r="M4040" s="9"/>
    </row>
    <row r="4041" spans="9:13" x14ac:dyDescent="0.3">
      <c r="I4041" s="7"/>
      <c r="J4041" s="9"/>
      <c r="K4041" s="9"/>
      <c r="L4041" s="9"/>
      <c r="M4041" s="9"/>
    </row>
    <row r="4042" spans="9:13" x14ac:dyDescent="0.3">
      <c r="I4042" s="7"/>
      <c r="J4042" s="9"/>
      <c r="K4042" s="9"/>
      <c r="L4042" s="9"/>
      <c r="M4042" s="9"/>
    </row>
    <row r="4043" spans="9:13" x14ac:dyDescent="0.3">
      <c r="I4043" s="7"/>
      <c r="J4043" s="9"/>
      <c r="K4043" s="9"/>
      <c r="L4043" s="9"/>
      <c r="M4043" s="9"/>
    </row>
    <row r="4044" spans="9:13" x14ac:dyDescent="0.3">
      <c r="I4044" s="7"/>
      <c r="J4044" s="9"/>
      <c r="K4044" s="9"/>
      <c r="L4044" s="9"/>
      <c r="M4044" s="9"/>
    </row>
    <row r="4045" spans="9:13" x14ac:dyDescent="0.3">
      <c r="I4045" s="7"/>
      <c r="J4045" s="9"/>
      <c r="K4045" s="9"/>
      <c r="L4045" s="9"/>
      <c r="M4045" s="9"/>
    </row>
    <row r="4046" spans="9:13" x14ac:dyDescent="0.3">
      <c r="I4046" s="7"/>
      <c r="J4046" s="9"/>
      <c r="K4046" s="9"/>
      <c r="L4046" s="9"/>
      <c r="M4046" s="9"/>
    </row>
    <row r="4047" spans="9:13" x14ac:dyDescent="0.3">
      <c r="I4047" s="7"/>
      <c r="J4047" s="9"/>
      <c r="K4047" s="9"/>
      <c r="L4047" s="9"/>
      <c r="M4047" s="9"/>
    </row>
    <row r="4048" spans="9:13" x14ac:dyDescent="0.3">
      <c r="I4048" s="7"/>
      <c r="J4048" s="9"/>
      <c r="K4048" s="9"/>
      <c r="L4048" s="9"/>
      <c r="M4048" s="9"/>
    </row>
    <row r="4049" spans="9:13" x14ac:dyDescent="0.3">
      <c r="I4049" s="7"/>
      <c r="J4049" s="9"/>
      <c r="K4049" s="9"/>
      <c r="L4049" s="9"/>
      <c r="M4049" s="9"/>
    </row>
    <row r="4050" spans="9:13" x14ac:dyDescent="0.3">
      <c r="I4050" s="7"/>
      <c r="J4050" s="9"/>
      <c r="K4050" s="9"/>
      <c r="L4050" s="9"/>
      <c r="M4050" s="9"/>
    </row>
    <row r="4051" spans="9:13" x14ac:dyDescent="0.3">
      <c r="I4051" s="7"/>
      <c r="J4051" s="9"/>
      <c r="K4051" s="9"/>
      <c r="L4051" s="9"/>
      <c r="M4051" s="9"/>
    </row>
    <row r="4052" spans="9:13" x14ac:dyDescent="0.3">
      <c r="I4052" s="7"/>
      <c r="J4052" s="9"/>
      <c r="K4052" s="9"/>
      <c r="L4052" s="9"/>
      <c r="M4052" s="9"/>
    </row>
    <row r="4053" spans="9:13" x14ac:dyDescent="0.3">
      <c r="I4053" s="7"/>
      <c r="J4053" s="9"/>
      <c r="K4053" s="9"/>
      <c r="L4053" s="9"/>
      <c r="M4053" s="9"/>
    </row>
    <row r="4054" spans="9:13" x14ac:dyDescent="0.3">
      <c r="I4054" s="7"/>
      <c r="J4054" s="9"/>
      <c r="K4054" s="9"/>
      <c r="L4054" s="9"/>
      <c r="M4054" s="9"/>
    </row>
    <row r="4055" spans="9:13" x14ac:dyDescent="0.3">
      <c r="I4055" s="7"/>
      <c r="J4055" s="9"/>
      <c r="K4055" s="9"/>
      <c r="L4055" s="9"/>
      <c r="M4055" s="9"/>
    </row>
    <row r="4056" spans="9:13" x14ac:dyDescent="0.3">
      <c r="I4056" s="7"/>
      <c r="J4056" s="9"/>
      <c r="K4056" s="9"/>
      <c r="L4056" s="9"/>
      <c r="M4056" s="9"/>
    </row>
    <row r="4057" spans="9:13" x14ac:dyDescent="0.3">
      <c r="I4057" s="7"/>
      <c r="J4057" s="9"/>
      <c r="K4057" s="9"/>
      <c r="L4057" s="9"/>
      <c r="M4057" s="9"/>
    </row>
    <row r="4058" spans="9:13" x14ac:dyDescent="0.3">
      <c r="I4058" s="7"/>
      <c r="J4058" s="9"/>
      <c r="K4058" s="9"/>
      <c r="L4058" s="9"/>
      <c r="M4058" s="9"/>
    </row>
    <row r="4059" spans="9:13" x14ac:dyDescent="0.3">
      <c r="I4059" s="7"/>
      <c r="J4059" s="9"/>
      <c r="K4059" s="9"/>
      <c r="L4059" s="9"/>
      <c r="M4059" s="9"/>
    </row>
    <row r="4060" spans="9:13" x14ac:dyDescent="0.3">
      <c r="I4060" s="7"/>
      <c r="J4060" s="9"/>
      <c r="K4060" s="9"/>
      <c r="L4060" s="9"/>
      <c r="M4060" s="9"/>
    </row>
    <row r="4061" spans="9:13" x14ac:dyDescent="0.3">
      <c r="I4061" s="7"/>
      <c r="J4061" s="9"/>
      <c r="K4061" s="9"/>
      <c r="L4061" s="9"/>
      <c r="M4061" s="9"/>
    </row>
    <row r="4062" spans="9:13" x14ac:dyDescent="0.3">
      <c r="I4062" s="7"/>
      <c r="J4062" s="9"/>
      <c r="K4062" s="9"/>
      <c r="L4062" s="9"/>
      <c r="M4062" s="9"/>
    </row>
    <row r="4063" spans="9:13" x14ac:dyDescent="0.3">
      <c r="I4063" s="7"/>
      <c r="J4063" s="9"/>
      <c r="K4063" s="9"/>
      <c r="L4063" s="9"/>
      <c r="M4063" s="9"/>
    </row>
    <row r="4064" spans="9:13" x14ac:dyDescent="0.3">
      <c r="I4064" s="7"/>
      <c r="J4064" s="9"/>
      <c r="K4064" s="9"/>
      <c r="L4064" s="9"/>
      <c r="M4064" s="9"/>
    </row>
    <row r="4065" spans="9:13" x14ac:dyDescent="0.3">
      <c r="I4065" s="7"/>
      <c r="J4065" s="9"/>
      <c r="K4065" s="9"/>
      <c r="L4065" s="9"/>
      <c r="M4065" s="9"/>
    </row>
    <row r="4066" spans="9:13" x14ac:dyDescent="0.3">
      <c r="I4066" s="7"/>
      <c r="J4066" s="9"/>
      <c r="K4066" s="9"/>
      <c r="L4066" s="9"/>
      <c r="M4066" s="9"/>
    </row>
    <row r="4067" spans="9:13" x14ac:dyDescent="0.3">
      <c r="I4067" s="7"/>
      <c r="J4067" s="9"/>
      <c r="K4067" s="9"/>
      <c r="L4067" s="9"/>
      <c r="M4067" s="9"/>
    </row>
    <row r="4068" spans="9:13" x14ac:dyDescent="0.3">
      <c r="I4068" s="7"/>
      <c r="J4068" s="9"/>
      <c r="K4068" s="9"/>
      <c r="L4068" s="9"/>
      <c r="M4068" s="9"/>
    </row>
    <row r="4069" spans="9:13" x14ac:dyDescent="0.3">
      <c r="I4069" s="7"/>
      <c r="J4069" s="9"/>
      <c r="K4069" s="9"/>
      <c r="L4069" s="9"/>
      <c r="M4069" s="9"/>
    </row>
    <row r="4070" spans="9:13" x14ac:dyDescent="0.3">
      <c r="I4070" s="7"/>
      <c r="J4070" s="9"/>
      <c r="K4070" s="9"/>
      <c r="L4070" s="9"/>
      <c r="M4070" s="9"/>
    </row>
    <row r="4071" spans="9:13" x14ac:dyDescent="0.3">
      <c r="I4071" s="7"/>
      <c r="J4071" s="9"/>
      <c r="K4071" s="9"/>
      <c r="L4071" s="9"/>
      <c r="M4071" s="9"/>
    </row>
    <row r="4072" spans="9:13" x14ac:dyDescent="0.3">
      <c r="I4072" s="7"/>
      <c r="J4072" s="9"/>
      <c r="K4072" s="9"/>
      <c r="L4072" s="9"/>
      <c r="M4072" s="9"/>
    </row>
    <row r="4073" spans="9:13" x14ac:dyDescent="0.3">
      <c r="I4073" s="7"/>
      <c r="J4073" s="9"/>
      <c r="K4073" s="9"/>
      <c r="L4073" s="9"/>
      <c r="M4073" s="9"/>
    </row>
    <row r="4074" spans="9:13" x14ac:dyDescent="0.3">
      <c r="I4074" s="7"/>
      <c r="J4074" s="9"/>
      <c r="K4074" s="9"/>
      <c r="L4074" s="9"/>
      <c r="M4074" s="9"/>
    </row>
    <row r="4075" spans="9:13" x14ac:dyDescent="0.3">
      <c r="I4075" s="7"/>
      <c r="J4075" s="9"/>
      <c r="K4075" s="9"/>
      <c r="L4075" s="9"/>
      <c r="M4075" s="9"/>
    </row>
    <row r="4076" spans="9:13" x14ac:dyDescent="0.3">
      <c r="I4076" s="7"/>
      <c r="J4076" s="9"/>
      <c r="K4076" s="9"/>
      <c r="L4076" s="9"/>
      <c r="M4076" s="9"/>
    </row>
    <row r="4077" spans="9:13" x14ac:dyDescent="0.3">
      <c r="I4077" s="7"/>
      <c r="J4077" s="9"/>
      <c r="K4077" s="9"/>
      <c r="L4077" s="9"/>
      <c r="M4077" s="9"/>
    </row>
    <row r="4078" spans="9:13" x14ac:dyDescent="0.3">
      <c r="I4078" s="7"/>
      <c r="J4078" s="9"/>
      <c r="K4078" s="9"/>
      <c r="L4078" s="9"/>
      <c r="M4078" s="9"/>
    </row>
    <row r="4079" spans="9:13" x14ac:dyDescent="0.3">
      <c r="I4079" s="7"/>
      <c r="J4079" s="9"/>
      <c r="K4079" s="9"/>
      <c r="L4079" s="9"/>
      <c r="M4079" s="9"/>
    </row>
    <row r="4080" spans="9:13" x14ac:dyDescent="0.3">
      <c r="I4080" s="7"/>
      <c r="J4080" s="9"/>
      <c r="K4080" s="9"/>
      <c r="L4080" s="9"/>
      <c r="M4080" s="9"/>
    </row>
    <row r="4081" spans="9:13" x14ac:dyDescent="0.3">
      <c r="I4081" s="7"/>
      <c r="J4081" s="9"/>
      <c r="K4081" s="9"/>
      <c r="L4081" s="9"/>
      <c r="M4081" s="9"/>
    </row>
    <row r="4082" spans="9:13" x14ac:dyDescent="0.3">
      <c r="I4082" s="7"/>
      <c r="J4082" s="9"/>
      <c r="K4082" s="9"/>
      <c r="L4082" s="9"/>
      <c r="M4082" s="9"/>
    </row>
    <row r="4083" spans="9:13" x14ac:dyDescent="0.3">
      <c r="I4083" s="7"/>
      <c r="J4083" s="9"/>
      <c r="K4083" s="9"/>
      <c r="L4083" s="9"/>
      <c r="M4083" s="9"/>
    </row>
    <row r="4084" spans="9:13" x14ac:dyDescent="0.3">
      <c r="I4084" s="7"/>
      <c r="J4084" s="9"/>
      <c r="K4084" s="9"/>
      <c r="L4084" s="9"/>
      <c r="M4084" s="9"/>
    </row>
    <row r="4085" spans="9:13" x14ac:dyDescent="0.3">
      <c r="I4085" s="7"/>
      <c r="J4085" s="9"/>
      <c r="K4085" s="9"/>
      <c r="L4085" s="9"/>
      <c r="M4085" s="9"/>
    </row>
    <row r="4086" spans="9:13" x14ac:dyDescent="0.3">
      <c r="I4086" s="7"/>
      <c r="J4086" s="9"/>
      <c r="K4086" s="9"/>
      <c r="L4086" s="9"/>
      <c r="M4086" s="9"/>
    </row>
    <row r="4087" spans="9:13" x14ac:dyDescent="0.3">
      <c r="I4087" s="7"/>
      <c r="J4087" s="9"/>
      <c r="K4087" s="9"/>
      <c r="L4087" s="9"/>
      <c r="M4087" s="9"/>
    </row>
    <row r="4088" spans="9:13" x14ac:dyDescent="0.3">
      <c r="I4088" s="7"/>
      <c r="J4088" s="9"/>
      <c r="K4088" s="9"/>
      <c r="L4088" s="9"/>
      <c r="M4088" s="9"/>
    </row>
    <row r="4089" spans="9:13" x14ac:dyDescent="0.3">
      <c r="I4089" s="7"/>
      <c r="J4089" s="9"/>
      <c r="K4089" s="9"/>
      <c r="L4089" s="9"/>
      <c r="M4089" s="9"/>
    </row>
    <row r="4090" spans="9:13" x14ac:dyDescent="0.3">
      <c r="I4090" s="7"/>
      <c r="J4090" s="9"/>
      <c r="K4090" s="9"/>
      <c r="L4090" s="9"/>
      <c r="M4090" s="9"/>
    </row>
    <row r="4091" spans="9:13" x14ac:dyDescent="0.3">
      <c r="I4091" s="7"/>
      <c r="J4091" s="9"/>
      <c r="K4091" s="9"/>
      <c r="L4091" s="9"/>
      <c r="M4091" s="9"/>
    </row>
    <row r="4092" spans="9:13" x14ac:dyDescent="0.3">
      <c r="I4092" s="7"/>
      <c r="J4092" s="9"/>
      <c r="K4092" s="9"/>
      <c r="L4092" s="9"/>
      <c r="M4092" s="9"/>
    </row>
    <row r="4093" spans="9:13" x14ac:dyDescent="0.3">
      <c r="I4093" s="7"/>
      <c r="J4093" s="9"/>
      <c r="K4093" s="9"/>
      <c r="L4093" s="9"/>
      <c r="M4093" s="9"/>
    </row>
    <row r="4094" spans="9:13" x14ac:dyDescent="0.3">
      <c r="I4094" s="7"/>
      <c r="J4094" s="9"/>
      <c r="K4094" s="9"/>
      <c r="L4094" s="9"/>
      <c r="M4094" s="9"/>
    </row>
    <row r="4095" spans="9:13" x14ac:dyDescent="0.3">
      <c r="I4095" s="7"/>
      <c r="J4095" s="9"/>
      <c r="K4095" s="9"/>
      <c r="L4095" s="9"/>
      <c r="M4095" s="9"/>
    </row>
    <row r="4096" spans="9:13" x14ac:dyDescent="0.3">
      <c r="I4096" s="7"/>
      <c r="J4096" s="9"/>
      <c r="K4096" s="9"/>
      <c r="L4096" s="9"/>
      <c r="M4096" s="9"/>
    </row>
    <row r="4097" spans="9:13" x14ac:dyDescent="0.3">
      <c r="I4097" s="7"/>
      <c r="J4097" s="9"/>
      <c r="K4097" s="9"/>
      <c r="L4097" s="9"/>
      <c r="M4097" s="9"/>
    </row>
    <row r="4098" spans="9:13" x14ac:dyDescent="0.3">
      <c r="I4098" s="7"/>
      <c r="J4098" s="9"/>
      <c r="K4098" s="9"/>
      <c r="L4098" s="9"/>
      <c r="M4098" s="9"/>
    </row>
    <row r="4099" spans="9:13" x14ac:dyDescent="0.3">
      <c r="I4099" s="7"/>
      <c r="J4099" s="9"/>
      <c r="K4099" s="9"/>
      <c r="L4099" s="9"/>
      <c r="M4099" s="9"/>
    </row>
    <row r="4100" spans="9:13" x14ac:dyDescent="0.3">
      <c r="I4100" s="7"/>
      <c r="J4100" s="9"/>
      <c r="K4100" s="9"/>
      <c r="L4100" s="9"/>
      <c r="M4100" s="9"/>
    </row>
    <row r="4101" spans="9:13" x14ac:dyDescent="0.3">
      <c r="I4101" s="7"/>
      <c r="J4101" s="9"/>
      <c r="K4101" s="9"/>
      <c r="L4101" s="9"/>
      <c r="M4101" s="9"/>
    </row>
    <row r="4102" spans="9:13" x14ac:dyDescent="0.3">
      <c r="I4102" s="7"/>
      <c r="J4102" s="9"/>
      <c r="K4102" s="9"/>
      <c r="L4102" s="9"/>
      <c r="M4102" s="9"/>
    </row>
    <row r="4103" spans="9:13" x14ac:dyDescent="0.3">
      <c r="I4103" s="7"/>
      <c r="J4103" s="9"/>
      <c r="K4103" s="9"/>
      <c r="L4103" s="9"/>
      <c r="M4103" s="9"/>
    </row>
    <row r="4104" spans="9:13" x14ac:dyDescent="0.3">
      <c r="I4104" s="7"/>
      <c r="J4104" s="9"/>
      <c r="K4104" s="9"/>
      <c r="L4104" s="9"/>
      <c r="M4104" s="9"/>
    </row>
    <row r="4105" spans="9:13" x14ac:dyDescent="0.3">
      <c r="I4105" s="7"/>
      <c r="J4105" s="9"/>
      <c r="K4105" s="9"/>
      <c r="L4105" s="9"/>
      <c r="M4105" s="9"/>
    </row>
    <row r="4106" spans="9:13" x14ac:dyDescent="0.3">
      <c r="I4106" s="7"/>
      <c r="J4106" s="9"/>
      <c r="K4106" s="9"/>
      <c r="L4106" s="9"/>
      <c r="M4106" s="9"/>
    </row>
    <row r="4107" spans="9:13" x14ac:dyDescent="0.3">
      <c r="I4107" s="7"/>
      <c r="J4107" s="9"/>
      <c r="K4107" s="9"/>
      <c r="L4107" s="9"/>
      <c r="M4107" s="9"/>
    </row>
    <row r="4108" spans="9:13" x14ac:dyDescent="0.3">
      <c r="I4108" s="7"/>
      <c r="J4108" s="9"/>
      <c r="K4108" s="9"/>
      <c r="L4108" s="9"/>
      <c r="M4108" s="9"/>
    </row>
    <row r="4109" spans="9:13" x14ac:dyDescent="0.3">
      <c r="I4109" s="7"/>
      <c r="J4109" s="9"/>
      <c r="K4109" s="9"/>
      <c r="L4109" s="9"/>
      <c r="M4109" s="9"/>
    </row>
    <row r="4110" spans="9:13" x14ac:dyDescent="0.3">
      <c r="I4110" s="7"/>
      <c r="J4110" s="9"/>
      <c r="K4110" s="9"/>
      <c r="L4110" s="9"/>
      <c r="M4110" s="9"/>
    </row>
    <row r="4111" spans="9:13" x14ac:dyDescent="0.3">
      <c r="I4111" s="7"/>
      <c r="J4111" s="9"/>
      <c r="K4111" s="9"/>
      <c r="L4111" s="9"/>
      <c r="M4111" s="9"/>
    </row>
    <row r="4112" spans="9:13" x14ac:dyDescent="0.3">
      <c r="I4112" s="7"/>
      <c r="J4112" s="9"/>
      <c r="K4112" s="9"/>
      <c r="L4112" s="9"/>
      <c r="M4112" s="9"/>
    </row>
    <row r="4113" spans="9:13" x14ac:dyDescent="0.3">
      <c r="I4113" s="7"/>
      <c r="J4113" s="9"/>
      <c r="K4113" s="9"/>
      <c r="L4113" s="9"/>
      <c r="M4113" s="9"/>
    </row>
    <row r="4114" spans="9:13" x14ac:dyDescent="0.3">
      <c r="I4114" s="7"/>
      <c r="J4114" s="9"/>
      <c r="K4114" s="9"/>
      <c r="L4114" s="9"/>
      <c r="M4114" s="9"/>
    </row>
    <row r="4115" spans="9:13" x14ac:dyDescent="0.3">
      <c r="I4115" s="7"/>
      <c r="J4115" s="9"/>
      <c r="K4115" s="9"/>
      <c r="L4115" s="9"/>
      <c r="M4115" s="9"/>
    </row>
    <row r="4116" spans="9:13" x14ac:dyDescent="0.3">
      <c r="I4116" s="7"/>
      <c r="J4116" s="9"/>
      <c r="K4116" s="9"/>
      <c r="L4116" s="9"/>
      <c r="M4116" s="9"/>
    </row>
    <row r="4117" spans="9:13" x14ac:dyDescent="0.3">
      <c r="I4117" s="7"/>
      <c r="J4117" s="9"/>
      <c r="K4117" s="9"/>
      <c r="L4117" s="9"/>
      <c r="M4117" s="9"/>
    </row>
    <row r="4118" spans="9:13" x14ac:dyDescent="0.3">
      <c r="I4118" s="7"/>
      <c r="J4118" s="9"/>
      <c r="K4118" s="9"/>
      <c r="L4118" s="9"/>
      <c r="M4118" s="9"/>
    </row>
    <row r="4119" spans="9:13" x14ac:dyDescent="0.3">
      <c r="I4119" s="7"/>
      <c r="J4119" s="9"/>
      <c r="K4119" s="9"/>
      <c r="L4119" s="9"/>
      <c r="M4119" s="9"/>
    </row>
    <row r="4120" spans="9:13" x14ac:dyDescent="0.3">
      <c r="I4120" s="7"/>
      <c r="J4120" s="9"/>
      <c r="K4120" s="9"/>
      <c r="L4120" s="9"/>
      <c r="M4120" s="9"/>
    </row>
    <row r="4121" spans="9:13" x14ac:dyDescent="0.3">
      <c r="I4121" s="7"/>
      <c r="J4121" s="9"/>
      <c r="K4121" s="9"/>
      <c r="L4121" s="9"/>
      <c r="M4121" s="9"/>
    </row>
    <row r="4122" spans="9:13" x14ac:dyDescent="0.3">
      <c r="I4122" s="7"/>
      <c r="J4122" s="9"/>
      <c r="K4122" s="9"/>
      <c r="L4122" s="9"/>
      <c r="M4122" s="9"/>
    </row>
    <row r="4123" spans="9:13" x14ac:dyDescent="0.3">
      <c r="I4123" s="7"/>
      <c r="J4123" s="9"/>
      <c r="K4123" s="9"/>
      <c r="L4123" s="9"/>
      <c r="M4123" s="9"/>
    </row>
    <row r="4124" spans="9:13" x14ac:dyDescent="0.3">
      <c r="I4124" s="7"/>
      <c r="J4124" s="9"/>
      <c r="K4124" s="9"/>
      <c r="L4124" s="9"/>
      <c r="M4124" s="9"/>
    </row>
    <row r="4125" spans="9:13" x14ac:dyDescent="0.3">
      <c r="I4125" s="7"/>
      <c r="J4125" s="9"/>
      <c r="K4125" s="9"/>
      <c r="L4125" s="9"/>
      <c r="M4125" s="9"/>
    </row>
    <row r="4126" spans="9:13" x14ac:dyDescent="0.3">
      <c r="I4126" s="7"/>
      <c r="J4126" s="9"/>
      <c r="K4126" s="9"/>
      <c r="L4126" s="9"/>
      <c r="M4126" s="9"/>
    </row>
    <row r="4127" spans="9:13" x14ac:dyDescent="0.3">
      <c r="I4127" s="7"/>
      <c r="J4127" s="9"/>
      <c r="K4127" s="9"/>
      <c r="L4127" s="9"/>
      <c r="M4127" s="9"/>
    </row>
    <row r="4128" spans="9:13" x14ac:dyDescent="0.3">
      <c r="I4128" s="7"/>
      <c r="J4128" s="9"/>
      <c r="K4128" s="9"/>
      <c r="L4128" s="9"/>
      <c r="M4128" s="9"/>
    </row>
    <row r="4129" spans="9:13" x14ac:dyDescent="0.3">
      <c r="I4129" s="7"/>
      <c r="J4129" s="9"/>
      <c r="K4129" s="9"/>
      <c r="L4129" s="9"/>
      <c r="M4129" s="9"/>
    </row>
    <row r="4130" spans="9:13" x14ac:dyDescent="0.3">
      <c r="I4130" s="7"/>
      <c r="J4130" s="9"/>
      <c r="K4130" s="9"/>
      <c r="L4130" s="9"/>
      <c r="M4130" s="9"/>
    </row>
    <row r="4131" spans="9:13" x14ac:dyDescent="0.3">
      <c r="I4131" s="7"/>
      <c r="J4131" s="9"/>
      <c r="K4131" s="9"/>
      <c r="L4131" s="9"/>
      <c r="M4131" s="9"/>
    </row>
    <row r="4132" spans="9:13" x14ac:dyDescent="0.3">
      <c r="I4132" s="7"/>
      <c r="J4132" s="9"/>
      <c r="K4132" s="9"/>
      <c r="L4132" s="9"/>
      <c r="M4132" s="9"/>
    </row>
    <row r="4133" spans="9:13" x14ac:dyDescent="0.3">
      <c r="I4133" s="7"/>
      <c r="J4133" s="9"/>
      <c r="K4133" s="9"/>
      <c r="L4133" s="9"/>
      <c r="M4133" s="9"/>
    </row>
    <row r="4134" spans="9:13" x14ac:dyDescent="0.3">
      <c r="I4134" s="7"/>
      <c r="J4134" s="9"/>
      <c r="K4134" s="9"/>
      <c r="L4134" s="9"/>
      <c r="M4134" s="9"/>
    </row>
    <row r="4135" spans="9:13" x14ac:dyDescent="0.3">
      <c r="I4135" s="7"/>
      <c r="J4135" s="9"/>
      <c r="K4135" s="9"/>
      <c r="L4135" s="9"/>
      <c r="M4135" s="9"/>
    </row>
    <row r="4136" spans="9:13" x14ac:dyDescent="0.3">
      <c r="I4136" s="7"/>
      <c r="J4136" s="9"/>
      <c r="K4136" s="9"/>
      <c r="L4136" s="9"/>
      <c r="M4136" s="9"/>
    </row>
    <row r="4137" spans="9:13" x14ac:dyDescent="0.3">
      <c r="I4137" s="7"/>
      <c r="J4137" s="9"/>
      <c r="K4137" s="9"/>
      <c r="L4137" s="9"/>
      <c r="M4137" s="9"/>
    </row>
    <row r="4138" spans="9:13" x14ac:dyDescent="0.3">
      <c r="I4138" s="7"/>
      <c r="J4138" s="9"/>
      <c r="K4138" s="9"/>
      <c r="L4138" s="9"/>
      <c r="M4138" s="9"/>
    </row>
    <row r="4139" spans="9:13" x14ac:dyDescent="0.3">
      <c r="I4139" s="7"/>
      <c r="J4139" s="9"/>
      <c r="K4139" s="9"/>
      <c r="L4139" s="9"/>
      <c r="M4139" s="9"/>
    </row>
    <row r="4140" spans="9:13" x14ac:dyDescent="0.3">
      <c r="I4140" s="7"/>
      <c r="J4140" s="9"/>
      <c r="K4140" s="9"/>
      <c r="L4140" s="9"/>
      <c r="M4140" s="9"/>
    </row>
    <row r="4141" spans="9:13" x14ac:dyDescent="0.3">
      <c r="I4141" s="7"/>
      <c r="J4141" s="9"/>
      <c r="K4141" s="9"/>
      <c r="L4141" s="9"/>
      <c r="M4141" s="9"/>
    </row>
    <row r="4142" spans="9:13" x14ac:dyDescent="0.3">
      <c r="I4142" s="7"/>
      <c r="J4142" s="9"/>
      <c r="K4142" s="9"/>
      <c r="L4142" s="9"/>
      <c r="M4142" s="9"/>
    </row>
    <row r="4143" spans="9:13" x14ac:dyDescent="0.3">
      <c r="I4143" s="7"/>
      <c r="J4143" s="9"/>
      <c r="K4143" s="9"/>
      <c r="L4143" s="9"/>
      <c r="M4143" s="9"/>
    </row>
    <row r="4144" spans="9:13" x14ac:dyDescent="0.3">
      <c r="I4144" s="7"/>
      <c r="J4144" s="9"/>
      <c r="K4144" s="9"/>
      <c r="L4144" s="9"/>
      <c r="M4144" s="9"/>
    </row>
    <row r="4145" spans="9:13" x14ac:dyDescent="0.3">
      <c r="I4145" s="7"/>
      <c r="J4145" s="9"/>
      <c r="K4145" s="9"/>
      <c r="L4145" s="9"/>
      <c r="M4145" s="9"/>
    </row>
    <row r="4146" spans="9:13" x14ac:dyDescent="0.3">
      <c r="I4146" s="7"/>
      <c r="J4146" s="9"/>
      <c r="K4146" s="9"/>
      <c r="L4146" s="9"/>
      <c r="M4146" s="9"/>
    </row>
    <row r="4147" spans="9:13" x14ac:dyDescent="0.3">
      <c r="I4147" s="7"/>
      <c r="J4147" s="9"/>
      <c r="K4147" s="9"/>
      <c r="L4147" s="9"/>
      <c r="M4147" s="9"/>
    </row>
    <row r="4148" spans="9:13" x14ac:dyDescent="0.3">
      <c r="I4148" s="7"/>
      <c r="J4148" s="9"/>
      <c r="K4148" s="9"/>
      <c r="L4148" s="9"/>
      <c r="M4148" s="9"/>
    </row>
    <row r="4149" spans="9:13" x14ac:dyDescent="0.3">
      <c r="I4149" s="7"/>
      <c r="J4149" s="9"/>
      <c r="K4149" s="9"/>
      <c r="L4149" s="9"/>
      <c r="M4149" s="9"/>
    </row>
    <row r="4150" spans="9:13" x14ac:dyDescent="0.3">
      <c r="I4150" s="7"/>
      <c r="J4150" s="9"/>
      <c r="K4150" s="9"/>
      <c r="L4150" s="9"/>
      <c r="M4150" s="9"/>
    </row>
    <row r="4151" spans="9:13" x14ac:dyDescent="0.3">
      <c r="I4151" s="7"/>
      <c r="J4151" s="9"/>
      <c r="K4151" s="9"/>
      <c r="L4151" s="9"/>
      <c r="M4151" s="9"/>
    </row>
    <row r="4152" spans="9:13" x14ac:dyDescent="0.3">
      <c r="I4152" s="7"/>
      <c r="J4152" s="9"/>
      <c r="K4152" s="9"/>
      <c r="L4152" s="9"/>
      <c r="M4152" s="9"/>
    </row>
    <row r="4153" spans="9:13" x14ac:dyDescent="0.3">
      <c r="I4153" s="7"/>
      <c r="J4153" s="9"/>
      <c r="K4153" s="9"/>
      <c r="L4153" s="9"/>
      <c r="M4153" s="9"/>
    </row>
    <row r="4154" spans="9:13" x14ac:dyDescent="0.3">
      <c r="I4154" s="7"/>
      <c r="J4154" s="9"/>
      <c r="K4154" s="9"/>
      <c r="L4154" s="9"/>
      <c r="M4154" s="9"/>
    </row>
    <row r="4155" spans="9:13" x14ac:dyDescent="0.3">
      <c r="I4155" s="7"/>
      <c r="J4155" s="9"/>
      <c r="K4155" s="9"/>
      <c r="L4155" s="9"/>
      <c r="M4155" s="9"/>
    </row>
    <row r="4156" spans="9:13" x14ac:dyDescent="0.3">
      <c r="I4156" s="7"/>
      <c r="J4156" s="9"/>
      <c r="K4156" s="9"/>
      <c r="L4156" s="9"/>
      <c r="M4156" s="9"/>
    </row>
    <row r="4157" spans="9:13" x14ac:dyDescent="0.3">
      <c r="I4157" s="7"/>
      <c r="J4157" s="9"/>
      <c r="K4157" s="9"/>
      <c r="L4157" s="9"/>
      <c r="M4157" s="9"/>
    </row>
    <row r="4158" spans="9:13" x14ac:dyDescent="0.3">
      <c r="I4158" s="7"/>
      <c r="J4158" s="9"/>
      <c r="K4158" s="9"/>
      <c r="L4158" s="9"/>
      <c r="M4158" s="9"/>
    </row>
    <row r="4159" spans="9:13" x14ac:dyDescent="0.3">
      <c r="I4159" s="7"/>
      <c r="J4159" s="9"/>
      <c r="K4159" s="9"/>
      <c r="L4159" s="9"/>
      <c r="M4159" s="9"/>
    </row>
    <row r="4160" spans="9:13" x14ac:dyDescent="0.3">
      <c r="I4160" s="7"/>
      <c r="J4160" s="9"/>
      <c r="K4160" s="9"/>
      <c r="L4160" s="9"/>
      <c r="M4160" s="9"/>
    </row>
    <row r="4161" spans="9:13" x14ac:dyDescent="0.3">
      <c r="I4161" s="7"/>
      <c r="J4161" s="9"/>
      <c r="K4161" s="9"/>
      <c r="L4161" s="9"/>
      <c r="M4161" s="9"/>
    </row>
    <row r="4162" spans="9:13" x14ac:dyDescent="0.3">
      <c r="I4162" s="7"/>
      <c r="J4162" s="9"/>
      <c r="K4162" s="9"/>
      <c r="L4162" s="9"/>
      <c r="M4162" s="9"/>
    </row>
    <row r="4163" spans="9:13" x14ac:dyDescent="0.3">
      <c r="I4163" s="7"/>
      <c r="J4163" s="9"/>
      <c r="K4163" s="9"/>
      <c r="L4163" s="9"/>
      <c r="M4163" s="9"/>
    </row>
    <row r="4164" spans="9:13" x14ac:dyDescent="0.3">
      <c r="I4164" s="7"/>
      <c r="J4164" s="9"/>
      <c r="K4164" s="9"/>
      <c r="L4164" s="9"/>
      <c r="M4164" s="9"/>
    </row>
    <row r="4165" spans="9:13" x14ac:dyDescent="0.3">
      <c r="I4165" s="7"/>
      <c r="J4165" s="9"/>
      <c r="K4165" s="9"/>
      <c r="L4165" s="9"/>
      <c r="M4165" s="9"/>
    </row>
    <row r="4166" spans="9:13" x14ac:dyDescent="0.3">
      <c r="I4166" s="7"/>
      <c r="J4166" s="9"/>
      <c r="K4166" s="9"/>
      <c r="L4166" s="9"/>
      <c r="M4166" s="9"/>
    </row>
    <row r="4167" spans="9:13" x14ac:dyDescent="0.3">
      <c r="I4167" s="7"/>
      <c r="J4167" s="9"/>
      <c r="K4167" s="9"/>
      <c r="L4167" s="9"/>
      <c r="M4167" s="9"/>
    </row>
    <row r="4168" spans="9:13" x14ac:dyDescent="0.3">
      <c r="I4168" s="7"/>
      <c r="J4168" s="9"/>
      <c r="K4168" s="9"/>
      <c r="L4168" s="9"/>
      <c r="M4168" s="9"/>
    </row>
    <row r="4169" spans="9:13" x14ac:dyDescent="0.3">
      <c r="I4169" s="7"/>
      <c r="J4169" s="9"/>
      <c r="K4169" s="9"/>
      <c r="L4169" s="9"/>
      <c r="M4169" s="9"/>
    </row>
    <row r="4170" spans="9:13" x14ac:dyDescent="0.3">
      <c r="I4170" s="7"/>
      <c r="J4170" s="9"/>
      <c r="K4170" s="9"/>
      <c r="L4170" s="9"/>
      <c r="M4170" s="9"/>
    </row>
    <row r="4171" spans="9:13" x14ac:dyDescent="0.3">
      <c r="I4171" s="7"/>
      <c r="J4171" s="9"/>
      <c r="K4171" s="9"/>
      <c r="L4171" s="9"/>
      <c r="M4171" s="9"/>
    </row>
    <row r="4172" spans="9:13" x14ac:dyDescent="0.3">
      <c r="I4172" s="7"/>
      <c r="J4172" s="9"/>
      <c r="K4172" s="9"/>
      <c r="L4172" s="9"/>
      <c r="M4172" s="9"/>
    </row>
    <row r="4173" spans="9:13" x14ac:dyDescent="0.3">
      <c r="I4173" s="7"/>
      <c r="J4173" s="9"/>
      <c r="K4173" s="9"/>
      <c r="L4173" s="9"/>
      <c r="M4173" s="9"/>
    </row>
    <row r="4174" spans="9:13" x14ac:dyDescent="0.3">
      <c r="I4174" s="7"/>
      <c r="J4174" s="9"/>
      <c r="K4174" s="9"/>
      <c r="L4174" s="9"/>
      <c r="M4174" s="9"/>
    </row>
    <row r="4175" spans="9:13" x14ac:dyDescent="0.3">
      <c r="I4175" s="7"/>
      <c r="J4175" s="9"/>
      <c r="K4175" s="9"/>
      <c r="L4175" s="9"/>
      <c r="M4175" s="9"/>
    </row>
    <row r="4176" spans="9:13" x14ac:dyDescent="0.3">
      <c r="I4176" s="7"/>
      <c r="J4176" s="9"/>
      <c r="K4176" s="9"/>
      <c r="L4176" s="9"/>
      <c r="M4176" s="9"/>
    </row>
    <row r="4177" spans="9:13" x14ac:dyDescent="0.3">
      <c r="I4177" s="7"/>
      <c r="J4177" s="9"/>
      <c r="K4177" s="9"/>
      <c r="L4177" s="9"/>
      <c r="M4177" s="9"/>
    </row>
    <row r="4178" spans="9:13" x14ac:dyDescent="0.3">
      <c r="I4178" s="7"/>
      <c r="J4178" s="9"/>
      <c r="K4178" s="9"/>
      <c r="L4178" s="9"/>
      <c r="M4178" s="9"/>
    </row>
    <row r="4179" spans="9:13" x14ac:dyDescent="0.3">
      <c r="I4179" s="7"/>
      <c r="J4179" s="9"/>
      <c r="K4179" s="9"/>
      <c r="L4179" s="9"/>
      <c r="M4179" s="9"/>
    </row>
    <row r="4180" spans="9:13" x14ac:dyDescent="0.3">
      <c r="I4180" s="7"/>
      <c r="J4180" s="9"/>
      <c r="K4180" s="9"/>
      <c r="L4180" s="9"/>
      <c r="M4180" s="9"/>
    </row>
    <row r="4181" spans="9:13" x14ac:dyDescent="0.3">
      <c r="I4181" s="7"/>
      <c r="J4181" s="9"/>
      <c r="K4181" s="9"/>
      <c r="L4181" s="9"/>
      <c r="M4181" s="9"/>
    </row>
    <row r="4182" spans="9:13" x14ac:dyDescent="0.3">
      <c r="I4182" s="7"/>
      <c r="J4182" s="9"/>
      <c r="K4182" s="9"/>
      <c r="L4182" s="9"/>
      <c r="M4182" s="9"/>
    </row>
    <row r="4183" spans="9:13" x14ac:dyDescent="0.3">
      <c r="I4183" s="7"/>
      <c r="J4183" s="9"/>
      <c r="K4183" s="9"/>
      <c r="L4183" s="9"/>
      <c r="M4183" s="9"/>
    </row>
    <row r="4184" spans="9:13" x14ac:dyDescent="0.3">
      <c r="I4184" s="7"/>
      <c r="J4184" s="9"/>
      <c r="K4184" s="9"/>
      <c r="L4184" s="9"/>
      <c r="M4184" s="9"/>
    </row>
    <row r="4185" spans="9:13" x14ac:dyDescent="0.3">
      <c r="I4185" s="7"/>
      <c r="J4185" s="9"/>
      <c r="K4185" s="9"/>
      <c r="L4185" s="9"/>
      <c r="M4185" s="9"/>
    </row>
    <row r="4186" spans="9:13" x14ac:dyDescent="0.3">
      <c r="I4186" s="7"/>
      <c r="J4186" s="9"/>
      <c r="K4186" s="9"/>
      <c r="L4186" s="9"/>
      <c r="M4186" s="9"/>
    </row>
    <row r="4187" spans="9:13" x14ac:dyDescent="0.3">
      <c r="I4187" s="7"/>
      <c r="J4187" s="9"/>
      <c r="K4187" s="9"/>
      <c r="L4187" s="9"/>
      <c r="M4187" s="9"/>
    </row>
    <row r="4188" spans="9:13" x14ac:dyDescent="0.3">
      <c r="I4188" s="7"/>
      <c r="J4188" s="9"/>
      <c r="K4188" s="9"/>
      <c r="L4188" s="9"/>
      <c r="M4188" s="9"/>
    </row>
    <row r="4189" spans="9:13" x14ac:dyDescent="0.3">
      <c r="I4189" s="7"/>
      <c r="J4189" s="9"/>
      <c r="K4189" s="9"/>
      <c r="L4189" s="9"/>
      <c r="M4189" s="9"/>
    </row>
    <row r="4190" spans="9:13" x14ac:dyDescent="0.3">
      <c r="I4190" s="7"/>
      <c r="J4190" s="9"/>
      <c r="K4190" s="9"/>
      <c r="L4190" s="9"/>
      <c r="M4190" s="9"/>
    </row>
    <row r="4191" spans="9:13" x14ac:dyDescent="0.3">
      <c r="I4191" s="7"/>
      <c r="J4191" s="9"/>
      <c r="K4191" s="9"/>
      <c r="L4191" s="9"/>
      <c r="M4191" s="9"/>
    </row>
    <row r="4192" spans="9:13" x14ac:dyDescent="0.3">
      <c r="I4192" s="7"/>
      <c r="J4192" s="9"/>
      <c r="K4192" s="9"/>
      <c r="L4192" s="9"/>
      <c r="M4192" s="9"/>
    </row>
    <row r="4193" spans="9:13" x14ac:dyDescent="0.3">
      <c r="I4193" s="7"/>
      <c r="J4193" s="9"/>
      <c r="K4193" s="9"/>
      <c r="L4193" s="9"/>
      <c r="M4193" s="9"/>
    </row>
    <row r="4194" spans="9:13" x14ac:dyDescent="0.3">
      <c r="I4194" s="7"/>
      <c r="J4194" s="9"/>
      <c r="K4194" s="9"/>
      <c r="L4194" s="9"/>
      <c r="M4194" s="9"/>
    </row>
    <row r="4195" spans="9:13" x14ac:dyDescent="0.3">
      <c r="I4195" s="7"/>
      <c r="J4195" s="9"/>
      <c r="K4195" s="9"/>
      <c r="L4195" s="9"/>
      <c r="M4195" s="9"/>
    </row>
    <row r="4196" spans="9:13" x14ac:dyDescent="0.3">
      <c r="I4196" s="7"/>
      <c r="J4196" s="9"/>
      <c r="K4196" s="9"/>
      <c r="L4196" s="9"/>
      <c r="M4196" s="9"/>
    </row>
    <row r="4197" spans="9:13" x14ac:dyDescent="0.3">
      <c r="I4197" s="7"/>
      <c r="J4197" s="9"/>
      <c r="K4197" s="9"/>
      <c r="L4197" s="9"/>
      <c r="M4197" s="9"/>
    </row>
    <row r="4198" spans="9:13" x14ac:dyDescent="0.3">
      <c r="I4198" s="7"/>
      <c r="J4198" s="9"/>
      <c r="K4198" s="9"/>
      <c r="L4198" s="9"/>
      <c r="M4198" s="9"/>
    </row>
    <row r="4199" spans="9:13" x14ac:dyDescent="0.3">
      <c r="I4199" s="7"/>
      <c r="J4199" s="9"/>
      <c r="K4199" s="9"/>
      <c r="L4199" s="9"/>
      <c r="M4199" s="9"/>
    </row>
    <row r="4200" spans="9:13" x14ac:dyDescent="0.3">
      <c r="I4200" s="7"/>
      <c r="J4200" s="9"/>
      <c r="K4200" s="9"/>
      <c r="L4200" s="9"/>
      <c r="M4200" s="9"/>
    </row>
    <row r="4201" spans="9:13" x14ac:dyDescent="0.3">
      <c r="I4201" s="7"/>
      <c r="J4201" s="9"/>
      <c r="K4201" s="9"/>
      <c r="L4201" s="9"/>
      <c r="M4201" s="9"/>
    </row>
    <row r="4202" spans="9:13" x14ac:dyDescent="0.3">
      <c r="I4202" s="7"/>
      <c r="J4202" s="9"/>
      <c r="K4202" s="9"/>
      <c r="L4202" s="9"/>
      <c r="M4202" s="9"/>
    </row>
    <row r="4203" spans="9:13" x14ac:dyDescent="0.3">
      <c r="I4203" s="7"/>
      <c r="J4203" s="9"/>
      <c r="K4203" s="9"/>
      <c r="L4203" s="9"/>
      <c r="M4203" s="9"/>
    </row>
    <row r="4204" spans="9:13" x14ac:dyDescent="0.3">
      <c r="I4204" s="7"/>
      <c r="J4204" s="9"/>
      <c r="K4204" s="9"/>
      <c r="L4204" s="9"/>
      <c r="M4204" s="9"/>
    </row>
    <row r="4205" spans="9:13" x14ac:dyDescent="0.3">
      <c r="I4205" s="7"/>
      <c r="J4205" s="9"/>
      <c r="K4205" s="9"/>
      <c r="L4205" s="9"/>
      <c r="M4205" s="9"/>
    </row>
    <row r="4206" spans="9:13" x14ac:dyDescent="0.3">
      <c r="I4206" s="7"/>
      <c r="J4206" s="9"/>
      <c r="K4206" s="9"/>
      <c r="L4206" s="9"/>
      <c r="M4206" s="9"/>
    </row>
    <row r="4207" spans="9:13" x14ac:dyDescent="0.3">
      <c r="I4207" s="7"/>
      <c r="J4207" s="9"/>
      <c r="K4207" s="9"/>
      <c r="L4207" s="9"/>
      <c r="M4207" s="9"/>
    </row>
    <row r="4208" spans="9:13" x14ac:dyDescent="0.3">
      <c r="I4208" s="7"/>
      <c r="J4208" s="9"/>
      <c r="K4208" s="9"/>
      <c r="L4208" s="9"/>
      <c r="M4208" s="9"/>
    </row>
    <row r="4209" spans="9:13" x14ac:dyDescent="0.3">
      <c r="I4209" s="7"/>
      <c r="J4209" s="9"/>
      <c r="K4209" s="9"/>
      <c r="L4209" s="9"/>
      <c r="M4209" s="9"/>
    </row>
    <row r="4210" spans="9:13" x14ac:dyDescent="0.3">
      <c r="I4210" s="7"/>
      <c r="J4210" s="9"/>
      <c r="K4210" s="9"/>
      <c r="L4210" s="9"/>
      <c r="M4210" s="9"/>
    </row>
    <row r="4211" spans="9:13" x14ac:dyDescent="0.3">
      <c r="I4211" s="7"/>
      <c r="J4211" s="9"/>
      <c r="K4211" s="9"/>
      <c r="L4211" s="9"/>
      <c r="M4211" s="9"/>
    </row>
    <row r="4212" spans="9:13" x14ac:dyDescent="0.3">
      <c r="I4212" s="7"/>
      <c r="J4212" s="9"/>
      <c r="K4212" s="9"/>
      <c r="L4212" s="9"/>
      <c r="M4212" s="9"/>
    </row>
    <row r="4213" spans="9:13" x14ac:dyDescent="0.3">
      <c r="I4213" s="7"/>
      <c r="J4213" s="9"/>
      <c r="K4213" s="9"/>
      <c r="L4213" s="9"/>
      <c r="M4213" s="9"/>
    </row>
    <row r="4214" spans="9:13" x14ac:dyDescent="0.3">
      <c r="I4214" s="7"/>
      <c r="J4214" s="9"/>
      <c r="K4214" s="9"/>
      <c r="L4214" s="9"/>
      <c r="M4214" s="9"/>
    </row>
    <row r="4215" spans="9:13" x14ac:dyDescent="0.3">
      <c r="I4215" s="7"/>
      <c r="J4215" s="9"/>
      <c r="K4215" s="9"/>
      <c r="L4215" s="9"/>
      <c r="M4215" s="9"/>
    </row>
    <row r="4216" spans="9:13" x14ac:dyDescent="0.3">
      <c r="I4216" s="7"/>
      <c r="J4216" s="9"/>
      <c r="K4216" s="9"/>
      <c r="L4216" s="9"/>
      <c r="M4216" s="9"/>
    </row>
    <row r="4217" spans="9:13" x14ac:dyDescent="0.3">
      <c r="I4217" s="7"/>
      <c r="J4217" s="9"/>
      <c r="K4217" s="9"/>
      <c r="L4217" s="9"/>
      <c r="M4217" s="9"/>
    </row>
    <row r="4218" spans="9:13" x14ac:dyDescent="0.3">
      <c r="I4218" s="7"/>
      <c r="J4218" s="9"/>
      <c r="K4218" s="9"/>
      <c r="L4218" s="9"/>
      <c r="M4218" s="9"/>
    </row>
    <row r="4219" spans="9:13" x14ac:dyDescent="0.3">
      <c r="I4219" s="7"/>
      <c r="J4219" s="9"/>
      <c r="K4219" s="9"/>
      <c r="L4219" s="9"/>
      <c r="M4219" s="9"/>
    </row>
    <row r="4220" spans="9:13" x14ac:dyDescent="0.3">
      <c r="I4220" s="7"/>
      <c r="J4220" s="9"/>
      <c r="K4220" s="9"/>
      <c r="L4220" s="9"/>
      <c r="M4220" s="9"/>
    </row>
    <row r="4221" spans="9:13" x14ac:dyDescent="0.3">
      <c r="I4221" s="7"/>
      <c r="J4221" s="9"/>
      <c r="K4221" s="9"/>
      <c r="L4221" s="9"/>
      <c r="M4221" s="9"/>
    </row>
    <row r="4222" spans="9:13" x14ac:dyDescent="0.3">
      <c r="I4222" s="7"/>
      <c r="J4222" s="9"/>
      <c r="K4222" s="9"/>
      <c r="L4222" s="9"/>
      <c r="M4222" s="9"/>
    </row>
    <row r="4223" spans="9:13" x14ac:dyDescent="0.3">
      <c r="I4223" s="7"/>
      <c r="J4223" s="9"/>
      <c r="K4223" s="9"/>
      <c r="L4223" s="9"/>
      <c r="M4223" s="9"/>
    </row>
    <row r="4224" spans="9:13" x14ac:dyDescent="0.3">
      <c r="I4224" s="7"/>
      <c r="J4224" s="9"/>
      <c r="K4224" s="9"/>
      <c r="L4224" s="9"/>
      <c r="M4224" s="9"/>
    </row>
    <row r="4225" spans="9:13" x14ac:dyDescent="0.3">
      <c r="I4225" s="7"/>
      <c r="J4225" s="9"/>
      <c r="K4225" s="9"/>
      <c r="L4225" s="9"/>
      <c r="M4225" s="9"/>
    </row>
    <row r="4226" spans="9:13" x14ac:dyDescent="0.3">
      <c r="I4226" s="7"/>
      <c r="J4226" s="9"/>
      <c r="K4226" s="9"/>
      <c r="L4226" s="9"/>
      <c r="M4226" s="9"/>
    </row>
    <row r="4227" spans="9:13" x14ac:dyDescent="0.3">
      <c r="I4227" s="7"/>
      <c r="J4227" s="9"/>
      <c r="K4227" s="9"/>
      <c r="L4227" s="9"/>
      <c r="M4227" s="9"/>
    </row>
    <row r="4228" spans="9:13" x14ac:dyDescent="0.3">
      <c r="I4228" s="7"/>
      <c r="J4228" s="9"/>
      <c r="K4228" s="9"/>
      <c r="L4228" s="9"/>
      <c r="M4228" s="9"/>
    </row>
    <row r="4229" spans="9:13" x14ac:dyDescent="0.3">
      <c r="I4229" s="7"/>
      <c r="J4229" s="9"/>
      <c r="K4229" s="9"/>
      <c r="L4229" s="9"/>
      <c r="M4229" s="9"/>
    </row>
    <row r="4230" spans="9:13" x14ac:dyDescent="0.3">
      <c r="I4230" s="7"/>
      <c r="J4230" s="9"/>
      <c r="K4230" s="9"/>
      <c r="L4230" s="9"/>
      <c r="M4230" s="9"/>
    </row>
    <row r="4231" spans="9:13" x14ac:dyDescent="0.3">
      <c r="I4231" s="7"/>
      <c r="J4231" s="9"/>
      <c r="K4231" s="9"/>
      <c r="L4231" s="9"/>
      <c r="M4231" s="9"/>
    </row>
    <row r="4232" spans="9:13" x14ac:dyDescent="0.3">
      <c r="I4232" s="7"/>
      <c r="J4232" s="9"/>
      <c r="K4232" s="9"/>
      <c r="L4232" s="9"/>
      <c r="M4232" s="9"/>
    </row>
    <row r="4233" spans="9:13" x14ac:dyDescent="0.3">
      <c r="I4233" s="7"/>
      <c r="J4233" s="9"/>
      <c r="K4233" s="9"/>
      <c r="L4233" s="9"/>
      <c r="M4233" s="9"/>
    </row>
    <row r="4234" spans="9:13" x14ac:dyDescent="0.3">
      <c r="I4234" s="7"/>
      <c r="J4234" s="9"/>
      <c r="K4234" s="9"/>
      <c r="L4234" s="9"/>
      <c r="M4234" s="9"/>
    </row>
    <row r="4235" spans="9:13" x14ac:dyDescent="0.3">
      <c r="I4235" s="7"/>
      <c r="J4235" s="9"/>
      <c r="K4235" s="9"/>
      <c r="L4235" s="9"/>
      <c r="M4235" s="9"/>
    </row>
    <row r="4236" spans="9:13" x14ac:dyDescent="0.3">
      <c r="I4236" s="7"/>
      <c r="J4236" s="9"/>
      <c r="K4236" s="9"/>
      <c r="L4236" s="9"/>
      <c r="M4236" s="9"/>
    </row>
    <row r="4237" spans="9:13" x14ac:dyDescent="0.3">
      <c r="I4237" s="7"/>
      <c r="J4237" s="9"/>
      <c r="K4237" s="9"/>
      <c r="L4237" s="9"/>
      <c r="M4237" s="9"/>
    </row>
    <row r="4238" spans="9:13" x14ac:dyDescent="0.3">
      <c r="I4238" s="7"/>
      <c r="J4238" s="9"/>
      <c r="K4238" s="9"/>
      <c r="L4238" s="9"/>
      <c r="M4238" s="9"/>
    </row>
    <row r="4239" spans="9:13" x14ac:dyDescent="0.3">
      <c r="I4239" s="7"/>
      <c r="J4239" s="9"/>
      <c r="K4239" s="9"/>
      <c r="L4239" s="9"/>
      <c r="M4239" s="9"/>
    </row>
    <row r="4240" spans="9:13" x14ac:dyDescent="0.3">
      <c r="I4240" s="7"/>
      <c r="J4240" s="9"/>
      <c r="K4240" s="9"/>
      <c r="L4240" s="9"/>
      <c r="M4240" s="9"/>
    </row>
    <row r="4241" spans="9:13" x14ac:dyDescent="0.3">
      <c r="I4241" s="7"/>
      <c r="J4241" s="9"/>
      <c r="K4241" s="9"/>
      <c r="L4241" s="9"/>
      <c r="M4241" s="9"/>
    </row>
    <row r="4242" spans="9:13" x14ac:dyDescent="0.3">
      <c r="I4242" s="7"/>
      <c r="J4242" s="9"/>
      <c r="K4242" s="9"/>
      <c r="L4242" s="9"/>
      <c r="M4242" s="9"/>
    </row>
    <row r="4243" spans="9:13" x14ac:dyDescent="0.3">
      <c r="I4243" s="7"/>
      <c r="J4243" s="9"/>
      <c r="K4243" s="9"/>
      <c r="L4243" s="9"/>
      <c r="M4243" s="9"/>
    </row>
    <row r="4244" spans="9:13" x14ac:dyDescent="0.3">
      <c r="I4244" s="7"/>
      <c r="J4244" s="9"/>
      <c r="K4244" s="9"/>
      <c r="L4244" s="9"/>
      <c r="M4244" s="9"/>
    </row>
    <row r="4245" spans="9:13" x14ac:dyDescent="0.3">
      <c r="I4245" s="7"/>
      <c r="J4245" s="9"/>
      <c r="K4245" s="9"/>
      <c r="L4245" s="9"/>
      <c r="M4245" s="9"/>
    </row>
    <row r="4246" spans="9:13" x14ac:dyDescent="0.3">
      <c r="I4246" s="7"/>
      <c r="J4246" s="9"/>
      <c r="K4246" s="9"/>
      <c r="L4246" s="9"/>
      <c r="M4246" s="9"/>
    </row>
    <row r="4247" spans="9:13" x14ac:dyDescent="0.3">
      <c r="I4247" s="7"/>
      <c r="J4247" s="9"/>
      <c r="K4247" s="9"/>
      <c r="L4247" s="9"/>
      <c r="M4247" s="9"/>
    </row>
    <row r="4248" spans="9:13" x14ac:dyDescent="0.3">
      <c r="I4248" s="7"/>
      <c r="J4248" s="9"/>
      <c r="K4248" s="9"/>
      <c r="L4248" s="9"/>
      <c r="M4248" s="9"/>
    </row>
    <row r="4249" spans="9:13" x14ac:dyDescent="0.3">
      <c r="I4249" s="7"/>
      <c r="J4249" s="9"/>
      <c r="K4249" s="9"/>
      <c r="L4249" s="9"/>
      <c r="M4249" s="9"/>
    </row>
    <row r="4250" spans="9:13" x14ac:dyDescent="0.3">
      <c r="I4250" s="7"/>
      <c r="J4250" s="9"/>
      <c r="K4250" s="9"/>
      <c r="L4250" s="9"/>
      <c r="M4250" s="9"/>
    </row>
    <row r="4251" spans="9:13" x14ac:dyDescent="0.3">
      <c r="I4251" s="7"/>
      <c r="J4251" s="9"/>
      <c r="K4251" s="9"/>
      <c r="L4251" s="9"/>
      <c r="M4251" s="9"/>
    </row>
    <row r="4252" spans="9:13" x14ac:dyDescent="0.3">
      <c r="I4252" s="7"/>
      <c r="J4252" s="9"/>
      <c r="K4252" s="9"/>
      <c r="L4252" s="9"/>
      <c r="M4252" s="9"/>
    </row>
    <row r="4253" spans="9:13" x14ac:dyDescent="0.3">
      <c r="I4253" s="7"/>
      <c r="J4253" s="9"/>
      <c r="K4253" s="9"/>
      <c r="L4253" s="9"/>
      <c r="M4253" s="9"/>
    </row>
    <row r="4254" spans="9:13" x14ac:dyDescent="0.3">
      <c r="I4254" s="7"/>
      <c r="J4254" s="9"/>
      <c r="K4254" s="9"/>
      <c r="L4254" s="9"/>
      <c r="M4254" s="9"/>
    </row>
    <row r="4255" spans="9:13" x14ac:dyDescent="0.3">
      <c r="I4255" s="7"/>
      <c r="J4255" s="9"/>
      <c r="K4255" s="9"/>
      <c r="L4255" s="9"/>
      <c r="M4255" s="9"/>
    </row>
    <row r="4256" spans="9:13" x14ac:dyDescent="0.3">
      <c r="I4256" s="7"/>
      <c r="J4256" s="9"/>
      <c r="K4256" s="9"/>
      <c r="L4256" s="9"/>
      <c r="M4256" s="9"/>
    </row>
    <row r="4257" spans="9:13" x14ac:dyDescent="0.3">
      <c r="I4257" s="7"/>
      <c r="J4257" s="9"/>
      <c r="K4257" s="9"/>
      <c r="L4257" s="9"/>
      <c r="M4257" s="9"/>
    </row>
    <row r="4258" spans="9:13" x14ac:dyDescent="0.3">
      <c r="I4258" s="7"/>
      <c r="J4258" s="9"/>
      <c r="K4258" s="9"/>
      <c r="L4258" s="9"/>
      <c r="M4258" s="9"/>
    </row>
    <row r="4259" spans="9:13" x14ac:dyDescent="0.3">
      <c r="I4259" s="7"/>
      <c r="J4259" s="9"/>
      <c r="K4259" s="9"/>
      <c r="L4259" s="9"/>
      <c r="M4259" s="9"/>
    </row>
    <row r="4260" spans="9:13" x14ac:dyDescent="0.3">
      <c r="I4260" s="7"/>
      <c r="J4260" s="9"/>
      <c r="K4260" s="9"/>
      <c r="L4260" s="9"/>
      <c r="M4260" s="9"/>
    </row>
    <row r="4261" spans="9:13" x14ac:dyDescent="0.3">
      <c r="I4261" s="7"/>
      <c r="J4261" s="9"/>
      <c r="K4261" s="9"/>
      <c r="L4261" s="9"/>
      <c r="M4261" s="9"/>
    </row>
    <row r="4262" spans="9:13" x14ac:dyDescent="0.3">
      <c r="I4262" s="7"/>
      <c r="J4262" s="9"/>
      <c r="K4262" s="9"/>
      <c r="L4262" s="9"/>
      <c r="M4262" s="9"/>
    </row>
    <row r="4263" spans="9:13" x14ac:dyDescent="0.3">
      <c r="I4263" s="7"/>
      <c r="J4263" s="9"/>
      <c r="K4263" s="9"/>
      <c r="L4263" s="9"/>
      <c r="M4263" s="9"/>
    </row>
    <row r="4264" spans="9:13" x14ac:dyDescent="0.3">
      <c r="I4264" s="7"/>
      <c r="J4264" s="9"/>
      <c r="K4264" s="9"/>
      <c r="L4264" s="9"/>
      <c r="M4264" s="9"/>
    </row>
    <row r="4265" spans="9:13" x14ac:dyDescent="0.3">
      <c r="I4265" s="7"/>
      <c r="J4265" s="9"/>
      <c r="K4265" s="9"/>
      <c r="L4265" s="9"/>
      <c r="M4265" s="9"/>
    </row>
    <row r="4266" spans="9:13" x14ac:dyDescent="0.3">
      <c r="I4266" s="7"/>
      <c r="J4266" s="9"/>
      <c r="K4266" s="9"/>
      <c r="L4266" s="9"/>
      <c r="M4266" s="9"/>
    </row>
    <row r="4267" spans="9:13" x14ac:dyDescent="0.3">
      <c r="I4267" s="7"/>
      <c r="J4267" s="9"/>
      <c r="K4267" s="9"/>
      <c r="L4267" s="9"/>
      <c r="M4267" s="9"/>
    </row>
    <row r="4268" spans="9:13" x14ac:dyDescent="0.3">
      <c r="I4268" s="7"/>
      <c r="J4268" s="9"/>
      <c r="K4268" s="9"/>
      <c r="L4268" s="9"/>
      <c r="M4268" s="9"/>
    </row>
    <row r="4269" spans="9:13" x14ac:dyDescent="0.3">
      <c r="I4269" s="7"/>
      <c r="J4269" s="9"/>
      <c r="K4269" s="9"/>
      <c r="L4269" s="9"/>
      <c r="M4269" s="9"/>
    </row>
    <row r="4270" spans="9:13" x14ac:dyDescent="0.3">
      <c r="I4270" s="7"/>
      <c r="J4270" s="9"/>
      <c r="K4270" s="9"/>
      <c r="L4270" s="9"/>
      <c r="M4270" s="9"/>
    </row>
    <row r="4271" spans="9:13" x14ac:dyDescent="0.3">
      <c r="I4271" s="7"/>
      <c r="J4271" s="9"/>
      <c r="K4271" s="9"/>
      <c r="L4271" s="9"/>
      <c r="M4271" s="9"/>
    </row>
    <row r="4272" spans="9:13" x14ac:dyDescent="0.3">
      <c r="I4272" s="7"/>
      <c r="J4272" s="9"/>
      <c r="K4272" s="9"/>
      <c r="L4272" s="9"/>
      <c r="M4272" s="9"/>
    </row>
    <row r="4273" spans="9:13" x14ac:dyDescent="0.3">
      <c r="I4273" s="7"/>
      <c r="J4273" s="9"/>
      <c r="K4273" s="9"/>
      <c r="L4273" s="9"/>
      <c r="M4273" s="9"/>
    </row>
    <row r="4274" spans="9:13" x14ac:dyDescent="0.3">
      <c r="I4274" s="7"/>
      <c r="J4274" s="9"/>
      <c r="K4274" s="9"/>
      <c r="L4274" s="9"/>
      <c r="M4274" s="9"/>
    </row>
    <row r="4275" spans="9:13" x14ac:dyDescent="0.3">
      <c r="I4275" s="7"/>
      <c r="J4275" s="9"/>
      <c r="K4275" s="9"/>
      <c r="L4275" s="9"/>
      <c r="M4275" s="9"/>
    </row>
    <row r="4276" spans="9:13" x14ac:dyDescent="0.3">
      <c r="I4276" s="7"/>
      <c r="J4276" s="9"/>
      <c r="K4276" s="9"/>
      <c r="L4276" s="9"/>
      <c r="M4276" s="9"/>
    </row>
    <row r="4277" spans="9:13" x14ac:dyDescent="0.3">
      <c r="I4277" s="7"/>
      <c r="J4277" s="9"/>
      <c r="K4277" s="9"/>
      <c r="L4277" s="9"/>
      <c r="M4277" s="9"/>
    </row>
    <row r="4278" spans="9:13" x14ac:dyDescent="0.3">
      <c r="I4278" s="7"/>
      <c r="J4278" s="9"/>
      <c r="K4278" s="9"/>
      <c r="L4278" s="9"/>
      <c r="M4278" s="9"/>
    </row>
    <row r="4279" spans="9:13" x14ac:dyDescent="0.3">
      <c r="I4279" s="7"/>
      <c r="J4279" s="9"/>
      <c r="K4279" s="9"/>
      <c r="L4279" s="9"/>
      <c r="M4279" s="9"/>
    </row>
    <row r="4280" spans="9:13" x14ac:dyDescent="0.3">
      <c r="I4280" s="7"/>
      <c r="J4280" s="9"/>
      <c r="K4280" s="9"/>
      <c r="L4280" s="9"/>
      <c r="M4280" s="9"/>
    </row>
    <row r="4281" spans="9:13" x14ac:dyDescent="0.3">
      <c r="I4281" s="7"/>
      <c r="J4281" s="9"/>
      <c r="K4281" s="9"/>
      <c r="L4281" s="9"/>
      <c r="M4281" s="9"/>
    </row>
    <row r="4282" spans="9:13" x14ac:dyDescent="0.3">
      <c r="I4282" s="7"/>
      <c r="J4282" s="9"/>
      <c r="K4282" s="9"/>
      <c r="L4282" s="9"/>
      <c r="M4282" s="9"/>
    </row>
    <row r="4283" spans="9:13" x14ac:dyDescent="0.3">
      <c r="I4283" s="7"/>
      <c r="J4283" s="9"/>
      <c r="K4283" s="9"/>
      <c r="L4283" s="9"/>
      <c r="M4283" s="9"/>
    </row>
    <row r="4284" spans="9:13" x14ac:dyDescent="0.3">
      <c r="I4284" s="7"/>
      <c r="J4284" s="9"/>
      <c r="K4284" s="9"/>
      <c r="L4284" s="9"/>
      <c r="M4284" s="9"/>
    </row>
    <row r="4285" spans="9:13" x14ac:dyDescent="0.3">
      <c r="I4285" s="7"/>
      <c r="J4285" s="9"/>
      <c r="K4285" s="9"/>
      <c r="L4285" s="9"/>
      <c r="M4285" s="9"/>
    </row>
    <row r="4286" spans="9:13" x14ac:dyDescent="0.3">
      <c r="I4286" s="7"/>
      <c r="J4286" s="9"/>
      <c r="K4286" s="9"/>
      <c r="L4286" s="9"/>
      <c r="M4286" s="9"/>
    </row>
    <row r="4287" spans="9:13" x14ac:dyDescent="0.3">
      <c r="I4287" s="7"/>
      <c r="J4287" s="9"/>
      <c r="K4287" s="9"/>
      <c r="L4287" s="9"/>
      <c r="M4287" s="9"/>
    </row>
    <row r="4288" spans="9:13" x14ac:dyDescent="0.3">
      <c r="I4288" s="7"/>
      <c r="J4288" s="9"/>
      <c r="K4288" s="9"/>
      <c r="L4288" s="9"/>
      <c r="M4288" s="9"/>
    </row>
    <row r="4289" spans="9:13" x14ac:dyDescent="0.3">
      <c r="I4289" s="7"/>
      <c r="J4289" s="9"/>
      <c r="K4289" s="9"/>
      <c r="L4289" s="9"/>
      <c r="M4289" s="9"/>
    </row>
    <row r="4290" spans="9:13" x14ac:dyDescent="0.3">
      <c r="I4290" s="7"/>
      <c r="J4290" s="9"/>
      <c r="K4290" s="9"/>
      <c r="L4290" s="9"/>
      <c r="M4290" s="9"/>
    </row>
    <row r="4291" spans="9:13" x14ac:dyDescent="0.3">
      <c r="I4291" s="7"/>
      <c r="J4291" s="9"/>
      <c r="K4291" s="9"/>
      <c r="L4291" s="9"/>
      <c r="M4291" s="9"/>
    </row>
    <row r="4292" spans="9:13" x14ac:dyDescent="0.3">
      <c r="I4292" s="7"/>
      <c r="J4292" s="9"/>
      <c r="K4292" s="9"/>
      <c r="L4292" s="9"/>
      <c r="M4292" s="9"/>
    </row>
    <row r="4293" spans="9:13" x14ac:dyDescent="0.3">
      <c r="I4293" s="7"/>
      <c r="J4293" s="9"/>
      <c r="K4293" s="9"/>
      <c r="L4293" s="9"/>
      <c r="M4293" s="9"/>
    </row>
    <row r="4294" spans="9:13" x14ac:dyDescent="0.3">
      <c r="I4294" s="7"/>
      <c r="J4294" s="9"/>
      <c r="K4294" s="9"/>
      <c r="L4294" s="9"/>
      <c r="M4294" s="9"/>
    </row>
    <row r="4295" spans="9:13" x14ac:dyDescent="0.3">
      <c r="I4295" s="7"/>
      <c r="J4295" s="9"/>
      <c r="K4295" s="9"/>
      <c r="L4295" s="9"/>
      <c r="M4295" s="9"/>
    </row>
    <row r="4296" spans="9:13" x14ac:dyDescent="0.3">
      <c r="I4296" s="7"/>
      <c r="J4296" s="9"/>
      <c r="K4296" s="9"/>
      <c r="L4296" s="9"/>
      <c r="M4296" s="9"/>
    </row>
    <row r="4297" spans="9:13" x14ac:dyDescent="0.3">
      <c r="I4297" s="7"/>
      <c r="J4297" s="9"/>
      <c r="K4297" s="9"/>
      <c r="L4297" s="9"/>
      <c r="M4297" s="9"/>
    </row>
    <row r="4298" spans="9:13" x14ac:dyDescent="0.3">
      <c r="I4298" s="7"/>
      <c r="J4298" s="9"/>
      <c r="K4298" s="9"/>
      <c r="L4298" s="9"/>
      <c r="M4298" s="9"/>
    </row>
    <row r="4299" spans="9:13" x14ac:dyDescent="0.3">
      <c r="I4299" s="7"/>
      <c r="J4299" s="9"/>
      <c r="K4299" s="9"/>
      <c r="L4299" s="9"/>
      <c r="M4299" s="9"/>
    </row>
    <row r="4300" spans="9:13" x14ac:dyDescent="0.3">
      <c r="I4300" s="7"/>
      <c r="J4300" s="9"/>
      <c r="K4300" s="9"/>
      <c r="L4300" s="9"/>
      <c r="M4300" s="9"/>
    </row>
    <row r="4301" spans="9:13" x14ac:dyDescent="0.3">
      <c r="I4301" s="7"/>
      <c r="J4301" s="9"/>
      <c r="K4301" s="9"/>
      <c r="L4301" s="9"/>
      <c r="M4301" s="9"/>
    </row>
    <row r="4302" spans="9:13" x14ac:dyDescent="0.3">
      <c r="I4302" s="7"/>
      <c r="J4302" s="9"/>
      <c r="K4302" s="9"/>
      <c r="L4302" s="9"/>
      <c r="M4302" s="9"/>
    </row>
    <row r="4303" spans="9:13" x14ac:dyDescent="0.3">
      <c r="I4303" s="7"/>
      <c r="J4303" s="9"/>
      <c r="K4303" s="9"/>
      <c r="L4303" s="9"/>
      <c r="M4303" s="9"/>
    </row>
    <row r="4304" spans="9:13" x14ac:dyDescent="0.3">
      <c r="I4304" s="7"/>
      <c r="J4304" s="9"/>
      <c r="K4304" s="9"/>
      <c r="L4304" s="9"/>
      <c r="M4304" s="9"/>
    </row>
    <row r="4305" spans="9:13" x14ac:dyDescent="0.3">
      <c r="I4305" s="7"/>
      <c r="J4305" s="9"/>
      <c r="K4305" s="9"/>
      <c r="L4305" s="9"/>
      <c r="M4305" s="9"/>
    </row>
    <row r="4306" spans="9:13" x14ac:dyDescent="0.3">
      <c r="I4306" s="7"/>
      <c r="J4306" s="9"/>
      <c r="K4306" s="9"/>
      <c r="L4306" s="9"/>
      <c r="M4306" s="9"/>
    </row>
    <row r="4307" spans="9:13" x14ac:dyDescent="0.3">
      <c r="I4307" s="7"/>
      <c r="J4307" s="9"/>
      <c r="K4307" s="9"/>
      <c r="L4307" s="9"/>
      <c r="M4307" s="9"/>
    </row>
    <row r="4308" spans="9:13" x14ac:dyDescent="0.3">
      <c r="I4308" s="7"/>
      <c r="J4308" s="9"/>
      <c r="K4308" s="9"/>
      <c r="L4308" s="9"/>
      <c r="M4308" s="9"/>
    </row>
    <row r="4309" spans="9:13" x14ac:dyDescent="0.3">
      <c r="I4309" s="7"/>
      <c r="J4309" s="9"/>
      <c r="K4309" s="9"/>
      <c r="L4309" s="9"/>
      <c r="M4309" s="9"/>
    </row>
    <row r="4310" spans="9:13" x14ac:dyDescent="0.3">
      <c r="I4310" s="7"/>
      <c r="J4310" s="9"/>
      <c r="K4310" s="9"/>
      <c r="L4310" s="9"/>
      <c r="M4310" s="9"/>
    </row>
    <row r="4311" spans="9:13" x14ac:dyDescent="0.3">
      <c r="I4311" s="7"/>
      <c r="J4311" s="9"/>
      <c r="K4311" s="9"/>
      <c r="L4311" s="9"/>
      <c r="M4311" s="9"/>
    </row>
    <row r="4312" spans="9:13" x14ac:dyDescent="0.3">
      <c r="I4312" s="7"/>
      <c r="J4312" s="9"/>
      <c r="K4312" s="9"/>
      <c r="L4312" s="9"/>
      <c r="M4312" s="9"/>
    </row>
    <row r="4313" spans="9:13" x14ac:dyDescent="0.3">
      <c r="I4313" s="7"/>
      <c r="J4313" s="9"/>
      <c r="K4313" s="9"/>
      <c r="L4313" s="9"/>
      <c r="M4313" s="9"/>
    </row>
    <row r="4314" spans="9:13" x14ac:dyDescent="0.3">
      <c r="I4314" s="7"/>
      <c r="J4314" s="9"/>
      <c r="K4314" s="9"/>
      <c r="L4314" s="9"/>
      <c r="M4314" s="9"/>
    </row>
    <row r="4315" spans="9:13" x14ac:dyDescent="0.3">
      <c r="I4315" s="7"/>
      <c r="J4315" s="9"/>
      <c r="K4315" s="9"/>
      <c r="L4315" s="9"/>
      <c r="M4315" s="9"/>
    </row>
    <row r="4316" spans="9:13" x14ac:dyDescent="0.3">
      <c r="I4316" s="7"/>
      <c r="J4316" s="9"/>
      <c r="K4316" s="9"/>
      <c r="L4316" s="9"/>
      <c r="M4316" s="9"/>
    </row>
    <row r="4317" spans="9:13" x14ac:dyDescent="0.3">
      <c r="I4317" s="7"/>
      <c r="J4317" s="9"/>
      <c r="K4317" s="9"/>
      <c r="L4317" s="9"/>
      <c r="M4317" s="9"/>
    </row>
    <row r="4318" spans="9:13" x14ac:dyDescent="0.3">
      <c r="I4318" s="7"/>
      <c r="J4318" s="9"/>
      <c r="K4318" s="9"/>
      <c r="L4318" s="9"/>
      <c r="M4318" s="9"/>
    </row>
    <row r="4319" spans="9:13" x14ac:dyDescent="0.3">
      <c r="I4319" s="7"/>
      <c r="J4319" s="9"/>
      <c r="K4319" s="9"/>
      <c r="L4319" s="9"/>
      <c r="M4319" s="9"/>
    </row>
    <row r="4320" spans="9:13" x14ac:dyDescent="0.3">
      <c r="I4320" s="7"/>
      <c r="J4320" s="9"/>
      <c r="K4320" s="9"/>
      <c r="L4320" s="9"/>
      <c r="M4320" s="9"/>
    </row>
    <row r="4321" spans="9:13" x14ac:dyDescent="0.3">
      <c r="I4321" s="7"/>
      <c r="J4321" s="9"/>
      <c r="K4321" s="9"/>
      <c r="L4321" s="9"/>
      <c r="M4321" s="9"/>
    </row>
    <row r="4322" spans="9:13" x14ac:dyDescent="0.3">
      <c r="I4322" s="7"/>
      <c r="J4322" s="9"/>
      <c r="K4322" s="9"/>
      <c r="L4322" s="9"/>
      <c r="M4322" s="9"/>
    </row>
    <row r="4323" spans="9:13" x14ac:dyDescent="0.3">
      <c r="I4323" s="7"/>
      <c r="J4323" s="9"/>
      <c r="K4323" s="9"/>
      <c r="L4323" s="9"/>
      <c r="M4323" s="9"/>
    </row>
    <row r="4324" spans="9:13" x14ac:dyDescent="0.3">
      <c r="I4324" s="7"/>
      <c r="J4324" s="9"/>
      <c r="K4324" s="9"/>
      <c r="L4324" s="9"/>
      <c r="M4324" s="9"/>
    </row>
    <row r="4325" spans="9:13" x14ac:dyDescent="0.3">
      <c r="I4325" s="7"/>
      <c r="J4325" s="9"/>
      <c r="K4325" s="9"/>
      <c r="L4325" s="9"/>
      <c r="M4325" s="9"/>
    </row>
    <row r="4326" spans="9:13" x14ac:dyDescent="0.3">
      <c r="I4326" s="7"/>
      <c r="J4326" s="9"/>
      <c r="K4326" s="9"/>
      <c r="L4326" s="9"/>
      <c r="M4326" s="9"/>
    </row>
    <row r="4327" spans="9:13" x14ac:dyDescent="0.3">
      <c r="I4327" s="7"/>
      <c r="J4327" s="9"/>
      <c r="K4327" s="9"/>
      <c r="L4327" s="9"/>
      <c r="M4327" s="9"/>
    </row>
    <row r="4328" spans="9:13" x14ac:dyDescent="0.3">
      <c r="I4328" s="7"/>
      <c r="J4328" s="9"/>
      <c r="K4328" s="9"/>
      <c r="L4328" s="9"/>
      <c r="M4328" s="9"/>
    </row>
    <row r="4329" spans="9:13" x14ac:dyDescent="0.3">
      <c r="I4329" s="7"/>
      <c r="J4329" s="9"/>
      <c r="K4329" s="9"/>
      <c r="L4329" s="9"/>
      <c r="M4329" s="9"/>
    </row>
    <row r="4330" spans="9:13" x14ac:dyDescent="0.3">
      <c r="I4330" s="7"/>
      <c r="J4330" s="9"/>
      <c r="K4330" s="9"/>
      <c r="L4330" s="9"/>
      <c r="M4330" s="9"/>
    </row>
    <row r="4331" spans="9:13" x14ac:dyDescent="0.3">
      <c r="I4331" s="7"/>
      <c r="J4331" s="9"/>
      <c r="K4331" s="9"/>
      <c r="L4331" s="9"/>
      <c r="M4331" s="9"/>
    </row>
    <row r="4332" spans="9:13" x14ac:dyDescent="0.3">
      <c r="I4332" s="7"/>
      <c r="J4332" s="9"/>
      <c r="K4332" s="9"/>
      <c r="L4332" s="9"/>
      <c r="M4332" s="9"/>
    </row>
    <row r="4333" spans="9:13" x14ac:dyDescent="0.3">
      <c r="I4333" s="7"/>
      <c r="J4333" s="9"/>
      <c r="K4333" s="9"/>
      <c r="L4333" s="9"/>
      <c r="M4333" s="9"/>
    </row>
    <row r="4334" spans="9:13" x14ac:dyDescent="0.3">
      <c r="I4334" s="7"/>
      <c r="J4334" s="9"/>
      <c r="K4334" s="9"/>
      <c r="L4334" s="9"/>
      <c r="M4334" s="9"/>
    </row>
    <row r="4335" spans="9:13" x14ac:dyDescent="0.3">
      <c r="I4335" s="7"/>
      <c r="J4335" s="9"/>
      <c r="K4335" s="9"/>
      <c r="L4335" s="9"/>
      <c r="M4335" s="9"/>
    </row>
    <row r="4336" spans="9:13" x14ac:dyDescent="0.3">
      <c r="I4336" s="7"/>
      <c r="J4336" s="9"/>
      <c r="K4336" s="9"/>
      <c r="L4336" s="9"/>
      <c r="M4336" s="9"/>
    </row>
    <row r="4337" spans="9:13" x14ac:dyDescent="0.3">
      <c r="I4337" s="7"/>
      <c r="J4337" s="9"/>
      <c r="K4337" s="9"/>
      <c r="L4337" s="9"/>
      <c r="M4337" s="9"/>
    </row>
    <row r="4338" spans="9:13" x14ac:dyDescent="0.3">
      <c r="I4338" s="7"/>
      <c r="J4338" s="9"/>
      <c r="K4338" s="9"/>
      <c r="L4338" s="9"/>
      <c r="M4338" s="9"/>
    </row>
    <row r="4339" spans="9:13" x14ac:dyDescent="0.3">
      <c r="I4339" s="7"/>
      <c r="J4339" s="9"/>
      <c r="K4339" s="9"/>
      <c r="L4339" s="9"/>
      <c r="M4339" s="9"/>
    </row>
    <row r="4340" spans="9:13" x14ac:dyDescent="0.3">
      <c r="I4340" s="7"/>
      <c r="J4340" s="9"/>
      <c r="K4340" s="9"/>
      <c r="L4340" s="9"/>
      <c r="M4340" s="9"/>
    </row>
    <row r="4341" spans="9:13" x14ac:dyDescent="0.3">
      <c r="I4341" s="7"/>
      <c r="J4341" s="9"/>
      <c r="K4341" s="9"/>
      <c r="L4341" s="9"/>
      <c r="M4341" s="9"/>
    </row>
    <row r="4342" spans="9:13" x14ac:dyDescent="0.3">
      <c r="I4342" s="7"/>
      <c r="J4342" s="9"/>
      <c r="K4342" s="9"/>
      <c r="L4342" s="9"/>
      <c r="M4342" s="9"/>
    </row>
    <row r="4343" spans="9:13" x14ac:dyDescent="0.3">
      <c r="I4343" s="7"/>
      <c r="J4343" s="9"/>
      <c r="K4343" s="9"/>
      <c r="L4343" s="9"/>
      <c r="M4343" s="9"/>
    </row>
    <row r="4344" spans="9:13" x14ac:dyDescent="0.3">
      <c r="I4344" s="7"/>
      <c r="J4344" s="9"/>
      <c r="K4344" s="9"/>
      <c r="L4344" s="9"/>
      <c r="M4344" s="9"/>
    </row>
    <row r="4345" spans="9:13" x14ac:dyDescent="0.3">
      <c r="I4345" s="7"/>
      <c r="J4345" s="9"/>
      <c r="K4345" s="9"/>
      <c r="L4345" s="9"/>
      <c r="M4345" s="9"/>
    </row>
    <row r="4346" spans="9:13" x14ac:dyDescent="0.3">
      <c r="I4346" s="7"/>
      <c r="J4346" s="9"/>
      <c r="K4346" s="9"/>
      <c r="L4346" s="9"/>
      <c r="M4346" s="9"/>
    </row>
    <row r="4347" spans="9:13" x14ac:dyDescent="0.3">
      <c r="I4347" s="7"/>
      <c r="J4347" s="9"/>
      <c r="K4347" s="9"/>
      <c r="L4347" s="9"/>
      <c r="M4347" s="9"/>
    </row>
    <row r="4348" spans="9:13" x14ac:dyDescent="0.3">
      <c r="I4348" s="7"/>
      <c r="J4348" s="9"/>
      <c r="K4348" s="9"/>
      <c r="L4348" s="9"/>
      <c r="M4348" s="9"/>
    </row>
    <row r="4349" spans="9:13" x14ac:dyDescent="0.3">
      <c r="I4349" s="7"/>
      <c r="J4349" s="9"/>
      <c r="K4349" s="9"/>
      <c r="L4349" s="9"/>
      <c r="M4349" s="9"/>
    </row>
    <row r="4350" spans="9:13" x14ac:dyDescent="0.3">
      <c r="I4350" s="7"/>
      <c r="J4350" s="9"/>
      <c r="K4350" s="9"/>
      <c r="L4350" s="9"/>
      <c r="M4350" s="9"/>
    </row>
    <row r="4351" spans="9:13" x14ac:dyDescent="0.3">
      <c r="I4351" s="7"/>
      <c r="J4351" s="9"/>
      <c r="K4351" s="9"/>
      <c r="L4351" s="9"/>
      <c r="M4351" s="9"/>
    </row>
    <row r="4352" spans="9:13" x14ac:dyDescent="0.3">
      <c r="I4352" s="7"/>
      <c r="J4352" s="9"/>
      <c r="K4352" s="9"/>
      <c r="L4352" s="9"/>
      <c r="M4352" s="9"/>
    </row>
    <row r="4353" spans="9:13" x14ac:dyDescent="0.3">
      <c r="I4353" s="7"/>
      <c r="J4353" s="9"/>
      <c r="K4353" s="9"/>
      <c r="L4353" s="9"/>
      <c r="M4353" s="9"/>
    </row>
    <row r="4354" spans="9:13" x14ac:dyDescent="0.3">
      <c r="I4354" s="7"/>
      <c r="J4354" s="9"/>
      <c r="K4354" s="9"/>
      <c r="L4354" s="9"/>
      <c r="M4354" s="9"/>
    </row>
    <row r="4355" spans="9:13" x14ac:dyDescent="0.3">
      <c r="I4355" s="7"/>
      <c r="J4355" s="9"/>
      <c r="K4355" s="9"/>
      <c r="L4355" s="9"/>
      <c r="M4355" s="9"/>
    </row>
    <row r="4356" spans="9:13" x14ac:dyDescent="0.3">
      <c r="I4356" s="7"/>
      <c r="J4356" s="9"/>
      <c r="K4356" s="9"/>
      <c r="L4356" s="9"/>
      <c r="M4356" s="9"/>
    </row>
    <row r="4357" spans="9:13" x14ac:dyDescent="0.3">
      <c r="I4357" s="7"/>
      <c r="J4357" s="9"/>
      <c r="K4357" s="9"/>
      <c r="L4357" s="9"/>
      <c r="M4357" s="9"/>
    </row>
    <row r="4358" spans="9:13" x14ac:dyDescent="0.3">
      <c r="I4358" s="7"/>
      <c r="J4358" s="9"/>
      <c r="K4358" s="9"/>
      <c r="L4358" s="9"/>
      <c r="M4358" s="9"/>
    </row>
    <row r="4359" spans="9:13" x14ac:dyDescent="0.3">
      <c r="I4359" s="7"/>
      <c r="J4359" s="9"/>
      <c r="K4359" s="9"/>
      <c r="L4359" s="9"/>
      <c r="M4359" s="9"/>
    </row>
    <row r="4360" spans="9:13" x14ac:dyDescent="0.3">
      <c r="I4360" s="7"/>
      <c r="J4360" s="9"/>
      <c r="K4360" s="9"/>
      <c r="L4360" s="9"/>
      <c r="M4360" s="9"/>
    </row>
    <row r="4361" spans="9:13" x14ac:dyDescent="0.3">
      <c r="I4361" s="7"/>
      <c r="J4361" s="9"/>
      <c r="K4361" s="9"/>
      <c r="L4361" s="9"/>
      <c r="M4361" s="9"/>
    </row>
    <row r="4362" spans="9:13" x14ac:dyDescent="0.3">
      <c r="I4362" s="7"/>
      <c r="J4362" s="9"/>
      <c r="K4362" s="9"/>
      <c r="L4362" s="9"/>
      <c r="M4362" s="9"/>
    </row>
    <row r="4363" spans="9:13" x14ac:dyDescent="0.3">
      <c r="I4363" s="7"/>
      <c r="J4363" s="9"/>
      <c r="K4363" s="9"/>
      <c r="L4363" s="9"/>
      <c r="M4363" s="9"/>
    </row>
    <row r="4364" spans="9:13" x14ac:dyDescent="0.3">
      <c r="I4364" s="7"/>
      <c r="J4364" s="9"/>
      <c r="K4364" s="9"/>
      <c r="L4364" s="9"/>
      <c r="M4364" s="9"/>
    </row>
    <row r="4365" spans="9:13" x14ac:dyDescent="0.3">
      <c r="I4365" s="7"/>
      <c r="J4365" s="9"/>
      <c r="K4365" s="9"/>
      <c r="L4365" s="9"/>
      <c r="M4365" s="9"/>
    </row>
    <row r="4366" spans="9:13" x14ac:dyDescent="0.3">
      <c r="I4366" s="7"/>
      <c r="J4366" s="9"/>
      <c r="K4366" s="9"/>
      <c r="L4366" s="9"/>
      <c r="M4366" s="9"/>
    </row>
    <row r="4367" spans="9:13" x14ac:dyDescent="0.3">
      <c r="I4367" s="7"/>
      <c r="J4367" s="9"/>
      <c r="K4367" s="9"/>
      <c r="L4367" s="9"/>
      <c r="M4367" s="9"/>
    </row>
    <row r="4368" spans="9:13" x14ac:dyDescent="0.3">
      <c r="I4368" s="7"/>
      <c r="J4368" s="9"/>
      <c r="K4368" s="9"/>
      <c r="L4368" s="9"/>
      <c r="M4368" s="9"/>
    </row>
    <row r="4369" spans="9:13" x14ac:dyDescent="0.3">
      <c r="I4369" s="7"/>
      <c r="J4369" s="9"/>
      <c r="K4369" s="9"/>
      <c r="L4369" s="9"/>
      <c r="M4369" s="9"/>
    </row>
    <row r="4370" spans="9:13" x14ac:dyDescent="0.3">
      <c r="I4370" s="7"/>
      <c r="J4370" s="9"/>
      <c r="K4370" s="9"/>
      <c r="L4370" s="9"/>
      <c r="M4370" s="9"/>
    </row>
    <row r="4371" spans="9:13" x14ac:dyDescent="0.3">
      <c r="I4371" s="7"/>
      <c r="J4371" s="9"/>
      <c r="K4371" s="9"/>
      <c r="L4371" s="9"/>
      <c r="M4371" s="9"/>
    </row>
    <row r="4372" spans="9:13" x14ac:dyDescent="0.3">
      <c r="I4372" s="7"/>
      <c r="J4372" s="9"/>
      <c r="K4372" s="9"/>
      <c r="L4372" s="9"/>
      <c r="M4372" s="9"/>
    </row>
    <row r="4373" spans="9:13" x14ac:dyDescent="0.3">
      <c r="I4373" s="7"/>
      <c r="J4373" s="9"/>
      <c r="K4373" s="9"/>
      <c r="L4373" s="9"/>
      <c r="M4373" s="9"/>
    </row>
    <row r="4374" spans="9:13" x14ac:dyDescent="0.3">
      <c r="I4374" s="7"/>
      <c r="J4374" s="9"/>
      <c r="K4374" s="9"/>
      <c r="L4374" s="9"/>
      <c r="M4374" s="9"/>
    </row>
    <row r="4375" spans="9:13" x14ac:dyDescent="0.3">
      <c r="I4375" s="7"/>
      <c r="J4375" s="9"/>
      <c r="K4375" s="9"/>
      <c r="L4375" s="9"/>
      <c r="M4375" s="9"/>
    </row>
    <row r="4376" spans="9:13" x14ac:dyDescent="0.3">
      <c r="I4376" s="7"/>
      <c r="J4376" s="9"/>
      <c r="K4376" s="9"/>
      <c r="L4376" s="9"/>
      <c r="M4376" s="9"/>
    </row>
    <row r="4377" spans="9:13" x14ac:dyDescent="0.3">
      <c r="I4377" s="7"/>
      <c r="J4377" s="9"/>
      <c r="K4377" s="9"/>
      <c r="L4377" s="9"/>
      <c r="M4377" s="9"/>
    </row>
    <row r="4378" spans="9:13" x14ac:dyDescent="0.3">
      <c r="I4378" s="7"/>
      <c r="J4378" s="9"/>
      <c r="K4378" s="9"/>
      <c r="L4378" s="9"/>
      <c r="M4378" s="9"/>
    </row>
    <row r="4379" spans="9:13" x14ac:dyDescent="0.3">
      <c r="I4379" s="7"/>
      <c r="J4379" s="9"/>
      <c r="K4379" s="9"/>
      <c r="L4379" s="9"/>
      <c r="M4379" s="9"/>
    </row>
    <row r="4380" spans="9:13" x14ac:dyDescent="0.3">
      <c r="I4380" s="7"/>
      <c r="J4380" s="9"/>
      <c r="K4380" s="9"/>
      <c r="L4380" s="9"/>
      <c r="M4380" s="9"/>
    </row>
    <row r="4381" spans="9:13" x14ac:dyDescent="0.3">
      <c r="I4381" s="7"/>
      <c r="J4381" s="9"/>
      <c r="K4381" s="9"/>
      <c r="L4381" s="9"/>
      <c r="M4381" s="9"/>
    </row>
    <row r="4382" spans="9:13" x14ac:dyDescent="0.3">
      <c r="I4382" s="7"/>
      <c r="J4382" s="9"/>
      <c r="K4382" s="9"/>
      <c r="L4382" s="9"/>
      <c r="M4382" s="9"/>
    </row>
    <row r="4383" spans="9:13" x14ac:dyDescent="0.3">
      <c r="I4383" s="7"/>
      <c r="J4383" s="9"/>
      <c r="K4383" s="9"/>
      <c r="L4383" s="9"/>
      <c r="M4383" s="9"/>
    </row>
    <row r="4384" spans="9:13" x14ac:dyDescent="0.3">
      <c r="I4384" s="7"/>
      <c r="J4384" s="9"/>
      <c r="K4384" s="9"/>
      <c r="L4384" s="9"/>
      <c r="M4384" s="9"/>
    </row>
    <row r="4385" spans="9:13" x14ac:dyDescent="0.3">
      <c r="I4385" s="7"/>
      <c r="J4385" s="9"/>
      <c r="K4385" s="9"/>
      <c r="L4385" s="9"/>
      <c r="M4385" s="9"/>
    </row>
    <row r="4386" spans="9:13" x14ac:dyDescent="0.3">
      <c r="I4386" s="7"/>
      <c r="J4386" s="9"/>
      <c r="K4386" s="9"/>
      <c r="L4386" s="9"/>
      <c r="M4386" s="9"/>
    </row>
    <row r="4387" spans="9:13" x14ac:dyDescent="0.3">
      <c r="I4387" s="7"/>
      <c r="J4387" s="9"/>
      <c r="K4387" s="9"/>
      <c r="L4387" s="9"/>
      <c r="M4387" s="9"/>
    </row>
    <row r="4388" spans="9:13" x14ac:dyDescent="0.3">
      <c r="I4388" s="7"/>
      <c r="J4388" s="9"/>
      <c r="K4388" s="9"/>
      <c r="L4388" s="9"/>
      <c r="M4388" s="9"/>
    </row>
    <row r="4389" spans="9:13" x14ac:dyDescent="0.3">
      <c r="I4389" s="7"/>
      <c r="J4389" s="9"/>
      <c r="K4389" s="9"/>
      <c r="L4389" s="9"/>
      <c r="M4389" s="9"/>
    </row>
    <row r="4390" spans="9:13" x14ac:dyDescent="0.3">
      <c r="I4390" s="7"/>
      <c r="J4390" s="9"/>
      <c r="K4390" s="9"/>
      <c r="L4390" s="9"/>
      <c r="M4390" s="9"/>
    </row>
    <row r="4391" spans="9:13" x14ac:dyDescent="0.3">
      <c r="I4391" s="7"/>
      <c r="J4391" s="9"/>
      <c r="K4391" s="9"/>
      <c r="L4391" s="9"/>
      <c r="M4391" s="9"/>
    </row>
    <row r="4392" spans="9:13" x14ac:dyDescent="0.3">
      <c r="I4392" s="7"/>
      <c r="J4392" s="9"/>
      <c r="K4392" s="9"/>
      <c r="L4392" s="9"/>
      <c r="M4392" s="9"/>
    </row>
    <row r="4393" spans="9:13" x14ac:dyDescent="0.3">
      <c r="I4393" s="7"/>
      <c r="J4393" s="9"/>
      <c r="K4393" s="9"/>
      <c r="L4393" s="9"/>
      <c r="M4393" s="9"/>
    </row>
    <row r="4394" spans="9:13" x14ac:dyDescent="0.3">
      <c r="I4394" s="7"/>
      <c r="J4394" s="9"/>
      <c r="K4394" s="9"/>
      <c r="L4394" s="9"/>
      <c r="M4394" s="9"/>
    </row>
    <row r="4395" spans="9:13" x14ac:dyDescent="0.3">
      <c r="I4395" s="7"/>
      <c r="J4395" s="9"/>
      <c r="K4395" s="9"/>
      <c r="L4395" s="9"/>
      <c r="M4395" s="9"/>
    </row>
    <row r="4396" spans="9:13" x14ac:dyDescent="0.3">
      <c r="I4396" s="7"/>
      <c r="J4396" s="9"/>
      <c r="K4396" s="9"/>
      <c r="L4396" s="9"/>
      <c r="M4396" s="9"/>
    </row>
    <row r="4397" spans="9:13" x14ac:dyDescent="0.3">
      <c r="I4397" s="7"/>
      <c r="J4397" s="9"/>
      <c r="K4397" s="9"/>
      <c r="L4397" s="9"/>
      <c r="M4397" s="9"/>
    </row>
    <row r="4398" spans="9:13" x14ac:dyDescent="0.3">
      <c r="I4398" s="7"/>
      <c r="J4398" s="9"/>
      <c r="K4398" s="9"/>
      <c r="L4398" s="9"/>
      <c r="M4398" s="9"/>
    </row>
    <row r="4399" spans="9:13" x14ac:dyDescent="0.3">
      <c r="I4399" s="7"/>
      <c r="J4399" s="9"/>
      <c r="K4399" s="9"/>
      <c r="L4399" s="9"/>
      <c r="M4399" s="9"/>
    </row>
    <row r="4400" spans="9:13" x14ac:dyDescent="0.3">
      <c r="I4400" s="7"/>
      <c r="J4400" s="9"/>
      <c r="K4400" s="9"/>
      <c r="L4400" s="9"/>
      <c r="M4400" s="9"/>
    </row>
    <row r="4401" spans="9:13" x14ac:dyDescent="0.3">
      <c r="I4401" s="7"/>
      <c r="J4401" s="9"/>
      <c r="K4401" s="9"/>
      <c r="L4401" s="9"/>
      <c r="M4401" s="9"/>
    </row>
    <row r="4402" spans="9:13" x14ac:dyDescent="0.3">
      <c r="I4402" s="7"/>
      <c r="J4402" s="9"/>
      <c r="K4402" s="9"/>
      <c r="L4402" s="9"/>
      <c r="M4402" s="9"/>
    </row>
    <row r="4403" spans="9:13" x14ac:dyDescent="0.3">
      <c r="I4403" s="7"/>
      <c r="J4403" s="9"/>
      <c r="K4403" s="9"/>
      <c r="L4403" s="9"/>
      <c r="M4403" s="9"/>
    </row>
    <row r="4404" spans="9:13" x14ac:dyDescent="0.3">
      <c r="I4404" s="7"/>
      <c r="J4404" s="9"/>
      <c r="K4404" s="9"/>
      <c r="L4404" s="9"/>
      <c r="M4404" s="9"/>
    </row>
    <row r="4405" spans="9:13" x14ac:dyDescent="0.3">
      <c r="I4405" s="7"/>
      <c r="J4405" s="9"/>
      <c r="K4405" s="9"/>
      <c r="L4405" s="9"/>
      <c r="M4405" s="9"/>
    </row>
    <row r="4406" spans="9:13" x14ac:dyDescent="0.3">
      <c r="I4406" s="7"/>
      <c r="J4406" s="9"/>
      <c r="K4406" s="9"/>
      <c r="L4406" s="9"/>
      <c r="M4406" s="9"/>
    </row>
    <row r="4407" spans="9:13" x14ac:dyDescent="0.3">
      <c r="I4407" s="7"/>
      <c r="J4407" s="9"/>
      <c r="K4407" s="9"/>
      <c r="L4407" s="9"/>
      <c r="M4407" s="9"/>
    </row>
    <row r="4408" spans="9:13" x14ac:dyDescent="0.3">
      <c r="I4408" s="7"/>
      <c r="J4408" s="9"/>
      <c r="K4408" s="9"/>
      <c r="L4408" s="9"/>
      <c r="M4408" s="9"/>
    </row>
    <row r="4409" spans="9:13" x14ac:dyDescent="0.3">
      <c r="I4409" s="7"/>
      <c r="J4409" s="9"/>
      <c r="K4409" s="9"/>
      <c r="L4409" s="9"/>
      <c r="M4409" s="9"/>
    </row>
    <row r="4410" spans="9:13" x14ac:dyDescent="0.3">
      <c r="I4410" s="7"/>
      <c r="J4410" s="9"/>
      <c r="K4410" s="9"/>
      <c r="L4410" s="9"/>
      <c r="M4410" s="9"/>
    </row>
    <row r="4411" spans="9:13" x14ac:dyDescent="0.3">
      <c r="I4411" s="7"/>
      <c r="J4411" s="9"/>
      <c r="K4411" s="9"/>
      <c r="L4411" s="9"/>
      <c r="M4411" s="9"/>
    </row>
    <row r="4412" spans="9:13" x14ac:dyDescent="0.3">
      <c r="I4412" s="7"/>
      <c r="J4412" s="9"/>
      <c r="K4412" s="9"/>
      <c r="L4412" s="9"/>
      <c r="M4412" s="9"/>
    </row>
    <row r="4413" spans="9:13" x14ac:dyDescent="0.3">
      <c r="I4413" s="7"/>
      <c r="J4413" s="9"/>
      <c r="K4413" s="9"/>
      <c r="L4413" s="9"/>
      <c r="M4413" s="9"/>
    </row>
    <row r="4414" spans="9:13" x14ac:dyDescent="0.3">
      <c r="I4414" s="7"/>
      <c r="J4414" s="9"/>
      <c r="K4414" s="9"/>
      <c r="L4414" s="9"/>
      <c r="M4414" s="9"/>
    </row>
    <row r="4415" spans="9:13" x14ac:dyDescent="0.3">
      <c r="I4415" s="7"/>
      <c r="J4415" s="9"/>
      <c r="K4415" s="9"/>
      <c r="L4415" s="9"/>
      <c r="M4415" s="9"/>
    </row>
    <row r="4416" spans="9:13" x14ac:dyDescent="0.3">
      <c r="I4416" s="7"/>
      <c r="J4416" s="9"/>
      <c r="K4416" s="9"/>
      <c r="L4416" s="9"/>
      <c r="M4416" s="9"/>
    </row>
    <row r="4417" spans="9:13" x14ac:dyDescent="0.3">
      <c r="I4417" s="7"/>
      <c r="J4417" s="9"/>
      <c r="K4417" s="9"/>
      <c r="L4417" s="9"/>
      <c r="M4417" s="9"/>
    </row>
    <row r="4418" spans="9:13" x14ac:dyDescent="0.3">
      <c r="I4418" s="7"/>
      <c r="J4418" s="9"/>
      <c r="K4418" s="9"/>
      <c r="L4418" s="9"/>
      <c r="M4418" s="9"/>
    </row>
    <row r="4419" spans="9:13" x14ac:dyDescent="0.3">
      <c r="I4419" s="7"/>
      <c r="J4419" s="9"/>
      <c r="K4419" s="9"/>
      <c r="L4419" s="9"/>
      <c r="M4419" s="9"/>
    </row>
    <row r="4420" spans="9:13" x14ac:dyDescent="0.3">
      <c r="I4420" s="7"/>
      <c r="J4420" s="9"/>
      <c r="K4420" s="9"/>
      <c r="L4420" s="9"/>
      <c r="M4420" s="9"/>
    </row>
    <row r="4421" spans="9:13" x14ac:dyDescent="0.3">
      <c r="I4421" s="7"/>
      <c r="J4421" s="9"/>
      <c r="K4421" s="9"/>
      <c r="L4421" s="9"/>
      <c r="M4421" s="9"/>
    </row>
    <row r="4422" spans="9:13" x14ac:dyDescent="0.3">
      <c r="I4422" s="7"/>
      <c r="J4422" s="9"/>
      <c r="K4422" s="9"/>
      <c r="L4422" s="9"/>
      <c r="M4422" s="9"/>
    </row>
    <row r="4423" spans="9:13" x14ac:dyDescent="0.3">
      <c r="I4423" s="7"/>
      <c r="J4423" s="9"/>
      <c r="K4423" s="9"/>
      <c r="L4423" s="9"/>
      <c r="M4423" s="9"/>
    </row>
    <row r="4424" spans="9:13" x14ac:dyDescent="0.3">
      <c r="I4424" s="7"/>
      <c r="J4424" s="9"/>
      <c r="K4424" s="9"/>
      <c r="L4424" s="9"/>
      <c r="M4424" s="9"/>
    </row>
    <row r="4425" spans="9:13" x14ac:dyDescent="0.3">
      <c r="I4425" s="7"/>
      <c r="J4425" s="9"/>
      <c r="K4425" s="9"/>
      <c r="L4425" s="9"/>
      <c r="M4425" s="9"/>
    </row>
    <row r="4426" spans="9:13" x14ac:dyDescent="0.3">
      <c r="I4426" s="7"/>
      <c r="J4426" s="9"/>
      <c r="K4426" s="9"/>
      <c r="L4426" s="9"/>
      <c r="M4426" s="9"/>
    </row>
    <row r="4427" spans="9:13" x14ac:dyDescent="0.3">
      <c r="I4427" s="7"/>
      <c r="J4427" s="9"/>
      <c r="K4427" s="9"/>
      <c r="L4427" s="9"/>
      <c r="M4427" s="9"/>
    </row>
    <row r="4428" spans="9:13" x14ac:dyDescent="0.3">
      <c r="I4428" s="7"/>
      <c r="J4428" s="9"/>
      <c r="K4428" s="9"/>
      <c r="L4428" s="9"/>
      <c r="M4428" s="9"/>
    </row>
    <row r="4429" spans="9:13" x14ac:dyDescent="0.3">
      <c r="I4429" s="7"/>
      <c r="J4429" s="9"/>
      <c r="K4429" s="9"/>
      <c r="L4429" s="9"/>
      <c r="M4429" s="9"/>
    </row>
    <row r="4430" spans="9:13" x14ac:dyDescent="0.3">
      <c r="I4430" s="7"/>
      <c r="J4430" s="9"/>
      <c r="K4430" s="9"/>
      <c r="L4430" s="9"/>
      <c r="M4430" s="9"/>
    </row>
    <row r="4431" spans="9:13" x14ac:dyDescent="0.3">
      <c r="I4431" s="7"/>
      <c r="J4431" s="9"/>
      <c r="K4431" s="9"/>
      <c r="L4431" s="9"/>
      <c r="M4431" s="9"/>
    </row>
    <row r="4432" spans="9:13" x14ac:dyDescent="0.3">
      <c r="I4432" s="7"/>
      <c r="J4432" s="9"/>
      <c r="K4432" s="9"/>
      <c r="L4432" s="9"/>
      <c r="M4432" s="9"/>
    </row>
    <row r="4433" spans="9:13" x14ac:dyDescent="0.3">
      <c r="I4433" s="7"/>
      <c r="J4433" s="9"/>
      <c r="K4433" s="9"/>
      <c r="L4433" s="9"/>
      <c r="M4433" s="9"/>
    </row>
    <row r="4434" spans="9:13" x14ac:dyDescent="0.3">
      <c r="I4434" s="7"/>
      <c r="J4434" s="9"/>
      <c r="K4434" s="9"/>
      <c r="L4434" s="9"/>
      <c r="M4434" s="9"/>
    </row>
    <row r="4435" spans="9:13" x14ac:dyDescent="0.3">
      <c r="I4435" s="7"/>
      <c r="J4435" s="9"/>
      <c r="K4435" s="9"/>
      <c r="L4435" s="9"/>
      <c r="M4435" s="9"/>
    </row>
    <row r="4436" spans="9:13" x14ac:dyDescent="0.3">
      <c r="I4436" s="7"/>
      <c r="J4436" s="9"/>
      <c r="K4436" s="9"/>
      <c r="L4436" s="9"/>
      <c r="M4436" s="9"/>
    </row>
    <row r="4437" spans="9:13" x14ac:dyDescent="0.3">
      <c r="I4437" s="7"/>
      <c r="J4437" s="9"/>
      <c r="K4437" s="9"/>
      <c r="L4437" s="9"/>
      <c r="M4437" s="9"/>
    </row>
    <row r="4438" spans="9:13" x14ac:dyDescent="0.3">
      <c r="I4438" s="7"/>
      <c r="J4438" s="9"/>
      <c r="K4438" s="9"/>
      <c r="L4438" s="9"/>
      <c r="M4438" s="9"/>
    </row>
    <row r="4439" spans="9:13" x14ac:dyDescent="0.3">
      <c r="I4439" s="7"/>
      <c r="J4439" s="9"/>
      <c r="K4439" s="9"/>
      <c r="L4439" s="9"/>
      <c r="M4439" s="9"/>
    </row>
    <row r="4440" spans="9:13" x14ac:dyDescent="0.3">
      <c r="I4440" s="7"/>
      <c r="J4440" s="9"/>
      <c r="K4440" s="9"/>
      <c r="L4440" s="9"/>
      <c r="M4440" s="9"/>
    </row>
    <row r="4441" spans="9:13" x14ac:dyDescent="0.3">
      <c r="I4441" s="7"/>
      <c r="J4441" s="9"/>
      <c r="K4441" s="9"/>
      <c r="L4441" s="9"/>
      <c r="M4441" s="9"/>
    </row>
    <row r="4442" spans="9:13" x14ac:dyDescent="0.3">
      <c r="I4442" s="7"/>
      <c r="J4442" s="9"/>
      <c r="K4442" s="9"/>
      <c r="L4442" s="9"/>
      <c r="M4442" s="9"/>
    </row>
    <row r="4443" spans="9:13" x14ac:dyDescent="0.3">
      <c r="I4443" s="7"/>
      <c r="J4443" s="9"/>
      <c r="K4443" s="9"/>
      <c r="L4443" s="9"/>
      <c r="M4443" s="9"/>
    </row>
    <row r="4444" spans="9:13" x14ac:dyDescent="0.3">
      <c r="I4444" s="7"/>
      <c r="J4444" s="9"/>
      <c r="K4444" s="9"/>
      <c r="L4444" s="9"/>
      <c r="M4444" s="9"/>
    </row>
    <row r="4445" spans="9:13" x14ac:dyDescent="0.3">
      <c r="I4445" s="7"/>
      <c r="J4445" s="9"/>
      <c r="K4445" s="9"/>
      <c r="L4445" s="9"/>
      <c r="M4445" s="9"/>
    </row>
    <row r="4446" spans="9:13" x14ac:dyDescent="0.3">
      <c r="I4446" s="7"/>
      <c r="J4446" s="9"/>
      <c r="K4446" s="9"/>
      <c r="L4446" s="9"/>
      <c r="M4446" s="9"/>
    </row>
    <row r="4447" spans="9:13" x14ac:dyDescent="0.3">
      <c r="I4447" s="7"/>
      <c r="J4447" s="9"/>
      <c r="K4447" s="9"/>
      <c r="L4447" s="9"/>
      <c r="M4447" s="9"/>
    </row>
    <row r="4448" spans="9:13" x14ac:dyDescent="0.3">
      <c r="I4448" s="7"/>
      <c r="J4448" s="9"/>
      <c r="K4448" s="9"/>
      <c r="L4448" s="9"/>
      <c r="M4448" s="9"/>
    </row>
    <row r="4449" spans="9:13" x14ac:dyDescent="0.3">
      <c r="I4449" s="7"/>
      <c r="J4449" s="9"/>
      <c r="K4449" s="9"/>
      <c r="L4449" s="9"/>
      <c r="M4449" s="9"/>
    </row>
    <row r="4450" spans="9:13" x14ac:dyDescent="0.3">
      <c r="I4450" s="7"/>
      <c r="J4450" s="9"/>
      <c r="K4450" s="9"/>
      <c r="L4450" s="9"/>
      <c r="M4450" s="9"/>
    </row>
    <row r="4451" spans="9:13" x14ac:dyDescent="0.3">
      <c r="I4451" s="7"/>
      <c r="J4451" s="9"/>
      <c r="K4451" s="9"/>
      <c r="L4451" s="9"/>
      <c r="M4451" s="9"/>
    </row>
    <row r="4452" spans="9:13" x14ac:dyDescent="0.3">
      <c r="I4452" s="7"/>
      <c r="J4452" s="9"/>
      <c r="K4452" s="9"/>
      <c r="L4452" s="9"/>
      <c r="M4452" s="9"/>
    </row>
    <row r="4453" spans="9:13" x14ac:dyDescent="0.3">
      <c r="I4453" s="7"/>
      <c r="J4453" s="9"/>
      <c r="K4453" s="9"/>
      <c r="L4453" s="9"/>
      <c r="M4453" s="9"/>
    </row>
    <row r="4454" spans="9:13" x14ac:dyDescent="0.3">
      <c r="I4454" s="7"/>
      <c r="J4454" s="9"/>
      <c r="K4454" s="9"/>
      <c r="L4454" s="9"/>
      <c r="M4454" s="9"/>
    </row>
    <row r="4455" spans="9:13" x14ac:dyDescent="0.3">
      <c r="I4455" s="7"/>
      <c r="J4455" s="9"/>
      <c r="K4455" s="9"/>
      <c r="L4455" s="9"/>
      <c r="M4455" s="9"/>
    </row>
    <row r="4456" spans="9:13" x14ac:dyDescent="0.3">
      <c r="I4456" s="7"/>
      <c r="J4456" s="9"/>
      <c r="K4456" s="9"/>
      <c r="L4456" s="9"/>
      <c r="M4456" s="9"/>
    </row>
    <row r="4457" spans="9:13" x14ac:dyDescent="0.3">
      <c r="I4457" s="7"/>
      <c r="J4457" s="9"/>
      <c r="K4457" s="9"/>
      <c r="L4457" s="9"/>
      <c r="M4457" s="9"/>
    </row>
    <row r="4458" spans="9:13" x14ac:dyDescent="0.3">
      <c r="I4458" s="7"/>
      <c r="J4458" s="9"/>
      <c r="K4458" s="9"/>
      <c r="L4458" s="9"/>
      <c r="M4458" s="9"/>
    </row>
    <row r="4459" spans="9:13" x14ac:dyDescent="0.3">
      <c r="I4459" s="7"/>
      <c r="J4459" s="9"/>
      <c r="K4459" s="9"/>
      <c r="L4459" s="9"/>
      <c r="M4459" s="9"/>
    </row>
    <row r="4460" spans="9:13" x14ac:dyDescent="0.3">
      <c r="I4460" s="7"/>
      <c r="J4460" s="9"/>
      <c r="K4460" s="9"/>
      <c r="L4460" s="9"/>
      <c r="M4460" s="9"/>
    </row>
    <row r="4461" spans="9:13" x14ac:dyDescent="0.3">
      <c r="I4461" s="7"/>
      <c r="J4461" s="9"/>
      <c r="K4461" s="9"/>
      <c r="L4461" s="9"/>
      <c r="M4461" s="9"/>
    </row>
    <row r="4462" spans="9:13" x14ac:dyDescent="0.3">
      <c r="I4462" s="7"/>
      <c r="J4462" s="9"/>
      <c r="K4462" s="9"/>
      <c r="L4462" s="9"/>
      <c r="M4462" s="9"/>
    </row>
    <row r="4463" spans="9:13" x14ac:dyDescent="0.3">
      <c r="I4463" s="7"/>
      <c r="J4463" s="9"/>
      <c r="K4463" s="9"/>
      <c r="L4463" s="9"/>
      <c r="M4463" s="9"/>
    </row>
    <row r="4464" spans="9:13" x14ac:dyDescent="0.3">
      <c r="I4464" s="7"/>
      <c r="J4464" s="9"/>
      <c r="K4464" s="9"/>
      <c r="L4464" s="9"/>
      <c r="M4464" s="9"/>
    </row>
    <row r="4465" spans="9:13" x14ac:dyDescent="0.3">
      <c r="I4465" s="7"/>
      <c r="J4465" s="9"/>
      <c r="K4465" s="9"/>
      <c r="L4465" s="9"/>
      <c r="M4465" s="9"/>
    </row>
    <row r="4466" spans="9:13" x14ac:dyDescent="0.3">
      <c r="I4466" s="7"/>
      <c r="J4466" s="9"/>
      <c r="K4466" s="9"/>
      <c r="L4466" s="9"/>
      <c r="M4466" s="9"/>
    </row>
    <row r="4467" spans="9:13" x14ac:dyDescent="0.3">
      <c r="I4467" s="7"/>
      <c r="J4467" s="9"/>
      <c r="K4467" s="9"/>
      <c r="L4467" s="9"/>
      <c r="M4467" s="9"/>
    </row>
    <row r="4468" spans="9:13" x14ac:dyDescent="0.3">
      <c r="I4468" s="7"/>
      <c r="J4468" s="9"/>
      <c r="K4468" s="9"/>
      <c r="L4468" s="9"/>
      <c r="M4468" s="9"/>
    </row>
    <row r="4469" spans="9:13" x14ac:dyDescent="0.3">
      <c r="I4469" s="7"/>
      <c r="J4469" s="9"/>
      <c r="K4469" s="9"/>
      <c r="L4469" s="9"/>
      <c r="M4469" s="9"/>
    </row>
    <row r="4470" spans="9:13" x14ac:dyDescent="0.3">
      <c r="I4470" s="7"/>
      <c r="J4470" s="9"/>
      <c r="K4470" s="9"/>
      <c r="L4470" s="9"/>
      <c r="M4470" s="9"/>
    </row>
    <row r="4471" spans="9:13" x14ac:dyDescent="0.3">
      <c r="I4471" s="7"/>
      <c r="J4471" s="9"/>
      <c r="K4471" s="9"/>
      <c r="L4471" s="9"/>
      <c r="M4471" s="9"/>
    </row>
    <row r="4472" spans="9:13" x14ac:dyDescent="0.3">
      <c r="I4472" s="7"/>
      <c r="J4472" s="9"/>
      <c r="K4472" s="9"/>
      <c r="L4472" s="9"/>
      <c r="M4472" s="9"/>
    </row>
    <row r="4473" spans="9:13" x14ac:dyDescent="0.3">
      <c r="I4473" s="7"/>
      <c r="J4473" s="9"/>
      <c r="K4473" s="9"/>
      <c r="L4473" s="9"/>
      <c r="M4473" s="9"/>
    </row>
    <row r="4474" spans="9:13" x14ac:dyDescent="0.3">
      <c r="I4474" s="7"/>
      <c r="J4474" s="9"/>
      <c r="K4474" s="9"/>
      <c r="L4474" s="9"/>
      <c r="M4474" s="9"/>
    </row>
    <row r="4475" spans="9:13" x14ac:dyDescent="0.3">
      <c r="I4475" s="7"/>
      <c r="J4475" s="9"/>
      <c r="K4475" s="9"/>
      <c r="L4475" s="9"/>
      <c r="M4475" s="9"/>
    </row>
    <row r="4476" spans="9:13" x14ac:dyDescent="0.3">
      <c r="I4476" s="7"/>
      <c r="J4476" s="9"/>
      <c r="K4476" s="9"/>
      <c r="L4476" s="9"/>
      <c r="M4476" s="9"/>
    </row>
    <row r="4477" spans="9:13" x14ac:dyDescent="0.3">
      <c r="I4477" s="7"/>
      <c r="J4477" s="9"/>
      <c r="K4477" s="9"/>
      <c r="L4477" s="9"/>
      <c r="M4477" s="9"/>
    </row>
    <row r="4478" spans="9:13" x14ac:dyDescent="0.3">
      <c r="I4478" s="7"/>
      <c r="J4478" s="9"/>
      <c r="K4478" s="9"/>
      <c r="L4478" s="9"/>
      <c r="M4478" s="9"/>
    </row>
    <row r="4479" spans="9:13" x14ac:dyDescent="0.3">
      <c r="I4479" s="7"/>
      <c r="J4479" s="9"/>
      <c r="K4479" s="9"/>
      <c r="L4479" s="9"/>
      <c r="M4479" s="9"/>
    </row>
    <row r="4480" spans="9:13" x14ac:dyDescent="0.3">
      <c r="I4480" s="7"/>
      <c r="J4480" s="9"/>
      <c r="K4480" s="9"/>
      <c r="L4480" s="9"/>
      <c r="M4480" s="9"/>
    </row>
    <row r="4481" spans="9:13" x14ac:dyDescent="0.3">
      <c r="I4481" s="7"/>
      <c r="J4481" s="9"/>
      <c r="K4481" s="9"/>
      <c r="L4481" s="9"/>
      <c r="M4481" s="9"/>
    </row>
    <row r="4482" spans="9:13" x14ac:dyDescent="0.3">
      <c r="I4482" s="7"/>
      <c r="J4482" s="9"/>
      <c r="K4482" s="9"/>
      <c r="L4482" s="9"/>
      <c r="M4482" s="9"/>
    </row>
    <row r="4483" spans="9:13" x14ac:dyDescent="0.3">
      <c r="I4483" s="7"/>
      <c r="J4483" s="9"/>
      <c r="K4483" s="9"/>
      <c r="L4483" s="9"/>
      <c r="M4483" s="9"/>
    </row>
    <row r="4484" spans="9:13" x14ac:dyDescent="0.3">
      <c r="I4484" s="7"/>
      <c r="J4484" s="9"/>
      <c r="K4484" s="9"/>
      <c r="L4484" s="9"/>
      <c r="M4484" s="9"/>
    </row>
    <row r="4485" spans="9:13" x14ac:dyDescent="0.3">
      <c r="I4485" s="7"/>
      <c r="J4485" s="9"/>
      <c r="K4485" s="9"/>
      <c r="L4485" s="9"/>
      <c r="M4485" s="9"/>
    </row>
    <row r="4486" spans="9:13" x14ac:dyDescent="0.3">
      <c r="I4486" s="7"/>
      <c r="J4486" s="9"/>
      <c r="K4486" s="9"/>
      <c r="L4486" s="9"/>
      <c r="M4486" s="9"/>
    </row>
    <row r="4487" spans="9:13" x14ac:dyDescent="0.3">
      <c r="I4487" s="7"/>
      <c r="J4487" s="9"/>
      <c r="K4487" s="9"/>
      <c r="L4487" s="9"/>
      <c r="M4487" s="9"/>
    </row>
    <row r="4488" spans="9:13" x14ac:dyDescent="0.3">
      <c r="I4488" s="7"/>
      <c r="J4488" s="9"/>
      <c r="K4488" s="9"/>
      <c r="L4488" s="9"/>
      <c r="M4488" s="9"/>
    </row>
    <row r="4489" spans="9:13" x14ac:dyDescent="0.3">
      <c r="I4489" s="7"/>
      <c r="J4489" s="9"/>
      <c r="K4489" s="9"/>
      <c r="L4489" s="9"/>
      <c r="M4489" s="9"/>
    </row>
    <row r="4490" spans="9:13" x14ac:dyDescent="0.3">
      <c r="I4490" s="7"/>
      <c r="J4490" s="9"/>
      <c r="K4490" s="9"/>
      <c r="L4490" s="9"/>
      <c r="M4490" s="9"/>
    </row>
    <row r="4491" spans="9:13" x14ac:dyDescent="0.3">
      <c r="I4491" s="7"/>
      <c r="J4491" s="9"/>
      <c r="K4491" s="9"/>
      <c r="L4491" s="9"/>
      <c r="M4491" s="9"/>
    </row>
    <row r="4492" spans="9:13" x14ac:dyDescent="0.3">
      <c r="I4492" s="7"/>
      <c r="J4492" s="9"/>
      <c r="K4492" s="9"/>
      <c r="L4492" s="9"/>
      <c r="M4492" s="9"/>
    </row>
    <row r="4493" spans="9:13" x14ac:dyDescent="0.3">
      <c r="I4493" s="7"/>
      <c r="J4493" s="9"/>
      <c r="K4493" s="9"/>
      <c r="L4493" s="9"/>
      <c r="M4493" s="9"/>
    </row>
    <row r="4494" spans="9:13" x14ac:dyDescent="0.3">
      <c r="I4494" s="7"/>
      <c r="J4494" s="9"/>
      <c r="K4494" s="9"/>
      <c r="L4494" s="9"/>
      <c r="M4494" s="9"/>
    </row>
    <row r="4495" spans="9:13" x14ac:dyDescent="0.3">
      <c r="I4495" s="7"/>
      <c r="J4495" s="9"/>
      <c r="K4495" s="9"/>
      <c r="L4495" s="9"/>
      <c r="M4495" s="9"/>
    </row>
    <row r="4496" spans="9:13" x14ac:dyDescent="0.3">
      <c r="I4496" s="7"/>
      <c r="J4496" s="9"/>
      <c r="K4496" s="9"/>
      <c r="L4496" s="9"/>
      <c r="M4496" s="9"/>
    </row>
    <row r="4497" spans="9:13" x14ac:dyDescent="0.3">
      <c r="I4497" s="7"/>
      <c r="J4497" s="9"/>
      <c r="K4497" s="9"/>
      <c r="L4497" s="9"/>
      <c r="M4497" s="9"/>
    </row>
    <row r="4498" spans="9:13" x14ac:dyDescent="0.3">
      <c r="I4498" s="7"/>
      <c r="J4498" s="9"/>
      <c r="K4498" s="9"/>
      <c r="L4498" s="9"/>
      <c r="M4498" s="9"/>
    </row>
    <row r="4499" spans="9:13" x14ac:dyDescent="0.3">
      <c r="I4499" s="7"/>
      <c r="J4499" s="9"/>
      <c r="K4499" s="9"/>
      <c r="L4499" s="9"/>
      <c r="M4499" s="9"/>
    </row>
    <row r="4500" spans="9:13" x14ac:dyDescent="0.3">
      <c r="I4500" s="7"/>
      <c r="J4500" s="9"/>
      <c r="K4500" s="9"/>
      <c r="L4500" s="9"/>
      <c r="M4500" s="9"/>
    </row>
    <row r="4501" spans="9:13" x14ac:dyDescent="0.3">
      <c r="I4501" s="7"/>
      <c r="J4501" s="9"/>
      <c r="K4501" s="9"/>
      <c r="L4501" s="9"/>
      <c r="M4501" s="9"/>
    </row>
    <row r="4502" spans="9:13" x14ac:dyDescent="0.3">
      <c r="I4502" s="7"/>
      <c r="J4502" s="9"/>
      <c r="K4502" s="9"/>
      <c r="L4502" s="9"/>
      <c r="M4502" s="9"/>
    </row>
    <row r="4503" spans="9:13" x14ac:dyDescent="0.3">
      <c r="I4503" s="7"/>
      <c r="J4503" s="9"/>
      <c r="K4503" s="9"/>
      <c r="L4503" s="9"/>
      <c r="M4503" s="9"/>
    </row>
    <row r="4504" spans="9:13" x14ac:dyDescent="0.3">
      <c r="I4504" s="7"/>
      <c r="J4504" s="9"/>
      <c r="K4504" s="9"/>
      <c r="L4504" s="9"/>
      <c r="M4504" s="9"/>
    </row>
    <row r="4505" spans="9:13" x14ac:dyDescent="0.3">
      <c r="I4505" s="7"/>
      <c r="J4505" s="9"/>
      <c r="K4505" s="9"/>
      <c r="L4505" s="9"/>
      <c r="M4505" s="9"/>
    </row>
    <row r="4506" spans="9:13" x14ac:dyDescent="0.3">
      <c r="I4506" s="7"/>
      <c r="J4506" s="9"/>
      <c r="K4506" s="9"/>
      <c r="L4506" s="9"/>
      <c r="M4506" s="9"/>
    </row>
    <row r="4507" spans="9:13" x14ac:dyDescent="0.3">
      <c r="I4507" s="7"/>
      <c r="J4507" s="9"/>
      <c r="K4507" s="9"/>
      <c r="L4507" s="9"/>
      <c r="M4507" s="9"/>
    </row>
    <row r="4508" spans="9:13" x14ac:dyDescent="0.3">
      <c r="I4508" s="7"/>
      <c r="J4508" s="9"/>
      <c r="K4508" s="9"/>
      <c r="L4508" s="9"/>
      <c r="M4508" s="9"/>
    </row>
    <row r="4509" spans="9:13" x14ac:dyDescent="0.3">
      <c r="I4509" s="7"/>
      <c r="J4509" s="9"/>
      <c r="K4509" s="9"/>
      <c r="L4509" s="9"/>
      <c r="M4509" s="9"/>
    </row>
    <row r="4510" spans="9:13" x14ac:dyDescent="0.3">
      <c r="I4510" s="7"/>
      <c r="J4510" s="9"/>
      <c r="K4510" s="9"/>
      <c r="L4510" s="9"/>
      <c r="M4510" s="9"/>
    </row>
    <row r="4511" spans="9:13" x14ac:dyDescent="0.3">
      <c r="I4511" s="7"/>
      <c r="J4511" s="9"/>
      <c r="K4511" s="9"/>
      <c r="L4511" s="9"/>
      <c r="M4511" s="9"/>
    </row>
    <row r="4512" spans="9:13" x14ac:dyDescent="0.3">
      <c r="I4512" s="7"/>
      <c r="J4512" s="9"/>
      <c r="K4512" s="9"/>
      <c r="L4512" s="9"/>
      <c r="M4512" s="9"/>
    </row>
    <row r="4513" spans="9:13" x14ac:dyDescent="0.3">
      <c r="I4513" s="7"/>
      <c r="J4513" s="9"/>
      <c r="K4513" s="9"/>
      <c r="L4513" s="9"/>
      <c r="M4513" s="9"/>
    </row>
    <row r="4514" spans="9:13" x14ac:dyDescent="0.3">
      <c r="I4514" s="7"/>
      <c r="J4514" s="9"/>
      <c r="K4514" s="9"/>
      <c r="L4514" s="9"/>
      <c r="M4514" s="9"/>
    </row>
    <row r="4515" spans="9:13" x14ac:dyDescent="0.3">
      <c r="I4515" s="7"/>
      <c r="J4515" s="9"/>
      <c r="K4515" s="9"/>
      <c r="L4515" s="9"/>
      <c r="M4515" s="9"/>
    </row>
    <row r="4516" spans="9:13" x14ac:dyDescent="0.3">
      <c r="I4516" s="7"/>
      <c r="J4516" s="9"/>
      <c r="K4516" s="9"/>
      <c r="L4516" s="9"/>
      <c r="M4516" s="9"/>
    </row>
    <row r="4517" spans="9:13" x14ac:dyDescent="0.3">
      <c r="I4517" s="7"/>
      <c r="J4517" s="9"/>
      <c r="K4517" s="9"/>
      <c r="L4517" s="9"/>
      <c r="M4517" s="9"/>
    </row>
    <row r="4518" spans="9:13" x14ac:dyDescent="0.3">
      <c r="I4518" s="7"/>
      <c r="J4518" s="9"/>
      <c r="K4518" s="9"/>
      <c r="L4518" s="9"/>
      <c r="M4518" s="9"/>
    </row>
    <row r="4519" spans="9:13" x14ac:dyDescent="0.3">
      <c r="I4519" s="7"/>
      <c r="J4519" s="9"/>
      <c r="K4519" s="9"/>
      <c r="L4519" s="9"/>
      <c r="M4519" s="9"/>
    </row>
    <row r="4520" spans="9:13" x14ac:dyDescent="0.3">
      <c r="I4520" s="7"/>
      <c r="J4520" s="9"/>
      <c r="K4520" s="9"/>
      <c r="L4520" s="9"/>
      <c r="M4520" s="9"/>
    </row>
    <row r="4521" spans="9:13" x14ac:dyDescent="0.3">
      <c r="I4521" s="7"/>
      <c r="J4521" s="9"/>
      <c r="K4521" s="9"/>
      <c r="L4521" s="9"/>
      <c r="M4521" s="9"/>
    </row>
    <row r="4522" spans="9:13" x14ac:dyDescent="0.3">
      <c r="I4522" s="7"/>
      <c r="J4522" s="9"/>
      <c r="K4522" s="9"/>
      <c r="L4522" s="9"/>
      <c r="M4522" s="9"/>
    </row>
    <row r="4523" spans="9:13" x14ac:dyDescent="0.3">
      <c r="I4523" s="7"/>
      <c r="J4523" s="9"/>
      <c r="K4523" s="9"/>
      <c r="L4523" s="9"/>
      <c r="M4523" s="9"/>
    </row>
    <row r="4524" spans="9:13" x14ac:dyDescent="0.3">
      <c r="I4524" s="7"/>
      <c r="J4524" s="9"/>
      <c r="K4524" s="9"/>
      <c r="L4524" s="9"/>
      <c r="M4524" s="9"/>
    </row>
    <row r="4525" spans="9:13" x14ac:dyDescent="0.3">
      <c r="I4525" s="7"/>
      <c r="J4525" s="9"/>
      <c r="K4525" s="9"/>
      <c r="L4525" s="9"/>
      <c r="M4525" s="9"/>
    </row>
    <row r="4526" spans="9:13" x14ac:dyDescent="0.3">
      <c r="I4526" s="7"/>
      <c r="J4526" s="9"/>
      <c r="K4526" s="9"/>
      <c r="L4526" s="9"/>
      <c r="M4526" s="9"/>
    </row>
    <row r="4527" spans="9:13" x14ac:dyDescent="0.3">
      <c r="I4527" s="7"/>
      <c r="J4527" s="9"/>
      <c r="K4527" s="9"/>
      <c r="L4527" s="9"/>
      <c r="M4527" s="9"/>
    </row>
    <row r="4528" spans="9:13" x14ac:dyDescent="0.3">
      <c r="I4528" s="7"/>
      <c r="J4528" s="9"/>
      <c r="K4528" s="9"/>
      <c r="L4528" s="9"/>
      <c r="M4528" s="9"/>
    </row>
    <row r="4529" spans="9:13" x14ac:dyDescent="0.3">
      <c r="I4529" s="7"/>
      <c r="J4529" s="9"/>
      <c r="K4529" s="9"/>
      <c r="L4529" s="9"/>
      <c r="M4529" s="9"/>
    </row>
    <row r="4530" spans="9:13" x14ac:dyDescent="0.3">
      <c r="I4530" s="7"/>
      <c r="J4530" s="9"/>
      <c r="K4530" s="9"/>
      <c r="L4530" s="9"/>
      <c r="M4530" s="9"/>
    </row>
    <row r="4531" spans="9:13" x14ac:dyDescent="0.3">
      <c r="I4531" s="7"/>
      <c r="J4531" s="9"/>
      <c r="K4531" s="9"/>
      <c r="L4531" s="9"/>
      <c r="M4531" s="9"/>
    </row>
    <row r="4532" spans="9:13" x14ac:dyDescent="0.3">
      <c r="I4532" s="7"/>
      <c r="J4532" s="9"/>
      <c r="K4532" s="9"/>
      <c r="L4532" s="9"/>
      <c r="M4532" s="9"/>
    </row>
    <row r="4533" spans="9:13" x14ac:dyDescent="0.3">
      <c r="I4533" s="7"/>
      <c r="J4533" s="9"/>
      <c r="K4533" s="9"/>
      <c r="L4533" s="9"/>
      <c r="M4533" s="9"/>
    </row>
    <row r="4534" spans="9:13" x14ac:dyDescent="0.3">
      <c r="I4534" s="7"/>
      <c r="J4534" s="9"/>
      <c r="K4534" s="9"/>
      <c r="L4534" s="9"/>
      <c r="M4534" s="9"/>
    </row>
    <row r="4535" spans="9:13" x14ac:dyDescent="0.3">
      <c r="I4535" s="7"/>
      <c r="J4535" s="9"/>
      <c r="K4535" s="9"/>
      <c r="L4535" s="9"/>
      <c r="M4535" s="9"/>
    </row>
    <row r="4536" spans="9:13" x14ac:dyDescent="0.3">
      <c r="I4536" s="7"/>
      <c r="J4536" s="9"/>
      <c r="K4536" s="9"/>
      <c r="L4536" s="9"/>
      <c r="M4536" s="9"/>
    </row>
    <row r="4537" spans="9:13" x14ac:dyDescent="0.3">
      <c r="I4537" s="7"/>
      <c r="J4537" s="9"/>
      <c r="K4537" s="9"/>
      <c r="L4537" s="9"/>
      <c r="M4537" s="9"/>
    </row>
    <row r="4538" spans="9:13" x14ac:dyDescent="0.3">
      <c r="I4538" s="7"/>
      <c r="J4538" s="9"/>
      <c r="K4538" s="9"/>
      <c r="L4538" s="9"/>
      <c r="M4538" s="9"/>
    </row>
    <row r="4539" spans="9:13" x14ac:dyDescent="0.3">
      <c r="I4539" s="7"/>
      <c r="J4539" s="9"/>
      <c r="K4539" s="9"/>
      <c r="L4539" s="9"/>
      <c r="M4539" s="9"/>
    </row>
    <row r="4540" spans="9:13" x14ac:dyDescent="0.3">
      <c r="I4540" s="7"/>
      <c r="J4540" s="9"/>
      <c r="K4540" s="9"/>
      <c r="L4540" s="9"/>
      <c r="M4540" s="9"/>
    </row>
    <row r="4541" spans="9:13" x14ac:dyDescent="0.3">
      <c r="I4541" s="7"/>
      <c r="J4541" s="9"/>
      <c r="K4541" s="9"/>
      <c r="L4541" s="9"/>
      <c r="M4541" s="9"/>
    </row>
    <row r="4542" spans="9:13" x14ac:dyDescent="0.3">
      <c r="I4542" s="7"/>
      <c r="J4542" s="9"/>
      <c r="K4542" s="9"/>
      <c r="L4542" s="9"/>
      <c r="M4542" s="9"/>
    </row>
    <row r="4543" spans="9:13" x14ac:dyDescent="0.3">
      <c r="I4543" s="7"/>
      <c r="J4543" s="9"/>
      <c r="K4543" s="9"/>
      <c r="L4543" s="9"/>
      <c r="M4543" s="9"/>
    </row>
    <row r="4544" spans="9:13" x14ac:dyDescent="0.3">
      <c r="I4544" s="7"/>
      <c r="J4544" s="9"/>
      <c r="K4544" s="9"/>
      <c r="L4544" s="9"/>
      <c r="M4544" s="9"/>
    </row>
    <row r="4545" spans="9:13" x14ac:dyDescent="0.3">
      <c r="I4545" s="7"/>
      <c r="J4545" s="9"/>
      <c r="K4545" s="9"/>
      <c r="L4545" s="9"/>
      <c r="M4545" s="9"/>
    </row>
    <row r="4546" spans="9:13" x14ac:dyDescent="0.3">
      <c r="I4546" s="7"/>
      <c r="J4546" s="9"/>
      <c r="K4546" s="9"/>
      <c r="L4546" s="9"/>
      <c r="M4546" s="9"/>
    </row>
    <row r="4547" spans="9:13" x14ac:dyDescent="0.3">
      <c r="I4547" s="7"/>
      <c r="J4547" s="9"/>
      <c r="K4547" s="9"/>
      <c r="L4547" s="9"/>
      <c r="M4547" s="9"/>
    </row>
    <row r="4548" spans="9:13" x14ac:dyDescent="0.3">
      <c r="I4548" s="7"/>
      <c r="J4548" s="9"/>
      <c r="K4548" s="9"/>
      <c r="L4548" s="9"/>
      <c r="M4548" s="9"/>
    </row>
    <row r="4549" spans="9:13" x14ac:dyDescent="0.3">
      <c r="I4549" s="7"/>
      <c r="J4549" s="9"/>
      <c r="K4549" s="9"/>
      <c r="L4549" s="9"/>
      <c r="M4549" s="9"/>
    </row>
    <row r="4550" spans="9:13" x14ac:dyDescent="0.3">
      <c r="I4550" s="7"/>
      <c r="J4550" s="9"/>
      <c r="K4550" s="9"/>
      <c r="L4550" s="9"/>
      <c r="M4550" s="9"/>
    </row>
    <row r="4551" spans="9:13" x14ac:dyDescent="0.3">
      <c r="I4551" s="7"/>
      <c r="J4551" s="9"/>
      <c r="K4551" s="9"/>
      <c r="L4551" s="9"/>
      <c r="M4551" s="9"/>
    </row>
    <row r="4552" spans="9:13" x14ac:dyDescent="0.3">
      <c r="I4552" s="7"/>
      <c r="J4552" s="9"/>
      <c r="K4552" s="9"/>
      <c r="L4552" s="9"/>
      <c r="M4552" s="9"/>
    </row>
    <row r="4553" spans="9:13" x14ac:dyDescent="0.3">
      <c r="I4553" s="7"/>
      <c r="J4553" s="9"/>
      <c r="K4553" s="9"/>
      <c r="L4553" s="9"/>
      <c r="M4553" s="9"/>
    </row>
    <row r="4554" spans="9:13" x14ac:dyDescent="0.3">
      <c r="I4554" s="7"/>
      <c r="J4554" s="9"/>
      <c r="K4554" s="9"/>
      <c r="L4554" s="9"/>
      <c r="M4554" s="9"/>
    </row>
    <row r="4555" spans="9:13" x14ac:dyDescent="0.3">
      <c r="I4555" s="7"/>
      <c r="J4555" s="9"/>
      <c r="K4555" s="9"/>
      <c r="L4555" s="9"/>
      <c r="M4555" s="9"/>
    </row>
    <row r="4556" spans="9:13" x14ac:dyDescent="0.3">
      <c r="I4556" s="7"/>
      <c r="J4556" s="9"/>
      <c r="K4556" s="9"/>
      <c r="L4556" s="9"/>
      <c r="M4556" s="9"/>
    </row>
    <row r="4557" spans="9:13" x14ac:dyDescent="0.3">
      <c r="I4557" s="7"/>
      <c r="J4557" s="9"/>
      <c r="K4557" s="9"/>
      <c r="L4557" s="9"/>
      <c r="M4557" s="9"/>
    </row>
    <row r="4558" spans="9:13" x14ac:dyDescent="0.3">
      <c r="I4558" s="7"/>
      <c r="J4558" s="9"/>
      <c r="K4558" s="9"/>
      <c r="L4558" s="9"/>
      <c r="M4558" s="9"/>
    </row>
    <row r="4559" spans="9:13" x14ac:dyDescent="0.3">
      <c r="I4559" s="7"/>
      <c r="J4559" s="9"/>
      <c r="K4559" s="9"/>
      <c r="L4559" s="9"/>
      <c r="M4559" s="9"/>
    </row>
    <row r="4560" spans="9:13" x14ac:dyDescent="0.3">
      <c r="I4560" s="7"/>
      <c r="J4560" s="9"/>
      <c r="K4560" s="9"/>
      <c r="L4560" s="9"/>
      <c r="M4560" s="9"/>
    </row>
    <row r="4561" spans="9:13" x14ac:dyDescent="0.3">
      <c r="I4561" s="7"/>
      <c r="J4561" s="9"/>
      <c r="K4561" s="9"/>
      <c r="L4561" s="9"/>
      <c r="M4561" s="9"/>
    </row>
    <row r="4562" spans="9:13" x14ac:dyDescent="0.3">
      <c r="I4562" s="7"/>
      <c r="J4562" s="9"/>
      <c r="K4562" s="9"/>
      <c r="L4562" s="9"/>
      <c r="M4562" s="9"/>
    </row>
    <row r="4563" spans="9:13" x14ac:dyDescent="0.3">
      <c r="I4563" s="7"/>
      <c r="J4563" s="9"/>
      <c r="K4563" s="9"/>
      <c r="L4563" s="9"/>
      <c r="M4563" s="9"/>
    </row>
    <row r="4564" spans="9:13" x14ac:dyDescent="0.3">
      <c r="I4564" s="7"/>
      <c r="J4564" s="9"/>
      <c r="K4564" s="9"/>
      <c r="L4564" s="9"/>
      <c r="M4564" s="9"/>
    </row>
    <row r="4565" spans="9:13" x14ac:dyDescent="0.3">
      <c r="I4565" s="7"/>
      <c r="J4565" s="9"/>
      <c r="K4565" s="9"/>
      <c r="L4565" s="9"/>
      <c r="M4565" s="9"/>
    </row>
    <row r="4566" spans="9:13" x14ac:dyDescent="0.3">
      <c r="I4566" s="7"/>
      <c r="J4566" s="9"/>
      <c r="K4566" s="9"/>
      <c r="L4566" s="9"/>
      <c r="M4566" s="9"/>
    </row>
    <row r="4567" spans="9:13" x14ac:dyDescent="0.3">
      <c r="I4567" s="7"/>
      <c r="J4567" s="9"/>
      <c r="K4567" s="9"/>
      <c r="L4567" s="9"/>
      <c r="M4567" s="9"/>
    </row>
    <row r="4568" spans="9:13" x14ac:dyDescent="0.3">
      <c r="I4568" s="7"/>
      <c r="J4568" s="9"/>
      <c r="K4568" s="9"/>
      <c r="L4568" s="9"/>
      <c r="M4568" s="9"/>
    </row>
    <row r="4569" spans="9:13" x14ac:dyDescent="0.3">
      <c r="I4569" s="7"/>
      <c r="J4569" s="9"/>
      <c r="K4569" s="9"/>
      <c r="L4569" s="9"/>
      <c r="M4569" s="9"/>
    </row>
    <row r="4570" spans="9:13" x14ac:dyDescent="0.3">
      <c r="I4570" s="7"/>
      <c r="J4570" s="9"/>
      <c r="K4570" s="9"/>
      <c r="L4570" s="9"/>
      <c r="M4570" s="9"/>
    </row>
    <row r="4571" spans="9:13" x14ac:dyDescent="0.3">
      <c r="I4571" s="7"/>
      <c r="J4571" s="9"/>
      <c r="K4571" s="9"/>
      <c r="L4571" s="9"/>
      <c r="M4571" s="9"/>
    </row>
    <row r="4572" spans="9:13" x14ac:dyDescent="0.3">
      <c r="I4572" s="7"/>
      <c r="J4572" s="9"/>
      <c r="K4572" s="9"/>
      <c r="L4572" s="9"/>
      <c r="M4572" s="9"/>
    </row>
    <row r="4573" spans="9:13" x14ac:dyDescent="0.3">
      <c r="I4573" s="7"/>
      <c r="J4573" s="9"/>
      <c r="K4573" s="9"/>
      <c r="L4573" s="9"/>
      <c r="M4573" s="9"/>
    </row>
    <row r="4574" spans="9:13" x14ac:dyDescent="0.3">
      <c r="I4574" s="7"/>
      <c r="J4574" s="9"/>
      <c r="K4574" s="9"/>
      <c r="L4574" s="9"/>
      <c r="M4574" s="9"/>
    </row>
    <row r="4575" spans="9:13" x14ac:dyDescent="0.3">
      <c r="I4575" s="7"/>
      <c r="J4575" s="9"/>
      <c r="K4575" s="9"/>
      <c r="L4575" s="9"/>
      <c r="M4575" s="9"/>
    </row>
    <row r="4576" spans="9:13" x14ac:dyDescent="0.3">
      <c r="I4576" s="7"/>
      <c r="J4576" s="9"/>
      <c r="K4576" s="9"/>
      <c r="L4576" s="9"/>
      <c r="M4576" s="9"/>
    </row>
    <row r="4577" spans="9:13" x14ac:dyDescent="0.3">
      <c r="I4577" s="7"/>
      <c r="J4577" s="9"/>
      <c r="K4577" s="9"/>
      <c r="L4577" s="9"/>
      <c r="M4577" s="9"/>
    </row>
    <row r="4578" spans="9:13" x14ac:dyDescent="0.3">
      <c r="I4578" s="7"/>
      <c r="J4578" s="9"/>
      <c r="K4578" s="9"/>
      <c r="L4578" s="9"/>
      <c r="M4578" s="9"/>
    </row>
    <row r="4579" spans="9:13" x14ac:dyDescent="0.3">
      <c r="I4579" s="7"/>
      <c r="J4579" s="9"/>
      <c r="K4579" s="9"/>
      <c r="L4579" s="9"/>
      <c r="M4579" s="9"/>
    </row>
    <row r="4580" spans="9:13" x14ac:dyDescent="0.3">
      <c r="I4580" s="7"/>
      <c r="J4580" s="9"/>
      <c r="K4580" s="9"/>
      <c r="L4580" s="9"/>
      <c r="M4580" s="9"/>
    </row>
    <row r="4581" spans="9:13" x14ac:dyDescent="0.3">
      <c r="I4581" s="7"/>
      <c r="J4581" s="9"/>
      <c r="K4581" s="9"/>
      <c r="L4581" s="9"/>
      <c r="M4581" s="9"/>
    </row>
    <row r="4582" spans="9:13" x14ac:dyDescent="0.3">
      <c r="I4582" s="7"/>
      <c r="J4582" s="9"/>
      <c r="K4582" s="9"/>
      <c r="L4582" s="9"/>
      <c r="M4582" s="9"/>
    </row>
    <row r="4583" spans="9:13" x14ac:dyDescent="0.3">
      <c r="I4583" s="7"/>
      <c r="J4583" s="9"/>
      <c r="K4583" s="9"/>
      <c r="L4583" s="9"/>
      <c r="M4583" s="9"/>
    </row>
    <row r="4584" spans="9:13" x14ac:dyDescent="0.3">
      <c r="I4584" s="7"/>
      <c r="J4584" s="9"/>
      <c r="K4584" s="9"/>
      <c r="L4584" s="9"/>
      <c r="M4584" s="9"/>
    </row>
    <row r="4585" spans="9:13" x14ac:dyDescent="0.3">
      <c r="I4585" s="7"/>
      <c r="J4585" s="9"/>
      <c r="K4585" s="9"/>
      <c r="L4585" s="9"/>
      <c r="M4585" s="9"/>
    </row>
    <row r="4586" spans="9:13" x14ac:dyDescent="0.3">
      <c r="I4586" s="7"/>
      <c r="J4586" s="9"/>
      <c r="K4586" s="9"/>
      <c r="L4586" s="9"/>
      <c r="M4586" s="9"/>
    </row>
    <row r="4587" spans="9:13" x14ac:dyDescent="0.3">
      <c r="I4587" s="7"/>
      <c r="J4587" s="9"/>
      <c r="K4587" s="9"/>
      <c r="L4587" s="9"/>
      <c r="M4587" s="9"/>
    </row>
    <row r="4588" spans="9:13" x14ac:dyDescent="0.3">
      <c r="I4588" s="7"/>
      <c r="J4588" s="9"/>
      <c r="K4588" s="9"/>
      <c r="L4588" s="9"/>
      <c r="M4588" s="9"/>
    </row>
    <row r="4589" spans="9:13" x14ac:dyDescent="0.3">
      <c r="I4589" s="7"/>
      <c r="J4589" s="9"/>
      <c r="K4589" s="9"/>
      <c r="L4589" s="9"/>
      <c r="M4589" s="9"/>
    </row>
    <row r="4590" spans="9:13" x14ac:dyDescent="0.3">
      <c r="I4590" s="7"/>
      <c r="J4590" s="9"/>
      <c r="K4590" s="9"/>
      <c r="L4590" s="9"/>
      <c r="M4590" s="9"/>
    </row>
    <row r="4591" spans="9:13" x14ac:dyDescent="0.3">
      <c r="I4591" s="7"/>
      <c r="J4591" s="9"/>
      <c r="K4591" s="9"/>
      <c r="L4591" s="9"/>
      <c r="M4591" s="9"/>
    </row>
    <row r="4592" spans="9:13" x14ac:dyDescent="0.3">
      <c r="I4592" s="7"/>
      <c r="J4592" s="9"/>
      <c r="K4592" s="9"/>
      <c r="L4592" s="9"/>
      <c r="M4592" s="9"/>
    </row>
    <row r="4593" spans="9:13" x14ac:dyDescent="0.3">
      <c r="I4593" s="7"/>
      <c r="J4593" s="9"/>
      <c r="K4593" s="9"/>
      <c r="L4593" s="9"/>
      <c r="M4593" s="9"/>
    </row>
    <row r="4594" spans="9:13" x14ac:dyDescent="0.3">
      <c r="I4594" s="7"/>
      <c r="J4594" s="9"/>
      <c r="K4594" s="9"/>
      <c r="L4594" s="9"/>
      <c r="M4594" s="9"/>
    </row>
    <row r="4595" spans="9:13" x14ac:dyDescent="0.3">
      <c r="I4595" s="7"/>
      <c r="J4595" s="9"/>
      <c r="K4595" s="9"/>
      <c r="L4595" s="9"/>
      <c r="M4595" s="9"/>
    </row>
    <row r="4596" spans="9:13" x14ac:dyDescent="0.3">
      <c r="I4596" s="7"/>
      <c r="J4596" s="9"/>
      <c r="K4596" s="9"/>
      <c r="L4596" s="9"/>
      <c r="M4596" s="9"/>
    </row>
    <row r="4597" spans="9:13" x14ac:dyDescent="0.3">
      <c r="I4597" s="7"/>
      <c r="J4597" s="9"/>
      <c r="K4597" s="9"/>
      <c r="L4597" s="9"/>
      <c r="M4597" s="9"/>
    </row>
    <row r="4598" spans="9:13" x14ac:dyDescent="0.3">
      <c r="I4598" s="7"/>
      <c r="J4598" s="9"/>
      <c r="K4598" s="9"/>
      <c r="L4598" s="9"/>
      <c r="M4598" s="9"/>
    </row>
    <row r="4599" spans="9:13" x14ac:dyDescent="0.3">
      <c r="I4599" s="7"/>
      <c r="J4599" s="9"/>
      <c r="K4599" s="9"/>
      <c r="L4599" s="9"/>
      <c r="M4599" s="9"/>
    </row>
    <row r="4600" spans="9:13" x14ac:dyDescent="0.3">
      <c r="I4600" s="7"/>
      <c r="J4600" s="9"/>
      <c r="K4600" s="9"/>
      <c r="L4600" s="9"/>
      <c r="M4600" s="9"/>
    </row>
    <row r="4601" spans="9:13" x14ac:dyDescent="0.3">
      <c r="I4601" s="7"/>
      <c r="J4601" s="9"/>
      <c r="K4601" s="9"/>
      <c r="L4601" s="9"/>
      <c r="M4601" s="9"/>
    </row>
    <row r="4602" spans="9:13" x14ac:dyDescent="0.3">
      <c r="I4602" s="7"/>
      <c r="J4602" s="9"/>
      <c r="K4602" s="9"/>
      <c r="L4602" s="9"/>
      <c r="M4602" s="9"/>
    </row>
    <row r="4603" spans="9:13" x14ac:dyDescent="0.3">
      <c r="I4603" s="7"/>
      <c r="J4603" s="9"/>
      <c r="K4603" s="9"/>
      <c r="L4603" s="9"/>
      <c r="M4603" s="9"/>
    </row>
    <row r="4604" spans="9:13" x14ac:dyDescent="0.3">
      <c r="I4604" s="7"/>
      <c r="J4604" s="9"/>
      <c r="K4604" s="9"/>
      <c r="L4604" s="9"/>
      <c r="M4604" s="9"/>
    </row>
    <row r="4605" spans="9:13" x14ac:dyDescent="0.3">
      <c r="I4605" s="7"/>
      <c r="J4605" s="9"/>
      <c r="K4605" s="9"/>
      <c r="L4605" s="9"/>
      <c r="M4605" s="9"/>
    </row>
    <row r="4606" spans="9:13" x14ac:dyDescent="0.3">
      <c r="I4606" s="7"/>
      <c r="J4606" s="9"/>
      <c r="K4606" s="9"/>
      <c r="L4606" s="9"/>
      <c r="M4606" s="9"/>
    </row>
    <row r="4607" spans="9:13" x14ac:dyDescent="0.3">
      <c r="I4607" s="7"/>
      <c r="J4607" s="9"/>
      <c r="K4607" s="9"/>
      <c r="L4607" s="9"/>
      <c r="M4607" s="9"/>
    </row>
    <row r="4608" spans="9:13" x14ac:dyDescent="0.3">
      <c r="I4608" s="7"/>
      <c r="J4608" s="9"/>
      <c r="K4608" s="9"/>
      <c r="L4608" s="9"/>
      <c r="M4608" s="9"/>
    </row>
    <row r="4609" spans="9:13" x14ac:dyDescent="0.3">
      <c r="I4609" s="7"/>
      <c r="J4609" s="9"/>
      <c r="K4609" s="9"/>
      <c r="L4609" s="9"/>
      <c r="M4609" s="9"/>
    </row>
    <row r="4610" spans="9:13" x14ac:dyDescent="0.3">
      <c r="I4610" s="7"/>
      <c r="J4610" s="9"/>
      <c r="K4610" s="9"/>
      <c r="L4610" s="9"/>
      <c r="M4610" s="9"/>
    </row>
    <row r="4611" spans="9:13" x14ac:dyDescent="0.3">
      <c r="I4611" s="7"/>
      <c r="J4611" s="9"/>
      <c r="K4611" s="9"/>
      <c r="L4611" s="9"/>
      <c r="M4611" s="9"/>
    </row>
    <row r="4612" spans="9:13" x14ac:dyDescent="0.3">
      <c r="I4612" s="7"/>
      <c r="J4612" s="9"/>
      <c r="K4612" s="9"/>
      <c r="L4612" s="9"/>
      <c r="M4612" s="9"/>
    </row>
    <row r="4613" spans="9:13" x14ac:dyDescent="0.3">
      <c r="I4613" s="7"/>
      <c r="J4613" s="9"/>
      <c r="K4613" s="9"/>
      <c r="L4613" s="9"/>
      <c r="M4613" s="9"/>
    </row>
    <row r="4614" spans="9:13" x14ac:dyDescent="0.3">
      <c r="I4614" s="7"/>
      <c r="J4614" s="9"/>
      <c r="K4614" s="9"/>
      <c r="L4614" s="9"/>
      <c r="M4614" s="9"/>
    </row>
    <row r="4615" spans="9:13" x14ac:dyDescent="0.3">
      <c r="I4615" s="7"/>
      <c r="J4615" s="9"/>
      <c r="K4615" s="9"/>
      <c r="L4615" s="9"/>
      <c r="M4615" s="9"/>
    </row>
    <row r="4616" spans="9:13" x14ac:dyDescent="0.3">
      <c r="I4616" s="7"/>
      <c r="J4616" s="9"/>
      <c r="K4616" s="9"/>
      <c r="L4616" s="9"/>
      <c r="M4616" s="9"/>
    </row>
    <row r="4617" spans="9:13" x14ac:dyDescent="0.3">
      <c r="I4617" s="7"/>
      <c r="J4617" s="9"/>
      <c r="K4617" s="9"/>
      <c r="L4617" s="9"/>
      <c r="M4617" s="9"/>
    </row>
    <row r="4618" spans="9:13" x14ac:dyDescent="0.3">
      <c r="I4618" s="7"/>
      <c r="J4618" s="9"/>
      <c r="K4618" s="9"/>
      <c r="L4618" s="9"/>
      <c r="M4618" s="9"/>
    </row>
    <row r="4619" spans="9:13" x14ac:dyDescent="0.3">
      <c r="I4619" s="7"/>
      <c r="J4619" s="9"/>
      <c r="K4619" s="9"/>
      <c r="L4619" s="9"/>
      <c r="M4619" s="9"/>
    </row>
    <row r="4620" spans="9:13" x14ac:dyDescent="0.3">
      <c r="I4620" s="7"/>
      <c r="J4620" s="9"/>
      <c r="K4620" s="9"/>
      <c r="L4620" s="9"/>
      <c r="M4620" s="9"/>
    </row>
    <row r="4621" spans="9:13" x14ac:dyDescent="0.3">
      <c r="I4621" s="7"/>
      <c r="J4621" s="9"/>
      <c r="K4621" s="9"/>
      <c r="L4621" s="9"/>
      <c r="M4621" s="9"/>
    </row>
    <row r="4622" spans="9:13" x14ac:dyDescent="0.3">
      <c r="I4622" s="7"/>
      <c r="J4622" s="9"/>
      <c r="K4622" s="9"/>
      <c r="L4622" s="9"/>
      <c r="M4622" s="9"/>
    </row>
    <row r="4623" spans="9:13" x14ac:dyDescent="0.3">
      <c r="I4623" s="7"/>
      <c r="J4623" s="9"/>
      <c r="K4623" s="9"/>
      <c r="L4623" s="9"/>
      <c r="M4623" s="9"/>
    </row>
    <row r="4624" spans="9:13" x14ac:dyDescent="0.3">
      <c r="I4624" s="7"/>
      <c r="J4624" s="9"/>
      <c r="K4624" s="9"/>
      <c r="L4624" s="9"/>
      <c r="M4624" s="9"/>
    </row>
    <row r="4625" spans="9:13" x14ac:dyDescent="0.3">
      <c r="I4625" s="7"/>
      <c r="J4625" s="9"/>
      <c r="K4625" s="9"/>
      <c r="L4625" s="9"/>
      <c r="M4625" s="9"/>
    </row>
    <row r="4626" spans="9:13" x14ac:dyDescent="0.3">
      <c r="I4626" s="7"/>
      <c r="J4626" s="9"/>
      <c r="K4626" s="9"/>
      <c r="L4626" s="9"/>
      <c r="M4626" s="9"/>
    </row>
    <row r="4627" spans="9:13" x14ac:dyDescent="0.3">
      <c r="I4627" s="7"/>
      <c r="J4627" s="9"/>
      <c r="K4627" s="9"/>
      <c r="L4627" s="9"/>
      <c r="M4627" s="9"/>
    </row>
    <row r="4628" spans="9:13" x14ac:dyDescent="0.3">
      <c r="I4628" s="7"/>
      <c r="J4628" s="9"/>
      <c r="K4628" s="9"/>
      <c r="L4628" s="9"/>
      <c r="M4628" s="9"/>
    </row>
    <row r="4629" spans="9:13" x14ac:dyDescent="0.3">
      <c r="I4629" s="7"/>
      <c r="J4629" s="9"/>
      <c r="K4629" s="9"/>
      <c r="L4629" s="9"/>
      <c r="M4629" s="9"/>
    </row>
    <row r="4630" spans="9:13" x14ac:dyDescent="0.3">
      <c r="I4630" s="7"/>
      <c r="J4630" s="9"/>
      <c r="K4630" s="9"/>
      <c r="L4630" s="9"/>
      <c r="M4630" s="9"/>
    </row>
    <row r="4631" spans="9:13" x14ac:dyDescent="0.3">
      <c r="I4631" s="7"/>
      <c r="J4631" s="9"/>
      <c r="K4631" s="9"/>
      <c r="L4631" s="9"/>
      <c r="M4631" s="9"/>
    </row>
    <row r="4632" spans="9:13" x14ac:dyDescent="0.3">
      <c r="I4632" s="7"/>
      <c r="J4632" s="9"/>
      <c r="K4632" s="9"/>
      <c r="L4632" s="9"/>
      <c r="M4632" s="9"/>
    </row>
    <row r="4633" spans="9:13" x14ac:dyDescent="0.3">
      <c r="I4633" s="7"/>
      <c r="J4633" s="9"/>
      <c r="K4633" s="9"/>
      <c r="L4633" s="9"/>
      <c r="M4633" s="9"/>
    </row>
    <row r="4634" spans="9:13" x14ac:dyDescent="0.3">
      <c r="I4634" s="7"/>
      <c r="J4634" s="9"/>
      <c r="K4634" s="9"/>
      <c r="L4634" s="9"/>
      <c r="M4634" s="9"/>
    </row>
    <row r="4635" spans="9:13" x14ac:dyDescent="0.3">
      <c r="I4635" s="7"/>
      <c r="J4635" s="9"/>
      <c r="K4635" s="9"/>
      <c r="L4635" s="9"/>
      <c r="M4635" s="9"/>
    </row>
    <row r="4636" spans="9:13" x14ac:dyDescent="0.3">
      <c r="I4636" s="7"/>
      <c r="J4636" s="9"/>
      <c r="K4636" s="9"/>
      <c r="L4636" s="9"/>
      <c r="M4636" s="9"/>
    </row>
    <row r="4637" spans="9:13" x14ac:dyDescent="0.3">
      <c r="I4637" s="7"/>
      <c r="J4637" s="9"/>
      <c r="K4637" s="9"/>
      <c r="L4637" s="9"/>
      <c r="M4637" s="9"/>
    </row>
    <row r="4638" spans="9:13" x14ac:dyDescent="0.3">
      <c r="I4638" s="7"/>
      <c r="J4638" s="9"/>
      <c r="K4638" s="9"/>
      <c r="L4638" s="9"/>
      <c r="M4638" s="9"/>
    </row>
    <row r="4639" spans="9:13" x14ac:dyDescent="0.3">
      <c r="I4639" s="7"/>
      <c r="J4639" s="9"/>
      <c r="K4639" s="9"/>
      <c r="L4639" s="9"/>
      <c r="M4639" s="9"/>
    </row>
    <row r="4640" spans="9:13" x14ac:dyDescent="0.3">
      <c r="I4640" s="7"/>
      <c r="J4640" s="9"/>
      <c r="K4640" s="9"/>
      <c r="L4640" s="9"/>
      <c r="M4640" s="9"/>
    </row>
    <row r="4641" spans="9:13" x14ac:dyDescent="0.3">
      <c r="I4641" s="7"/>
      <c r="J4641" s="9"/>
      <c r="K4641" s="9"/>
      <c r="L4641" s="9"/>
      <c r="M4641" s="9"/>
    </row>
    <row r="4642" spans="9:13" x14ac:dyDescent="0.3">
      <c r="I4642" s="7"/>
      <c r="J4642" s="9"/>
      <c r="K4642" s="9"/>
      <c r="L4642" s="9"/>
      <c r="M4642" s="9"/>
    </row>
    <row r="4643" spans="9:13" x14ac:dyDescent="0.3">
      <c r="I4643" s="7"/>
      <c r="J4643" s="9"/>
      <c r="K4643" s="9"/>
      <c r="L4643" s="9"/>
      <c r="M4643" s="9"/>
    </row>
    <row r="4644" spans="9:13" x14ac:dyDescent="0.3">
      <c r="I4644" s="7"/>
      <c r="J4644" s="9"/>
      <c r="K4644" s="9"/>
      <c r="L4644" s="9"/>
      <c r="M4644" s="9"/>
    </row>
    <row r="4645" spans="9:13" x14ac:dyDescent="0.3">
      <c r="I4645" s="7"/>
      <c r="J4645" s="9"/>
      <c r="K4645" s="9"/>
      <c r="L4645" s="9"/>
      <c r="M4645" s="9"/>
    </row>
    <row r="4646" spans="9:13" x14ac:dyDescent="0.3">
      <c r="I4646" s="7"/>
      <c r="J4646" s="9"/>
      <c r="K4646" s="9"/>
      <c r="L4646" s="9"/>
      <c r="M4646" s="9"/>
    </row>
    <row r="4647" spans="9:13" x14ac:dyDescent="0.3">
      <c r="I4647" s="7"/>
      <c r="J4647" s="9"/>
      <c r="K4647" s="9"/>
      <c r="L4647" s="9"/>
      <c r="M4647" s="9"/>
    </row>
    <row r="4648" spans="9:13" x14ac:dyDescent="0.3">
      <c r="I4648" s="7"/>
      <c r="J4648" s="9"/>
      <c r="K4648" s="9"/>
      <c r="L4648" s="9"/>
      <c r="M4648" s="9"/>
    </row>
    <row r="4649" spans="9:13" x14ac:dyDescent="0.3">
      <c r="I4649" s="7"/>
      <c r="J4649" s="9"/>
      <c r="K4649" s="9"/>
      <c r="L4649" s="9"/>
      <c r="M4649" s="9"/>
    </row>
    <row r="4650" spans="9:13" x14ac:dyDescent="0.3">
      <c r="I4650" s="7"/>
      <c r="J4650" s="9"/>
      <c r="K4650" s="9"/>
      <c r="L4650" s="9"/>
      <c r="M4650" s="9"/>
    </row>
    <row r="4651" spans="9:13" x14ac:dyDescent="0.3">
      <c r="I4651" s="7"/>
      <c r="J4651" s="9"/>
      <c r="K4651" s="9"/>
      <c r="L4651" s="9"/>
      <c r="M4651" s="9"/>
    </row>
    <row r="4652" spans="9:13" x14ac:dyDescent="0.3">
      <c r="I4652" s="7"/>
      <c r="J4652" s="9"/>
      <c r="K4652" s="9"/>
      <c r="L4652" s="9"/>
      <c r="M4652" s="9"/>
    </row>
    <row r="4653" spans="9:13" x14ac:dyDescent="0.3">
      <c r="I4653" s="7"/>
      <c r="J4653" s="9"/>
      <c r="K4653" s="9"/>
      <c r="L4653" s="9"/>
      <c r="M4653" s="9"/>
    </row>
    <row r="4654" spans="9:13" x14ac:dyDescent="0.3">
      <c r="I4654" s="7"/>
      <c r="J4654" s="9"/>
      <c r="K4654" s="9"/>
      <c r="L4654" s="9"/>
      <c r="M4654" s="9"/>
    </row>
    <row r="4655" spans="9:13" x14ac:dyDescent="0.3">
      <c r="I4655" s="7"/>
      <c r="J4655" s="9"/>
      <c r="K4655" s="9"/>
      <c r="L4655" s="9"/>
      <c r="M4655" s="9"/>
    </row>
    <row r="4656" spans="9:13" x14ac:dyDescent="0.3">
      <c r="I4656" s="7"/>
      <c r="J4656" s="9"/>
      <c r="K4656" s="9"/>
      <c r="L4656" s="9"/>
      <c r="M4656" s="9"/>
    </row>
    <row r="4657" spans="9:13" x14ac:dyDescent="0.3">
      <c r="I4657" s="7"/>
      <c r="J4657" s="9"/>
      <c r="K4657" s="9"/>
      <c r="L4657" s="9"/>
      <c r="M4657" s="9"/>
    </row>
    <row r="4658" spans="9:13" x14ac:dyDescent="0.3">
      <c r="I4658" s="7"/>
      <c r="J4658" s="9"/>
      <c r="K4658" s="9"/>
      <c r="L4658" s="9"/>
      <c r="M4658" s="9"/>
    </row>
    <row r="4659" spans="9:13" x14ac:dyDescent="0.3">
      <c r="I4659" s="7"/>
      <c r="J4659" s="9"/>
      <c r="K4659" s="9"/>
      <c r="L4659" s="9"/>
      <c r="M4659" s="9"/>
    </row>
    <row r="4660" spans="9:13" x14ac:dyDescent="0.3">
      <c r="I4660" s="7"/>
      <c r="J4660" s="9"/>
      <c r="K4660" s="9"/>
      <c r="L4660" s="9"/>
      <c r="M4660" s="9"/>
    </row>
    <row r="4661" spans="9:13" x14ac:dyDescent="0.3">
      <c r="I4661" s="7"/>
      <c r="J4661" s="9"/>
      <c r="K4661" s="9"/>
      <c r="L4661" s="9"/>
      <c r="M4661" s="9"/>
    </row>
    <row r="4662" spans="9:13" x14ac:dyDescent="0.3">
      <c r="I4662" s="7"/>
      <c r="J4662" s="9"/>
      <c r="K4662" s="9"/>
      <c r="L4662" s="9"/>
      <c r="M4662" s="9"/>
    </row>
    <row r="4663" spans="9:13" x14ac:dyDescent="0.3">
      <c r="I4663" s="7"/>
      <c r="J4663" s="9"/>
      <c r="K4663" s="9"/>
      <c r="L4663" s="9"/>
      <c r="M4663" s="9"/>
    </row>
    <row r="4664" spans="9:13" x14ac:dyDescent="0.3">
      <c r="I4664" s="7"/>
      <c r="J4664" s="9"/>
      <c r="K4664" s="9"/>
      <c r="L4664" s="9"/>
      <c r="M4664" s="9"/>
    </row>
    <row r="4665" spans="9:13" x14ac:dyDescent="0.3">
      <c r="I4665" s="7"/>
      <c r="J4665" s="9"/>
      <c r="K4665" s="9"/>
      <c r="L4665" s="9"/>
      <c r="M4665" s="9"/>
    </row>
    <row r="4666" spans="9:13" x14ac:dyDescent="0.3">
      <c r="I4666" s="7"/>
      <c r="J4666" s="9"/>
      <c r="K4666" s="9"/>
      <c r="L4666" s="9"/>
      <c r="M4666" s="9"/>
    </row>
    <row r="4667" spans="9:13" x14ac:dyDescent="0.3">
      <c r="I4667" s="7"/>
      <c r="J4667" s="9"/>
      <c r="K4667" s="9"/>
      <c r="L4667" s="9"/>
      <c r="M4667" s="9"/>
    </row>
    <row r="4668" spans="9:13" x14ac:dyDescent="0.3">
      <c r="I4668" s="7"/>
      <c r="J4668" s="9"/>
      <c r="K4668" s="9"/>
      <c r="L4668" s="9"/>
      <c r="M4668" s="9"/>
    </row>
    <row r="4669" spans="9:13" x14ac:dyDescent="0.3">
      <c r="I4669" s="7"/>
      <c r="J4669" s="9"/>
      <c r="K4669" s="9"/>
      <c r="L4669" s="9"/>
      <c r="M4669" s="9"/>
    </row>
    <row r="4670" spans="9:13" x14ac:dyDescent="0.3">
      <c r="I4670" s="7"/>
      <c r="J4670" s="9"/>
      <c r="K4670" s="9"/>
      <c r="L4670" s="9"/>
      <c r="M4670" s="9"/>
    </row>
    <row r="4671" spans="9:13" x14ac:dyDescent="0.3">
      <c r="I4671" s="7"/>
      <c r="J4671" s="9"/>
      <c r="K4671" s="9"/>
      <c r="L4671" s="9"/>
      <c r="M4671" s="9"/>
    </row>
    <row r="4672" spans="9:13" x14ac:dyDescent="0.3">
      <c r="I4672" s="7"/>
      <c r="J4672" s="9"/>
      <c r="K4672" s="9"/>
      <c r="L4672" s="9"/>
      <c r="M4672" s="9"/>
    </row>
    <row r="4673" spans="9:13" x14ac:dyDescent="0.3">
      <c r="I4673" s="7"/>
      <c r="J4673" s="9"/>
      <c r="K4673" s="9"/>
      <c r="L4673" s="9"/>
      <c r="M4673" s="9"/>
    </row>
    <row r="4674" spans="9:13" x14ac:dyDescent="0.3">
      <c r="I4674" s="7"/>
      <c r="J4674" s="9"/>
      <c r="K4674" s="9"/>
      <c r="L4674" s="9"/>
      <c r="M4674" s="9"/>
    </row>
    <row r="4675" spans="9:13" x14ac:dyDescent="0.3">
      <c r="I4675" s="7"/>
      <c r="J4675" s="9"/>
      <c r="K4675" s="9"/>
      <c r="L4675" s="9"/>
      <c r="M4675" s="9"/>
    </row>
    <row r="4676" spans="9:13" x14ac:dyDescent="0.3">
      <c r="I4676" s="7"/>
      <c r="J4676" s="9"/>
      <c r="K4676" s="9"/>
      <c r="L4676" s="9"/>
      <c r="M4676" s="9"/>
    </row>
    <row r="4677" spans="9:13" x14ac:dyDescent="0.3">
      <c r="I4677" s="7"/>
      <c r="J4677" s="9"/>
      <c r="K4677" s="9"/>
      <c r="L4677" s="9"/>
      <c r="M4677" s="9"/>
    </row>
    <row r="4678" spans="9:13" x14ac:dyDescent="0.3">
      <c r="I4678" s="7"/>
      <c r="J4678" s="9"/>
      <c r="K4678" s="9"/>
      <c r="L4678" s="9"/>
      <c r="M4678" s="9"/>
    </row>
    <row r="4679" spans="9:13" x14ac:dyDescent="0.3">
      <c r="I4679" s="7"/>
      <c r="J4679" s="9"/>
      <c r="K4679" s="9"/>
      <c r="L4679" s="9"/>
      <c r="M4679" s="9"/>
    </row>
    <row r="4680" spans="9:13" x14ac:dyDescent="0.3">
      <c r="I4680" s="7"/>
      <c r="J4680" s="9"/>
      <c r="K4680" s="9"/>
      <c r="L4680" s="9"/>
      <c r="M4680" s="9"/>
    </row>
    <row r="4681" spans="9:13" x14ac:dyDescent="0.3">
      <c r="I4681" s="7"/>
      <c r="J4681" s="9"/>
      <c r="K4681" s="9"/>
      <c r="L4681" s="9"/>
      <c r="M4681" s="9"/>
    </row>
    <row r="4682" spans="9:13" x14ac:dyDescent="0.3">
      <c r="I4682" s="7"/>
      <c r="J4682" s="9"/>
      <c r="K4682" s="9"/>
      <c r="L4682" s="9"/>
      <c r="M4682" s="9"/>
    </row>
    <row r="4683" spans="9:13" x14ac:dyDescent="0.3">
      <c r="I4683" s="7"/>
      <c r="J4683" s="9"/>
      <c r="K4683" s="9"/>
      <c r="L4683" s="9"/>
      <c r="M4683" s="9"/>
    </row>
    <row r="4684" spans="9:13" x14ac:dyDescent="0.3">
      <c r="I4684" s="7"/>
      <c r="J4684" s="9"/>
      <c r="K4684" s="9"/>
      <c r="L4684" s="9"/>
      <c r="M4684" s="9"/>
    </row>
    <row r="4685" spans="9:13" x14ac:dyDescent="0.3">
      <c r="I4685" s="7"/>
      <c r="J4685" s="9"/>
      <c r="K4685" s="9"/>
      <c r="L4685" s="9"/>
      <c r="M4685" s="9"/>
    </row>
    <row r="4686" spans="9:13" x14ac:dyDescent="0.3">
      <c r="I4686" s="7"/>
      <c r="J4686" s="9"/>
      <c r="K4686" s="9"/>
      <c r="L4686" s="9"/>
      <c r="M4686" s="9"/>
    </row>
    <row r="4687" spans="9:13" x14ac:dyDescent="0.3">
      <c r="I4687" s="7"/>
      <c r="J4687" s="9"/>
      <c r="K4687" s="9"/>
      <c r="L4687" s="9"/>
      <c r="M4687" s="9"/>
    </row>
    <row r="4688" spans="9:13" x14ac:dyDescent="0.3">
      <c r="I4688" s="7"/>
      <c r="J4688" s="9"/>
      <c r="K4688" s="9"/>
      <c r="L4688" s="9"/>
      <c r="M4688" s="9"/>
    </row>
    <row r="4689" spans="9:13" x14ac:dyDescent="0.3">
      <c r="I4689" s="7"/>
      <c r="J4689" s="9"/>
      <c r="K4689" s="9"/>
      <c r="L4689" s="9"/>
      <c r="M4689" s="9"/>
    </row>
    <row r="4690" spans="9:13" x14ac:dyDescent="0.3">
      <c r="I4690" s="7"/>
      <c r="J4690" s="9"/>
      <c r="K4690" s="9"/>
      <c r="L4690" s="9"/>
      <c r="M4690" s="9"/>
    </row>
    <row r="4691" spans="9:13" x14ac:dyDescent="0.3">
      <c r="I4691" s="7"/>
      <c r="J4691" s="9"/>
      <c r="K4691" s="9"/>
      <c r="L4691" s="9"/>
      <c r="M4691" s="9"/>
    </row>
    <row r="4692" spans="9:13" x14ac:dyDescent="0.3">
      <c r="I4692" s="7"/>
      <c r="J4692" s="9"/>
      <c r="K4692" s="9"/>
      <c r="L4692" s="9"/>
      <c r="M4692" s="9"/>
    </row>
    <row r="4693" spans="9:13" x14ac:dyDescent="0.3">
      <c r="I4693" s="7"/>
      <c r="J4693" s="9"/>
      <c r="K4693" s="9"/>
      <c r="L4693" s="9"/>
      <c r="M4693" s="9"/>
    </row>
    <row r="4694" spans="9:13" x14ac:dyDescent="0.3">
      <c r="I4694" s="7"/>
      <c r="J4694" s="9"/>
      <c r="K4694" s="9"/>
      <c r="L4694" s="9"/>
      <c r="M4694" s="9"/>
    </row>
    <row r="4695" spans="9:13" x14ac:dyDescent="0.3">
      <c r="I4695" s="7"/>
      <c r="J4695" s="9"/>
      <c r="K4695" s="9"/>
      <c r="L4695" s="9"/>
      <c r="M4695" s="9"/>
    </row>
    <row r="4696" spans="9:13" x14ac:dyDescent="0.3">
      <c r="I4696" s="7"/>
      <c r="J4696" s="9"/>
      <c r="K4696" s="9"/>
      <c r="L4696" s="9"/>
      <c r="M4696" s="9"/>
    </row>
    <row r="4697" spans="9:13" x14ac:dyDescent="0.3">
      <c r="I4697" s="7"/>
      <c r="J4697" s="9"/>
      <c r="K4697" s="9"/>
      <c r="L4697" s="9"/>
      <c r="M4697" s="9"/>
    </row>
    <row r="4698" spans="9:13" x14ac:dyDescent="0.3">
      <c r="I4698" s="7"/>
      <c r="J4698" s="9"/>
      <c r="K4698" s="9"/>
      <c r="L4698" s="9"/>
      <c r="M4698" s="9"/>
    </row>
    <row r="4699" spans="9:13" x14ac:dyDescent="0.3">
      <c r="I4699" s="7"/>
      <c r="J4699" s="9"/>
      <c r="K4699" s="9"/>
      <c r="L4699" s="9"/>
      <c r="M4699" s="9"/>
    </row>
    <row r="4700" spans="9:13" x14ac:dyDescent="0.3">
      <c r="I4700" s="7"/>
      <c r="J4700" s="9"/>
      <c r="K4700" s="9"/>
      <c r="L4700" s="9"/>
      <c r="M4700" s="9"/>
    </row>
    <row r="4701" spans="9:13" x14ac:dyDescent="0.3">
      <c r="I4701" s="7"/>
      <c r="J4701" s="9"/>
      <c r="K4701" s="9"/>
      <c r="L4701" s="9"/>
      <c r="M4701" s="9"/>
    </row>
    <row r="4702" spans="9:13" x14ac:dyDescent="0.3">
      <c r="I4702" s="7"/>
      <c r="J4702" s="9"/>
      <c r="K4702" s="9"/>
      <c r="L4702" s="9"/>
      <c r="M4702" s="9"/>
    </row>
    <row r="4703" spans="9:13" x14ac:dyDescent="0.3">
      <c r="I4703" s="7"/>
      <c r="J4703" s="9"/>
      <c r="K4703" s="9"/>
      <c r="L4703" s="9"/>
      <c r="M4703" s="9"/>
    </row>
    <row r="4704" spans="9:13" x14ac:dyDescent="0.3">
      <c r="I4704" s="7"/>
      <c r="J4704" s="9"/>
      <c r="K4704" s="9"/>
      <c r="L4704" s="9"/>
      <c r="M4704" s="9"/>
    </row>
  </sheetData>
  <mergeCells count="4">
    <mergeCell ref="J1:K1"/>
    <mergeCell ref="L1:M1"/>
    <mergeCell ref="O1:P1"/>
    <mergeCell ref="Q1:R1"/>
  </mergeCells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06BFE-95D8-4395-9A75-D3CDA4CCA6D9}">
  <sheetPr codeName="Hoja3"/>
  <dimension ref="A1:L168"/>
  <sheetViews>
    <sheetView topLeftCell="A141" workbookViewId="0">
      <selection activeCell="C2" sqref="C2:C168"/>
    </sheetView>
  </sheetViews>
  <sheetFormatPr baseColWidth="10" defaultRowHeight="14.4" x14ac:dyDescent="0.3"/>
  <cols>
    <col min="3" max="3" width="16.21875" bestFit="1" customWidth="1"/>
    <col min="6" max="6" width="16.6640625" bestFit="1" customWidth="1"/>
  </cols>
  <sheetData>
    <row r="1" spans="1:12" x14ac:dyDescent="0.3">
      <c r="A1" s="1" t="s">
        <v>304</v>
      </c>
      <c r="B1" s="1" t="s">
        <v>305</v>
      </c>
      <c r="C1" s="85" t="s">
        <v>280</v>
      </c>
      <c r="D1" s="79" t="s">
        <v>281</v>
      </c>
      <c r="E1" s="79" t="s">
        <v>282</v>
      </c>
      <c r="F1" s="85" t="s">
        <v>283</v>
      </c>
      <c r="G1" s="79" t="s">
        <v>284</v>
      </c>
      <c r="H1" s="79" t="s">
        <v>280</v>
      </c>
      <c r="I1" s="85" t="s">
        <v>281</v>
      </c>
      <c r="J1" s="85" t="s">
        <v>282</v>
      </c>
      <c r="K1" s="79" t="s">
        <v>283</v>
      </c>
      <c r="L1" s="85" t="s">
        <v>284</v>
      </c>
    </row>
    <row r="2" spans="1:12" x14ac:dyDescent="0.3">
      <c r="C2">
        <v>243.20765326974151</v>
      </c>
      <c r="D2">
        <v>234.97487660949989</v>
      </c>
      <c r="E2">
        <v>250.24436546113569</v>
      </c>
      <c r="F2">
        <v>247.28</v>
      </c>
      <c r="G2">
        <v>244.17845000000011</v>
      </c>
      <c r="H2">
        <v>243.20765326974151</v>
      </c>
      <c r="I2">
        <v>255.13353449914109</v>
      </c>
      <c r="J2">
        <v>241.57391961259989</v>
      </c>
      <c r="K2">
        <v>247.31</v>
      </c>
      <c r="L2">
        <v>247.28</v>
      </c>
    </row>
    <row r="3" spans="1:12" x14ac:dyDescent="0.3">
      <c r="C3">
        <v>232.7791777282807</v>
      </c>
      <c r="D3">
        <v>144.37466451233189</v>
      </c>
      <c r="E3">
        <v>247.38842231560761</v>
      </c>
      <c r="F3">
        <v>229.15</v>
      </c>
      <c r="G3">
        <v>228.80794999999989</v>
      </c>
      <c r="H3">
        <v>232.7791777282807</v>
      </c>
      <c r="I3">
        <v>201.03795640095399</v>
      </c>
      <c r="J3">
        <v>236.17930765466571</v>
      </c>
      <c r="K3">
        <v>229.15</v>
      </c>
      <c r="L3">
        <v>229.15</v>
      </c>
    </row>
    <row r="4" spans="1:12" x14ac:dyDescent="0.3">
      <c r="C4">
        <v>227.62562923509481</v>
      </c>
      <c r="D4">
        <v>87.805244651492103</v>
      </c>
      <c r="E4">
        <v>246.25674616322451</v>
      </c>
      <c r="F4">
        <v>224.6</v>
      </c>
      <c r="G4">
        <v>227.08920000000001</v>
      </c>
      <c r="H4">
        <v>227.62562923509481</v>
      </c>
      <c r="I4">
        <v>196.5546084439049</v>
      </c>
      <c r="J4">
        <v>232.75017380301639</v>
      </c>
      <c r="K4">
        <v>225.45500000000001</v>
      </c>
      <c r="L4">
        <v>225.45500000000001</v>
      </c>
    </row>
    <row r="5" spans="1:12" x14ac:dyDescent="0.3">
      <c r="C5">
        <v>223.69674884955671</v>
      </c>
      <c r="D5">
        <v>55.118484702761627</v>
      </c>
      <c r="E5">
        <v>245.21659641787309</v>
      </c>
      <c r="F5">
        <v>225.66</v>
      </c>
      <c r="G5">
        <v>228.25725000000011</v>
      </c>
      <c r="H5">
        <v>223.69674884955671</v>
      </c>
      <c r="I5">
        <v>191.61367038584859</v>
      </c>
      <c r="J5">
        <v>230.56422083798151</v>
      </c>
      <c r="K5">
        <v>234.02500000000001</v>
      </c>
      <c r="L5">
        <v>225.66</v>
      </c>
    </row>
    <row r="6" spans="1:12" x14ac:dyDescent="0.3">
      <c r="C6">
        <v>227.04760857430529</v>
      </c>
      <c r="D6">
        <v>91.283119407351478</v>
      </c>
      <c r="E6">
        <v>245.42808969711609</v>
      </c>
      <c r="F6">
        <v>224.6</v>
      </c>
      <c r="G6">
        <v>227.15074999999999</v>
      </c>
      <c r="H6">
        <v>227.04760857430529</v>
      </c>
      <c r="I6">
        <v>216.49120444335091</v>
      </c>
      <c r="J6">
        <v>229.87673796421581</v>
      </c>
      <c r="K6">
        <v>225.45500000000001</v>
      </c>
      <c r="L6">
        <v>225.45500000000001</v>
      </c>
    </row>
    <row r="7" spans="1:12" x14ac:dyDescent="0.3">
      <c r="C7">
        <v>227.9962337550981</v>
      </c>
      <c r="D7">
        <v>115.1272051007109</v>
      </c>
      <c r="E7">
        <v>245.27455233914449</v>
      </c>
      <c r="F7">
        <v>224.6</v>
      </c>
      <c r="G7">
        <v>227.60404999999989</v>
      </c>
      <c r="H7">
        <v>227.9962337550981</v>
      </c>
      <c r="I7">
        <v>223.27161411286201</v>
      </c>
      <c r="J7">
        <v>229.79958433500539</v>
      </c>
      <c r="K7">
        <v>224.6</v>
      </c>
      <c r="L7">
        <v>224.6</v>
      </c>
    </row>
    <row r="8" spans="1:12" x14ac:dyDescent="0.3">
      <c r="C8">
        <v>231.82924937615181</v>
      </c>
      <c r="D8">
        <v>154.18091603821091</v>
      </c>
      <c r="E8">
        <v>245.90187404498471</v>
      </c>
      <c r="F8">
        <v>229.89500000000001</v>
      </c>
      <c r="G8">
        <v>229.1468999999999</v>
      </c>
      <c r="H8">
        <v>231.82924937615181</v>
      </c>
      <c r="I8">
        <v>238.8494483523948</v>
      </c>
      <c r="J8">
        <v>231.75080569084031</v>
      </c>
      <c r="K8">
        <v>228.9</v>
      </c>
      <c r="L8">
        <v>229.89500000000001</v>
      </c>
    </row>
    <row r="9" spans="1:12" x14ac:dyDescent="0.3">
      <c r="C9">
        <v>235.66255644454529</v>
      </c>
      <c r="D9">
        <v>159.45479604309369</v>
      </c>
      <c r="E9">
        <v>246.28290303252211</v>
      </c>
      <c r="F9">
        <v>237.47499999999999</v>
      </c>
      <c r="G9">
        <v>236.8710999999999</v>
      </c>
      <c r="H9">
        <v>235.66255644454529</v>
      </c>
      <c r="I9">
        <v>242.87448745802899</v>
      </c>
      <c r="J9">
        <v>234.55873862710479</v>
      </c>
      <c r="K9">
        <v>237.5</v>
      </c>
      <c r="L9">
        <v>237.47499999999999</v>
      </c>
    </row>
    <row r="10" spans="1:12" x14ac:dyDescent="0.3">
      <c r="C10">
        <v>237.2958738448844</v>
      </c>
      <c r="D10">
        <v>149.58132192199989</v>
      </c>
      <c r="E10">
        <v>246.53344045136009</v>
      </c>
      <c r="F10">
        <v>237.47499999999999</v>
      </c>
      <c r="G10">
        <v>237.7516499999999</v>
      </c>
      <c r="H10">
        <v>237.2958738448844</v>
      </c>
      <c r="I10">
        <v>245.08544796881961</v>
      </c>
      <c r="J10">
        <v>235.8482882786482</v>
      </c>
      <c r="K10">
        <v>237.5</v>
      </c>
      <c r="L10">
        <v>237.5</v>
      </c>
    </row>
    <row r="11" spans="1:12" x14ac:dyDescent="0.3">
      <c r="C11">
        <v>238.5173472755489</v>
      </c>
      <c r="D11">
        <v>169.16478749817179</v>
      </c>
      <c r="E11">
        <v>247.02230307718011</v>
      </c>
      <c r="F11">
        <v>237.47499999999999</v>
      </c>
      <c r="G11">
        <v>238.11009999999979</v>
      </c>
      <c r="H11">
        <v>238.5173472755489</v>
      </c>
      <c r="I11">
        <v>247.76944348642681</v>
      </c>
      <c r="J11">
        <v>237.25849333321679</v>
      </c>
      <c r="K11">
        <v>237.5</v>
      </c>
      <c r="L11">
        <v>237.5</v>
      </c>
    </row>
    <row r="12" spans="1:12" x14ac:dyDescent="0.3">
      <c r="C12">
        <v>242.0841832423221</v>
      </c>
      <c r="D12">
        <v>190.44433614319129</v>
      </c>
      <c r="E12">
        <v>247.6714921813425</v>
      </c>
      <c r="F12">
        <v>242.18</v>
      </c>
      <c r="G12">
        <v>242.05375000000001</v>
      </c>
      <c r="H12">
        <v>242.0841832423221</v>
      </c>
      <c r="I12">
        <v>250.95189201826571</v>
      </c>
      <c r="J12">
        <v>240.3333127860229</v>
      </c>
      <c r="K12">
        <v>242.18</v>
      </c>
      <c r="L12">
        <v>242.18</v>
      </c>
    </row>
    <row r="13" spans="1:12" x14ac:dyDescent="0.3">
      <c r="C13">
        <v>235.25474834392639</v>
      </c>
      <c r="D13">
        <v>205.31388875549601</v>
      </c>
      <c r="E13">
        <v>246.55410970833171</v>
      </c>
      <c r="F13">
        <v>228.9</v>
      </c>
      <c r="G13">
        <v>232.49985000000001</v>
      </c>
      <c r="H13">
        <v>235.25474834392639</v>
      </c>
      <c r="I13">
        <v>243.57988960649359</v>
      </c>
      <c r="J13">
        <v>234.54381140234091</v>
      </c>
      <c r="K13">
        <v>229.89500000000001</v>
      </c>
      <c r="L13">
        <v>229.89500000000001</v>
      </c>
    </row>
    <row r="14" spans="1:12" x14ac:dyDescent="0.3">
      <c r="C14">
        <v>235.69028480232001</v>
      </c>
      <c r="D14">
        <v>224.37215444153119</v>
      </c>
      <c r="E14">
        <v>246.62235482546771</v>
      </c>
      <c r="F14">
        <v>228.9</v>
      </c>
      <c r="G14">
        <v>232.81694999999999</v>
      </c>
      <c r="H14">
        <v>235.69028480232001</v>
      </c>
      <c r="I14">
        <v>244.27874271472501</v>
      </c>
      <c r="J14">
        <v>235.05781116150089</v>
      </c>
      <c r="K14">
        <v>229.89500000000001</v>
      </c>
      <c r="L14">
        <v>229.89500000000001</v>
      </c>
    </row>
    <row r="15" spans="1:12" x14ac:dyDescent="0.3">
      <c r="C15">
        <v>241.36503043437719</v>
      </c>
      <c r="D15">
        <v>230.07630178039841</v>
      </c>
      <c r="E15">
        <v>247.53246970777909</v>
      </c>
      <c r="F15">
        <v>236.02500000000001</v>
      </c>
      <c r="G15">
        <v>240.32759999999999</v>
      </c>
      <c r="H15">
        <v>241.36503043437719</v>
      </c>
      <c r="I15">
        <v>249.49910721887051</v>
      </c>
      <c r="J15">
        <v>239.85188181610789</v>
      </c>
      <c r="K15">
        <v>236.02500000000001</v>
      </c>
      <c r="L15">
        <v>236.02500000000001</v>
      </c>
    </row>
    <row r="16" spans="1:12" x14ac:dyDescent="0.3">
      <c r="C16">
        <v>243.18034621271491</v>
      </c>
      <c r="D16">
        <v>208.77578755920689</v>
      </c>
      <c r="E16">
        <v>247.74989419661171</v>
      </c>
      <c r="F16">
        <v>247.04499999999999</v>
      </c>
      <c r="G16">
        <v>243.73814999999999</v>
      </c>
      <c r="H16">
        <v>243.18034621271491</v>
      </c>
      <c r="I16">
        <v>249.78593998917151</v>
      </c>
      <c r="J16">
        <v>241.35153786070961</v>
      </c>
      <c r="K16">
        <v>247.28</v>
      </c>
      <c r="L16">
        <v>247.31</v>
      </c>
    </row>
    <row r="17" spans="3:12" x14ac:dyDescent="0.3">
      <c r="C17">
        <v>235.08172826088551</v>
      </c>
      <c r="D17">
        <v>182.04238912170689</v>
      </c>
      <c r="E17">
        <v>246.88939912529139</v>
      </c>
      <c r="F17">
        <v>228.26499999999999</v>
      </c>
      <c r="G17">
        <v>231.7862499999998</v>
      </c>
      <c r="H17">
        <v>235.08172826088551</v>
      </c>
      <c r="I17">
        <v>243.51686238103079</v>
      </c>
      <c r="J17">
        <v>235.1790072814315</v>
      </c>
      <c r="K17">
        <v>228.26499999999999</v>
      </c>
      <c r="L17">
        <v>228.26499999999999</v>
      </c>
    </row>
    <row r="18" spans="3:12" x14ac:dyDescent="0.3">
      <c r="C18">
        <v>244.5303169244736</v>
      </c>
      <c r="D18">
        <v>189.76321431701939</v>
      </c>
      <c r="E18">
        <v>249.0078406617333</v>
      </c>
      <c r="F18">
        <v>241.70500000000001</v>
      </c>
      <c r="G18">
        <v>245.63289999999989</v>
      </c>
      <c r="H18">
        <v>244.5303169244736</v>
      </c>
      <c r="I18">
        <v>248.70067158414579</v>
      </c>
      <c r="J18">
        <v>244.05629814071551</v>
      </c>
      <c r="K18">
        <v>241.70500000000001</v>
      </c>
      <c r="L18">
        <v>245.10499999999999</v>
      </c>
    </row>
    <row r="19" spans="3:12" x14ac:dyDescent="0.3">
      <c r="C19">
        <v>249.35434716202329</v>
      </c>
      <c r="D19">
        <v>186.1496050030546</v>
      </c>
      <c r="E19">
        <v>250.5068194987324</v>
      </c>
      <c r="F19">
        <v>244.54</v>
      </c>
      <c r="G19">
        <v>248.81100000000001</v>
      </c>
      <c r="H19">
        <v>249.35434716202329</v>
      </c>
      <c r="I19">
        <v>247.75835349469909</v>
      </c>
      <c r="J19">
        <v>248.57932598248041</v>
      </c>
      <c r="K19">
        <v>247.32</v>
      </c>
      <c r="L19">
        <v>246.76499999999999</v>
      </c>
    </row>
    <row r="20" spans="3:12" x14ac:dyDescent="0.3">
      <c r="C20">
        <v>245.12687420109691</v>
      </c>
      <c r="D20">
        <v>194.66511556213661</v>
      </c>
      <c r="E20">
        <v>249.81341662130339</v>
      </c>
      <c r="F20">
        <v>241.70500000000001</v>
      </c>
      <c r="G20">
        <v>245.3426</v>
      </c>
      <c r="H20">
        <v>245.12687420109691</v>
      </c>
      <c r="I20">
        <v>251.11748856453349</v>
      </c>
      <c r="J20">
        <v>244.6696305953935</v>
      </c>
      <c r="K20">
        <v>241.70500000000001</v>
      </c>
      <c r="L20">
        <v>245.10499999999999</v>
      </c>
    </row>
    <row r="21" spans="3:12" x14ac:dyDescent="0.3">
      <c r="C21">
        <v>244.47790424166681</v>
      </c>
      <c r="D21">
        <v>204.21421834533979</v>
      </c>
      <c r="E21">
        <v>249.87286344651909</v>
      </c>
      <c r="F21">
        <v>241.70500000000001</v>
      </c>
      <c r="G21">
        <v>245.32470000000001</v>
      </c>
      <c r="H21">
        <v>244.47790424166681</v>
      </c>
      <c r="I21">
        <v>251.68523642937251</v>
      </c>
      <c r="J21">
        <v>244.09829440233739</v>
      </c>
      <c r="K21">
        <v>241.70500000000001</v>
      </c>
      <c r="L21">
        <v>245.10499999999999</v>
      </c>
    </row>
    <row r="22" spans="3:12" x14ac:dyDescent="0.3">
      <c r="C22">
        <v>248.44986209229401</v>
      </c>
      <c r="D22">
        <v>212.77320119446091</v>
      </c>
      <c r="E22">
        <v>250.69694278072049</v>
      </c>
      <c r="F22">
        <v>250.75</v>
      </c>
      <c r="G22">
        <v>249.56545000000011</v>
      </c>
      <c r="H22">
        <v>248.44986209229401</v>
      </c>
      <c r="I22">
        <v>254.88542678461801</v>
      </c>
      <c r="J22">
        <v>247.24142309397951</v>
      </c>
      <c r="K22">
        <v>250.75</v>
      </c>
      <c r="L22">
        <v>249.93</v>
      </c>
    </row>
    <row r="23" spans="3:12" x14ac:dyDescent="0.3">
      <c r="C23">
        <v>259.06442841722651</v>
      </c>
      <c r="D23">
        <v>216.42353841369911</v>
      </c>
      <c r="E23">
        <v>252.98820826180051</v>
      </c>
      <c r="F23">
        <v>257.17</v>
      </c>
      <c r="G23">
        <v>257.96024999999997</v>
      </c>
      <c r="H23">
        <v>259.06442841722651</v>
      </c>
      <c r="I23">
        <v>261.16692296911123</v>
      </c>
      <c r="J23">
        <v>255.7232087907237</v>
      </c>
      <c r="K23">
        <v>257.17</v>
      </c>
      <c r="L23">
        <v>259.54500000000002</v>
      </c>
    </row>
    <row r="24" spans="3:12" x14ac:dyDescent="0.3">
      <c r="C24">
        <v>259.75553755818629</v>
      </c>
      <c r="D24">
        <v>195.0039980084257</v>
      </c>
      <c r="E24">
        <v>253.77435502652671</v>
      </c>
      <c r="F24">
        <v>257.17</v>
      </c>
      <c r="G24">
        <v>258.31900000000002</v>
      </c>
      <c r="H24">
        <v>259.75553755818629</v>
      </c>
      <c r="I24">
        <v>262.16586167682919</v>
      </c>
      <c r="J24">
        <v>256.47418737583808</v>
      </c>
      <c r="K24">
        <v>257.17</v>
      </c>
      <c r="L24">
        <v>259.54500000000002</v>
      </c>
    </row>
    <row r="25" spans="3:12" x14ac:dyDescent="0.3">
      <c r="C25">
        <v>257.25528524776081</v>
      </c>
      <c r="D25">
        <v>172.7812273175077</v>
      </c>
      <c r="E25">
        <v>253.84712665992441</v>
      </c>
      <c r="F25">
        <v>257.17</v>
      </c>
      <c r="G25">
        <v>256.99929999999978</v>
      </c>
      <c r="H25">
        <v>257.25528524776081</v>
      </c>
      <c r="I25">
        <v>261.10056875600787</v>
      </c>
      <c r="J25">
        <v>254.87396836220881</v>
      </c>
      <c r="K25">
        <v>257.17</v>
      </c>
      <c r="L25">
        <v>259.54500000000002</v>
      </c>
    </row>
    <row r="26" spans="3:12" x14ac:dyDescent="0.3">
      <c r="C26">
        <v>260.62768257931299</v>
      </c>
      <c r="D26">
        <v>170.55058309143351</v>
      </c>
      <c r="E26">
        <v>254.9906866324007</v>
      </c>
      <c r="F26">
        <v>259.54500000000002</v>
      </c>
      <c r="G26">
        <v>258.08924999999988</v>
      </c>
      <c r="H26">
        <v>260.62768257931299</v>
      </c>
      <c r="I26">
        <v>263.06867163237291</v>
      </c>
      <c r="J26">
        <v>257.77459047909201</v>
      </c>
      <c r="K26">
        <v>258.64499999999998</v>
      </c>
      <c r="L26">
        <v>259.54500000000002</v>
      </c>
    </row>
    <row r="27" spans="3:12" x14ac:dyDescent="0.3">
      <c r="C27">
        <v>272.73765410530751</v>
      </c>
      <c r="D27">
        <v>148.7327272564726</v>
      </c>
      <c r="E27">
        <v>258.70685170720611</v>
      </c>
      <c r="F27">
        <v>277.61</v>
      </c>
      <c r="G27">
        <v>276.57425000000029</v>
      </c>
      <c r="H27">
        <v>272.73765410530751</v>
      </c>
      <c r="I27">
        <v>270.12644558248138</v>
      </c>
      <c r="J27">
        <v>266.52308749111131</v>
      </c>
      <c r="K27">
        <v>280.62</v>
      </c>
      <c r="L27">
        <v>280.62</v>
      </c>
    </row>
    <row r="28" spans="3:12" x14ac:dyDescent="0.3">
      <c r="C28">
        <v>273.93662953430157</v>
      </c>
      <c r="D28">
        <v>121.0949861676054</v>
      </c>
      <c r="E28">
        <v>260.1206651426736</v>
      </c>
      <c r="F28">
        <v>277.61</v>
      </c>
      <c r="G28">
        <v>276.63840000000027</v>
      </c>
      <c r="H28">
        <v>273.93662953430157</v>
      </c>
      <c r="I28">
        <v>272.051583424689</v>
      </c>
      <c r="J28">
        <v>267.9160106296265</v>
      </c>
      <c r="K28">
        <v>280.62</v>
      </c>
      <c r="L28">
        <v>280.62</v>
      </c>
    </row>
    <row r="29" spans="3:12" x14ac:dyDescent="0.3">
      <c r="C29">
        <v>262.51639541121631</v>
      </c>
      <c r="D29">
        <v>93.112907615359291</v>
      </c>
      <c r="E29">
        <v>258.34289125046251</v>
      </c>
      <c r="F29">
        <v>256.98500000000001</v>
      </c>
      <c r="G29">
        <v>259.99205000000001</v>
      </c>
      <c r="H29">
        <v>262.51639541121631</v>
      </c>
      <c r="I29">
        <v>263.43466804066912</v>
      </c>
      <c r="J29">
        <v>260.83204510283622</v>
      </c>
      <c r="K29">
        <v>256.98500000000001</v>
      </c>
      <c r="L29">
        <v>256.51</v>
      </c>
    </row>
    <row r="30" spans="3:12" x14ac:dyDescent="0.3">
      <c r="C30">
        <v>267.41225427174948</v>
      </c>
      <c r="D30">
        <v>113.50186940735151</v>
      </c>
      <c r="E30">
        <v>260.01059170585449</v>
      </c>
      <c r="F30">
        <v>256.98500000000001</v>
      </c>
      <c r="G30">
        <v>264.02864999999991</v>
      </c>
      <c r="H30">
        <v>267.41225427174948</v>
      </c>
      <c r="I30">
        <v>267.08479737083979</v>
      </c>
      <c r="J30">
        <v>264.77038883341243</v>
      </c>
      <c r="K30">
        <v>256.98500000000001</v>
      </c>
      <c r="L30">
        <v>256.51</v>
      </c>
    </row>
    <row r="31" spans="3:12" x14ac:dyDescent="0.3">
      <c r="C31">
        <v>272.26696281392958</v>
      </c>
      <c r="D31">
        <v>103.18701192444129</v>
      </c>
      <c r="E31">
        <v>262.46068635656962</v>
      </c>
      <c r="F31">
        <v>276.33999999999997</v>
      </c>
      <c r="G31">
        <v>273.44324999999998</v>
      </c>
      <c r="H31">
        <v>272.26696281392958</v>
      </c>
      <c r="I31">
        <v>273.1353059317309</v>
      </c>
      <c r="J31">
        <v>268.88593075926963</v>
      </c>
      <c r="K31">
        <v>276.33999999999997</v>
      </c>
      <c r="L31">
        <v>276.33999999999997</v>
      </c>
    </row>
    <row r="32" spans="3:12" x14ac:dyDescent="0.3">
      <c r="C32">
        <v>268.63552554272758</v>
      </c>
      <c r="D32">
        <v>115.3654863507109</v>
      </c>
      <c r="E32">
        <v>262.29585102868413</v>
      </c>
      <c r="F32">
        <v>276.33999999999997</v>
      </c>
      <c r="G32">
        <v>271.04680000000002</v>
      </c>
      <c r="H32">
        <v>268.63552554272758</v>
      </c>
      <c r="I32">
        <v>269.64934674004462</v>
      </c>
      <c r="J32">
        <v>266.82860081147652</v>
      </c>
      <c r="K32">
        <v>276.33999999999997</v>
      </c>
      <c r="L32">
        <v>276.33999999999997</v>
      </c>
    </row>
    <row r="33" spans="3:12" x14ac:dyDescent="0.3">
      <c r="C33">
        <v>263.94440225934568</v>
      </c>
      <c r="D33">
        <v>135.07252523010541</v>
      </c>
      <c r="E33">
        <v>261.74630519057001</v>
      </c>
      <c r="F33">
        <v>253.75</v>
      </c>
      <c r="G33">
        <v>262.83315000000022</v>
      </c>
      <c r="H33">
        <v>263.94440225934568</v>
      </c>
      <c r="I33">
        <v>265.40006779692862</v>
      </c>
      <c r="J33">
        <v>263.68131191593068</v>
      </c>
      <c r="K33">
        <v>253.75</v>
      </c>
      <c r="L33">
        <v>253.75</v>
      </c>
    </row>
    <row r="34" spans="3:12" x14ac:dyDescent="0.3">
      <c r="C34">
        <v>259.63363043440307</v>
      </c>
      <c r="D34">
        <v>159.05724355285929</v>
      </c>
      <c r="E34">
        <v>261.44266171295061</v>
      </c>
      <c r="F34">
        <v>258.815</v>
      </c>
      <c r="G34">
        <v>257.1845399999998</v>
      </c>
      <c r="H34">
        <v>259.63363043440307</v>
      </c>
      <c r="I34">
        <v>265.15343090392292</v>
      </c>
      <c r="J34">
        <v>260.85713487128919</v>
      </c>
      <c r="K34">
        <v>258.815</v>
      </c>
      <c r="L34">
        <v>258.815</v>
      </c>
    </row>
    <row r="35" spans="3:12" x14ac:dyDescent="0.3">
      <c r="C35">
        <v>254.77062456569189</v>
      </c>
      <c r="D35">
        <v>200.5245134503202</v>
      </c>
      <c r="E35">
        <v>260.58052636351431</v>
      </c>
      <c r="F35">
        <v>252.565</v>
      </c>
      <c r="G35">
        <v>254.05782000000019</v>
      </c>
      <c r="H35">
        <v>254.77062456569189</v>
      </c>
      <c r="I35">
        <v>263.47450473358589</v>
      </c>
      <c r="J35">
        <v>256.95150830023027</v>
      </c>
      <c r="K35">
        <v>252.565</v>
      </c>
      <c r="L35">
        <v>257.22500000000002</v>
      </c>
    </row>
    <row r="36" spans="3:12" x14ac:dyDescent="0.3">
      <c r="C36">
        <v>254.14636245997721</v>
      </c>
      <c r="D36">
        <v>243.17048665588661</v>
      </c>
      <c r="E36">
        <v>260.2498059486901</v>
      </c>
      <c r="F36">
        <v>252.71</v>
      </c>
      <c r="G36">
        <v>251.83754000000019</v>
      </c>
      <c r="H36">
        <v>254.14636245997721</v>
      </c>
      <c r="I36">
        <v>263.54375418167831</v>
      </c>
      <c r="J36">
        <v>255.92145317797201</v>
      </c>
      <c r="K36">
        <v>251.91499999999999</v>
      </c>
      <c r="L36">
        <v>252.42</v>
      </c>
    </row>
    <row r="37" spans="3:12" x14ac:dyDescent="0.3">
      <c r="C37">
        <v>255.17560024234041</v>
      </c>
      <c r="D37">
        <v>260.11232015198038</v>
      </c>
      <c r="E37">
        <v>259.86535111396091</v>
      </c>
      <c r="F37">
        <v>258.815</v>
      </c>
      <c r="G37">
        <v>256.0518800000001</v>
      </c>
      <c r="H37">
        <v>255.17560024234041</v>
      </c>
      <c r="I37">
        <v>260.34798126494252</v>
      </c>
      <c r="J37">
        <v>256.01230929217428</v>
      </c>
      <c r="K37">
        <v>258.55</v>
      </c>
      <c r="L37">
        <v>258.815</v>
      </c>
    </row>
    <row r="38" spans="3:12" x14ac:dyDescent="0.3">
      <c r="C38">
        <v>249.82682159095529</v>
      </c>
      <c r="D38">
        <v>274.42079946106242</v>
      </c>
      <c r="E38">
        <v>258.5408718256358</v>
      </c>
      <c r="F38">
        <v>246.52</v>
      </c>
      <c r="G38">
        <v>249.26029999999989</v>
      </c>
      <c r="H38">
        <v>249.82682159095529</v>
      </c>
      <c r="I38">
        <v>256.58728233916969</v>
      </c>
      <c r="J38">
        <v>251.21993908109661</v>
      </c>
      <c r="K38">
        <v>244.54</v>
      </c>
      <c r="L38">
        <v>244.54</v>
      </c>
    </row>
    <row r="39" spans="3:12" x14ac:dyDescent="0.3">
      <c r="C39">
        <v>252.72282260023329</v>
      </c>
      <c r="D39">
        <v>274.38217946594523</v>
      </c>
      <c r="E39">
        <v>258.9869781141706</v>
      </c>
      <c r="F39">
        <v>254.03</v>
      </c>
      <c r="G39">
        <v>252.42307999999991</v>
      </c>
      <c r="H39">
        <v>252.72282260023329</v>
      </c>
      <c r="I39">
        <v>263.07732870540559</v>
      </c>
      <c r="J39">
        <v>253.33193717968311</v>
      </c>
      <c r="K39">
        <v>251.91499999999999</v>
      </c>
      <c r="L39">
        <v>252.42</v>
      </c>
    </row>
    <row r="40" spans="3:12" x14ac:dyDescent="0.3">
      <c r="C40">
        <v>249.11955409309559</v>
      </c>
      <c r="D40">
        <v>264.08613606994908</v>
      </c>
      <c r="E40">
        <v>257.8136025587213</v>
      </c>
      <c r="F40">
        <v>246.52</v>
      </c>
      <c r="G40">
        <v>248.80144999999999</v>
      </c>
      <c r="H40">
        <v>249.11955409309559</v>
      </c>
      <c r="I40">
        <v>258.33784384413451</v>
      </c>
      <c r="J40">
        <v>249.69280890326741</v>
      </c>
      <c r="K40">
        <v>246.52</v>
      </c>
      <c r="L40">
        <v>246.52</v>
      </c>
    </row>
    <row r="41" spans="3:12" x14ac:dyDescent="0.3">
      <c r="C41">
        <v>250.578878897301</v>
      </c>
      <c r="D41">
        <v>180.0816423565702</v>
      </c>
      <c r="E41">
        <v>257.06360490764212</v>
      </c>
      <c r="F41">
        <v>252.93</v>
      </c>
      <c r="G41">
        <v>249.83179999999999</v>
      </c>
      <c r="H41">
        <v>250.578878897301</v>
      </c>
      <c r="I41">
        <v>244.9333795133341</v>
      </c>
      <c r="J41">
        <v>250.49592434214071</v>
      </c>
      <c r="K41">
        <v>252.285</v>
      </c>
      <c r="L41">
        <v>247.24</v>
      </c>
    </row>
    <row r="42" spans="3:12" x14ac:dyDescent="0.3">
      <c r="C42">
        <v>246.42307821295421</v>
      </c>
      <c r="D42">
        <v>152.87162038391401</v>
      </c>
      <c r="E42">
        <v>255.8522099891465</v>
      </c>
      <c r="F42">
        <v>249.685</v>
      </c>
      <c r="G42">
        <v>247.04235000000011</v>
      </c>
      <c r="H42">
        <v>246.42307821295421</v>
      </c>
      <c r="I42">
        <v>238.38842085664481</v>
      </c>
      <c r="J42">
        <v>246.9974040297912</v>
      </c>
      <c r="K42">
        <v>249.685</v>
      </c>
      <c r="L42">
        <v>245.16</v>
      </c>
    </row>
    <row r="43" spans="3:12" x14ac:dyDescent="0.3">
      <c r="C43">
        <v>252.2290055427118</v>
      </c>
      <c r="D43">
        <v>183.75544759338661</v>
      </c>
      <c r="E43">
        <v>257.22550055895459</v>
      </c>
      <c r="F43">
        <v>253.67500000000001</v>
      </c>
      <c r="G43">
        <v>252.54917999999989</v>
      </c>
      <c r="H43">
        <v>252.2290055427118</v>
      </c>
      <c r="I43">
        <v>262.16772772340329</v>
      </c>
      <c r="J43">
        <v>251.6011360727521</v>
      </c>
      <c r="K43">
        <v>252.42</v>
      </c>
      <c r="L43">
        <v>252.42</v>
      </c>
    </row>
    <row r="44" spans="3:12" x14ac:dyDescent="0.3">
      <c r="C44">
        <v>256.09724589502252</v>
      </c>
      <c r="D44">
        <v>167.0356218487577</v>
      </c>
      <c r="E44">
        <v>257.66175706217581</v>
      </c>
      <c r="F44">
        <v>257.52499999999998</v>
      </c>
      <c r="G44">
        <v>258.84231000000023</v>
      </c>
      <c r="H44">
        <v>256.09724589502252</v>
      </c>
      <c r="I44">
        <v>261.79026256964642</v>
      </c>
      <c r="J44">
        <v>254.90905741921469</v>
      </c>
      <c r="K44">
        <v>257.52499999999998</v>
      </c>
      <c r="L44">
        <v>257.52499999999998</v>
      </c>
    </row>
    <row r="45" spans="3:12" x14ac:dyDescent="0.3">
      <c r="C45">
        <v>255.76402173237099</v>
      </c>
      <c r="D45">
        <v>143.54127523010541</v>
      </c>
      <c r="E45">
        <v>257.24851111840519</v>
      </c>
      <c r="F45">
        <v>259.08</v>
      </c>
      <c r="G45">
        <v>258.82403000000011</v>
      </c>
      <c r="H45">
        <v>255.76402173237099</v>
      </c>
      <c r="I45">
        <v>253.44133338268489</v>
      </c>
      <c r="J45">
        <v>254.30410466799231</v>
      </c>
      <c r="K45">
        <v>259.08</v>
      </c>
      <c r="L45">
        <v>258.86</v>
      </c>
    </row>
    <row r="46" spans="3:12" x14ac:dyDescent="0.3">
      <c r="C46">
        <v>253.89752353911339</v>
      </c>
      <c r="D46">
        <v>161.1404802471952</v>
      </c>
      <c r="E46">
        <v>257.01378413162757</v>
      </c>
      <c r="F46">
        <v>253.67500000000001</v>
      </c>
      <c r="G46">
        <v>252.3614899999998</v>
      </c>
      <c r="H46">
        <v>253.89752353911339</v>
      </c>
      <c r="I46">
        <v>254.74926798422939</v>
      </c>
      <c r="J46">
        <v>252.80771651149021</v>
      </c>
      <c r="K46">
        <v>252.42</v>
      </c>
      <c r="L46">
        <v>252.42</v>
      </c>
    </row>
    <row r="47" spans="3:12" x14ac:dyDescent="0.3">
      <c r="C47">
        <v>255.72401178961431</v>
      </c>
      <c r="D47">
        <v>212.16020986145301</v>
      </c>
      <c r="E47">
        <v>257.6958096510416</v>
      </c>
      <c r="F47">
        <v>259.08</v>
      </c>
      <c r="G47">
        <v>258.81403</v>
      </c>
      <c r="H47">
        <v>255.72401178961431</v>
      </c>
      <c r="I47">
        <v>263.33256448354962</v>
      </c>
      <c r="J47">
        <v>254.94035994092201</v>
      </c>
      <c r="K47">
        <v>259.08</v>
      </c>
      <c r="L47">
        <v>258.86</v>
      </c>
    </row>
    <row r="48" spans="3:12" x14ac:dyDescent="0.3">
      <c r="C48">
        <v>251.18469777335</v>
      </c>
      <c r="D48">
        <v>229.22656270569129</v>
      </c>
      <c r="E48">
        <v>256.96663382341222</v>
      </c>
      <c r="F48">
        <v>253.67500000000001</v>
      </c>
      <c r="G48">
        <v>249.6983000000001</v>
      </c>
      <c r="H48">
        <v>251.18469777335</v>
      </c>
      <c r="I48">
        <v>262.11135202159949</v>
      </c>
      <c r="J48">
        <v>250.90377129678609</v>
      </c>
      <c r="K48">
        <v>247.4</v>
      </c>
      <c r="L48">
        <v>247.24</v>
      </c>
    </row>
    <row r="49" spans="3:12" x14ac:dyDescent="0.3">
      <c r="C49">
        <v>247.84600887500309</v>
      </c>
      <c r="D49">
        <v>202.52415486877729</v>
      </c>
      <c r="E49">
        <v>256.33601112208538</v>
      </c>
      <c r="F49">
        <v>245.16</v>
      </c>
      <c r="G49">
        <v>247.13755</v>
      </c>
      <c r="H49">
        <v>247.84600887500309</v>
      </c>
      <c r="I49">
        <v>262.87483029226632</v>
      </c>
      <c r="J49">
        <v>247.85541858889599</v>
      </c>
      <c r="K49">
        <v>245.16</v>
      </c>
      <c r="L49">
        <v>245.16</v>
      </c>
    </row>
    <row r="50" spans="3:12" x14ac:dyDescent="0.3">
      <c r="C50">
        <v>256.83801625392368</v>
      </c>
      <c r="D50">
        <v>174.3642275006132</v>
      </c>
      <c r="E50">
        <v>258.31114764238652</v>
      </c>
      <c r="F50">
        <v>257.82499999999999</v>
      </c>
      <c r="G50">
        <v>258.91613999999998</v>
      </c>
      <c r="H50">
        <v>256.83801625392368</v>
      </c>
      <c r="I50">
        <v>271.50341321181611</v>
      </c>
      <c r="J50">
        <v>256.92904377253348</v>
      </c>
      <c r="K50">
        <v>257.82499999999999</v>
      </c>
      <c r="L50">
        <v>257.82499999999999</v>
      </c>
    </row>
    <row r="51" spans="3:12" x14ac:dyDescent="0.3">
      <c r="C51">
        <v>259.53355082431727</v>
      </c>
      <c r="D51">
        <v>151.17222615783979</v>
      </c>
      <c r="E51">
        <v>259.01933147966781</v>
      </c>
      <c r="F51">
        <v>262.58999999999997</v>
      </c>
      <c r="G51">
        <v>259.59460000000013</v>
      </c>
      <c r="H51">
        <v>259.53355082431727</v>
      </c>
      <c r="I51">
        <v>272.32903383027531</v>
      </c>
      <c r="J51">
        <v>259.54081151231588</v>
      </c>
      <c r="K51">
        <v>262.58999999999997</v>
      </c>
      <c r="L51">
        <v>262.58999999999997</v>
      </c>
    </row>
    <row r="52" spans="3:12" x14ac:dyDescent="0.3">
      <c r="C52">
        <v>264.97751678218242</v>
      </c>
      <c r="D52">
        <v>124.2833940655546</v>
      </c>
      <c r="E52">
        <v>260.94852404762179</v>
      </c>
      <c r="F52">
        <v>256.98500000000001</v>
      </c>
      <c r="G52">
        <v>261.96919999999977</v>
      </c>
      <c r="H52">
        <v>264.97751678218242</v>
      </c>
      <c r="I52">
        <v>273.18838656081363</v>
      </c>
      <c r="J52">
        <v>264.75492657069401</v>
      </c>
      <c r="K52">
        <v>256.51</v>
      </c>
      <c r="L52">
        <v>256.51</v>
      </c>
    </row>
    <row r="53" spans="3:12" x14ac:dyDescent="0.3">
      <c r="C53">
        <v>277.68267506606048</v>
      </c>
      <c r="D53">
        <v>108.8934099346952</v>
      </c>
      <c r="E53">
        <v>264.18480519251563</v>
      </c>
      <c r="F53">
        <v>277.565</v>
      </c>
      <c r="G53">
        <v>278.85685000000001</v>
      </c>
      <c r="H53">
        <v>277.68267506606048</v>
      </c>
      <c r="I53">
        <v>275.56600046659469</v>
      </c>
      <c r="J53">
        <v>274.95615391838209</v>
      </c>
      <c r="K53">
        <v>280.62</v>
      </c>
      <c r="L53">
        <v>280.62</v>
      </c>
    </row>
    <row r="54" spans="3:12" x14ac:dyDescent="0.3">
      <c r="C54">
        <v>277.44399922234248</v>
      </c>
      <c r="D54">
        <v>140.17895528381629</v>
      </c>
      <c r="E54">
        <v>265.3842550733504</v>
      </c>
      <c r="F54">
        <v>277.61</v>
      </c>
      <c r="G54">
        <v>278.24250000000012</v>
      </c>
      <c r="H54">
        <v>277.44399922234248</v>
      </c>
      <c r="I54">
        <v>275.60106008623302</v>
      </c>
      <c r="J54">
        <v>274.70382899539652</v>
      </c>
      <c r="K54">
        <v>280.62</v>
      </c>
      <c r="L54">
        <v>280.62</v>
      </c>
    </row>
    <row r="55" spans="3:12" x14ac:dyDescent="0.3">
      <c r="C55">
        <v>275.32274229751738</v>
      </c>
      <c r="D55">
        <v>134.11148091858189</v>
      </c>
      <c r="E55">
        <v>265.73180045023832</v>
      </c>
      <c r="F55">
        <v>277.61</v>
      </c>
      <c r="G55">
        <v>276.32505000000032</v>
      </c>
      <c r="H55">
        <v>275.32274229751738</v>
      </c>
      <c r="I55">
        <v>275.88485903272039</v>
      </c>
      <c r="J55">
        <v>273.62039658999771</v>
      </c>
      <c r="K55">
        <v>280.62</v>
      </c>
      <c r="L55">
        <v>280.62</v>
      </c>
    </row>
    <row r="56" spans="3:12" x14ac:dyDescent="0.3">
      <c r="C56">
        <v>274.5530731041049</v>
      </c>
      <c r="D56">
        <v>141.15308400696091</v>
      </c>
      <c r="E56">
        <v>266.69244307398111</v>
      </c>
      <c r="F56">
        <v>277.61</v>
      </c>
      <c r="G56">
        <v>276.86645000000033</v>
      </c>
      <c r="H56">
        <v>274.5530731041049</v>
      </c>
      <c r="I56">
        <v>275.92465930366768</v>
      </c>
      <c r="J56">
        <v>273.44154930621448</v>
      </c>
      <c r="K56">
        <v>277.61</v>
      </c>
      <c r="L56">
        <v>277.61</v>
      </c>
    </row>
    <row r="57" spans="3:12" x14ac:dyDescent="0.3">
      <c r="C57">
        <v>278.49163560931788</v>
      </c>
      <c r="D57">
        <v>187.3379594952421</v>
      </c>
      <c r="E57">
        <v>268.12921329364252</v>
      </c>
      <c r="F57">
        <v>277.61</v>
      </c>
      <c r="G57">
        <v>279.05469999999991</v>
      </c>
      <c r="H57">
        <v>278.49163560931788</v>
      </c>
      <c r="I57">
        <v>277.45051185407152</v>
      </c>
      <c r="J57">
        <v>276.6415469580794</v>
      </c>
      <c r="K57">
        <v>277.61</v>
      </c>
      <c r="L57">
        <v>277.68</v>
      </c>
    </row>
    <row r="58" spans="3:12" x14ac:dyDescent="0.3">
      <c r="C58">
        <v>278.0844653599363</v>
      </c>
      <c r="D58">
        <v>220.31447621887489</v>
      </c>
      <c r="E58">
        <v>268.73446525309782</v>
      </c>
      <c r="F58">
        <v>277.68</v>
      </c>
      <c r="G58">
        <v>278.93490000000003</v>
      </c>
      <c r="H58">
        <v>278.0844653599363</v>
      </c>
      <c r="I58">
        <v>277.51469609266462</v>
      </c>
      <c r="J58">
        <v>276.72730226267339</v>
      </c>
      <c r="K58">
        <v>277.68</v>
      </c>
      <c r="L58">
        <v>277.68</v>
      </c>
    </row>
    <row r="59" spans="3:12" x14ac:dyDescent="0.3">
      <c r="C59">
        <v>281.02219579323111</v>
      </c>
      <c r="D59">
        <v>244.01541921203901</v>
      </c>
      <c r="E59">
        <v>270.28110487700968</v>
      </c>
      <c r="F59">
        <v>280.01</v>
      </c>
      <c r="G59">
        <v>279.82650000000001</v>
      </c>
      <c r="H59">
        <v>281.02219579323111</v>
      </c>
      <c r="I59">
        <v>278.9164801040032</v>
      </c>
      <c r="J59">
        <v>279.3187500719435</v>
      </c>
      <c r="K59">
        <v>280.01</v>
      </c>
      <c r="L59">
        <v>280.01</v>
      </c>
    </row>
    <row r="60" spans="3:12" x14ac:dyDescent="0.3">
      <c r="C60">
        <v>276.49120798784958</v>
      </c>
      <c r="D60">
        <v>218.6181413800077</v>
      </c>
      <c r="E60">
        <v>270.13016975571679</v>
      </c>
      <c r="F60">
        <v>277.87</v>
      </c>
      <c r="G60">
        <v>277.63634999999999</v>
      </c>
      <c r="H60">
        <v>276.49120798784958</v>
      </c>
      <c r="I60">
        <v>277.64888111617881</v>
      </c>
      <c r="J60">
        <v>276.46604249654428</v>
      </c>
      <c r="K60">
        <v>277.68</v>
      </c>
      <c r="L60">
        <v>277.87</v>
      </c>
    </row>
    <row r="61" spans="3:12" x14ac:dyDescent="0.3">
      <c r="C61">
        <v>279.42125489417822</v>
      </c>
      <c r="D61">
        <v>202.85915395324989</v>
      </c>
      <c r="E61">
        <v>271.47600710959239</v>
      </c>
      <c r="F61">
        <v>277.11</v>
      </c>
      <c r="G61">
        <v>278.54550000000012</v>
      </c>
      <c r="H61">
        <v>279.42125489417822</v>
      </c>
      <c r="I61">
        <v>278.68310106587239</v>
      </c>
      <c r="J61">
        <v>279.06530339962558</v>
      </c>
      <c r="K61">
        <v>277.11</v>
      </c>
      <c r="L61">
        <v>277.11</v>
      </c>
    </row>
    <row r="62" spans="3:12" x14ac:dyDescent="0.3">
      <c r="C62">
        <v>284.16344091669538</v>
      </c>
      <c r="D62">
        <v>160.49686452453901</v>
      </c>
      <c r="E62">
        <v>273.7913297010374</v>
      </c>
      <c r="F62">
        <v>280.38</v>
      </c>
      <c r="G62">
        <v>283.33490000000018</v>
      </c>
      <c r="H62">
        <v>284.16344091669538</v>
      </c>
      <c r="I62">
        <v>282.01543360735963</v>
      </c>
      <c r="J62">
        <v>283.03532522016911</v>
      </c>
      <c r="K62">
        <v>282.85500000000002</v>
      </c>
      <c r="L62">
        <v>282.85500000000002</v>
      </c>
    </row>
    <row r="63" spans="3:12" x14ac:dyDescent="0.3">
      <c r="C63">
        <v>284.1372038587657</v>
      </c>
      <c r="D63">
        <v>148.16063710754679</v>
      </c>
      <c r="E63">
        <v>275.08873032440471</v>
      </c>
      <c r="F63">
        <v>282.85500000000002</v>
      </c>
      <c r="G63">
        <v>283.60989999999998</v>
      </c>
      <c r="H63">
        <v>284.1372038587657</v>
      </c>
      <c r="I63">
        <v>283.94498813005242</v>
      </c>
      <c r="J63">
        <v>283.60712366598892</v>
      </c>
      <c r="K63">
        <v>280.82499999999999</v>
      </c>
      <c r="L63">
        <v>280.38</v>
      </c>
    </row>
    <row r="64" spans="3:12" x14ac:dyDescent="0.3">
      <c r="C64">
        <v>286.60248422891988</v>
      </c>
      <c r="D64">
        <v>179.24756642883591</v>
      </c>
      <c r="E64">
        <v>276.33104412592832</v>
      </c>
      <c r="F64">
        <v>282.85500000000002</v>
      </c>
      <c r="G64">
        <v>286.5091000000001</v>
      </c>
      <c r="H64">
        <v>286.60248422891988</v>
      </c>
      <c r="I64">
        <v>284.45029942351522</v>
      </c>
      <c r="J64">
        <v>285.48846375808921</v>
      </c>
      <c r="K64">
        <v>286.495</v>
      </c>
      <c r="L64">
        <v>286.495</v>
      </c>
    </row>
    <row r="65" spans="3:12" x14ac:dyDescent="0.3">
      <c r="C65">
        <v>287.28094833610328</v>
      </c>
      <c r="D65">
        <v>210.18370839660929</v>
      </c>
      <c r="E65">
        <v>277.33388001200098</v>
      </c>
      <c r="F65">
        <v>286.185</v>
      </c>
      <c r="G65">
        <v>287.72335000000021</v>
      </c>
      <c r="H65">
        <v>287.28094833610328</v>
      </c>
      <c r="I65">
        <v>284.80256068510948</v>
      </c>
      <c r="J65">
        <v>286.24287748765869</v>
      </c>
      <c r="K65">
        <v>286.495</v>
      </c>
      <c r="L65">
        <v>286.495</v>
      </c>
    </row>
    <row r="66" spans="3:12" x14ac:dyDescent="0.3">
      <c r="C66">
        <v>286.24043161528391</v>
      </c>
      <c r="D66">
        <v>248.17908498352341</v>
      </c>
      <c r="E66">
        <v>277.71581598818591</v>
      </c>
      <c r="F66">
        <v>286.185</v>
      </c>
      <c r="G66">
        <v>287.92120000000011</v>
      </c>
      <c r="H66">
        <v>286.24043161528391</v>
      </c>
      <c r="I66">
        <v>283.1227020896124</v>
      </c>
      <c r="J66">
        <v>285.67358396864933</v>
      </c>
      <c r="K66">
        <v>286.495</v>
      </c>
      <c r="L66">
        <v>286.495</v>
      </c>
    </row>
    <row r="67" spans="3:12" x14ac:dyDescent="0.3">
      <c r="C67">
        <v>282.44952739443983</v>
      </c>
      <c r="D67">
        <v>262.40602895324992</v>
      </c>
      <c r="E67">
        <v>276.55716336325179</v>
      </c>
      <c r="F67">
        <v>286.185</v>
      </c>
      <c r="G67">
        <v>286.11955000000017</v>
      </c>
      <c r="H67">
        <v>282.44952739443983</v>
      </c>
      <c r="I67">
        <v>278.11441027600682</v>
      </c>
      <c r="J67">
        <v>281.71295033410848</v>
      </c>
      <c r="K67">
        <v>286.185</v>
      </c>
      <c r="L67">
        <v>286.495</v>
      </c>
    </row>
    <row r="68" spans="3:12" x14ac:dyDescent="0.3">
      <c r="C68">
        <v>288.67462351276089</v>
      </c>
      <c r="D68">
        <v>274.3357622296171</v>
      </c>
      <c r="E68">
        <v>278.9018746958721</v>
      </c>
      <c r="F68">
        <v>291.33999999999997</v>
      </c>
      <c r="G68">
        <v>289.58845000000002</v>
      </c>
      <c r="H68">
        <v>288.67462351276089</v>
      </c>
      <c r="I68">
        <v>281.19114518577061</v>
      </c>
      <c r="J68">
        <v>287.36590491236262</v>
      </c>
      <c r="K68">
        <v>291.33999999999997</v>
      </c>
      <c r="L68">
        <v>291.33999999999997</v>
      </c>
    </row>
    <row r="69" spans="3:12" x14ac:dyDescent="0.3">
      <c r="C69">
        <v>285.59603480787251</v>
      </c>
      <c r="D69">
        <v>289.86730214660929</v>
      </c>
      <c r="E69">
        <v>278.96912648184542</v>
      </c>
      <c r="F69">
        <v>286.185</v>
      </c>
      <c r="G69">
        <v>286.64429999999999</v>
      </c>
      <c r="H69">
        <v>285.59603480787251</v>
      </c>
      <c r="I69">
        <v>280.45576811969198</v>
      </c>
      <c r="J69">
        <v>285.42757516364321</v>
      </c>
      <c r="K69">
        <v>286.495</v>
      </c>
      <c r="L69">
        <v>286.495</v>
      </c>
    </row>
    <row r="70" spans="3:12" x14ac:dyDescent="0.3">
      <c r="C70">
        <v>284.68946421560702</v>
      </c>
      <c r="D70">
        <v>297.30826589172648</v>
      </c>
      <c r="E70">
        <v>279.38743661196048</v>
      </c>
      <c r="F70">
        <v>286.495</v>
      </c>
      <c r="G70">
        <v>286.69229999999988</v>
      </c>
      <c r="H70">
        <v>284.68946421560702</v>
      </c>
      <c r="I70">
        <v>280.33972798658112</v>
      </c>
      <c r="J70">
        <v>285.09871021558638</v>
      </c>
      <c r="K70">
        <v>286.185</v>
      </c>
      <c r="L70">
        <v>286.495</v>
      </c>
    </row>
    <row r="71" spans="3:12" x14ac:dyDescent="0.3">
      <c r="C71">
        <v>283.2254275400789</v>
      </c>
      <c r="D71">
        <v>306.46413442199992</v>
      </c>
      <c r="E71">
        <v>279.1769511081954</v>
      </c>
      <c r="F71">
        <v>286.495</v>
      </c>
      <c r="G71">
        <v>285.73109999999991</v>
      </c>
      <c r="H71">
        <v>283.2254275400789</v>
      </c>
      <c r="I71">
        <v>279.14514879463508</v>
      </c>
      <c r="J71">
        <v>283.60817852841569</v>
      </c>
      <c r="K71">
        <v>286.185</v>
      </c>
      <c r="L71">
        <v>286.495</v>
      </c>
    </row>
    <row r="72" spans="3:12" x14ac:dyDescent="0.3">
      <c r="C72">
        <v>286.52424321202278</v>
      </c>
      <c r="D72">
        <v>324.65279408996872</v>
      </c>
      <c r="E72">
        <v>280.51023435740228</v>
      </c>
      <c r="F72">
        <v>286.495</v>
      </c>
      <c r="G72">
        <v>286.45894999999967</v>
      </c>
      <c r="H72">
        <v>286.52424321202278</v>
      </c>
      <c r="I72">
        <v>280.07030151430882</v>
      </c>
      <c r="J72">
        <v>286.75354457246948</v>
      </c>
      <c r="K72">
        <v>284.85000000000002</v>
      </c>
      <c r="L72">
        <v>286.495</v>
      </c>
    </row>
    <row r="73" spans="3:12" x14ac:dyDescent="0.3">
      <c r="C73">
        <v>289.32466308452717</v>
      </c>
      <c r="D73">
        <v>332.86602040832798</v>
      </c>
      <c r="E73">
        <v>281.56644389375492</v>
      </c>
      <c r="F73">
        <v>286.245</v>
      </c>
      <c r="G73">
        <v>287.63694999999979</v>
      </c>
      <c r="H73">
        <v>289.32466308452717</v>
      </c>
      <c r="I73">
        <v>280.46542149385488</v>
      </c>
      <c r="J73">
        <v>288.96078241555779</v>
      </c>
      <c r="K73">
        <v>286.10500000000002</v>
      </c>
      <c r="L73">
        <v>286.245</v>
      </c>
    </row>
    <row r="74" spans="3:12" x14ac:dyDescent="0.3">
      <c r="C74">
        <v>291.16329098220848</v>
      </c>
      <c r="D74">
        <v>351.43335744446091</v>
      </c>
      <c r="E74">
        <v>283.17932469734359</v>
      </c>
      <c r="F74">
        <v>286.10500000000002</v>
      </c>
      <c r="G74">
        <v>289.04644999999988</v>
      </c>
      <c r="H74">
        <v>291.16329098220848</v>
      </c>
      <c r="I74">
        <v>282.92787086129272</v>
      </c>
      <c r="J74">
        <v>291.28282311027112</v>
      </c>
      <c r="K74">
        <v>286.10500000000002</v>
      </c>
      <c r="L74">
        <v>286.245</v>
      </c>
    </row>
    <row r="75" spans="3:12" x14ac:dyDescent="0.3">
      <c r="C75">
        <v>285.54403615526059</v>
      </c>
      <c r="D75">
        <v>372.14087697571091</v>
      </c>
      <c r="E75">
        <v>281.93556839523569</v>
      </c>
      <c r="F75">
        <v>286.38</v>
      </c>
      <c r="G75">
        <v>286.90300000000002</v>
      </c>
      <c r="H75">
        <v>285.54403615526059</v>
      </c>
      <c r="I75">
        <v>279.84228909646032</v>
      </c>
      <c r="J75">
        <v>286.25258736380329</v>
      </c>
      <c r="K75">
        <v>289.52999999999997</v>
      </c>
      <c r="L75">
        <v>289.52999999999997</v>
      </c>
    </row>
    <row r="76" spans="3:12" x14ac:dyDescent="0.3">
      <c r="C76">
        <v>284.63964009329948</v>
      </c>
      <c r="D76">
        <v>372.34819814270298</v>
      </c>
      <c r="E76">
        <v>281.62255350122132</v>
      </c>
      <c r="F76">
        <v>289.52999999999997</v>
      </c>
      <c r="G76">
        <v>287.08100000000002</v>
      </c>
      <c r="H76">
        <v>284.63964009329948</v>
      </c>
      <c r="I76">
        <v>279.34966679444778</v>
      </c>
      <c r="J76">
        <v>284.98975833468847</v>
      </c>
      <c r="K76">
        <v>289.52999999999997</v>
      </c>
      <c r="L76">
        <v>289.52999999999997</v>
      </c>
    </row>
    <row r="77" spans="3:12" x14ac:dyDescent="0.3">
      <c r="C77">
        <v>284.3298266897425</v>
      </c>
      <c r="D77">
        <v>362.43010732239048</v>
      </c>
      <c r="E77">
        <v>281.77954265078807</v>
      </c>
      <c r="F77">
        <v>289.52999999999997</v>
      </c>
      <c r="G77">
        <v>287.00355000000002</v>
      </c>
      <c r="H77">
        <v>284.3298266897425</v>
      </c>
      <c r="I77">
        <v>279.22624156365902</v>
      </c>
      <c r="J77">
        <v>284.84980916147191</v>
      </c>
      <c r="K77">
        <v>289.52999999999997</v>
      </c>
      <c r="L77">
        <v>289.52999999999997</v>
      </c>
    </row>
    <row r="78" spans="3:12" x14ac:dyDescent="0.3">
      <c r="C78">
        <v>281.38944149850272</v>
      </c>
      <c r="D78">
        <v>341.64794179504679</v>
      </c>
      <c r="E78">
        <v>280.82209301616581</v>
      </c>
      <c r="F78">
        <v>281.35000000000002</v>
      </c>
      <c r="G78">
        <v>279.71354999999988</v>
      </c>
      <c r="H78">
        <v>281.38944149850272</v>
      </c>
      <c r="I78">
        <v>278.78625405981933</v>
      </c>
      <c r="J78">
        <v>281.69431038549101</v>
      </c>
      <c r="K78">
        <v>281.35000000000002</v>
      </c>
      <c r="L78">
        <v>275.815</v>
      </c>
    </row>
    <row r="79" spans="3:12" x14ac:dyDescent="0.3">
      <c r="C79">
        <v>278.76534539487898</v>
      </c>
      <c r="D79">
        <v>305.20320912903122</v>
      </c>
      <c r="E79">
        <v>279.98340901560692</v>
      </c>
      <c r="F79">
        <v>281.35000000000002</v>
      </c>
      <c r="G79">
        <v>276.18364999999977</v>
      </c>
      <c r="H79">
        <v>278.76534539487898</v>
      </c>
      <c r="I79">
        <v>278.15801901657221</v>
      </c>
      <c r="J79">
        <v>279.06578501879568</v>
      </c>
      <c r="K79">
        <v>281.35000000000002</v>
      </c>
      <c r="L79">
        <v>275.815</v>
      </c>
    </row>
    <row r="80" spans="3:12" x14ac:dyDescent="0.3">
      <c r="C80">
        <v>295.47237428197218</v>
      </c>
      <c r="D80">
        <v>281.62078115051548</v>
      </c>
      <c r="E80">
        <v>284.4888254130322</v>
      </c>
      <c r="F80">
        <v>294.45499999999998</v>
      </c>
      <c r="G80">
        <v>297.26139999999998</v>
      </c>
      <c r="H80">
        <v>295.47237428197218</v>
      </c>
      <c r="I80">
        <v>279.74698943276871</v>
      </c>
      <c r="J80">
        <v>294.50034957284089</v>
      </c>
      <c r="K80">
        <v>295.84500000000003</v>
      </c>
      <c r="L80">
        <v>294.45499999999998</v>
      </c>
    </row>
    <row r="81" spans="3:12" x14ac:dyDescent="0.3">
      <c r="C81">
        <v>295.66456059262202</v>
      </c>
      <c r="D81">
        <v>291.66162892883591</v>
      </c>
      <c r="E81">
        <v>285.42500358713647</v>
      </c>
      <c r="F81">
        <v>293.08499999999998</v>
      </c>
      <c r="G81">
        <v>295.30369999999988</v>
      </c>
      <c r="H81">
        <v>295.66456059262202</v>
      </c>
      <c r="I81">
        <v>280.43633476269872</v>
      </c>
      <c r="J81">
        <v>294.74701887495979</v>
      </c>
      <c r="K81">
        <v>294.60500000000002</v>
      </c>
      <c r="L81">
        <v>293.08499999999998</v>
      </c>
    </row>
    <row r="82" spans="3:12" x14ac:dyDescent="0.3">
      <c r="C82">
        <v>303.07460395789928</v>
      </c>
      <c r="D82">
        <v>311.14920827453898</v>
      </c>
      <c r="E82">
        <v>287.57987597276588</v>
      </c>
      <c r="F82">
        <v>303.55500000000001</v>
      </c>
      <c r="G82">
        <v>302.92579999999992</v>
      </c>
      <c r="H82">
        <v>303.07460395789928</v>
      </c>
      <c r="I82">
        <v>282.10154212146409</v>
      </c>
      <c r="J82">
        <v>300.03767419308298</v>
      </c>
      <c r="K82">
        <v>303.55500000000001</v>
      </c>
      <c r="L82">
        <v>303.55500000000001</v>
      </c>
    </row>
    <row r="83" spans="3:12" x14ac:dyDescent="0.3">
      <c r="C83">
        <v>306.35062176406961</v>
      </c>
      <c r="D83">
        <v>327.49817678039841</v>
      </c>
      <c r="E83">
        <v>289.56421702805193</v>
      </c>
      <c r="F83">
        <v>304.3</v>
      </c>
      <c r="G83">
        <v>303.23829999999981</v>
      </c>
      <c r="H83">
        <v>306.35062176406961</v>
      </c>
      <c r="I83">
        <v>285.67789805273588</v>
      </c>
      <c r="J83">
        <v>302.55321921863373</v>
      </c>
      <c r="K83">
        <v>304.3</v>
      </c>
      <c r="L83">
        <v>302.13499999999999</v>
      </c>
    </row>
    <row r="84" spans="3:12" x14ac:dyDescent="0.3">
      <c r="C84">
        <v>307.87927859662369</v>
      </c>
      <c r="D84">
        <v>327.25130483215622</v>
      </c>
      <c r="E84">
        <v>291.05408839531702</v>
      </c>
      <c r="F84">
        <v>304.3</v>
      </c>
      <c r="G84">
        <v>305.36213999999978</v>
      </c>
      <c r="H84">
        <v>307.87927859662369</v>
      </c>
      <c r="I84">
        <v>288.42433816760013</v>
      </c>
      <c r="J84">
        <v>303.80717071249097</v>
      </c>
      <c r="K84">
        <v>302.13499999999999</v>
      </c>
      <c r="L84">
        <v>302.13499999999999</v>
      </c>
    </row>
    <row r="85" spans="3:12" x14ac:dyDescent="0.3">
      <c r="C85">
        <v>307.18232762222692</v>
      </c>
      <c r="D85">
        <v>315.10509511535929</v>
      </c>
      <c r="E85">
        <v>292.01152955837102</v>
      </c>
      <c r="F85">
        <v>304.3</v>
      </c>
      <c r="G85">
        <v>304.70650499999982</v>
      </c>
      <c r="H85">
        <v>307.18232762222692</v>
      </c>
      <c r="I85">
        <v>289.58110821489299</v>
      </c>
      <c r="J85">
        <v>303.7278447280155</v>
      </c>
      <c r="K85">
        <v>302.13499999999999</v>
      </c>
      <c r="L85">
        <v>302.13499999999999</v>
      </c>
    </row>
    <row r="86" spans="3:12" x14ac:dyDescent="0.3">
      <c r="C86">
        <v>306.60030215109248</v>
      </c>
      <c r="D86">
        <v>313.93906423157023</v>
      </c>
      <c r="E86">
        <v>292.71768481575498</v>
      </c>
      <c r="F86">
        <v>304.3</v>
      </c>
      <c r="G86">
        <v>302.31164999999982</v>
      </c>
      <c r="H86">
        <v>306.60030215109248</v>
      </c>
      <c r="I86">
        <v>288.876070488518</v>
      </c>
      <c r="J86">
        <v>303.57768810312632</v>
      </c>
      <c r="K86">
        <v>302.13499999999999</v>
      </c>
      <c r="L86">
        <v>302.13499999999999</v>
      </c>
    </row>
    <row r="87" spans="3:12" x14ac:dyDescent="0.3">
      <c r="C87">
        <v>305.55009556736911</v>
      </c>
      <c r="D87">
        <v>321.83806630676548</v>
      </c>
      <c r="E87">
        <v>293.19055421579628</v>
      </c>
      <c r="F87">
        <v>303.55500000000001</v>
      </c>
      <c r="G87">
        <v>302.25604999999979</v>
      </c>
      <c r="H87">
        <v>305.55009556736911</v>
      </c>
      <c r="I87">
        <v>287.81871800301042</v>
      </c>
      <c r="J87">
        <v>303.02051256884812</v>
      </c>
      <c r="K87">
        <v>303.55500000000001</v>
      </c>
      <c r="L87">
        <v>303.55500000000001</v>
      </c>
    </row>
    <row r="88" spans="3:12" x14ac:dyDescent="0.3">
      <c r="C88">
        <v>309.74374223223981</v>
      </c>
      <c r="D88">
        <v>348.19347402160929</v>
      </c>
      <c r="E88">
        <v>294.86968647310272</v>
      </c>
      <c r="F88">
        <v>323.5</v>
      </c>
      <c r="G88">
        <v>313.66433999999998</v>
      </c>
      <c r="H88">
        <v>309.74374223223981</v>
      </c>
      <c r="I88">
        <v>290.49071101426222</v>
      </c>
      <c r="J88">
        <v>306.47339236324422</v>
      </c>
      <c r="K88">
        <v>323.5</v>
      </c>
      <c r="L88">
        <v>323.5</v>
      </c>
    </row>
    <row r="89" spans="3:12" x14ac:dyDescent="0.3">
      <c r="C89">
        <v>307.95147575120791</v>
      </c>
      <c r="D89">
        <v>305.8079301983671</v>
      </c>
      <c r="E89">
        <v>295.762327495899</v>
      </c>
      <c r="F89">
        <v>302.13499999999999</v>
      </c>
      <c r="G89">
        <v>304.70180499999992</v>
      </c>
      <c r="H89">
        <v>307.95147575120791</v>
      </c>
      <c r="I89">
        <v>293.19849597477588</v>
      </c>
      <c r="J89">
        <v>306.56334905017411</v>
      </c>
      <c r="K89">
        <v>302.13499999999999</v>
      </c>
      <c r="L89">
        <v>302.13499999999999</v>
      </c>
    </row>
    <row r="90" spans="3:12" x14ac:dyDescent="0.3">
      <c r="C90">
        <v>308.9578810778512</v>
      </c>
      <c r="D90">
        <v>289.55423757141398</v>
      </c>
      <c r="E90">
        <v>296.8208365092467</v>
      </c>
      <c r="F90">
        <v>302.69499999999999</v>
      </c>
      <c r="G90">
        <v>307.91922499999993</v>
      </c>
      <c r="H90">
        <v>308.9578810778512</v>
      </c>
      <c r="I90">
        <v>295.16125869398502</v>
      </c>
      <c r="J90">
        <v>307.99275871155578</v>
      </c>
      <c r="K90">
        <v>308.33499999999998</v>
      </c>
      <c r="L90">
        <v>308.33499999999998</v>
      </c>
    </row>
    <row r="91" spans="3:12" x14ac:dyDescent="0.3">
      <c r="C91">
        <v>310.08705179744999</v>
      </c>
      <c r="D91">
        <v>280.6980669171171</v>
      </c>
      <c r="E91">
        <v>297.85888916709808</v>
      </c>
      <c r="F91">
        <v>323.5</v>
      </c>
      <c r="G91">
        <v>313.11055499999992</v>
      </c>
      <c r="H91">
        <v>310.08705179744999</v>
      </c>
      <c r="I91">
        <v>297.09126625019968</v>
      </c>
      <c r="J91">
        <v>309.4405692533374</v>
      </c>
      <c r="K91">
        <v>323.5</v>
      </c>
      <c r="L91">
        <v>323.5</v>
      </c>
    </row>
    <row r="92" spans="3:12" x14ac:dyDescent="0.3">
      <c r="C92">
        <v>310.50664848943802</v>
      </c>
      <c r="D92">
        <v>258.26476308410929</v>
      </c>
      <c r="E92">
        <v>298.9683971316469</v>
      </c>
      <c r="F92">
        <v>323.5</v>
      </c>
      <c r="G92">
        <v>313.88672000000003</v>
      </c>
      <c r="H92">
        <v>310.50664848943802</v>
      </c>
      <c r="I92">
        <v>303.31821991582899</v>
      </c>
      <c r="J92">
        <v>310.74325406609211</v>
      </c>
      <c r="K92">
        <v>323.5</v>
      </c>
      <c r="L92">
        <v>323.5</v>
      </c>
    </row>
    <row r="93" spans="3:12" x14ac:dyDescent="0.3">
      <c r="C93">
        <v>309.64563672397031</v>
      </c>
      <c r="D93">
        <v>244.22794362610151</v>
      </c>
      <c r="E93">
        <v>299.67697794611632</v>
      </c>
      <c r="F93">
        <v>309.26499999999999</v>
      </c>
      <c r="G93">
        <v>309.11444999999998</v>
      </c>
      <c r="H93">
        <v>309.64563672397031</v>
      </c>
      <c r="I93">
        <v>307.34615353717402</v>
      </c>
      <c r="J93">
        <v>310.88458428623198</v>
      </c>
      <c r="K93">
        <v>309.26499999999999</v>
      </c>
      <c r="L93">
        <v>309.26499999999999</v>
      </c>
    </row>
    <row r="94" spans="3:12" x14ac:dyDescent="0.3">
      <c r="C94">
        <v>310.2135104099716</v>
      </c>
      <c r="D94">
        <v>290.60010549133591</v>
      </c>
      <c r="E94">
        <v>299.80611849581311</v>
      </c>
      <c r="F94">
        <v>323.5</v>
      </c>
      <c r="G94">
        <v>313.96648499999998</v>
      </c>
      <c r="H94">
        <v>310.2135104099716</v>
      </c>
      <c r="I94">
        <v>296.50751528941282</v>
      </c>
      <c r="J94">
        <v>310.95898282479811</v>
      </c>
      <c r="K94">
        <v>323.5</v>
      </c>
      <c r="L94">
        <v>323.5</v>
      </c>
    </row>
    <row r="95" spans="3:12" x14ac:dyDescent="0.3">
      <c r="C95">
        <v>312.46192709247589</v>
      </c>
      <c r="D95">
        <v>289.86521169250773</v>
      </c>
      <c r="E95">
        <v>300.86708442005079</v>
      </c>
      <c r="F95">
        <v>323.5</v>
      </c>
      <c r="G95">
        <v>314.50487500000003</v>
      </c>
      <c r="H95">
        <v>312.46192709247589</v>
      </c>
      <c r="I95">
        <v>300.89463049915349</v>
      </c>
      <c r="J95">
        <v>313.27511143947692</v>
      </c>
      <c r="K95">
        <v>323.5</v>
      </c>
      <c r="L95">
        <v>323.5</v>
      </c>
    </row>
    <row r="96" spans="3:12" x14ac:dyDescent="0.3">
      <c r="C96">
        <v>314.61663333749738</v>
      </c>
      <c r="D96">
        <v>306.90892812317179</v>
      </c>
      <c r="E96">
        <v>301.52360032176091</v>
      </c>
      <c r="F96">
        <v>323.5</v>
      </c>
      <c r="G96">
        <v>314.37644</v>
      </c>
      <c r="H96">
        <v>314.61663333749738</v>
      </c>
      <c r="I96">
        <v>297.472269802499</v>
      </c>
      <c r="J96">
        <v>314.78443611277868</v>
      </c>
      <c r="K96">
        <v>323.5</v>
      </c>
      <c r="L96">
        <v>323.5</v>
      </c>
    </row>
    <row r="97" spans="3:12" x14ac:dyDescent="0.3">
      <c r="C97">
        <v>316.87139674562371</v>
      </c>
      <c r="D97">
        <v>307.01587697571091</v>
      </c>
      <c r="E97">
        <v>302.4691375921625</v>
      </c>
      <c r="F97">
        <v>323.5</v>
      </c>
      <c r="G97">
        <v>319.18375500000002</v>
      </c>
      <c r="H97">
        <v>316.87139674562371</v>
      </c>
      <c r="I97">
        <v>298.77471099748902</v>
      </c>
      <c r="J97">
        <v>316.89072845702759</v>
      </c>
      <c r="K97">
        <v>323.5</v>
      </c>
      <c r="L97">
        <v>323.5</v>
      </c>
    </row>
    <row r="98" spans="3:12" x14ac:dyDescent="0.3">
      <c r="C98">
        <v>318.18223157264691</v>
      </c>
      <c r="D98">
        <v>304.51670095032023</v>
      </c>
      <c r="E98">
        <v>303.3308115695317</v>
      </c>
      <c r="F98">
        <v>323.5</v>
      </c>
      <c r="G98">
        <v>320.73291999999998</v>
      </c>
      <c r="H98">
        <v>318.18223157264691</v>
      </c>
      <c r="I98">
        <v>300.31785161068552</v>
      </c>
      <c r="J98">
        <v>318.5145937097642</v>
      </c>
      <c r="K98">
        <v>323.5</v>
      </c>
      <c r="L98">
        <v>323.5</v>
      </c>
    </row>
    <row r="99" spans="3:12" x14ac:dyDescent="0.3">
      <c r="C99">
        <v>320.13788150752708</v>
      </c>
      <c r="D99">
        <v>291.08667775696091</v>
      </c>
      <c r="E99">
        <v>304.56121431100843</v>
      </c>
      <c r="F99">
        <v>323.5</v>
      </c>
      <c r="G99">
        <v>320.76807000000002</v>
      </c>
      <c r="H99">
        <v>320.13788150752708</v>
      </c>
      <c r="I99">
        <v>308.11261444613382</v>
      </c>
      <c r="J99">
        <v>321.07169930660069</v>
      </c>
      <c r="K99">
        <v>323.5</v>
      </c>
      <c r="L99">
        <v>323.5</v>
      </c>
    </row>
    <row r="100" spans="3:12" x14ac:dyDescent="0.3">
      <c r="C100">
        <v>314.50488365979982</v>
      </c>
      <c r="D100">
        <v>313.5169145733671</v>
      </c>
      <c r="E100">
        <v>303.58648904908858</v>
      </c>
      <c r="F100">
        <v>323.5</v>
      </c>
      <c r="G100">
        <v>313.97073999999998</v>
      </c>
      <c r="H100">
        <v>314.50488365979982</v>
      </c>
      <c r="I100">
        <v>294.76181802889272</v>
      </c>
      <c r="J100">
        <v>316.11172317278078</v>
      </c>
      <c r="K100">
        <v>323.5</v>
      </c>
      <c r="L100">
        <v>323.5</v>
      </c>
    </row>
    <row r="101" spans="3:12" x14ac:dyDescent="0.3">
      <c r="C101">
        <v>323.11094220998871</v>
      </c>
      <c r="D101">
        <v>317.24044057434372</v>
      </c>
      <c r="E101">
        <v>305.97182410133638</v>
      </c>
      <c r="F101">
        <v>324.16500000000002</v>
      </c>
      <c r="G101">
        <v>327.86218500000041</v>
      </c>
      <c r="H101">
        <v>323.11094220998871</v>
      </c>
      <c r="I101">
        <v>307.10879023883422</v>
      </c>
      <c r="J101">
        <v>324.17756676826178</v>
      </c>
      <c r="K101">
        <v>324.16500000000002</v>
      </c>
      <c r="L101">
        <v>331.59500000000003</v>
      </c>
    </row>
    <row r="102" spans="3:12" x14ac:dyDescent="0.3">
      <c r="C102">
        <v>323.45648341163218</v>
      </c>
      <c r="D102">
        <v>338.97820302551548</v>
      </c>
      <c r="E102">
        <v>306.58778481608857</v>
      </c>
      <c r="F102">
        <v>324.16500000000002</v>
      </c>
      <c r="G102">
        <v>328.09858500000041</v>
      </c>
      <c r="H102">
        <v>323.45648341163218</v>
      </c>
      <c r="I102">
        <v>305.72895073560107</v>
      </c>
      <c r="J102">
        <v>324.89195107543162</v>
      </c>
      <c r="K102">
        <v>324.16500000000002</v>
      </c>
      <c r="L102">
        <v>331.59500000000003</v>
      </c>
    </row>
    <row r="103" spans="3:12" x14ac:dyDescent="0.3">
      <c r="C103">
        <v>334.64257346755772</v>
      </c>
      <c r="D103">
        <v>354.08371755188273</v>
      </c>
      <c r="E103">
        <v>309.45909079596652</v>
      </c>
      <c r="F103">
        <v>337.005</v>
      </c>
      <c r="G103">
        <v>336.82355000000001</v>
      </c>
      <c r="H103">
        <v>334.64257346755772</v>
      </c>
      <c r="I103">
        <v>333.77853292441381</v>
      </c>
      <c r="J103">
        <v>331.55177488765719</v>
      </c>
      <c r="K103">
        <v>336.14</v>
      </c>
      <c r="L103">
        <v>337.005</v>
      </c>
    </row>
    <row r="104" spans="3:12" x14ac:dyDescent="0.3">
      <c r="C104">
        <v>331.57275696594968</v>
      </c>
      <c r="D104">
        <v>358.08086415832798</v>
      </c>
      <c r="E104">
        <v>309.75465913867822</v>
      </c>
      <c r="F104">
        <v>336.51</v>
      </c>
      <c r="G104">
        <v>334.35169999999988</v>
      </c>
      <c r="H104">
        <v>331.57275696594968</v>
      </c>
      <c r="I104">
        <v>323.62709865669382</v>
      </c>
      <c r="J104">
        <v>331.14062888152739</v>
      </c>
      <c r="K104">
        <v>336.51</v>
      </c>
      <c r="L104">
        <v>329.36500000000001</v>
      </c>
    </row>
    <row r="105" spans="3:12" x14ac:dyDescent="0.3">
      <c r="C105">
        <v>325.53109568076519</v>
      </c>
      <c r="D105">
        <v>347.57056447571091</v>
      </c>
      <c r="E105">
        <v>309.25440456297628</v>
      </c>
      <c r="F105">
        <v>324.16500000000002</v>
      </c>
      <c r="G105">
        <v>327.90105000000023</v>
      </c>
      <c r="H105">
        <v>325.53109568076519</v>
      </c>
      <c r="I105">
        <v>311.9388739866659</v>
      </c>
      <c r="J105">
        <v>327.82254100087448</v>
      </c>
      <c r="K105">
        <v>324.16500000000002</v>
      </c>
      <c r="L105">
        <v>331.59500000000003</v>
      </c>
    </row>
    <row r="106" spans="3:12" x14ac:dyDescent="0.3">
      <c r="C106">
        <v>333.06430673204108</v>
      </c>
      <c r="D106">
        <v>340.13613149231242</v>
      </c>
      <c r="E106">
        <v>311.07952032886902</v>
      </c>
      <c r="F106">
        <v>336.79</v>
      </c>
      <c r="G106">
        <v>334.58060000000012</v>
      </c>
      <c r="H106">
        <v>333.06430673204108</v>
      </c>
      <c r="I106">
        <v>323.03260932306239</v>
      </c>
      <c r="J106">
        <v>332.97809105082518</v>
      </c>
      <c r="K106">
        <v>336.51</v>
      </c>
      <c r="L106">
        <v>329.36500000000001</v>
      </c>
    </row>
    <row r="107" spans="3:12" x14ac:dyDescent="0.3">
      <c r="C107">
        <v>334.216023892838</v>
      </c>
      <c r="D107">
        <v>310.49211904114048</v>
      </c>
      <c r="E107">
        <v>312.05930160549377</v>
      </c>
      <c r="F107">
        <v>339.23</v>
      </c>
      <c r="G107">
        <v>335.76440000000008</v>
      </c>
      <c r="H107">
        <v>334.216023892838</v>
      </c>
      <c r="I107">
        <v>328.83788107674178</v>
      </c>
      <c r="J107">
        <v>334.15087571883362</v>
      </c>
      <c r="K107">
        <v>337.005</v>
      </c>
      <c r="L107">
        <v>335.88499999999999</v>
      </c>
    </row>
    <row r="108" spans="3:12" x14ac:dyDescent="0.3">
      <c r="C108">
        <v>334.52586787246292</v>
      </c>
      <c r="D108">
        <v>262.70671865051548</v>
      </c>
      <c r="E108">
        <v>312.75614699589391</v>
      </c>
      <c r="F108">
        <v>339.23</v>
      </c>
      <c r="G108">
        <v>335.77645000000012</v>
      </c>
      <c r="H108">
        <v>334.52586787246292</v>
      </c>
      <c r="I108">
        <v>331.09499885569238</v>
      </c>
      <c r="J108">
        <v>334.68944299144192</v>
      </c>
      <c r="K108">
        <v>337.005</v>
      </c>
      <c r="L108">
        <v>335.88499999999999</v>
      </c>
    </row>
    <row r="109" spans="3:12" x14ac:dyDescent="0.3">
      <c r="C109">
        <v>331.00136298092838</v>
      </c>
      <c r="D109">
        <v>203.98116323059369</v>
      </c>
      <c r="E109">
        <v>312.64049855830098</v>
      </c>
      <c r="F109">
        <v>336.79</v>
      </c>
      <c r="G109">
        <v>333.85064999999997</v>
      </c>
      <c r="H109">
        <v>331.00136298092838</v>
      </c>
      <c r="I109">
        <v>324.32579984261457</v>
      </c>
      <c r="J109">
        <v>333.20976931893949</v>
      </c>
      <c r="K109">
        <v>336.79</v>
      </c>
      <c r="L109">
        <v>336.79</v>
      </c>
    </row>
    <row r="110" spans="3:12" x14ac:dyDescent="0.3">
      <c r="C110">
        <v>323.63125750174652</v>
      </c>
      <c r="D110">
        <v>148.11429616516401</v>
      </c>
      <c r="E110">
        <v>311.62367696725141</v>
      </c>
      <c r="F110">
        <v>324.16500000000002</v>
      </c>
      <c r="G110">
        <v>327.82015000000018</v>
      </c>
      <c r="H110">
        <v>323.63125750174652</v>
      </c>
      <c r="I110">
        <v>315.75146498022468</v>
      </c>
      <c r="J110">
        <v>328.3270496403191</v>
      </c>
      <c r="K110">
        <v>327.11500000000001</v>
      </c>
      <c r="L110">
        <v>331.59500000000003</v>
      </c>
    </row>
    <row r="111" spans="3:12" x14ac:dyDescent="0.3">
      <c r="C111">
        <v>324.11264896101909</v>
      </c>
      <c r="D111">
        <v>115.89627858703901</v>
      </c>
      <c r="E111">
        <v>311.81216848118129</v>
      </c>
      <c r="F111">
        <v>324.16500000000002</v>
      </c>
      <c r="G111">
        <v>327.76260000000002</v>
      </c>
      <c r="H111">
        <v>324.11264896101909</v>
      </c>
      <c r="I111">
        <v>314.47505041039949</v>
      </c>
      <c r="J111">
        <v>329.19421352304602</v>
      </c>
      <c r="K111">
        <v>327.11500000000001</v>
      </c>
      <c r="L111">
        <v>331.59500000000003</v>
      </c>
    </row>
    <row r="112" spans="3:12" x14ac:dyDescent="0.3">
      <c r="C112">
        <v>327.48188436846789</v>
      </c>
      <c r="D112">
        <v>94.510841575320228</v>
      </c>
      <c r="E112">
        <v>312.52618347494058</v>
      </c>
      <c r="F112">
        <v>333.27499999999998</v>
      </c>
      <c r="G112">
        <v>333.27824999999979</v>
      </c>
      <c r="H112">
        <v>327.48188436846789</v>
      </c>
      <c r="I112">
        <v>316.0915958654648</v>
      </c>
      <c r="J112">
        <v>332.18598928600062</v>
      </c>
      <c r="K112">
        <v>333.35500000000002</v>
      </c>
      <c r="L112">
        <v>333.3</v>
      </c>
    </row>
    <row r="113" spans="3:12" x14ac:dyDescent="0.3">
      <c r="C113">
        <v>333.11579254031858</v>
      </c>
      <c r="D113">
        <v>91.003776755984291</v>
      </c>
      <c r="E113">
        <v>313.64068542264562</v>
      </c>
      <c r="F113">
        <v>333.27499999999998</v>
      </c>
      <c r="G113">
        <v>334.01260000000002</v>
      </c>
      <c r="H113">
        <v>333.11579254031858</v>
      </c>
      <c r="I113">
        <v>321.99595427543198</v>
      </c>
      <c r="J113">
        <v>336.08888243614041</v>
      </c>
      <c r="K113">
        <v>333.27499999999998</v>
      </c>
      <c r="L113">
        <v>333.3</v>
      </c>
    </row>
    <row r="114" spans="3:12" x14ac:dyDescent="0.3">
      <c r="C114">
        <v>333.61006189554621</v>
      </c>
      <c r="D114">
        <v>68.172844138796791</v>
      </c>
      <c r="E114">
        <v>314.34690809882028</v>
      </c>
      <c r="F114">
        <v>333.27499999999998</v>
      </c>
      <c r="G114">
        <v>334.07060000000013</v>
      </c>
      <c r="H114">
        <v>333.61006189554621</v>
      </c>
      <c r="I114">
        <v>325.37124372199742</v>
      </c>
      <c r="J114">
        <v>337.49347913324789</v>
      </c>
      <c r="K114">
        <v>333.27499999999998</v>
      </c>
      <c r="L114">
        <v>333.3</v>
      </c>
    </row>
    <row r="115" spans="3:12" x14ac:dyDescent="0.3">
      <c r="C115">
        <v>336.50429237877142</v>
      </c>
      <c r="D115">
        <v>70.090553489382728</v>
      </c>
      <c r="E115">
        <v>314.86211119574489</v>
      </c>
      <c r="F115">
        <v>341.44500000000011</v>
      </c>
      <c r="G115">
        <v>337.94439999999997</v>
      </c>
      <c r="H115">
        <v>336.50429237877142</v>
      </c>
      <c r="I115">
        <v>328.37277342735979</v>
      </c>
      <c r="J115">
        <v>338.3151405151466</v>
      </c>
      <c r="K115">
        <v>341.44500000000011</v>
      </c>
      <c r="L115">
        <v>339.23</v>
      </c>
    </row>
    <row r="116" spans="3:12" x14ac:dyDescent="0.3">
      <c r="C116">
        <v>349.89979122181808</v>
      </c>
      <c r="D116">
        <v>52.358986106570228</v>
      </c>
      <c r="E116">
        <v>317.01703184324788</v>
      </c>
      <c r="F116">
        <v>339.21499999999997</v>
      </c>
      <c r="G116">
        <v>340.6428499999999</v>
      </c>
      <c r="H116">
        <v>349.89979122181808</v>
      </c>
      <c r="I116">
        <v>353.49762027747499</v>
      </c>
      <c r="J116">
        <v>341.97275880097641</v>
      </c>
      <c r="K116">
        <v>339.21499999999997</v>
      </c>
      <c r="L116">
        <v>341.14</v>
      </c>
    </row>
    <row r="117" spans="3:12" x14ac:dyDescent="0.3">
      <c r="C117">
        <v>338.58516257155782</v>
      </c>
      <c r="D117">
        <v>78.173515525515541</v>
      </c>
      <c r="E117">
        <v>315.6729757618437</v>
      </c>
      <c r="F117">
        <v>325.08</v>
      </c>
      <c r="G117">
        <v>339.05274999999989</v>
      </c>
      <c r="H117">
        <v>338.58516257155782</v>
      </c>
      <c r="I117">
        <v>340.99735559649321</v>
      </c>
      <c r="J117">
        <v>335.63878239817871</v>
      </c>
      <c r="K117">
        <v>336.26</v>
      </c>
      <c r="L117">
        <v>336.26</v>
      </c>
    </row>
    <row r="118" spans="3:12" x14ac:dyDescent="0.3">
      <c r="C118">
        <v>335.68107697397397</v>
      </c>
      <c r="D118">
        <v>123.4074937969999</v>
      </c>
      <c r="E118">
        <v>315.68566661973938</v>
      </c>
      <c r="F118">
        <v>325.08</v>
      </c>
      <c r="G118">
        <v>338.09719999999999</v>
      </c>
      <c r="H118">
        <v>335.68107697397397</v>
      </c>
      <c r="I118">
        <v>337.08147374663048</v>
      </c>
      <c r="J118">
        <v>335.18238224805179</v>
      </c>
      <c r="K118">
        <v>336.26</v>
      </c>
      <c r="L118">
        <v>336.26</v>
      </c>
    </row>
    <row r="119" spans="3:12" x14ac:dyDescent="0.3">
      <c r="C119">
        <v>333.65462647790628</v>
      </c>
      <c r="D119">
        <v>118.6481401593046</v>
      </c>
      <c r="E119">
        <v>315.87267069415338</v>
      </c>
      <c r="F119">
        <v>323.15499999999997</v>
      </c>
      <c r="G119">
        <v>333.51999999999992</v>
      </c>
      <c r="H119">
        <v>333.65462647790628</v>
      </c>
      <c r="I119">
        <v>332.06981450482851</v>
      </c>
      <c r="J119">
        <v>335.97920456983348</v>
      </c>
      <c r="K119">
        <v>323.15499999999997</v>
      </c>
      <c r="L119">
        <v>326.44</v>
      </c>
    </row>
    <row r="120" spans="3:12" x14ac:dyDescent="0.3">
      <c r="C120">
        <v>333.73460030306768</v>
      </c>
      <c r="D120">
        <v>142.1562273175077</v>
      </c>
      <c r="E120">
        <v>315.75904406831592</v>
      </c>
      <c r="F120">
        <v>323.15499999999997</v>
      </c>
      <c r="G120">
        <v>332.10710000000012</v>
      </c>
      <c r="H120">
        <v>333.73460030306768</v>
      </c>
      <c r="I120">
        <v>335.17700707124078</v>
      </c>
      <c r="J120">
        <v>334.74897808097182</v>
      </c>
      <c r="K120">
        <v>323.15499999999997</v>
      </c>
      <c r="L120">
        <v>326.44</v>
      </c>
    </row>
    <row r="121" spans="3:12" x14ac:dyDescent="0.3">
      <c r="C121">
        <v>332.88502665758841</v>
      </c>
      <c r="D121">
        <v>157.21782704895301</v>
      </c>
      <c r="E121">
        <v>315.74912342361688</v>
      </c>
      <c r="F121">
        <v>323.15499999999997</v>
      </c>
      <c r="G121">
        <v>332.37799999999987</v>
      </c>
      <c r="H121">
        <v>332.88502665758841</v>
      </c>
      <c r="I121">
        <v>334.58018011841313</v>
      </c>
      <c r="J121">
        <v>334.34736422178281</v>
      </c>
      <c r="K121">
        <v>323.15499999999997</v>
      </c>
      <c r="L121">
        <v>326.44</v>
      </c>
    </row>
    <row r="122" spans="3:12" x14ac:dyDescent="0.3">
      <c r="C122">
        <v>331.10195497881739</v>
      </c>
      <c r="D122">
        <v>170.80962392395301</v>
      </c>
      <c r="E122">
        <v>315.59441564804962</v>
      </c>
      <c r="F122">
        <v>323.15499999999997</v>
      </c>
      <c r="G122">
        <v>331.63549999999992</v>
      </c>
      <c r="H122">
        <v>331.10195497881739</v>
      </c>
      <c r="I122">
        <v>332.7548409650903</v>
      </c>
      <c r="J122">
        <v>333.43304508010539</v>
      </c>
      <c r="K122">
        <v>323.15499999999997</v>
      </c>
      <c r="L122">
        <v>326.44</v>
      </c>
    </row>
    <row r="123" spans="3:12" x14ac:dyDescent="0.3">
      <c r="C123">
        <v>333.31663888178548</v>
      </c>
      <c r="D123">
        <v>176.08997365539841</v>
      </c>
      <c r="E123">
        <v>316.20345950915339</v>
      </c>
      <c r="F123">
        <v>323.15499999999997</v>
      </c>
      <c r="G123">
        <v>332.1712500000001</v>
      </c>
      <c r="H123">
        <v>333.31663888178548</v>
      </c>
      <c r="I123">
        <v>331.42595793659791</v>
      </c>
      <c r="J123">
        <v>336.46356998884193</v>
      </c>
      <c r="K123">
        <v>323.15499999999997</v>
      </c>
      <c r="L123">
        <v>326.44</v>
      </c>
    </row>
    <row r="124" spans="3:12" x14ac:dyDescent="0.3">
      <c r="C124">
        <v>333.96499275963407</v>
      </c>
      <c r="D124">
        <v>172.1106950909452</v>
      </c>
      <c r="E124">
        <v>316.81118044001971</v>
      </c>
      <c r="F124">
        <v>343.32499999999999</v>
      </c>
      <c r="G124">
        <v>335.26580000000001</v>
      </c>
      <c r="H124">
        <v>333.96499275963407</v>
      </c>
      <c r="I124">
        <v>333.23985195873598</v>
      </c>
      <c r="J124">
        <v>338.59411890103598</v>
      </c>
      <c r="K124">
        <v>339.71499999999997</v>
      </c>
      <c r="L124">
        <v>339.52499999999998</v>
      </c>
    </row>
    <row r="125" spans="3:12" x14ac:dyDescent="0.3">
      <c r="C125">
        <v>336.84457762801111</v>
      </c>
      <c r="D125">
        <v>168.90288564270301</v>
      </c>
      <c r="E125">
        <v>317.32127438894742</v>
      </c>
      <c r="F125">
        <v>339.52499999999998</v>
      </c>
      <c r="G125">
        <v>338.68129999999991</v>
      </c>
      <c r="H125">
        <v>336.84457762801111</v>
      </c>
      <c r="I125">
        <v>338.97196151526208</v>
      </c>
      <c r="J125">
        <v>339.78411072437927</v>
      </c>
      <c r="K125">
        <v>339.52499999999998</v>
      </c>
      <c r="L125">
        <v>339.52499999999998</v>
      </c>
    </row>
    <row r="126" spans="3:12" x14ac:dyDescent="0.3">
      <c r="C126">
        <v>338.10325393952081</v>
      </c>
      <c r="D126">
        <v>148.26226064270301</v>
      </c>
      <c r="E126">
        <v>317.54832271815133</v>
      </c>
      <c r="F126">
        <v>339.71499999999997</v>
      </c>
      <c r="G126">
        <v>338.30554999999993</v>
      </c>
      <c r="H126">
        <v>338.10325393952081</v>
      </c>
      <c r="I126">
        <v>340.85900952700251</v>
      </c>
      <c r="J126">
        <v>339.79609776521568</v>
      </c>
      <c r="K126">
        <v>339.52499999999998</v>
      </c>
      <c r="L126">
        <v>339.52499999999998</v>
      </c>
    </row>
    <row r="127" spans="3:12" x14ac:dyDescent="0.3">
      <c r="C127">
        <v>334.27558208385159</v>
      </c>
      <c r="D127">
        <v>125.2606432110624</v>
      </c>
      <c r="E127">
        <v>316.8324250826405</v>
      </c>
      <c r="F127">
        <v>329.75</v>
      </c>
      <c r="G127">
        <v>332.43129999999991</v>
      </c>
      <c r="H127">
        <v>334.27558208385159</v>
      </c>
      <c r="I127">
        <v>335.74042173373653</v>
      </c>
      <c r="J127">
        <v>335.92988800452252</v>
      </c>
      <c r="K127">
        <v>331.28500000000003</v>
      </c>
      <c r="L127">
        <v>325.08</v>
      </c>
    </row>
    <row r="128" spans="3:12" x14ac:dyDescent="0.3">
      <c r="C128">
        <v>336.56229538387169</v>
      </c>
      <c r="D128">
        <v>92.949562278445228</v>
      </c>
      <c r="E128">
        <v>317.24852236672319</v>
      </c>
      <c r="F128">
        <v>339.71499999999997</v>
      </c>
      <c r="G128">
        <v>336.65034999999989</v>
      </c>
      <c r="H128">
        <v>336.56229538387169</v>
      </c>
      <c r="I128">
        <v>338.41047441898752</v>
      </c>
      <c r="J128">
        <v>337.36880584108371</v>
      </c>
      <c r="K128">
        <v>339.52499999999998</v>
      </c>
      <c r="L128">
        <v>339.52499999999998</v>
      </c>
    </row>
    <row r="129" spans="3:12" x14ac:dyDescent="0.3">
      <c r="C129">
        <v>339.14826576121771</v>
      </c>
      <c r="D129">
        <v>70.172218528445228</v>
      </c>
      <c r="E129">
        <v>317.56439524589302</v>
      </c>
      <c r="F129">
        <v>325.08</v>
      </c>
      <c r="G129">
        <v>335.96924999999987</v>
      </c>
      <c r="H129">
        <v>339.14826576121771</v>
      </c>
      <c r="I129">
        <v>342.22259859593692</v>
      </c>
      <c r="J129">
        <v>337.87402063920803</v>
      </c>
      <c r="K129">
        <v>331.28500000000003</v>
      </c>
      <c r="L129">
        <v>325.08</v>
      </c>
    </row>
    <row r="130" spans="3:12" x14ac:dyDescent="0.3">
      <c r="C130">
        <v>333.32841912686962</v>
      </c>
      <c r="D130">
        <v>124.64302846496869</v>
      </c>
      <c r="E130">
        <v>315.77548982754831</v>
      </c>
      <c r="F130">
        <v>334.89499999999998</v>
      </c>
      <c r="G130">
        <v>332.61315000000002</v>
      </c>
      <c r="H130">
        <v>333.32841912686962</v>
      </c>
      <c r="I130">
        <v>361.37124183369269</v>
      </c>
      <c r="J130">
        <v>325.13980946825768</v>
      </c>
      <c r="K130">
        <v>336.84</v>
      </c>
      <c r="L130">
        <v>342.49</v>
      </c>
    </row>
    <row r="131" spans="3:12" x14ac:dyDescent="0.3">
      <c r="C131">
        <v>330.24350508822067</v>
      </c>
      <c r="D131">
        <v>160.91188832824989</v>
      </c>
      <c r="E131">
        <v>315.93937392069648</v>
      </c>
      <c r="F131">
        <v>328.78500000000003</v>
      </c>
      <c r="G131">
        <v>330.70514999999978</v>
      </c>
      <c r="H131">
        <v>330.24350508822067</v>
      </c>
      <c r="I131">
        <v>341.27028078442481</v>
      </c>
      <c r="J131">
        <v>328.28772248701551</v>
      </c>
      <c r="K131">
        <v>329.73</v>
      </c>
      <c r="L131">
        <v>329.73</v>
      </c>
    </row>
    <row r="132" spans="3:12" x14ac:dyDescent="0.3">
      <c r="C132">
        <v>335.75662929469109</v>
      </c>
      <c r="D132">
        <v>187.60485097473429</v>
      </c>
      <c r="E132">
        <v>317.18908335716992</v>
      </c>
      <c r="F132">
        <v>325.08</v>
      </c>
      <c r="G132">
        <v>334.84654999999998</v>
      </c>
      <c r="H132">
        <v>335.75662929469109</v>
      </c>
      <c r="I132">
        <v>338.21600831546789</v>
      </c>
      <c r="J132">
        <v>335.81273510813702</v>
      </c>
      <c r="K132">
        <v>325.08</v>
      </c>
      <c r="L132">
        <v>325.08</v>
      </c>
    </row>
    <row r="133" spans="3:12" x14ac:dyDescent="0.3">
      <c r="C133">
        <v>338.8235310325594</v>
      </c>
      <c r="D133">
        <v>201.53752919739051</v>
      </c>
      <c r="E133">
        <v>317.9083410397397</v>
      </c>
      <c r="F133">
        <v>339.71499999999997</v>
      </c>
      <c r="G133">
        <v>336.23509999999987</v>
      </c>
      <c r="H133">
        <v>338.8235310325594</v>
      </c>
      <c r="I133">
        <v>344.87463175859028</v>
      </c>
      <c r="J133">
        <v>338.3950078060069</v>
      </c>
      <c r="K133">
        <v>339.52499999999998</v>
      </c>
      <c r="L133">
        <v>338.05</v>
      </c>
    </row>
    <row r="134" spans="3:12" x14ac:dyDescent="0.3">
      <c r="C134">
        <v>346.63613515301671</v>
      </c>
      <c r="D134">
        <v>224.0927202374296</v>
      </c>
      <c r="E134">
        <v>319.06524811306991</v>
      </c>
      <c r="F134">
        <v>339.71499999999997</v>
      </c>
      <c r="G134">
        <v>336.90859999999992</v>
      </c>
      <c r="H134">
        <v>346.63613515301671</v>
      </c>
      <c r="I134">
        <v>364.13209016872003</v>
      </c>
      <c r="J134">
        <v>340.69411497959049</v>
      </c>
      <c r="K134">
        <v>339.52499999999998</v>
      </c>
      <c r="L134">
        <v>338.05</v>
      </c>
    </row>
    <row r="135" spans="3:12" x14ac:dyDescent="0.3">
      <c r="C135">
        <v>345.07605688916988</v>
      </c>
      <c r="D135">
        <v>246.5809099346952</v>
      </c>
      <c r="E135">
        <v>319.11894654891557</v>
      </c>
      <c r="F135">
        <v>338.05</v>
      </c>
      <c r="G135">
        <v>336.80784999999992</v>
      </c>
      <c r="H135">
        <v>345.07605688916988</v>
      </c>
      <c r="I135">
        <v>360.76856274287491</v>
      </c>
      <c r="J135">
        <v>339.6308841119282</v>
      </c>
      <c r="K135">
        <v>338.05</v>
      </c>
      <c r="L135">
        <v>338.05</v>
      </c>
    </row>
    <row r="136" spans="3:12" x14ac:dyDescent="0.3">
      <c r="C136">
        <v>345.37776399275037</v>
      </c>
      <c r="D136">
        <v>240.22197743957801</v>
      </c>
      <c r="E136">
        <v>319.47232754773091</v>
      </c>
      <c r="F136">
        <v>338.05</v>
      </c>
      <c r="G136">
        <v>336.76400000000001</v>
      </c>
      <c r="H136">
        <v>345.37776399275037</v>
      </c>
      <c r="I136">
        <v>366.77831451951482</v>
      </c>
      <c r="J136">
        <v>338.94774820235301</v>
      </c>
      <c r="K136">
        <v>338.05</v>
      </c>
      <c r="L136">
        <v>338.05</v>
      </c>
    </row>
    <row r="137" spans="3:12" x14ac:dyDescent="0.3">
      <c r="C137">
        <v>360.16479840239907</v>
      </c>
      <c r="D137">
        <v>245.59774037903119</v>
      </c>
      <c r="E137">
        <v>321.05745698737041</v>
      </c>
      <c r="F137">
        <v>338.05</v>
      </c>
      <c r="G137">
        <v>336.53334999999993</v>
      </c>
      <c r="H137">
        <v>360.16479840239907</v>
      </c>
      <c r="I137">
        <v>409.84644820466428</v>
      </c>
      <c r="J137">
        <v>337.24802372613982</v>
      </c>
      <c r="K137">
        <v>338.05</v>
      </c>
      <c r="L137">
        <v>338.05</v>
      </c>
    </row>
    <row r="138" spans="3:12" x14ac:dyDescent="0.3">
      <c r="C138">
        <v>352.87356991270337</v>
      </c>
      <c r="D138">
        <v>210.66350575989051</v>
      </c>
      <c r="E138">
        <v>320.62263088328228</v>
      </c>
      <c r="F138">
        <v>338.05</v>
      </c>
      <c r="G138">
        <v>336.60549999999989</v>
      </c>
      <c r="H138">
        <v>352.87356991270337</v>
      </c>
      <c r="I138">
        <v>382.29250929938229</v>
      </c>
      <c r="J138">
        <v>336.55406626843433</v>
      </c>
      <c r="K138">
        <v>338.05</v>
      </c>
      <c r="L138">
        <v>338.05</v>
      </c>
    </row>
    <row r="139" spans="3:12" x14ac:dyDescent="0.3">
      <c r="C139">
        <v>348.62146764594979</v>
      </c>
      <c r="D139">
        <v>201.88011952942179</v>
      </c>
      <c r="E139">
        <v>320.3047381197033</v>
      </c>
      <c r="F139">
        <v>338.05</v>
      </c>
      <c r="G139">
        <v>336.57094999999993</v>
      </c>
      <c r="H139">
        <v>348.62146764594979</v>
      </c>
      <c r="I139">
        <v>372.43161799192347</v>
      </c>
      <c r="J139">
        <v>334.82512563032662</v>
      </c>
      <c r="K139">
        <v>338.05</v>
      </c>
      <c r="L139">
        <v>338.05</v>
      </c>
    </row>
    <row r="140" spans="3:12" x14ac:dyDescent="0.3">
      <c r="C140">
        <v>345.28805912209901</v>
      </c>
      <c r="D140">
        <v>201.20168325012489</v>
      </c>
      <c r="E140">
        <v>320.04437907537653</v>
      </c>
      <c r="F140">
        <v>338.05</v>
      </c>
      <c r="G140">
        <v>336.47844999999978</v>
      </c>
      <c r="H140">
        <v>345.28805912209901</v>
      </c>
      <c r="I140">
        <v>367.56608306269311</v>
      </c>
      <c r="J140">
        <v>333.3174256315466</v>
      </c>
      <c r="K140">
        <v>338.05</v>
      </c>
      <c r="L140">
        <v>338.05</v>
      </c>
    </row>
    <row r="141" spans="3:12" x14ac:dyDescent="0.3">
      <c r="C141">
        <v>346.57321915492508</v>
      </c>
      <c r="D141">
        <v>194.45452138489051</v>
      </c>
      <c r="E141">
        <v>320.42355445907492</v>
      </c>
      <c r="F141">
        <v>338.05</v>
      </c>
      <c r="G141">
        <v>336.53834999999992</v>
      </c>
      <c r="H141">
        <v>346.57321915492508</v>
      </c>
      <c r="I141">
        <v>373.08952389859968</v>
      </c>
      <c r="J141">
        <v>333.6393908259522</v>
      </c>
      <c r="K141">
        <v>338.05</v>
      </c>
      <c r="L141">
        <v>338.05</v>
      </c>
    </row>
    <row r="142" spans="3:12" x14ac:dyDescent="0.3">
      <c r="C142">
        <v>341.01947829813111</v>
      </c>
      <c r="D142">
        <v>183.24105092590619</v>
      </c>
      <c r="E142">
        <v>319.79576576661981</v>
      </c>
      <c r="F142">
        <v>336.26</v>
      </c>
      <c r="G142">
        <v>336.17549999999977</v>
      </c>
      <c r="H142">
        <v>341.01947829813111</v>
      </c>
      <c r="I142">
        <v>362.35115195184079</v>
      </c>
      <c r="J142">
        <v>331.52009296081189</v>
      </c>
      <c r="K142">
        <v>329.75</v>
      </c>
      <c r="L142">
        <v>325.08</v>
      </c>
    </row>
    <row r="143" spans="3:12" x14ac:dyDescent="0.3">
      <c r="C143">
        <v>339.63758570960522</v>
      </c>
      <c r="D143">
        <v>153.41481801574989</v>
      </c>
      <c r="E143">
        <v>319.56564056768752</v>
      </c>
      <c r="F143">
        <v>336.26</v>
      </c>
      <c r="G143">
        <v>335.10904999999991</v>
      </c>
      <c r="H143">
        <v>339.63758570960522</v>
      </c>
      <c r="I143">
        <v>361.04162937114131</v>
      </c>
      <c r="J143">
        <v>330.60778328806907</v>
      </c>
      <c r="K143">
        <v>329.75</v>
      </c>
      <c r="L143">
        <v>325.08</v>
      </c>
    </row>
    <row r="144" spans="3:12" x14ac:dyDescent="0.3">
      <c r="C144">
        <v>333.27754021822221</v>
      </c>
      <c r="D144">
        <v>120.15731069153119</v>
      </c>
      <c r="E144">
        <v>318.96781626680672</v>
      </c>
      <c r="F144">
        <v>316.83</v>
      </c>
      <c r="G144">
        <v>328.55774999999988</v>
      </c>
      <c r="H144">
        <v>333.27754021822221</v>
      </c>
      <c r="I144">
        <v>351.77047421046211</v>
      </c>
      <c r="J144">
        <v>328.68238525075577</v>
      </c>
      <c r="K144">
        <v>316.83</v>
      </c>
      <c r="L144">
        <v>316.83</v>
      </c>
    </row>
    <row r="145" spans="3:12" x14ac:dyDescent="0.3">
      <c r="C145">
        <v>336.33366896175153</v>
      </c>
      <c r="D145">
        <v>100.98824330871869</v>
      </c>
      <c r="E145">
        <v>319.37574033897721</v>
      </c>
      <c r="F145">
        <v>338.05</v>
      </c>
      <c r="G145">
        <v>334.47404999999969</v>
      </c>
      <c r="H145">
        <v>336.33366896175153</v>
      </c>
      <c r="I145">
        <v>359.36703742031278</v>
      </c>
      <c r="J145">
        <v>330.71010478379219</v>
      </c>
      <c r="K145">
        <v>338.05</v>
      </c>
      <c r="L145">
        <v>338.05</v>
      </c>
    </row>
    <row r="146" spans="3:12" x14ac:dyDescent="0.3">
      <c r="C146">
        <v>334.36710439976503</v>
      </c>
      <c r="D146">
        <v>109.8097002178984</v>
      </c>
      <c r="E146">
        <v>318.86766079339247</v>
      </c>
      <c r="F146">
        <v>336.26</v>
      </c>
      <c r="G146">
        <v>330.21730000000002</v>
      </c>
      <c r="H146">
        <v>334.36710439976503</v>
      </c>
      <c r="I146">
        <v>355.27890289542643</v>
      </c>
      <c r="J146">
        <v>328.66816349029159</v>
      </c>
      <c r="K146">
        <v>325.08</v>
      </c>
      <c r="L146">
        <v>325.08</v>
      </c>
    </row>
    <row r="147" spans="3:12" x14ac:dyDescent="0.3">
      <c r="C147">
        <v>332.61316667289071</v>
      </c>
      <c r="D147">
        <v>116.743461814578</v>
      </c>
      <c r="E147">
        <v>318.3997868528453</v>
      </c>
      <c r="F147">
        <v>316.83</v>
      </c>
      <c r="G147">
        <v>329.35309999999981</v>
      </c>
      <c r="H147">
        <v>332.61316667289071</v>
      </c>
      <c r="I147">
        <v>353.05030308990717</v>
      </c>
      <c r="J147">
        <v>326.73020473137763</v>
      </c>
      <c r="K147">
        <v>316.83</v>
      </c>
      <c r="L147">
        <v>316.83</v>
      </c>
    </row>
    <row r="148" spans="3:12" x14ac:dyDescent="0.3">
      <c r="C148">
        <v>325.42917960641711</v>
      </c>
      <c r="D148">
        <v>130.52445241516401</v>
      </c>
      <c r="E148">
        <v>316.83801383520853</v>
      </c>
      <c r="F148">
        <v>316.83</v>
      </c>
      <c r="G148">
        <v>322.85945000000032</v>
      </c>
      <c r="H148">
        <v>325.42917960641711</v>
      </c>
      <c r="I148">
        <v>348.83451516718662</v>
      </c>
      <c r="J148">
        <v>318.89800788650882</v>
      </c>
      <c r="K148">
        <v>316.83</v>
      </c>
      <c r="L148">
        <v>316.83</v>
      </c>
    </row>
    <row r="149" spans="3:12" x14ac:dyDescent="0.3">
      <c r="C149">
        <v>331.06695823260918</v>
      </c>
      <c r="D149">
        <v>117.0085527569609</v>
      </c>
      <c r="E149">
        <v>317.50396558464519</v>
      </c>
      <c r="F149">
        <v>316.83</v>
      </c>
      <c r="G149">
        <v>329.64364999999981</v>
      </c>
      <c r="H149">
        <v>331.06695823260918</v>
      </c>
      <c r="I149">
        <v>351.75260074967218</v>
      </c>
      <c r="J149">
        <v>323.62977644220211</v>
      </c>
      <c r="K149">
        <v>316.83</v>
      </c>
      <c r="L149">
        <v>316.83</v>
      </c>
    </row>
    <row r="150" spans="3:12" x14ac:dyDescent="0.3">
      <c r="C150">
        <v>328.34367070100461</v>
      </c>
      <c r="D150">
        <v>91.839851585085853</v>
      </c>
      <c r="E150">
        <v>316.93925264672248</v>
      </c>
      <c r="F150">
        <v>316.83</v>
      </c>
      <c r="G150">
        <v>329.59024999999991</v>
      </c>
      <c r="H150">
        <v>328.34367070100461</v>
      </c>
      <c r="I150">
        <v>347.92260292952608</v>
      </c>
      <c r="J150">
        <v>321.48812377315261</v>
      </c>
      <c r="K150">
        <v>316.83</v>
      </c>
      <c r="L150">
        <v>316.83</v>
      </c>
    </row>
    <row r="151" spans="3:12" x14ac:dyDescent="0.3">
      <c r="C151">
        <v>325.88149914246958</v>
      </c>
      <c r="D151">
        <v>107.15580007141401</v>
      </c>
      <c r="E151">
        <v>315.2273016846184</v>
      </c>
      <c r="F151">
        <v>316.83</v>
      </c>
      <c r="G151">
        <v>327.52474999999998</v>
      </c>
      <c r="H151">
        <v>325.88149914246958</v>
      </c>
      <c r="I151">
        <v>362.37478906396552</v>
      </c>
      <c r="J151">
        <v>311.1952503283851</v>
      </c>
      <c r="K151">
        <v>316.83</v>
      </c>
      <c r="L151">
        <v>316.83</v>
      </c>
    </row>
    <row r="152" spans="3:12" x14ac:dyDescent="0.3">
      <c r="C152">
        <v>325.40501117710591</v>
      </c>
      <c r="D152">
        <v>131.83031484192179</v>
      </c>
      <c r="E152">
        <v>315.08604326687981</v>
      </c>
      <c r="F152">
        <v>316.83</v>
      </c>
      <c r="G152">
        <v>323.9034000000002</v>
      </c>
      <c r="H152">
        <v>325.40501117710591</v>
      </c>
      <c r="I152">
        <v>354.50410496814209</v>
      </c>
      <c r="J152">
        <v>312.2265435985272</v>
      </c>
      <c r="K152">
        <v>316.83</v>
      </c>
      <c r="L152">
        <v>316.83</v>
      </c>
    </row>
    <row r="153" spans="3:12" x14ac:dyDescent="0.3">
      <c r="C153">
        <v>324.99791835363561</v>
      </c>
      <c r="D153">
        <v>152.88097402160929</v>
      </c>
      <c r="E153">
        <v>314.90689524475027</v>
      </c>
      <c r="F153">
        <v>316.83</v>
      </c>
      <c r="G153">
        <v>322.91695000000033</v>
      </c>
      <c r="H153">
        <v>324.99791835363561</v>
      </c>
      <c r="I153">
        <v>349.69643954642947</v>
      </c>
      <c r="J153">
        <v>312.80673434958879</v>
      </c>
      <c r="K153">
        <v>316.83</v>
      </c>
      <c r="L153">
        <v>316.83</v>
      </c>
    </row>
    <row r="154" spans="3:12" x14ac:dyDescent="0.3">
      <c r="C154">
        <v>319.46807829029461</v>
      </c>
      <c r="D154">
        <v>178.54305287903119</v>
      </c>
      <c r="E154">
        <v>313.92291787563357</v>
      </c>
      <c r="F154">
        <v>320.25</v>
      </c>
      <c r="G154">
        <v>317.00965000000002</v>
      </c>
      <c r="H154">
        <v>319.46807829029461</v>
      </c>
      <c r="I154">
        <v>340.98071274716727</v>
      </c>
      <c r="J154">
        <v>309.77111376768983</v>
      </c>
      <c r="K154">
        <v>320.25</v>
      </c>
      <c r="L154">
        <v>323.625</v>
      </c>
    </row>
    <row r="155" spans="3:12" x14ac:dyDescent="0.3">
      <c r="C155">
        <v>320.32432617015132</v>
      </c>
      <c r="D155">
        <v>200.21312734192179</v>
      </c>
      <c r="E155">
        <v>313.62019860176588</v>
      </c>
      <c r="F155">
        <v>323.625</v>
      </c>
      <c r="G155">
        <v>316.95555000000007</v>
      </c>
      <c r="H155">
        <v>320.32432617015132</v>
      </c>
      <c r="I155">
        <v>340.73526645873937</v>
      </c>
      <c r="J155">
        <v>309.4246817846128</v>
      </c>
      <c r="K155">
        <v>320.25</v>
      </c>
      <c r="L155">
        <v>323.625</v>
      </c>
    </row>
    <row r="156" spans="3:12" x14ac:dyDescent="0.3">
      <c r="C156">
        <v>321.83550260194983</v>
      </c>
      <c r="D156">
        <v>216.30855580871869</v>
      </c>
      <c r="E156">
        <v>313.86865397943012</v>
      </c>
      <c r="F156">
        <v>316.83</v>
      </c>
      <c r="G156">
        <v>323.50990000000041</v>
      </c>
      <c r="H156">
        <v>321.83550260194983</v>
      </c>
      <c r="I156">
        <v>338.03038944896679</v>
      </c>
      <c r="J156">
        <v>312.36579839402123</v>
      </c>
      <c r="K156">
        <v>316.83</v>
      </c>
      <c r="L156">
        <v>316.83</v>
      </c>
    </row>
    <row r="157" spans="3:12" x14ac:dyDescent="0.3">
      <c r="C157">
        <v>319.78258168044113</v>
      </c>
      <c r="D157">
        <v>231.63404103821091</v>
      </c>
      <c r="E157">
        <v>313.32570588148661</v>
      </c>
      <c r="F157">
        <v>318.315</v>
      </c>
      <c r="G157">
        <v>316.40060000000011</v>
      </c>
      <c r="H157">
        <v>319.78258168044113</v>
      </c>
      <c r="I157">
        <v>334.7633118609412</v>
      </c>
      <c r="J157">
        <v>311.05214308826169</v>
      </c>
      <c r="K157">
        <v>320.25</v>
      </c>
      <c r="L157">
        <v>323.625</v>
      </c>
    </row>
    <row r="158" spans="3:12" x14ac:dyDescent="0.3">
      <c r="C158">
        <v>319.78897051615269</v>
      </c>
      <c r="D158">
        <v>236.08586904114051</v>
      </c>
      <c r="E158">
        <v>313.34802580089229</v>
      </c>
      <c r="F158">
        <v>318.315</v>
      </c>
      <c r="G158">
        <v>314.29775000000001</v>
      </c>
      <c r="H158">
        <v>319.78897051615269</v>
      </c>
      <c r="I158">
        <v>333.09851381240111</v>
      </c>
      <c r="J158">
        <v>312.8396635586426</v>
      </c>
      <c r="K158">
        <v>320.25</v>
      </c>
      <c r="L158">
        <v>320.25</v>
      </c>
    </row>
    <row r="159" spans="3:12" x14ac:dyDescent="0.3">
      <c r="C159">
        <v>313.47680225955509</v>
      </c>
      <c r="D159">
        <v>233.55846425598429</v>
      </c>
      <c r="E159">
        <v>311.5397592839447</v>
      </c>
      <c r="F159">
        <v>305.05500000000001</v>
      </c>
      <c r="G159">
        <v>311.29493500000001</v>
      </c>
      <c r="H159">
        <v>313.47680225955509</v>
      </c>
      <c r="I159">
        <v>326.84474412444831</v>
      </c>
      <c r="J159">
        <v>305.39627006407591</v>
      </c>
      <c r="K159">
        <v>320.25</v>
      </c>
      <c r="L159">
        <v>320.25</v>
      </c>
    </row>
    <row r="160" spans="3:12" x14ac:dyDescent="0.3">
      <c r="C160">
        <v>316.80246432430152</v>
      </c>
      <c r="D160">
        <v>234.28385182922651</v>
      </c>
      <c r="E160">
        <v>311.99987228591351</v>
      </c>
      <c r="F160">
        <v>305.05500000000001</v>
      </c>
      <c r="G160">
        <v>314.80949999999979</v>
      </c>
      <c r="H160">
        <v>316.80246432430152</v>
      </c>
      <c r="I160">
        <v>327.78732492128017</v>
      </c>
      <c r="J160">
        <v>309.17463181549198</v>
      </c>
      <c r="K160">
        <v>320.25</v>
      </c>
      <c r="L160">
        <v>320.25</v>
      </c>
    </row>
    <row r="161" spans="3:12" x14ac:dyDescent="0.3">
      <c r="C161">
        <v>324.30648161854759</v>
      </c>
      <c r="D161">
        <v>232.46547719543739</v>
      </c>
      <c r="E161">
        <v>313.38632389098211</v>
      </c>
      <c r="F161">
        <v>316.83</v>
      </c>
      <c r="G161">
        <v>323.20015000000029</v>
      </c>
      <c r="H161">
        <v>324.30648161854759</v>
      </c>
      <c r="I161">
        <v>338.91434544135473</v>
      </c>
      <c r="J161">
        <v>317.48045019999893</v>
      </c>
      <c r="K161">
        <v>316.83</v>
      </c>
      <c r="L161">
        <v>316.83</v>
      </c>
    </row>
    <row r="162" spans="3:12" x14ac:dyDescent="0.3">
      <c r="C162">
        <v>323.30487217683668</v>
      </c>
      <c r="D162">
        <v>219.21511098449989</v>
      </c>
      <c r="E162">
        <v>313.48661276574791</v>
      </c>
      <c r="F162">
        <v>316.83</v>
      </c>
      <c r="G162">
        <v>323.75225000000017</v>
      </c>
      <c r="H162">
        <v>323.30487217683668</v>
      </c>
      <c r="I162">
        <v>340.78563067703692</v>
      </c>
      <c r="J162">
        <v>319.17020661923101</v>
      </c>
      <c r="K162">
        <v>316.83</v>
      </c>
      <c r="L162">
        <v>316.83</v>
      </c>
    </row>
    <row r="163" spans="3:12" x14ac:dyDescent="0.3">
      <c r="C163">
        <v>331.89942042788351</v>
      </c>
      <c r="D163">
        <v>192.9875261456327</v>
      </c>
      <c r="E163">
        <v>314.55771972184772</v>
      </c>
      <c r="F163">
        <v>316.83</v>
      </c>
      <c r="G163">
        <v>333.75309999999968</v>
      </c>
      <c r="H163">
        <v>331.89942042788351</v>
      </c>
      <c r="I163">
        <v>349.7430938109344</v>
      </c>
      <c r="J163">
        <v>325.17924612926572</v>
      </c>
      <c r="K163">
        <v>316.83</v>
      </c>
      <c r="L163">
        <v>316.83</v>
      </c>
    </row>
    <row r="164" spans="3:12" x14ac:dyDescent="0.3">
      <c r="C164">
        <v>321.55076088759103</v>
      </c>
      <c r="D164">
        <v>193.90749379699989</v>
      </c>
      <c r="E164">
        <v>312.94663726100703</v>
      </c>
      <c r="F164">
        <v>318.315</v>
      </c>
      <c r="G164">
        <v>316.88749999999999</v>
      </c>
      <c r="H164">
        <v>321.55076088759103</v>
      </c>
      <c r="I164">
        <v>329.55566551387949</v>
      </c>
      <c r="J164">
        <v>317.91894282433122</v>
      </c>
      <c r="K164">
        <v>318.315</v>
      </c>
      <c r="L164">
        <v>305.05500000000001</v>
      </c>
    </row>
    <row r="165" spans="3:12" x14ac:dyDescent="0.3">
      <c r="C165">
        <v>325.40889326151148</v>
      </c>
      <c r="D165">
        <v>213.1816179425077</v>
      </c>
      <c r="E165">
        <v>313.57435832115772</v>
      </c>
      <c r="F165">
        <v>316.83</v>
      </c>
      <c r="G165">
        <v>323.41420000000022</v>
      </c>
      <c r="H165">
        <v>325.40889326151148</v>
      </c>
      <c r="I165">
        <v>336.35161479290781</v>
      </c>
      <c r="J165">
        <v>321.86481880850619</v>
      </c>
      <c r="K165">
        <v>316.83</v>
      </c>
      <c r="L165">
        <v>316.83</v>
      </c>
    </row>
    <row r="166" spans="3:12" x14ac:dyDescent="0.3">
      <c r="C166">
        <v>322.14948597477962</v>
      </c>
      <c r="D166">
        <v>240.11480103714709</v>
      </c>
      <c r="E166">
        <v>312.97503027033082</v>
      </c>
      <c r="F166">
        <v>318.315</v>
      </c>
      <c r="G166">
        <v>320.06625000000008</v>
      </c>
      <c r="H166">
        <v>322.14948597477962</v>
      </c>
      <c r="I166">
        <v>329.67164774182288</v>
      </c>
      <c r="J166">
        <v>319.54474681609901</v>
      </c>
      <c r="K166">
        <v>318.315</v>
      </c>
      <c r="L166">
        <v>305.05500000000001</v>
      </c>
    </row>
    <row r="167" spans="3:12" x14ac:dyDescent="0.3">
      <c r="C167">
        <v>328.3010980578336</v>
      </c>
      <c r="D167">
        <v>262.43265894926299</v>
      </c>
      <c r="E167">
        <v>313.94098101355422</v>
      </c>
      <c r="F167">
        <v>316.83</v>
      </c>
      <c r="G167">
        <v>333.21794999999969</v>
      </c>
      <c r="H167">
        <v>328.3010980578336</v>
      </c>
      <c r="I167">
        <v>339.24390627970331</v>
      </c>
      <c r="J167">
        <v>324.92306781844962</v>
      </c>
      <c r="K167">
        <v>316.83</v>
      </c>
      <c r="L167">
        <v>316.83</v>
      </c>
    </row>
    <row r="168" spans="3:12" x14ac:dyDescent="0.3">
      <c r="C168">
        <v>329.09898666186803</v>
      </c>
      <c r="D168">
        <v>276.70128139371081</v>
      </c>
      <c r="E168">
        <v>314.41408275833038</v>
      </c>
      <c r="F168">
        <v>316.83</v>
      </c>
      <c r="G168">
        <v>333.43769999999972</v>
      </c>
      <c r="H168">
        <v>329.09898666186803</v>
      </c>
      <c r="I168">
        <v>345.39310685865581</v>
      </c>
      <c r="J168">
        <v>327.15631564226061</v>
      </c>
      <c r="K168">
        <v>316.83</v>
      </c>
      <c r="L168">
        <v>316.83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ED182-81B8-4F3C-A9EF-75B9B15D8B6D}">
  <sheetPr codeName="Hoja11"/>
  <dimension ref="A2:XFD12"/>
  <sheetViews>
    <sheetView workbookViewId="0">
      <selection activeCell="E28" sqref="E28"/>
    </sheetView>
  </sheetViews>
  <sheetFormatPr baseColWidth="10" defaultRowHeight="14.4" x14ac:dyDescent="0.3"/>
  <cols>
    <col min="1" max="1" width="13.33203125" bestFit="1" customWidth="1"/>
    <col min="2" max="2" width="6.88671875" bestFit="1" customWidth="1"/>
    <col min="3" max="3" width="17.5546875" bestFit="1" customWidth="1"/>
    <col min="4" max="4" width="21.5546875" bestFit="1" customWidth="1"/>
    <col min="5" max="5" width="13.33203125" bestFit="1" customWidth="1"/>
    <col min="6" max="6" width="6.88671875" bestFit="1" customWidth="1"/>
    <col min="7" max="7" width="17.5546875" bestFit="1" customWidth="1"/>
    <col min="8" max="8" width="21.5546875" bestFit="1" customWidth="1"/>
    <col min="9" max="15" width="12" bestFit="1" customWidth="1"/>
    <col min="16" max="16" width="8.21875" bestFit="1" customWidth="1"/>
    <col min="17" max="23" width="2" bestFit="1" customWidth="1"/>
  </cols>
  <sheetData>
    <row r="2" spans="1:1024 1026:4095 4098:5119 5121:8190 8193:15360 15363:16384" x14ac:dyDescent="0.3">
      <c r="A2" s="61" t="s">
        <v>212</v>
      </c>
      <c r="B2" s="61" t="s">
        <v>198</v>
      </c>
      <c r="C2" s="61" t="s">
        <v>9</v>
      </c>
      <c r="D2" s="61" t="s">
        <v>10</v>
      </c>
      <c r="E2" s="70" t="s">
        <v>212</v>
      </c>
      <c r="F2" s="61" t="s">
        <v>198</v>
      </c>
      <c r="G2" s="61" t="s">
        <v>9</v>
      </c>
      <c r="H2" s="71" t="s">
        <v>10</v>
      </c>
      <c r="I2" s="66" t="s">
        <v>231</v>
      </c>
      <c r="J2" s="66" t="s">
        <v>232</v>
      </c>
      <c r="K2" s="66" t="s">
        <v>233</v>
      </c>
      <c r="L2" s="66" t="s">
        <v>234</v>
      </c>
      <c r="M2" s="66" t="s">
        <v>232</v>
      </c>
      <c r="N2" s="66" t="s">
        <v>233</v>
      </c>
      <c r="O2" s="67" t="s">
        <v>234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</row>
    <row r="3" spans="1:1024 1026:4095 4098:5119 5121:8190 8193:15360 15363:16384" x14ac:dyDescent="0.3">
      <c r="A3">
        <v>0</v>
      </c>
      <c r="B3">
        <v>0</v>
      </c>
      <c r="C3" s="34">
        <v>-2.2984291791011493E-2</v>
      </c>
      <c r="D3" s="34">
        <v>-3.807934488859202E-2</v>
      </c>
      <c r="E3">
        <v>6</v>
      </c>
      <c r="F3" s="75">
        <v>1.9300000000000001E-3</v>
      </c>
      <c r="G3" s="88">
        <v>-0.35332429179101127</v>
      </c>
      <c r="H3" s="34">
        <v>-0.31231925611348665</v>
      </c>
      <c r="I3" s="34">
        <v>0.50898203592814373</v>
      </c>
      <c r="J3" s="64">
        <v>0.52459016393442626</v>
      </c>
      <c r="K3" s="4">
        <v>0.37647058823529411</v>
      </c>
      <c r="L3" s="65">
        <v>0.43835616438356162</v>
      </c>
      <c r="M3" s="4">
        <v>0.5</v>
      </c>
      <c r="N3" s="4">
        <v>0.64634146341463417</v>
      </c>
      <c r="O3" s="4">
        <v>0.56382978723404253</v>
      </c>
      <c r="P3" s="4"/>
      <c r="Q3" s="85"/>
    </row>
    <row r="4" spans="1:1024 1026:4095 4098:5119 5121:8190 8193:15360 15363:16384" x14ac:dyDescent="0.3">
      <c r="A4">
        <v>0</v>
      </c>
      <c r="B4">
        <v>0</v>
      </c>
      <c r="C4" s="34">
        <v>-0.16600809346977899</v>
      </c>
      <c r="D4" s="34">
        <v>-0.16715346512133053</v>
      </c>
      <c r="E4">
        <v>6</v>
      </c>
      <c r="F4" s="63">
        <v>1.9300000000000001E-3</v>
      </c>
      <c r="G4" s="88">
        <v>-0.49634809346977815</v>
      </c>
      <c r="H4" s="34">
        <v>-0.40568081462674366</v>
      </c>
      <c r="I4" s="34">
        <v>0.44910179640718562</v>
      </c>
      <c r="J4" s="64">
        <v>0.37037037037037035</v>
      </c>
      <c r="K4" s="4">
        <v>0.11764705882352941</v>
      </c>
      <c r="L4" s="65">
        <v>0.17857142857142855</v>
      </c>
      <c r="M4" s="4">
        <v>0.4642857142857143</v>
      </c>
      <c r="N4" s="4">
        <v>0.79268292682926833</v>
      </c>
      <c r="O4" s="4">
        <v>0.58558558558558571</v>
      </c>
      <c r="P4" s="4"/>
      <c r="Q4" s="85"/>
    </row>
    <row r="5" spans="1:1024 1026:4095 4098:5119 5121:8190 8193:15360 15363:16384" x14ac:dyDescent="0.3">
      <c r="A5">
        <v>0</v>
      </c>
      <c r="B5">
        <v>0</v>
      </c>
      <c r="C5" s="34">
        <v>-8.2421025721806068E-2</v>
      </c>
      <c r="D5" s="34">
        <v>-9.3512670204824969E-2</v>
      </c>
      <c r="E5">
        <v>6</v>
      </c>
      <c r="F5" s="63">
        <v>1.9300000000000001E-3</v>
      </c>
      <c r="G5" s="88">
        <v>-0.41276102572180584</v>
      </c>
      <c r="H5" s="34">
        <v>-0.35198177298904498</v>
      </c>
      <c r="I5" s="34">
        <v>0.48502994011976047</v>
      </c>
      <c r="J5" s="64">
        <v>0.48717948717948717</v>
      </c>
      <c r="K5" s="4">
        <v>0.22352941176470589</v>
      </c>
      <c r="L5" s="65">
        <v>0.30645161290322581</v>
      </c>
      <c r="M5" s="4">
        <v>0.484375</v>
      </c>
      <c r="N5" s="4">
        <v>0.75609756097560976</v>
      </c>
      <c r="O5" s="4">
        <v>0.59047619047619049</v>
      </c>
      <c r="P5" s="4"/>
      <c r="Q5" s="85"/>
    </row>
    <row r="6" spans="1:1024 1026:4095 4098:5119 5121:8190 8193:15360 15363:16384" x14ac:dyDescent="0.3">
      <c r="A6">
        <v>0</v>
      </c>
      <c r="B6">
        <v>0</v>
      </c>
      <c r="C6" s="34">
        <v>-8.3616929690492253E-2</v>
      </c>
      <c r="D6" s="34">
        <v>-9.5788101301961137E-2</v>
      </c>
      <c r="E6">
        <v>6</v>
      </c>
      <c r="F6" s="63">
        <v>1.9300000000000001E-3</v>
      </c>
      <c r="G6" s="88">
        <v>-0.41395692969049219</v>
      </c>
      <c r="H6" s="34">
        <v>-0.35471993247364336</v>
      </c>
      <c r="I6" s="34">
        <v>0.52694610778443118</v>
      </c>
      <c r="J6" s="64">
        <v>0.54285714285714282</v>
      </c>
      <c r="K6" s="4">
        <v>0.44705882352941179</v>
      </c>
      <c r="L6" s="65">
        <v>0.49032258064516127</v>
      </c>
      <c r="M6" s="4">
        <v>0.51546391752577314</v>
      </c>
      <c r="N6" s="4">
        <v>0.6097560975609756</v>
      </c>
      <c r="O6" s="4">
        <v>0.55865921787709483</v>
      </c>
      <c r="P6" s="4"/>
      <c r="Q6" s="85"/>
    </row>
    <row r="7" spans="1:1024 1026:4095 4098:5119 5121:8190 8193:15360 15363:16384" x14ac:dyDescent="0.3">
      <c r="A7">
        <v>0</v>
      </c>
      <c r="B7">
        <v>0</v>
      </c>
      <c r="C7" s="34">
        <v>-4.9329491738957149E-2</v>
      </c>
      <c r="D7" s="34">
        <v>-6.3057549899159487E-2</v>
      </c>
      <c r="E7">
        <v>6</v>
      </c>
      <c r="F7" s="63">
        <v>1.9300000000000001E-3</v>
      </c>
      <c r="G7" s="88">
        <v>-0.37966949173895798</v>
      </c>
      <c r="H7" s="34">
        <v>-0.33005863899249294</v>
      </c>
      <c r="I7" s="34">
        <v>0.54491017964071853</v>
      </c>
      <c r="J7" s="64">
        <v>0.56000000000000005</v>
      </c>
      <c r="K7" s="4">
        <v>0.49411764705882355</v>
      </c>
      <c r="L7" s="65">
        <v>0.52500000000000002</v>
      </c>
      <c r="M7" s="4">
        <v>0.53260869565217395</v>
      </c>
      <c r="N7" s="4">
        <v>0.59756097560975607</v>
      </c>
      <c r="O7" s="4">
        <v>0.56321839080459768</v>
      </c>
      <c r="P7" s="4"/>
      <c r="Q7" s="85"/>
    </row>
    <row r="8" spans="1:1024 1026:4095 4098:5119 5121:8190 8193:15360 15363:16384" x14ac:dyDescent="0.3">
      <c r="A8">
        <v>0</v>
      </c>
      <c r="B8">
        <v>0</v>
      </c>
      <c r="C8" s="34">
        <v>-2.2984291791011493E-2</v>
      </c>
      <c r="D8" s="34">
        <v>-3.807934488859202E-2</v>
      </c>
      <c r="E8">
        <v>6</v>
      </c>
      <c r="F8" s="63">
        <v>1.9300000000000001E-3</v>
      </c>
      <c r="G8" s="88">
        <v>-0.35332429179101127</v>
      </c>
      <c r="H8" s="34">
        <v>-0.31231925611348665</v>
      </c>
      <c r="I8" s="34">
        <v>0.50898203592814373</v>
      </c>
      <c r="J8" s="64">
        <v>0.52459016393442626</v>
      </c>
      <c r="K8" s="4">
        <v>0.37647058823529411</v>
      </c>
      <c r="L8" s="65">
        <v>0.43835616438356162</v>
      </c>
      <c r="M8" s="4">
        <v>0.5</v>
      </c>
      <c r="N8" s="4">
        <v>0.64634146341463417</v>
      </c>
      <c r="O8" s="4">
        <v>0.56382978723404253</v>
      </c>
      <c r="R8" s="34"/>
      <c r="S8" s="34"/>
      <c r="U8" s="34"/>
      <c r="V8" s="72"/>
      <c r="W8" s="63"/>
      <c r="X8" s="34"/>
      <c r="Y8" s="64"/>
      <c r="Z8" s="4"/>
      <c r="AA8" s="65"/>
      <c r="AB8" s="4"/>
      <c r="AC8" s="4"/>
      <c r="AD8" s="4"/>
      <c r="AG8" s="34"/>
      <c r="AH8" s="34"/>
      <c r="AJ8" s="34"/>
      <c r="AK8" s="72"/>
      <c r="AL8" s="63"/>
      <c r="AM8" s="34"/>
      <c r="AN8" s="64"/>
      <c r="AO8" s="4"/>
      <c r="AP8" s="65"/>
      <c r="AQ8" s="4"/>
      <c r="AR8" s="4"/>
      <c r="AS8" s="4"/>
      <c r="AV8" s="34"/>
      <c r="AW8" s="34"/>
      <c r="AY8" s="34"/>
      <c r="AZ8" s="72"/>
      <c r="BA8" s="63"/>
      <c r="BB8" s="34"/>
      <c r="BC8" s="64"/>
      <c r="BD8" s="4"/>
      <c r="BE8" s="65"/>
      <c r="BF8" s="4"/>
      <c r="BG8" s="4"/>
      <c r="BH8" s="4"/>
      <c r="BK8" s="34"/>
      <c r="BL8" s="34"/>
      <c r="BN8" s="34"/>
      <c r="BO8" s="72"/>
      <c r="BP8" s="63"/>
      <c r="BQ8" s="34"/>
      <c r="BR8" s="64"/>
      <c r="BS8" s="4"/>
      <c r="BT8" s="65"/>
      <c r="BU8" s="4"/>
      <c r="BV8" s="4"/>
      <c r="BW8" s="4"/>
      <c r="BZ8" s="34"/>
      <c r="CA8" s="34"/>
      <c r="CC8" s="34"/>
      <c r="CD8" s="72"/>
      <c r="CE8" s="63"/>
      <c r="CF8" s="34"/>
      <c r="CG8" s="64"/>
      <c r="CH8" s="4"/>
      <c r="CI8" s="65"/>
      <c r="CJ8" s="4"/>
      <c r="CK8" s="4"/>
      <c r="CL8" s="4"/>
      <c r="CO8" s="34"/>
      <c r="CP8" s="34"/>
      <c r="CR8" s="34"/>
      <c r="CS8" s="72"/>
      <c r="CT8" s="63"/>
      <c r="CU8" s="34"/>
      <c r="CV8" s="64"/>
      <c r="CW8" s="4"/>
      <c r="CX8" s="65"/>
      <c r="CY8" s="4"/>
      <c r="CZ8" s="4"/>
      <c r="DA8" s="4"/>
      <c r="DD8" s="34"/>
      <c r="DE8" s="34"/>
      <c r="DG8" s="34"/>
      <c r="DH8" s="72"/>
      <c r="DI8" s="63"/>
      <c r="DJ8" s="34"/>
      <c r="DK8" s="64"/>
      <c r="DL8" s="4"/>
      <c r="DM8" s="65"/>
      <c r="DN8" s="4"/>
      <c r="DO8" s="4"/>
      <c r="DP8" s="4"/>
      <c r="DS8" s="34"/>
      <c r="DT8" s="34"/>
      <c r="DV8" s="34"/>
      <c r="DW8" s="72"/>
      <c r="DX8" s="63"/>
      <c r="DY8" s="34"/>
      <c r="DZ8" s="64"/>
      <c r="EA8" s="4"/>
      <c r="EB8" s="65"/>
      <c r="EC8" s="4"/>
      <c r="ED8" s="4"/>
      <c r="EE8" s="4"/>
      <c r="EH8" s="34"/>
      <c r="EI8" s="34"/>
      <c r="EK8" s="34"/>
      <c r="EL8" s="72"/>
      <c r="EM8" s="63"/>
      <c r="EN8" s="34"/>
      <c r="EO8" s="64"/>
      <c r="EP8" s="4"/>
      <c r="EQ8" s="65"/>
      <c r="ER8" s="4"/>
      <c r="ES8" s="4"/>
      <c r="ET8" s="4"/>
      <c r="EW8" s="34"/>
      <c r="EX8" s="34"/>
      <c r="EZ8" s="34"/>
      <c r="FA8" s="72"/>
      <c r="FB8" s="63"/>
      <c r="FC8" s="34"/>
      <c r="FD8" s="64"/>
      <c r="FE8" s="4"/>
      <c r="FF8" s="65"/>
      <c r="FG8" s="4"/>
      <c r="FH8" s="4"/>
      <c r="FI8" s="4"/>
      <c r="FL8" s="34"/>
      <c r="FM8" s="34"/>
      <c r="FO8" s="34"/>
      <c r="FP8" s="72"/>
      <c r="FQ8" s="63"/>
      <c r="FR8" s="34"/>
      <c r="FS8" s="64"/>
      <c r="FT8" s="4"/>
      <c r="FU8" s="65"/>
      <c r="FV8" s="4"/>
      <c r="FW8" s="4"/>
      <c r="FX8" s="4"/>
      <c r="GA8" s="34"/>
      <c r="GB8" s="34"/>
      <c r="GD8" s="34"/>
      <c r="GE8" s="72"/>
      <c r="GF8" s="63"/>
      <c r="GG8" s="34"/>
      <c r="GH8" s="64"/>
      <c r="GI8" s="4"/>
      <c r="GJ8" s="65"/>
      <c r="GK8" s="4"/>
      <c r="GL8" s="4"/>
      <c r="GM8" s="4"/>
      <c r="GP8" s="34"/>
      <c r="GQ8" s="34"/>
      <c r="GS8" s="34"/>
      <c r="GT8" s="72"/>
      <c r="GU8" s="63"/>
      <c r="GV8" s="34"/>
      <c r="GW8" s="64"/>
      <c r="GX8" s="4"/>
      <c r="GY8" s="65"/>
      <c r="GZ8" s="4"/>
      <c r="HA8" s="4"/>
      <c r="HB8" s="4"/>
      <c r="HE8" s="34"/>
      <c r="HF8" s="34"/>
      <c r="HH8" s="34"/>
      <c r="HI8" s="72"/>
      <c r="HJ8" s="63"/>
      <c r="HK8" s="34"/>
      <c r="HL8" s="64"/>
      <c r="HM8" s="4"/>
      <c r="HN8" s="65"/>
      <c r="HO8" s="4"/>
      <c r="HP8" s="4"/>
      <c r="HQ8" s="4"/>
      <c r="HT8" s="34"/>
      <c r="HU8" s="34"/>
      <c r="HW8" s="34"/>
      <c r="HX8" s="72"/>
      <c r="HY8" s="63"/>
      <c r="HZ8" s="34"/>
      <c r="IA8" s="64"/>
      <c r="IB8" s="4"/>
      <c r="IC8" s="65"/>
      <c r="ID8" s="4"/>
      <c r="IE8" s="4"/>
      <c r="IF8" s="4"/>
      <c r="II8" s="34"/>
      <c r="IJ8" s="34"/>
      <c r="IL8" s="34"/>
      <c r="IM8" s="72"/>
      <c r="IN8" s="63"/>
      <c r="IO8" s="34"/>
      <c r="IP8" s="64"/>
      <c r="IQ8" s="4"/>
      <c r="IR8" s="65"/>
      <c r="IS8" s="4"/>
      <c r="IT8" s="4"/>
      <c r="IU8" s="4"/>
      <c r="IX8" s="34"/>
      <c r="IY8" s="34"/>
      <c r="JA8" s="34"/>
      <c r="JB8" s="72"/>
      <c r="JC8" s="63"/>
      <c r="JD8" s="34"/>
      <c r="JE8" s="64"/>
      <c r="JF8" s="4"/>
      <c r="JG8" s="65"/>
      <c r="JH8" s="4"/>
      <c r="JI8" s="4"/>
      <c r="JJ8" s="4"/>
      <c r="JM8" s="34"/>
      <c r="JN8" s="34"/>
      <c r="JP8" s="34"/>
      <c r="JQ8" s="72"/>
      <c r="JR8" s="63"/>
      <c r="JS8" s="34"/>
      <c r="JT8" s="64"/>
      <c r="JU8" s="4"/>
      <c r="JV8" s="65"/>
      <c r="JW8" s="4"/>
      <c r="JX8" s="4"/>
      <c r="JY8" s="4"/>
      <c r="KB8" s="34"/>
      <c r="KC8" s="34"/>
      <c r="KE8" s="34"/>
      <c r="KF8" s="72"/>
      <c r="KG8" s="63"/>
      <c r="KH8" s="34"/>
      <c r="KI8" s="64"/>
      <c r="KJ8" s="4"/>
      <c r="KK8" s="65"/>
      <c r="KL8" s="4"/>
      <c r="KM8" s="4"/>
      <c r="KN8" s="4"/>
      <c r="KQ8" s="34"/>
      <c r="KR8" s="34"/>
      <c r="KT8" s="34"/>
      <c r="KU8" s="72"/>
      <c r="KV8" s="63"/>
      <c r="KW8" s="34"/>
      <c r="KX8" s="64"/>
      <c r="KY8" s="4"/>
      <c r="KZ8" s="65"/>
      <c r="LA8" s="4"/>
      <c r="LB8" s="4"/>
      <c r="LC8" s="4"/>
      <c r="LF8" s="34"/>
      <c r="LG8" s="34"/>
      <c r="LI8" s="34"/>
      <c r="LJ8" s="72"/>
      <c r="LK8" s="63"/>
      <c r="LL8" s="34"/>
      <c r="LM8" s="64"/>
      <c r="LN8" s="4"/>
      <c r="LO8" s="65"/>
      <c r="LP8" s="4"/>
      <c r="LQ8" s="4"/>
      <c r="LR8" s="4"/>
      <c r="LU8" s="34"/>
      <c r="LV8" s="34"/>
      <c r="LX8" s="34"/>
      <c r="LY8" s="72"/>
      <c r="LZ8" s="63"/>
      <c r="MA8" s="34"/>
      <c r="MB8" s="64"/>
      <c r="MC8" s="4"/>
      <c r="MD8" s="65"/>
      <c r="ME8" s="4"/>
      <c r="MF8" s="4"/>
      <c r="MG8" s="4"/>
      <c r="MJ8" s="34"/>
      <c r="MK8" s="34"/>
      <c r="MM8" s="34"/>
      <c r="MN8" s="72"/>
      <c r="MO8" s="63"/>
      <c r="MP8" s="34"/>
      <c r="MQ8" s="64"/>
      <c r="MR8" s="4"/>
      <c r="MS8" s="65"/>
      <c r="MT8" s="4"/>
      <c r="MU8" s="4"/>
      <c r="MV8" s="4"/>
      <c r="MY8" s="34"/>
      <c r="MZ8" s="34"/>
      <c r="NB8" s="34"/>
      <c r="NC8" s="72"/>
      <c r="ND8" s="63"/>
      <c r="NE8" s="34"/>
      <c r="NF8" s="64"/>
      <c r="NG8" s="4"/>
      <c r="NH8" s="65"/>
      <c r="NI8" s="4"/>
      <c r="NJ8" s="4"/>
      <c r="NK8" s="4"/>
      <c r="NN8" s="34"/>
      <c r="NO8" s="34"/>
      <c r="NQ8" s="34"/>
      <c r="NR8" s="72"/>
      <c r="NS8" s="63"/>
      <c r="NT8" s="34"/>
      <c r="NU8" s="64"/>
      <c r="NV8" s="4"/>
      <c r="NW8" s="65"/>
      <c r="NX8" s="4"/>
      <c r="NY8" s="4"/>
      <c r="NZ8" s="4"/>
      <c r="OC8" s="34"/>
      <c r="OD8" s="34"/>
      <c r="OF8" s="34"/>
      <c r="OG8" s="72"/>
      <c r="OH8" s="63"/>
      <c r="OI8" s="34"/>
      <c r="OJ8" s="64"/>
      <c r="OK8" s="4"/>
      <c r="OL8" s="65"/>
      <c r="OM8" s="4"/>
      <c r="ON8" s="4"/>
      <c r="OO8" s="4"/>
      <c r="OR8" s="34"/>
      <c r="OS8" s="34"/>
      <c r="OU8" s="34"/>
      <c r="OV8" s="72"/>
      <c r="OW8" s="63"/>
      <c r="OX8" s="34"/>
      <c r="OY8" s="64"/>
      <c r="OZ8" s="4"/>
      <c r="PA8" s="65"/>
      <c r="PB8" s="4"/>
      <c r="PC8" s="4"/>
      <c r="PD8" s="4"/>
      <c r="PG8" s="34"/>
      <c r="PH8" s="34"/>
      <c r="PJ8" s="34"/>
      <c r="PK8" s="72"/>
      <c r="PL8" s="63"/>
      <c r="PM8" s="34"/>
      <c r="PN8" s="64"/>
      <c r="PO8" s="4"/>
      <c r="PP8" s="65"/>
      <c r="PQ8" s="4"/>
      <c r="PR8" s="4"/>
      <c r="PS8" s="4"/>
      <c r="PV8" s="34"/>
      <c r="PW8" s="34"/>
      <c r="PY8" s="34"/>
      <c r="PZ8" s="72"/>
      <c r="QA8" s="63"/>
      <c r="QB8" s="34"/>
      <c r="QC8" s="64"/>
      <c r="QD8" s="4"/>
      <c r="QE8" s="65"/>
      <c r="QF8" s="4"/>
      <c r="QG8" s="4"/>
      <c r="QH8" s="4"/>
      <c r="QK8" s="34"/>
      <c r="QL8" s="34"/>
      <c r="QN8" s="34"/>
      <c r="QO8" s="72"/>
      <c r="QP8" s="63"/>
      <c r="QQ8" s="34"/>
      <c r="QR8" s="64"/>
      <c r="QS8" s="4"/>
      <c r="QT8" s="65"/>
      <c r="QU8" s="4"/>
      <c r="QV8" s="4"/>
      <c r="QW8" s="4"/>
      <c r="QZ8" s="34"/>
      <c r="RA8" s="34"/>
      <c r="RC8" s="34"/>
      <c r="RD8" s="72"/>
      <c r="RE8" s="63"/>
      <c r="RF8" s="34"/>
      <c r="RG8" s="64"/>
      <c r="RH8" s="4"/>
      <c r="RI8" s="65"/>
      <c r="RJ8" s="4"/>
      <c r="RK8" s="4"/>
      <c r="RL8" s="4"/>
      <c r="RO8" s="34"/>
      <c r="RP8" s="34"/>
      <c r="RR8" s="34"/>
      <c r="RS8" s="72"/>
      <c r="RT8" s="63"/>
      <c r="RU8" s="34"/>
      <c r="RV8" s="64"/>
      <c r="RW8" s="4"/>
      <c r="RX8" s="65"/>
      <c r="RY8" s="4"/>
      <c r="RZ8" s="4"/>
      <c r="SA8" s="4"/>
      <c r="SD8" s="34"/>
      <c r="SE8" s="34"/>
      <c r="SG8" s="34"/>
      <c r="SH8" s="72"/>
      <c r="SI8" s="63"/>
      <c r="SJ8" s="34"/>
      <c r="SK8" s="64"/>
      <c r="SL8" s="4"/>
      <c r="SM8" s="65"/>
      <c r="SN8" s="4"/>
      <c r="SO8" s="4"/>
      <c r="SP8" s="4"/>
      <c r="SS8" s="34"/>
      <c r="ST8" s="34"/>
      <c r="SV8" s="34"/>
      <c r="SW8" s="72"/>
      <c r="SX8" s="63"/>
      <c r="SY8" s="34"/>
      <c r="SZ8" s="64"/>
      <c r="TA8" s="4"/>
      <c r="TB8" s="65"/>
      <c r="TC8" s="4"/>
      <c r="TD8" s="4"/>
      <c r="TE8" s="4"/>
      <c r="TH8" s="34"/>
      <c r="TI8" s="34"/>
      <c r="TK8" s="34"/>
      <c r="TL8" s="72"/>
      <c r="TM8" s="63"/>
      <c r="TN8" s="34"/>
      <c r="TO8" s="64"/>
      <c r="TP8" s="4"/>
      <c r="TQ8" s="65"/>
      <c r="TR8" s="4"/>
      <c r="TS8" s="4"/>
      <c r="TT8" s="4"/>
      <c r="TW8" s="34"/>
      <c r="TX8" s="34"/>
      <c r="TZ8" s="34"/>
      <c r="UA8" s="72"/>
      <c r="UB8" s="63"/>
      <c r="UC8" s="34"/>
      <c r="UD8" s="64"/>
      <c r="UE8" s="4"/>
      <c r="UF8" s="65"/>
      <c r="UG8" s="4"/>
      <c r="UH8" s="4"/>
      <c r="UI8" s="4"/>
      <c r="UL8" s="34"/>
      <c r="UM8" s="34"/>
      <c r="UO8" s="34"/>
      <c r="UP8" s="72"/>
      <c r="UQ8" s="63"/>
      <c r="UR8" s="34"/>
      <c r="US8" s="64"/>
      <c r="UT8" s="4"/>
      <c r="UU8" s="65"/>
      <c r="UV8" s="4"/>
      <c r="UW8" s="4"/>
      <c r="UX8" s="4"/>
      <c r="VA8" s="34"/>
      <c r="VB8" s="34"/>
      <c r="VD8" s="34"/>
      <c r="VE8" s="72"/>
      <c r="VF8" s="63"/>
      <c r="VG8" s="34"/>
      <c r="VH8" s="64"/>
      <c r="VI8" s="4"/>
      <c r="VJ8" s="65"/>
      <c r="VK8" s="4"/>
      <c r="VL8" s="4"/>
      <c r="VM8" s="4"/>
      <c r="VP8" s="34"/>
      <c r="VQ8" s="34"/>
      <c r="VS8" s="34"/>
      <c r="VT8" s="72"/>
      <c r="VU8" s="63"/>
      <c r="VV8" s="34"/>
      <c r="VW8" s="64"/>
      <c r="VX8" s="4"/>
      <c r="VY8" s="65"/>
      <c r="VZ8" s="4"/>
      <c r="WA8" s="4"/>
      <c r="WB8" s="4"/>
      <c r="WE8" s="34"/>
      <c r="WF8" s="34"/>
      <c r="WH8" s="34"/>
      <c r="WI8" s="72"/>
      <c r="WJ8" s="63"/>
      <c r="WK8" s="34"/>
      <c r="WL8" s="64"/>
      <c r="WM8" s="4"/>
      <c r="WN8" s="65"/>
      <c r="WO8" s="4"/>
      <c r="WP8" s="4"/>
      <c r="WQ8" s="4"/>
      <c r="WT8" s="34"/>
      <c r="WU8" s="34"/>
      <c r="WW8" s="34"/>
      <c r="WX8" s="72"/>
      <c r="WY8" s="63"/>
      <c r="WZ8" s="34"/>
      <c r="XA8" s="64"/>
      <c r="XB8" s="4"/>
      <c r="XC8" s="65"/>
      <c r="XD8" s="4"/>
      <c r="XE8" s="4"/>
      <c r="XF8" s="4"/>
      <c r="XI8" s="34"/>
      <c r="XJ8" s="34"/>
      <c r="XL8" s="34"/>
      <c r="XM8" s="72"/>
      <c r="XN8" s="63"/>
      <c r="XO8" s="34"/>
      <c r="XP8" s="64"/>
      <c r="XQ8" s="4"/>
      <c r="XR8" s="65"/>
      <c r="XS8" s="4"/>
      <c r="XT8" s="4"/>
      <c r="XU8" s="4"/>
      <c r="XX8" s="34"/>
      <c r="XY8" s="34"/>
      <c r="YA8" s="34"/>
      <c r="YB8" s="72"/>
      <c r="YC8" s="63"/>
      <c r="YD8" s="34"/>
      <c r="YE8" s="64"/>
      <c r="YF8" s="4"/>
      <c r="YG8" s="65"/>
      <c r="YH8" s="4"/>
      <c r="YI8" s="4"/>
      <c r="YJ8" s="4"/>
      <c r="YM8" s="34"/>
      <c r="YN8" s="34"/>
      <c r="YP8" s="34"/>
      <c r="YQ8" s="72"/>
      <c r="YR8" s="63"/>
      <c r="YS8" s="34"/>
      <c r="YT8" s="64"/>
      <c r="YU8" s="4"/>
      <c r="YV8" s="65"/>
      <c r="YW8" s="4"/>
      <c r="YX8" s="4"/>
      <c r="YY8" s="4"/>
      <c r="ZB8" s="34"/>
      <c r="ZC8" s="34"/>
      <c r="ZE8" s="34"/>
      <c r="ZF8" s="72"/>
      <c r="ZG8" s="63"/>
      <c r="ZH8" s="34"/>
      <c r="ZI8" s="64"/>
      <c r="ZJ8" s="4"/>
      <c r="ZK8" s="65"/>
      <c r="ZL8" s="4"/>
      <c r="ZM8" s="4"/>
      <c r="ZN8" s="4"/>
      <c r="ZQ8" s="34"/>
      <c r="ZR8" s="34"/>
      <c r="ZT8" s="34"/>
      <c r="ZU8" s="72"/>
      <c r="ZV8" s="63"/>
      <c r="ZW8" s="34"/>
      <c r="ZX8" s="64"/>
      <c r="ZY8" s="4"/>
      <c r="ZZ8" s="65"/>
      <c r="AAA8" s="4"/>
      <c r="AAB8" s="4"/>
      <c r="AAC8" s="4"/>
      <c r="AAF8" s="34"/>
      <c r="AAG8" s="34"/>
      <c r="AAI8" s="34"/>
      <c r="AAJ8" s="72"/>
      <c r="AAK8" s="63"/>
      <c r="AAL8" s="34"/>
      <c r="AAM8" s="64"/>
      <c r="AAN8" s="4"/>
      <c r="AAO8" s="65"/>
      <c r="AAP8" s="4"/>
      <c r="AAQ8" s="4"/>
      <c r="AAR8" s="4"/>
      <c r="AAU8" s="34"/>
      <c r="AAV8" s="34"/>
      <c r="AAX8" s="34"/>
      <c r="AAY8" s="72"/>
      <c r="AAZ8" s="63"/>
      <c r="ABA8" s="34"/>
      <c r="ABB8" s="64"/>
      <c r="ABC8" s="4"/>
      <c r="ABD8" s="65"/>
      <c r="ABE8" s="4"/>
      <c r="ABF8" s="4"/>
      <c r="ABG8" s="4"/>
      <c r="ABJ8" s="34"/>
      <c r="ABK8" s="34"/>
      <c r="ABM8" s="34"/>
      <c r="ABN8" s="72"/>
      <c r="ABO8" s="63"/>
      <c r="ABP8" s="34"/>
      <c r="ABQ8" s="64"/>
      <c r="ABR8" s="4"/>
      <c r="ABS8" s="65"/>
      <c r="ABT8" s="4"/>
      <c r="ABU8" s="4"/>
      <c r="ABV8" s="4"/>
      <c r="ABY8" s="34"/>
      <c r="ABZ8" s="34"/>
      <c r="ACB8" s="34"/>
      <c r="ACC8" s="72"/>
      <c r="ACD8" s="63"/>
      <c r="ACE8" s="34"/>
      <c r="ACF8" s="64"/>
      <c r="ACG8" s="4"/>
      <c r="ACH8" s="65"/>
      <c r="ACI8" s="4"/>
      <c r="ACJ8" s="4"/>
      <c r="ACK8" s="4"/>
      <c r="ACN8" s="34"/>
      <c r="ACO8" s="34"/>
      <c r="ACQ8" s="34"/>
      <c r="ACR8" s="72"/>
      <c r="ACS8" s="63"/>
      <c r="ACT8" s="34"/>
      <c r="ACU8" s="64"/>
      <c r="ACV8" s="4"/>
      <c r="ACW8" s="65"/>
      <c r="ACX8" s="4"/>
      <c r="ACY8" s="4"/>
      <c r="ACZ8" s="4"/>
      <c r="ADC8" s="34"/>
      <c r="ADD8" s="34"/>
      <c r="ADF8" s="34"/>
      <c r="ADG8" s="72"/>
      <c r="ADH8" s="63"/>
      <c r="ADI8" s="34"/>
      <c r="ADJ8" s="64"/>
      <c r="ADK8" s="4"/>
      <c r="ADL8" s="65"/>
      <c r="ADM8" s="4"/>
      <c r="ADN8" s="4"/>
      <c r="ADO8" s="4"/>
      <c r="ADR8" s="34"/>
      <c r="ADS8" s="34"/>
      <c r="ADU8" s="34"/>
      <c r="ADV8" s="72"/>
      <c r="ADW8" s="63"/>
      <c r="ADX8" s="34"/>
      <c r="ADY8" s="64"/>
      <c r="ADZ8" s="4"/>
      <c r="AEA8" s="65"/>
      <c r="AEB8" s="4"/>
      <c r="AEC8" s="4"/>
      <c r="AED8" s="4"/>
      <c r="AEG8" s="34"/>
      <c r="AEH8" s="34"/>
      <c r="AEJ8" s="34"/>
      <c r="AEK8" s="72"/>
      <c r="AEL8" s="63"/>
      <c r="AEM8" s="34"/>
      <c r="AEN8" s="64"/>
      <c r="AEO8" s="4"/>
      <c r="AEP8" s="65"/>
      <c r="AEQ8" s="4"/>
      <c r="AER8" s="4"/>
      <c r="AES8" s="4"/>
      <c r="AEV8" s="34"/>
      <c r="AEW8" s="34"/>
      <c r="AEY8" s="34"/>
      <c r="AEZ8" s="72"/>
      <c r="AFA8" s="63"/>
      <c r="AFB8" s="34"/>
      <c r="AFC8" s="64"/>
      <c r="AFD8" s="4"/>
      <c r="AFE8" s="65"/>
      <c r="AFF8" s="4"/>
      <c r="AFG8" s="4"/>
      <c r="AFH8" s="4"/>
      <c r="AFK8" s="34"/>
      <c r="AFL8" s="34"/>
      <c r="AFN8" s="34"/>
      <c r="AFO8" s="72"/>
      <c r="AFP8" s="63"/>
      <c r="AFQ8" s="34"/>
      <c r="AFR8" s="64"/>
      <c r="AFS8" s="4"/>
      <c r="AFT8" s="65"/>
      <c r="AFU8" s="4"/>
      <c r="AFV8" s="4"/>
      <c r="AFW8" s="4"/>
      <c r="AFZ8" s="34"/>
      <c r="AGA8" s="34"/>
      <c r="AGC8" s="34"/>
      <c r="AGD8" s="72"/>
      <c r="AGE8" s="63"/>
      <c r="AGF8" s="34"/>
      <c r="AGG8" s="64"/>
      <c r="AGH8" s="4"/>
      <c r="AGI8" s="65"/>
      <c r="AGJ8" s="4"/>
      <c r="AGK8" s="4"/>
      <c r="AGL8" s="4"/>
      <c r="AGO8" s="34"/>
      <c r="AGP8" s="34"/>
      <c r="AGR8" s="34"/>
      <c r="AGS8" s="72"/>
      <c r="AGT8" s="63"/>
      <c r="AGU8" s="34"/>
      <c r="AGV8" s="64"/>
      <c r="AGW8" s="4"/>
      <c r="AGX8" s="65"/>
      <c r="AGY8" s="4"/>
      <c r="AGZ8" s="4"/>
      <c r="AHA8" s="4"/>
      <c r="AHD8" s="34"/>
      <c r="AHE8" s="34"/>
      <c r="AHG8" s="34"/>
      <c r="AHH8" s="72"/>
      <c r="AHI8" s="63"/>
      <c r="AHJ8" s="34"/>
      <c r="AHK8" s="64"/>
      <c r="AHL8" s="4"/>
      <c r="AHM8" s="65"/>
      <c r="AHN8" s="4"/>
      <c r="AHO8" s="4"/>
      <c r="AHP8" s="4"/>
      <c r="AHS8" s="34"/>
      <c r="AHT8" s="34"/>
      <c r="AHV8" s="34"/>
      <c r="AHW8" s="72"/>
      <c r="AHX8" s="63"/>
      <c r="AHY8" s="34"/>
      <c r="AHZ8" s="64"/>
      <c r="AIA8" s="4"/>
      <c r="AIB8" s="65"/>
      <c r="AIC8" s="4"/>
      <c r="AID8" s="4"/>
      <c r="AIE8" s="4"/>
      <c r="AIH8" s="34"/>
      <c r="AII8" s="34"/>
      <c r="AIK8" s="34"/>
      <c r="AIL8" s="72"/>
      <c r="AIM8" s="63"/>
      <c r="AIN8" s="34"/>
      <c r="AIO8" s="64"/>
      <c r="AIP8" s="4"/>
      <c r="AIQ8" s="65"/>
      <c r="AIR8" s="4"/>
      <c r="AIS8" s="4"/>
      <c r="AIT8" s="4"/>
      <c r="AIW8" s="34"/>
      <c r="AIX8" s="34"/>
      <c r="AIZ8" s="34"/>
      <c r="AJA8" s="72"/>
      <c r="AJB8" s="63"/>
      <c r="AJC8" s="34"/>
      <c r="AJD8" s="64"/>
      <c r="AJE8" s="4"/>
      <c r="AJF8" s="65"/>
      <c r="AJG8" s="4"/>
      <c r="AJH8" s="4"/>
      <c r="AJI8" s="4"/>
      <c r="AJL8" s="34"/>
      <c r="AJM8" s="34"/>
      <c r="AJO8" s="34"/>
      <c r="AJP8" s="72"/>
      <c r="AJQ8" s="63"/>
      <c r="AJR8" s="34"/>
      <c r="AJS8" s="64"/>
      <c r="AJT8" s="4"/>
      <c r="AJU8" s="65"/>
      <c r="AJV8" s="4"/>
      <c r="AJW8" s="4"/>
      <c r="AJX8" s="4"/>
      <c r="AKA8" s="34"/>
      <c r="AKB8" s="34"/>
      <c r="AKD8" s="34"/>
      <c r="AKE8" s="72"/>
      <c r="AKF8" s="63"/>
      <c r="AKG8" s="34"/>
      <c r="AKH8" s="64"/>
      <c r="AKI8" s="4"/>
      <c r="AKJ8" s="65"/>
      <c r="AKK8" s="4"/>
      <c r="AKL8" s="4"/>
      <c r="AKM8" s="4"/>
      <c r="AKP8" s="34"/>
      <c r="AKQ8" s="34"/>
      <c r="AKS8" s="34"/>
      <c r="AKT8" s="72"/>
      <c r="AKU8" s="63"/>
      <c r="AKV8" s="34"/>
      <c r="AKW8" s="64"/>
      <c r="AKX8" s="4"/>
      <c r="AKY8" s="65"/>
      <c r="AKZ8" s="4"/>
      <c r="ALA8" s="4"/>
      <c r="ALB8" s="4"/>
      <c r="ALE8" s="34"/>
      <c r="ALF8" s="34"/>
      <c r="ALH8" s="34"/>
      <c r="ALI8" s="72"/>
      <c r="ALJ8" s="63"/>
      <c r="ALK8" s="34"/>
      <c r="ALL8" s="64"/>
      <c r="ALM8" s="4"/>
      <c r="ALN8" s="65"/>
      <c r="ALO8" s="4"/>
      <c r="ALP8" s="4"/>
      <c r="ALQ8" s="4"/>
      <c r="ALT8" s="34"/>
      <c r="ALU8" s="34"/>
      <c r="ALW8" s="34"/>
      <c r="ALX8" s="72"/>
      <c r="ALY8" s="63"/>
      <c r="ALZ8" s="34"/>
      <c r="AMA8" s="64"/>
      <c r="AMB8" s="4"/>
      <c r="AMC8" s="65"/>
      <c r="AMD8" s="4"/>
      <c r="AME8" s="4"/>
      <c r="AMF8" s="4"/>
      <c r="AMI8" s="34"/>
      <c r="AMJ8" s="34"/>
      <c r="AML8" s="34"/>
      <c r="AMM8" s="72"/>
      <c r="AMN8" s="63"/>
      <c r="AMO8" s="34"/>
      <c r="AMP8" s="64"/>
      <c r="AMQ8" s="4"/>
      <c r="AMR8" s="65"/>
      <c r="AMS8" s="4"/>
      <c r="AMT8" s="4"/>
      <c r="AMU8" s="4"/>
      <c r="AMX8" s="34"/>
      <c r="AMY8" s="34"/>
      <c r="ANA8" s="34"/>
      <c r="ANB8" s="72"/>
      <c r="ANC8" s="63"/>
      <c r="AND8" s="34"/>
      <c r="ANE8" s="64"/>
      <c r="ANF8" s="4"/>
      <c r="ANG8" s="65"/>
      <c r="ANH8" s="4"/>
      <c r="ANI8" s="4"/>
      <c r="ANJ8" s="4"/>
      <c r="ANM8" s="34"/>
      <c r="ANN8" s="34"/>
      <c r="ANP8" s="34"/>
      <c r="ANQ8" s="72"/>
      <c r="ANR8" s="63"/>
      <c r="ANS8" s="34"/>
      <c r="ANT8" s="64"/>
      <c r="ANU8" s="4"/>
      <c r="ANV8" s="65"/>
      <c r="ANW8" s="4"/>
      <c r="ANX8" s="4"/>
      <c r="ANY8" s="4"/>
      <c r="AOB8" s="34"/>
      <c r="AOC8" s="34"/>
      <c r="AOE8" s="34"/>
      <c r="AOF8" s="72"/>
      <c r="AOG8" s="63"/>
      <c r="AOH8" s="34"/>
      <c r="AOI8" s="64"/>
      <c r="AOJ8" s="4"/>
      <c r="AOK8" s="65"/>
      <c r="AOL8" s="4"/>
      <c r="AOM8" s="4"/>
      <c r="AON8" s="4"/>
      <c r="AOQ8" s="34"/>
      <c r="AOR8" s="34"/>
      <c r="AOT8" s="34"/>
      <c r="AOU8" s="72"/>
      <c r="AOV8" s="63"/>
      <c r="AOW8" s="34"/>
      <c r="AOX8" s="64"/>
      <c r="AOY8" s="4"/>
      <c r="AOZ8" s="65"/>
      <c r="APA8" s="4"/>
      <c r="APB8" s="4"/>
      <c r="APC8" s="4"/>
      <c r="APF8" s="34"/>
      <c r="APG8" s="34"/>
      <c r="API8" s="34"/>
      <c r="APJ8" s="72"/>
      <c r="APK8" s="63"/>
      <c r="APL8" s="34"/>
      <c r="APM8" s="64"/>
      <c r="APN8" s="4"/>
      <c r="APO8" s="65"/>
      <c r="APP8" s="4"/>
      <c r="APQ8" s="4"/>
      <c r="APR8" s="4"/>
      <c r="APU8" s="34"/>
      <c r="APV8" s="34"/>
      <c r="APX8" s="34"/>
      <c r="APY8" s="72"/>
      <c r="APZ8" s="63"/>
      <c r="AQA8" s="34"/>
      <c r="AQB8" s="64"/>
      <c r="AQC8" s="4"/>
      <c r="AQD8" s="65"/>
      <c r="AQE8" s="4"/>
      <c r="AQF8" s="4"/>
      <c r="AQG8" s="4"/>
      <c r="AQJ8" s="34"/>
      <c r="AQK8" s="34"/>
      <c r="AQM8" s="34"/>
      <c r="AQN8" s="72"/>
      <c r="AQO8" s="63"/>
      <c r="AQP8" s="34"/>
      <c r="AQQ8" s="64"/>
      <c r="AQR8" s="4"/>
      <c r="AQS8" s="65"/>
      <c r="AQT8" s="4"/>
      <c r="AQU8" s="4"/>
      <c r="AQV8" s="4"/>
      <c r="AQY8" s="34"/>
      <c r="AQZ8" s="34"/>
      <c r="ARB8" s="34"/>
      <c r="ARC8" s="72"/>
      <c r="ARD8" s="63"/>
      <c r="ARE8" s="34"/>
      <c r="ARF8" s="64"/>
      <c r="ARG8" s="4"/>
      <c r="ARH8" s="65"/>
      <c r="ARI8" s="4"/>
      <c r="ARJ8" s="4"/>
      <c r="ARK8" s="4"/>
      <c r="ARN8" s="34"/>
      <c r="ARO8" s="34"/>
      <c r="ARQ8" s="34"/>
      <c r="ARR8" s="72"/>
      <c r="ARS8" s="63"/>
      <c r="ART8" s="34"/>
      <c r="ARU8" s="64"/>
      <c r="ARV8" s="4"/>
      <c r="ARW8" s="65"/>
      <c r="ARX8" s="4"/>
      <c r="ARY8" s="4"/>
      <c r="ARZ8" s="4"/>
      <c r="ASC8" s="34"/>
      <c r="ASD8" s="34"/>
      <c r="ASF8" s="34"/>
      <c r="ASG8" s="72"/>
      <c r="ASH8" s="63"/>
      <c r="ASI8" s="34"/>
      <c r="ASJ8" s="64"/>
      <c r="ASK8" s="4"/>
      <c r="ASL8" s="65"/>
      <c r="ASM8" s="4"/>
      <c r="ASN8" s="4"/>
      <c r="ASO8" s="4"/>
      <c r="ASR8" s="34"/>
      <c r="ASS8" s="34"/>
      <c r="ASU8" s="34"/>
      <c r="ASV8" s="72"/>
      <c r="ASW8" s="63"/>
      <c r="ASX8" s="34"/>
      <c r="ASY8" s="64"/>
      <c r="ASZ8" s="4"/>
      <c r="ATA8" s="65"/>
      <c r="ATB8" s="4"/>
      <c r="ATC8" s="4"/>
      <c r="ATD8" s="4"/>
      <c r="ATG8" s="34"/>
      <c r="ATH8" s="34"/>
      <c r="ATJ8" s="34"/>
      <c r="ATK8" s="72"/>
      <c r="ATL8" s="63"/>
      <c r="ATM8" s="34"/>
      <c r="ATN8" s="64"/>
      <c r="ATO8" s="4"/>
      <c r="ATP8" s="65"/>
      <c r="ATQ8" s="4"/>
      <c r="ATR8" s="4"/>
      <c r="ATS8" s="4"/>
      <c r="ATV8" s="34"/>
      <c r="ATW8" s="34"/>
      <c r="ATY8" s="34"/>
      <c r="ATZ8" s="72"/>
      <c r="AUA8" s="63"/>
      <c r="AUB8" s="34"/>
      <c r="AUC8" s="64"/>
      <c r="AUD8" s="4"/>
      <c r="AUE8" s="65"/>
      <c r="AUF8" s="4"/>
      <c r="AUG8" s="4"/>
      <c r="AUH8" s="4"/>
      <c r="AUK8" s="34"/>
      <c r="AUL8" s="34"/>
      <c r="AUN8" s="34"/>
      <c r="AUO8" s="72"/>
      <c r="AUP8" s="63"/>
      <c r="AUQ8" s="34"/>
      <c r="AUR8" s="64"/>
      <c r="AUS8" s="4"/>
      <c r="AUT8" s="65"/>
      <c r="AUU8" s="4"/>
      <c r="AUV8" s="4"/>
      <c r="AUW8" s="4"/>
      <c r="AUZ8" s="34"/>
      <c r="AVA8" s="34"/>
      <c r="AVC8" s="34"/>
      <c r="AVD8" s="72"/>
      <c r="AVE8" s="63"/>
      <c r="AVF8" s="34"/>
      <c r="AVG8" s="64"/>
      <c r="AVH8" s="4"/>
      <c r="AVI8" s="65"/>
      <c r="AVJ8" s="4"/>
      <c r="AVK8" s="4"/>
      <c r="AVL8" s="4"/>
      <c r="AVO8" s="34"/>
      <c r="AVP8" s="34"/>
      <c r="AVR8" s="34"/>
      <c r="AVS8" s="72"/>
      <c r="AVT8" s="63"/>
      <c r="AVU8" s="34"/>
      <c r="AVV8" s="64"/>
      <c r="AVW8" s="4"/>
      <c r="AVX8" s="65"/>
      <c r="AVY8" s="4"/>
      <c r="AVZ8" s="4"/>
      <c r="AWA8" s="4"/>
      <c r="AWD8" s="34"/>
      <c r="AWE8" s="34"/>
      <c r="AWG8" s="34"/>
      <c r="AWH8" s="72"/>
      <c r="AWI8" s="63"/>
      <c r="AWJ8" s="34"/>
      <c r="AWK8" s="64"/>
      <c r="AWL8" s="4"/>
      <c r="AWM8" s="65"/>
      <c r="AWN8" s="4"/>
      <c r="AWO8" s="4"/>
      <c r="AWP8" s="4"/>
      <c r="AWS8" s="34"/>
      <c r="AWT8" s="34"/>
      <c r="AWV8" s="34"/>
      <c r="AWW8" s="72"/>
      <c r="AWX8" s="63"/>
      <c r="AWY8" s="34"/>
      <c r="AWZ8" s="64"/>
      <c r="AXA8" s="4"/>
      <c r="AXB8" s="65"/>
      <c r="AXC8" s="4"/>
      <c r="AXD8" s="4"/>
      <c r="AXE8" s="4"/>
      <c r="AXH8" s="34"/>
      <c r="AXI8" s="34"/>
      <c r="AXK8" s="34"/>
      <c r="AXL8" s="72"/>
      <c r="AXM8" s="63"/>
      <c r="AXN8" s="34"/>
      <c r="AXO8" s="64"/>
      <c r="AXP8" s="4"/>
      <c r="AXQ8" s="65"/>
      <c r="AXR8" s="4"/>
      <c r="AXS8" s="4"/>
      <c r="AXT8" s="4"/>
      <c r="AXW8" s="34"/>
      <c r="AXX8" s="34"/>
      <c r="AXZ8" s="34"/>
      <c r="AYA8" s="72"/>
      <c r="AYB8" s="63"/>
      <c r="AYC8" s="34"/>
      <c r="AYD8" s="64"/>
      <c r="AYE8" s="4"/>
      <c r="AYF8" s="65"/>
      <c r="AYG8" s="4"/>
      <c r="AYH8" s="4"/>
      <c r="AYI8" s="4"/>
      <c r="AYL8" s="34"/>
      <c r="AYM8" s="34"/>
      <c r="AYO8" s="34"/>
      <c r="AYP8" s="72"/>
      <c r="AYQ8" s="63"/>
      <c r="AYR8" s="34"/>
      <c r="AYS8" s="64"/>
      <c r="AYT8" s="4"/>
      <c r="AYU8" s="65"/>
      <c r="AYV8" s="4"/>
      <c r="AYW8" s="4"/>
      <c r="AYX8" s="4"/>
      <c r="AZA8" s="34"/>
      <c r="AZB8" s="34"/>
      <c r="AZD8" s="34"/>
      <c r="AZE8" s="72"/>
      <c r="AZF8" s="63"/>
      <c r="AZG8" s="34"/>
      <c r="AZH8" s="64"/>
      <c r="AZI8" s="4"/>
      <c r="AZJ8" s="65"/>
      <c r="AZK8" s="4"/>
      <c r="AZL8" s="4"/>
      <c r="AZM8" s="4"/>
      <c r="AZP8" s="34"/>
      <c r="AZQ8" s="34"/>
      <c r="AZS8" s="34"/>
      <c r="AZT8" s="72"/>
      <c r="AZU8" s="63"/>
      <c r="AZV8" s="34"/>
      <c r="AZW8" s="64"/>
      <c r="AZX8" s="4"/>
      <c r="AZY8" s="65"/>
      <c r="AZZ8" s="4"/>
      <c r="BAA8" s="4"/>
      <c r="BAB8" s="4"/>
      <c r="BAE8" s="34"/>
      <c r="BAF8" s="34"/>
      <c r="BAH8" s="34"/>
      <c r="BAI8" s="72"/>
      <c r="BAJ8" s="63"/>
      <c r="BAK8" s="34"/>
      <c r="BAL8" s="64"/>
      <c r="BAM8" s="4"/>
      <c r="BAN8" s="65"/>
      <c r="BAO8" s="4"/>
      <c r="BAP8" s="4"/>
      <c r="BAQ8" s="4"/>
      <c r="BAT8" s="34"/>
      <c r="BAU8" s="34"/>
      <c r="BAW8" s="34"/>
      <c r="BAX8" s="72"/>
      <c r="BAY8" s="63"/>
      <c r="BAZ8" s="34"/>
      <c r="BBA8" s="64"/>
      <c r="BBB8" s="4"/>
      <c r="BBC8" s="65"/>
      <c r="BBD8" s="4"/>
      <c r="BBE8" s="4"/>
      <c r="BBF8" s="4"/>
      <c r="BBI8" s="34"/>
      <c r="BBJ8" s="34"/>
      <c r="BBL8" s="34"/>
      <c r="BBM8" s="72"/>
      <c r="BBN8" s="63"/>
      <c r="BBO8" s="34"/>
      <c r="BBP8" s="64"/>
      <c r="BBQ8" s="4"/>
      <c r="BBR8" s="65"/>
      <c r="BBS8" s="4"/>
      <c r="BBT8" s="4"/>
      <c r="BBU8" s="4"/>
      <c r="BBX8" s="34"/>
      <c r="BBY8" s="34"/>
      <c r="BCA8" s="34"/>
      <c r="BCB8" s="72"/>
      <c r="BCC8" s="63"/>
      <c r="BCD8" s="34"/>
      <c r="BCE8" s="64"/>
      <c r="BCF8" s="4"/>
      <c r="BCG8" s="65"/>
      <c r="BCH8" s="4"/>
      <c r="BCI8" s="4"/>
      <c r="BCJ8" s="4"/>
      <c r="BCM8" s="34"/>
      <c r="BCN8" s="34"/>
      <c r="BCP8" s="34"/>
      <c r="BCQ8" s="72"/>
      <c r="BCR8" s="63"/>
      <c r="BCS8" s="34"/>
      <c r="BCT8" s="64"/>
      <c r="BCU8" s="4"/>
      <c r="BCV8" s="65"/>
      <c r="BCW8" s="4"/>
      <c r="BCX8" s="4"/>
      <c r="BCY8" s="4"/>
      <c r="BDB8" s="34"/>
      <c r="BDC8" s="34"/>
      <c r="BDE8" s="34"/>
      <c r="BDF8" s="72"/>
      <c r="BDG8" s="63"/>
      <c r="BDH8" s="34"/>
      <c r="BDI8" s="64"/>
      <c r="BDJ8" s="4"/>
      <c r="BDK8" s="65"/>
      <c r="BDL8" s="4"/>
      <c r="BDM8" s="4"/>
      <c r="BDN8" s="4"/>
      <c r="BDQ8" s="34"/>
      <c r="BDR8" s="34"/>
      <c r="BDT8" s="34"/>
      <c r="BDU8" s="72"/>
      <c r="BDV8" s="63"/>
      <c r="BDW8" s="34"/>
      <c r="BDX8" s="64"/>
      <c r="BDY8" s="4"/>
      <c r="BDZ8" s="65"/>
      <c r="BEA8" s="4"/>
      <c r="BEB8" s="4"/>
      <c r="BEC8" s="4"/>
      <c r="BEF8" s="34"/>
      <c r="BEG8" s="34"/>
      <c r="BEI8" s="34"/>
      <c r="BEJ8" s="72"/>
      <c r="BEK8" s="63"/>
      <c r="BEL8" s="34"/>
      <c r="BEM8" s="64"/>
      <c r="BEN8" s="4"/>
      <c r="BEO8" s="65"/>
      <c r="BEP8" s="4"/>
      <c r="BEQ8" s="4"/>
      <c r="BER8" s="4"/>
      <c r="BEU8" s="34"/>
      <c r="BEV8" s="34"/>
      <c r="BEX8" s="34"/>
      <c r="BEY8" s="72"/>
      <c r="BEZ8" s="63"/>
      <c r="BFA8" s="34"/>
      <c r="BFB8" s="64"/>
      <c r="BFC8" s="4"/>
      <c r="BFD8" s="65"/>
      <c r="BFE8" s="4"/>
      <c r="BFF8" s="4"/>
      <c r="BFG8" s="4"/>
      <c r="BFJ8" s="34"/>
      <c r="BFK8" s="34"/>
      <c r="BFM8" s="34"/>
      <c r="BFN8" s="72"/>
      <c r="BFO8" s="63"/>
      <c r="BFP8" s="34"/>
      <c r="BFQ8" s="64"/>
      <c r="BFR8" s="4"/>
      <c r="BFS8" s="65"/>
      <c r="BFT8" s="4"/>
      <c r="BFU8" s="4"/>
      <c r="BFV8" s="4"/>
      <c r="BFY8" s="34"/>
      <c r="BFZ8" s="34"/>
      <c r="BGB8" s="34"/>
      <c r="BGC8" s="72"/>
      <c r="BGD8" s="63"/>
      <c r="BGE8" s="34"/>
      <c r="BGF8" s="64"/>
      <c r="BGG8" s="4"/>
      <c r="BGH8" s="65"/>
      <c r="BGI8" s="4"/>
      <c r="BGJ8" s="4"/>
      <c r="BGK8" s="4"/>
      <c r="BGN8" s="34"/>
      <c r="BGO8" s="34"/>
      <c r="BGQ8" s="34"/>
      <c r="BGR8" s="72"/>
      <c r="BGS8" s="63"/>
      <c r="BGT8" s="34"/>
      <c r="BGU8" s="64"/>
      <c r="BGV8" s="4"/>
      <c r="BGW8" s="65"/>
      <c r="BGX8" s="4"/>
      <c r="BGY8" s="4"/>
      <c r="BGZ8" s="4"/>
      <c r="BHC8" s="34"/>
      <c r="BHD8" s="34"/>
      <c r="BHF8" s="34"/>
      <c r="BHG8" s="72"/>
      <c r="BHH8" s="63"/>
      <c r="BHI8" s="34"/>
      <c r="BHJ8" s="64"/>
      <c r="BHK8" s="4"/>
      <c r="BHL8" s="65"/>
      <c r="BHM8" s="4"/>
      <c r="BHN8" s="4"/>
      <c r="BHO8" s="4"/>
      <c r="BHR8" s="34"/>
      <c r="BHS8" s="34"/>
      <c r="BHU8" s="34"/>
      <c r="BHV8" s="72"/>
      <c r="BHW8" s="63"/>
      <c r="BHX8" s="34"/>
      <c r="BHY8" s="64"/>
      <c r="BHZ8" s="4"/>
      <c r="BIA8" s="65"/>
      <c r="BIB8" s="4"/>
      <c r="BIC8" s="4"/>
      <c r="BID8" s="4"/>
      <c r="BIG8" s="34"/>
      <c r="BIH8" s="34"/>
      <c r="BIJ8" s="34"/>
      <c r="BIK8" s="72"/>
      <c r="BIL8" s="63"/>
      <c r="BIM8" s="34"/>
      <c r="BIN8" s="64"/>
      <c r="BIO8" s="4"/>
      <c r="BIP8" s="65"/>
      <c r="BIQ8" s="4"/>
      <c r="BIR8" s="4"/>
      <c r="BIS8" s="4"/>
      <c r="BIV8" s="34"/>
      <c r="BIW8" s="34"/>
      <c r="BIY8" s="34"/>
      <c r="BIZ8" s="72"/>
      <c r="BJA8" s="63"/>
      <c r="BJB8" s="34"/>
      <c r="BJC8" s="64"/>
      <c r="BJD8" s="4"/>
      <c r="BJE8" s="65"/>
      <c r="BJF8" s="4"/>
      <c r="BJG8" s="4"/>
      <c r="BJH8" s="4"/>
      <c r="BJK8" s="34"/>
      <c r="BJL8" s="34"/>
      <c r="BJN8" s="34"/>
      <c r="BJO8" s="72"/>
      <c r="BJP8" s="63"/>
      <c r="BJQ8" s="34"/>
      <c r="BJR8" s="64"/>
      <c r="BJS8" s="4"/>
      <c r="BJT8" s="65"/>
      <c r="BJU8" s="4"/>
      <c r="BJV8" s="4"/>
      <c r="BJW8" s="4"/>
      <c r="BJZ8" s="34"/>
      <c r="BKA8" s="34"/>
      <c r="BKC8" s="34"/>
      <c r="BKD8" s="72"/>
      <c r="BKE8" s="63"/>
      <c r="BKF8" s="34"/>
      <c r="BKG8" s="64"/>
      <c r="BKH8" s="4"/>
      <c r="BKI8" s="65"/>
      <c r="BKJ8" s="4"/>
      <c r="BKK8" s="4"/>
      <c r="BKL8" s="4"/>
      <c r="BKO8" s="34"/>
      <c r="BKP8" s="34"/>
      <c r="BKR8" s="34"/>
      <c r="BKS8" s="72"/>
      <c r="BKT8" s="63"/>
      <c r="BKU8" s="34"/>
      <c r="BKV8" s="64"/>
      <c r="BKW8" s="4"/>
      <c r="BKX8" s="65"/>
      <c r="BKY8" s="4"/>
      <c r="BKZ8" s="4"/>
      <c r="BLA8" s="4"/>
      <c r="BLD8" s="34"/>
      <c r="BLE8" s="34"/>
      <c r="BLG8" s="34"/>
      <c r="BLH8" s="72"/>
      <c r="BLI8" s="63"/>
      <c r="BLJ8" s="34"/>
      <c r="BLK8" s="64"/>
      <c r="BLL8" s="4"/>
      <c r="BLM8" s="65"/>
      <c r="BLN8" s="4"/>
      <c r="BLO8" s="4"/>
      <c r="BLP8" s="4"/>
      <c r="BLS8" s="34"/>
      <c r="BLT8" s="34"/>
      <c r="BLV8" s="34"/>
      <c r="BLW8" s="72"/>
      <c r="BLX8" s="63"/>
      <c r="BLY8" s="34"/>
      <c r="BLZ8" s="64"/>
      <c r="BMA8" s="4"/>
      <c r="BMB8" s="65"/>
      <c r="BMC8" s="4"/>
      <c r="BMD8" s="4"/>
      <c r="BME8" s="4"/>
      <c r="BMH8" s="34"/>
      <c r="BMI8" s="34"/>
      <c r="BMK8" s="34"/>
      <c r="BML8" s="72"/>
      <c r="BMM8" s="63"/>
      <c r="BMN8" s="34"/>
      <c r="BMO8" s="64"/>
      <c r="BMP8" s="4"/>
      <c r="BMQ8" s="65"/>
      <c r="BMR8" s="4"/>
      <c r="BMS8" s="4"/>
      <c r="BMT8" s="4"/>
      <c r="BMW8" s="34"/>
      <c r="BMX8" s="34"/>
      <c r="BMZ8" s="34"/>
      <c r="BNA8" s="72"/>
      <c r="BNB8" s="63"/>
      <c r="BNC8" s="34"/>
      <c r="BND8" s="64"/>
      <c r="BNE8" s="4"/>
      <c r="BNF8" s="65"/>
      <c r="BNG8" s="4"/>
      <c r="BNH8" s="4"/>
      <c r="BNI8" s="4"/>
      <c r="BNL8" s="34"/>
      <c r="BNM8" s="34"/>
      <c r="BNO8" s="34"/>
      <c r="BNP8" s="72"/>
      <c r="BNQ8" s="63"/>
      <c r="BNR8" s="34"/>
      <c r="BNS8" s="64"/>
      <c r="BNT8" s="4"/>
      <c r="BNU8" s="65"/>
      <c r="BNV8" s="4"/>
      <c r="BNW8" s="4"/>
      <c r="BNX8" s="4"/>
      <c r="BOA8" s="34"/>
      <c r="BOB8" s="34"/>
      <c r="BOD8" s="34"/>
      <c r="BOE8" s="72"/>
      <c r="BOF8" s="63"/>
      <c r="BOG8" s="34"/>
      <c r="BOH8" s="64"/>
      <c r="BOI8" s="4"/>
      <c r="BOJ8" s="65"/>
      <c r="BOK8" s="4"/>
      <c r="BOL8" s="4"/>
      <c r="BOM8" s="4"/>
      <c r="BOP8" s="34"/>
      <c r="BOQ8" s="34"/>
      <c r="BOS8" s="34"/>
      <c r="BOT8" s="72"/>
      <c r="BOU8" s="63"/>
      <c r="BOV8" s="34"/>
      <c r="BOW8" s="64"/>
      <c r="BOX8" s="4"/>
      <c r="BOY8" s="65"/>
      <c r="BOZ8" s="4"/>
      <c r="BPA8" s="4"/>
      <c r="BPB8" s="4"/>
      <c r="BPE8" s="34"/>
      <c r="BPF8" s="34"/>
      <c r="BPH8" s="34"/>
      <c r="BPI8" s="72"/>
      <c r="BPJ8" s="63"/>
      <c r="BPK8" s="34"/>
      <c r="BPL8" s="64"/>
      <c r="BPM8" s="4"/>
      <c r="BPN8" s="65"/>
      <c r="BPO8" s="4"/>
      <c r="BPP8" s="4"/>
      <c r="BPQ8" s="4"/>
      <c r="BPT8" s="34"/>
      <c r="BPU8" s="34"/>
      <c r="BPW8" s="34"/>
      <c r="BPX8" s="72"/>
      <c r="BPY8" s="63"/>
      <c r="BPZ8" s="34"/>
      <c r="BQA8" s="64"/>
      <c r="BQB8" s="4"/>
      <c r="BQC8" s="65"/>
      <c r="BQD8" s="4"/>
      <c r="BQE8" s="4"/>
      <c r="BQF8" s="4"/>
      <c r="BQI8" s="34"/>
      <c r="BQJ8" s="34"/>
      <c r="BQL8" s="34"/>
      <c r="BQM8" s="72"/>
      <c r="BQN8" s="63"/>
      <c r="BQO8" s="34"/>
      <c r="BQP8" s="64"/>
      <c r="BQQ8" s="4"/>
      <c r="BQR8" s="65"/>
      <c r="BQS8" s="4"/>
      <c r="BQT8" s="4"/>
      <c r="BQU8" s="4"/>
      <c r="BQX8" s="34"/>
      <c r="BQY8" s="34"/>
      <c r="BRA8" s="34"/>
      <c r="BRB8" s="72"/>
      <c r="BRC8" s="63"/>
      <c r="BRD8" s="34"/>
      <c r="BRE8" s="64"/>
      <c r="BRF8" s="4"/>
      <c r="BRG8" s="65"/>
      <c r="BRH8" s="4"/>
      <c r="BRI8" s="4"/>
      <c r="BRJ8" s="4"/>
      <c r="BRM8" s="34"/>
      <c r="BRN8" s="34"/>
      <c r="BRP8" s="34"/>
      <c r="BRQ8" s="72"/>
      <c r="BRR8" s="63"/>
      <c r="BRS8" s="34"/>
      <c r="BRT8" s="64"/>
      <c r="BRU8" s="4"/>
      <c r="BRV8" s="65"/>
      <c r="BRW8" s="4"/>
      <c r="BRX8" s="4"/>
      <c r="BRY8" s="4"/>
      <c r="BSB8" s="34"/>
      <c r="BSC8" s="34"/>
      <c r="BSE8" s="34"/>
      <c r="BSF8" s="72"/>
      <c r="BSG8" s="63"/>
      <c r="BSH8" s="34"/>
      <c r="BSI8" s="64"/>
      <c r="BSJ8" s="4"/>
      <c r="BSK8" s="65"/>
      <c r="BSL8" s="4"/>
      <c r="BSM8" s="4"/>
      <c r="BSN8" s="4"/>
      <c r="BSQ8" s="34"/>
      <c r="BSR8" s="34"/>
      <c r="BST8" s="34"/>
      <c r="BSU8" s="72"/>
      <c r="BSV8" s="63"/>
      <c r="BSW8" s="34"/>
      <c r="BSX8" s="64"/>
      <c r="BSY8" s="4"/>
      <c r="BSZ8" s="65"/>
      <c r="BTA8" s="4"/>
      <c r="BTB8" s="4"/>
      <c r="BTC8" s="4"/>
      <c r="BTF8" s="34"/>
      <c r="BTG8" s="34"/>
      <c r="BTI8" s="34"/>
      <c r="BTJ8" s="72"/>
      <c r="BTK8" s="63"/>
      <c r="BTL8" s="34"/>
      <c r="BTM8" s="64"/>
      <c r="BTN8" s="4"/>
      <c r="BTO8" s="65"/>
      <c r="BTP8" s="4"/>
      <c r="BTQ8" s="4"/>
      <c r="BTR8" s="4"/>
      <c r="BTU8" s="34"/>
      <c r="BTV8" s="34"/>
      <c r="BTX8" s="34"/>
      <c r="BTY8" s="72"/>
      <c r="BTZ8" s="63"/>
      <c r="BUA8" s="34"/>
      <c r="BUB8" s="64"/>
      <c r="BUC8" s="4"/>
      <c r="BUD8" s="65"/>
      <c r="BUE8" s="4"/>
      <c r="BUF8" s="4"/>
      <c r="BUG8" s="4"/>
      <c r="BUJ8" s="34"/>
      <c r="BUK8" s="34"/>
      <c r="BUM8" s="34"/>
      <c r="BUN8" s="72"/>
      <c r="BUO8" s="63"/>
      <c r="BUP8" s="34"/>
      <c r="BUQ8" s="64"/>
      <c r="BUR8" s="4"/>
      <c r="BUS8" s="65"/>
      <c r="BUT8" s="4"/>
      <c r="BUU8" s="4"/>
      <c r="BUV8" s="4"/>
      <c r="BUY8" s="34"/>
      <c r="BUZ8" s="34"/>
      <c r="BVB8" s="34"/>
      <c r="BVC8" s="72"/>
      <c r="BVD8" s="63"/>
      <c r="BVE8" s="34"/>
      <c r="BVF8" s="64"/>
      <c r="BVG8" s="4"/>
      <c r="BVH8" s="65"/>
      <c r="BVI8" s="4"/>
      <c r="BVJ8" s="4"/>
      <c r="BVK8" s="4"/>
      <c r="BVN8" s="34"/>
      <c r="BVO8" s="34"/>
      <c r="BVQ8" s="34"/>
      <c r="BVR8" s="72"/>
      <c r="BVS8" s="63"/>
      <c r="BVT8" s="34"/>
      <c r="BVU8" s="64"/>
      <c r="BVV8" s="4"/>
      <c r="BVW8" s="65"/>
      <c r="BVX8" s="4"/>
      <c r="BVY8" s="4"/>
      <c r="BVZ8" s="4"/>
      <c r="BWC8" s="34"/>
      <c r="BWD8" s="34"/>
      <c r="BWF8" s="34"/>
      <c r="BWG8" s="72"/>
      <c r="BWH8" s="63"/>
      <c r="BWI8" s="34"/>
      <c r="BWJ8" s="64"/>
      <c r="BWK8" s="4"/>
      <c r="BWL8" s="65"/>
      <c r="BWM8" s="4"/>
      <c r="BWN8" s="4"/>
      <c r="BWO8" s="4"/>
      <c r="BWR8" s="34"/>
      <c r="BWS8" s="34"/>
      <c r="BWU8" s="34"/>
      <c r="BWV8" s="72"/>
      <c r="BWW8" s="63"/>
      <c r="BWX8" s="34"/>
      <c r="BWY8" s="64"/>
      <c r="BWZ8" s="4"/>
      <c r="BXA8" s="65"/>
      <c r="BXB8" s="4"/>
      <c r="BXC8" s="4"/>
      <c r="BXD8" s="4"/>
      <c r="BXG8" s="34"/>
      <c r="BXH8" s="34"/>
      <c r="BXJ8" s="34"/>
      <c r="BXK8" s="72"/>
      <c r="BXL8" s="63"/>
      <c r="BXM8" s="34"/>
      <c r="BXN8" s="64"/>
      <c r="BXO8" s="4"/>
      <c r="BXP8" s="65"/>
      <c r="BXQ8" s="4"/>
      <c r="BXR8" s="4"/>
      <c r="BXS8" s="4"/>
      <c r="BXV8" s="34"/>
      <c r="BXW8" s="34"/>
      <c r="BXY8" s="34"/>
      <c r="BXZ8" s="72"/>
      <c r="BYA8" s="63"/>
      <c r="BYB8" s="34"/>
      <c r="BYC8" s="64"/>
      <c r="BYD8" s="4"/>
      <c r="BYE8" s="65"/>
      <c r="BYF8" s="4"/>
      <c r="BYG8" s="4"/>
      <c r="BYH8" s="4"/>
      <c r="BYK8" s="34"/>
      <c r="BYL8" s="34"/>
      <c r="BYN8" s="34"/>
      <c r="BYO8" s="72"/>
      <c r="BYP8" s="63"/>
      <c r="BYQ8" s="34"/>
      <c r="BYR8" s="64"/>
      <c r="BYS8" s="4"/>
      <c r="BYT8" s="65"/>
      <c r="BYU8" s="4"/>
      <c r="BYV8" s="4"/>
      <c r="BYW8" s="4"/>
      <c r="BYZ8" s="34"/>
      <c r="BZA8" s="34"/>
      <c r="BZC8" s="34"/>
      <c r="BZD8" s="72"/>
      <c r="BZE8" s="63"/>
      <c r="BZF8" s="34"/>
      <c r="BZG8" s="64"/>
      <c r="BZH8" s="4"/>
      <c r="BZI8" s="65"/>
      <c r="BZJ8" s="4"/>
      <c r="BZK8" s="4"/>
      <c r="BZL8" s="4"/>
      <c r="BZO8" s="34"/>
      <c r="BZP8" s="34"/>
      <c r="BZR8" s="34"/>
      <c r="BZS8" s="72"/>
      <c r="BZT8" s="63"/>
      <c r="BZU8" s="34"/>
      <c r="BZV8" s="64"/>
      <c r="BZW8" s="4"/>
      <c r="BZX8" s="65"/>
      <c r="BZY8" s="4"/>
      <c r="BZZ8" s="4"/>
      <c r="CAA8" s="4"/>
      <c r="CAD8" s="34"/>
      <c r="CAE8" s="34"/>
      <c r="CAG8" s="34"/>
      <c r="CAH8" s="72"/>
      <c r="CAI8" s="63"/>
      <c r="CAJ8" s="34"/>
      <c r="CAK8" s="64"/>
      <c r="CAL8" s="4"/>
      <c r="CAM8" s="65"/>
      <c r="CAN8" s="4"/>
      <c r="CAO8" s="4"/>
      <c r="CAP8" s="4"/>
      <c r="CAS8" s="34"/>
      <c r="CAT8" s="34"/>
      <c r="CAV8" s="34"/>
      <c r="CAW8" s="72"/>
      <c r="CAX8" s="63"/>
      <c r="CAY8" s="34"/>
      <c r="CAZ8" s="64"/>
      <c r="CBA8" s="4"/>
      <c r="CBB8" s="65"/>
      <c r="CBC8" s="4"/>
      <c r="CBD8" s="4"/>
      <c r="CBE8" s="4"/>
      <c r="CBH8" s="34"/>
      <c r="CBI8" s="34"/>
      <c r="CBK8" s="34"/>
      <c r="CBL8" s="72"/>
      <c r="CBM8" s="63"/>
      <c r="CBN8" s="34"/>
      <c r="CBO8" s="64"/>
      <c r="CBP8" s="4"/>
      <c r="CBQ8" s="65"/>
      <c r="CBR8" s="4"/>
      <c r="CBS8" s="4"/>
      <c r="CBT8" s="4"/>
      <c r="CBW8" s="34"/>
      <c r="CBX8" s="34"/>
      <c r="CBZ8" s="34"/>
      <c r="CCA8" s="72"/>
      <c r="CCB8" s="63"/>
      <c r="CCC8" s="34"/>
      <c r="CCD8" s="64"/>
      <c r="CCE8" s="4"/>
      <c r="CCF8" s="65"/>
      <c r="CCG8" s="4"/>
      <c r="CCH8" s="4"/>
      <c r="CCI8" s="4"/>
      <c r="CCL8" s="34"/>
      <c r="CCM8" s="34"/>
      <c r="CCO8" s="34"/>
      <c r="CCP8" s="72"/>
      <c r="CCQ8" s="63"/>
      <c r="CCR8" s="34"/>
      <c r="CCS8" s="64"/>
      <c r="CCT8" s="4"/>
      <c r="CCU8" s="65"/>
      <c r="CCV8" s="4"/>
      <c r="CCW8" s="4"/>
      <c r="CCX8" s="4"/>
      <c r="CDA8" s="34"/>
      <c r="CDB8" s="34"/>
      <c r="CDD8" s="34"/>
      <c r="CDE8" s="72"/>
      <c r="CDF8" s="63"/>
      <c r="CDG8" s="34"/>
      <c r="CDH8" s="64"/>
      <c r="CDI8" s="4"/>
      <c r="CDJ8" s="65"/>
      <c r="CDK8" s="4"/>
      <c r="CDL8" s="4"/>
      <c r="CDM8" s="4"/>
      <c r="CDP8" s="34"/>
      <c r="CDQ8" s="34"/>
      <c r="CDS8" s="34"/>
      <c r="CDT8" s="72"/>
      <c r="CDU8" s="63"/>
      <c r="CDV8" s="34"/>
      <c r="CDW8" s="64"/>
      <c r="CDX8" s="4"/>
      <c r="CDY8" s="65"/>
      <c r="CDZ8" s="4"/>
      <c r="CEA8" s="4"/>
      <c r="CEB8" s="4"/>
      <c r="CEE8" s="34"/>
      <c r="CEF8" s="34"/>
      <c r="CEH8" s="34"/>
      <c r="CEI8" s="72"/>
      <c r="CEJ8" s="63"/>
      <c r="CEK8" s="34"/>
      <c r="CEL8" s="64"/>
      <c r="CEM8" s="4"/>
      <c r="CEN8" s="65"/>
      <c r="CEO8" s="4"/>
      <c r="CEP8" s="4"/>
      <c r="CEQ8" s="4"/>
      <c r="CET8" s="34"/>
      <c r="CEU8" s="34"/>
      <c r="CEW8" s="34"/>
      <c r="CEX8" s="72"/>
      <c r="CEY8" s="63"/>
      <c r="CEZ8" s="34"/>
      <c r="CFA8" s="64"/>
      <c r="CFB8" s="4"/>
      <c r="CFC8" s="65"/>
      <c r="CFD8" s="4"/>
      <c r="CFE8" s="4"/>
      <c r="CFF8" s="4"/>
      <c r="CFI8" s="34"/>
      <c r="CFJ8" s="34"/>
      <c r="CFL8" s="34"/>
      <c r="CFM8" s="72"/>
      <c r="CFN8" s="63"/>
      <c r="CFO8" s="34"/>
      <c r="CFP8" s="64"/>
      <c r="CFQ8" s="4"/>
      <c r="CFR8" s="65"/>
      <c r="CFS8" s="4"/>
      <c r="CFT8" s="4"/>
      <c r="CFU8" s="4"/>
      <c r="CFX8" s="34"/>
      <c r="CFY8" s="34"/>
      <c r="CGA8" s="34"/>
      <c r="CGB8" s="72"/>
      <c r="CGC8" s="63"/>
      <c r="CGD8" s="34"/>
      <c r="CGE8" s="64"/>
      <c r="CGF8" s="4"/>
      <c r="CGG8" s="65"/>
      <c r="CGH8" s="4"/>
      <c r="CGI8" s="4"/>
      <c r="CGJ8" s="4"/>
      <c r="CGM8" s="34"/>
      <c r="CGN8" s="34"/>
      <c r="CGP8" s="34"/>
      <c r="CGQ8" s="72"/>
      <c r="CGR8" s="63"/>
      <c r="CGS8" s="34"/>
      <c r="CGT8" s="64"/>
      <c r="CGU8" s="4"/>
      <c r="CGV8" s="65"/>
      <c r="CGW8" s="4"/>
      <c r="CGX8" s="4"/>
      <c r="CGY8" s="4"/>
      <c r="CHB8" s="34"/>
      <c r="CHC8" s="34"/>
      <c r="CHE8" s="34"/>
      <c r="CHF8" s="72"/>
      <c r="CHG8" s="63"/>
      <c r="CHH8" s="34"/>
      <c r="CHI8" s="64"/>
      <c r="CHJ8" s="4"/>
      <c r="CHK8" s="65"/>
      <c r="CHL8" s="4"/>
      <c r="CHM8" s="4"/>
      <c r="CHN8" s="4"/>
      <c r="CHQ8" s="34"/>
      <c r="CHR8" s="34"/>
      <c r="CHT8" s="34"/>
      <c r="CHU8" s="72"/>
      <c r="CHV8" s="63"/>
      <c r="CHW8" s="34"/>
      <c r="CHX8" s="64"/>
      <c r="CHY8" s="4"/>
      <c r="CHZ8" s="65"/>
      <c r="CIA8" s="4"/>
      <c r="CIB8" s="4"/>
      <c r="CIC8" s="4"/>
      <c r="CIF8" s="34"/>
      <c r="CIG8" s="34"/>
      <c r="CII8" s="34"/>
      <c r="CIJ8" s="72"/>
      <c r="CIK8" s="63"/>
      <c r="CIL8" s="34"/>
      <c r="CIM8" s="64"/>
      <c r="CIN8" s="4"/>
      <c r="CIO8" s="65"/>
      <c r="CIP8" s="4"/>
      <c r="CIQ8" s="4"/>
      <c r="CIR8" s="4"/>
      <c r="CIU8" s="34"/>
      <c r="CIV8" s="34"/>
      <c r="CIX8" s="34"/>
      <c r="CIY8" s="72"/>
      <c r="CIZ8" s="63"/>
      <c r="CJA8" s="34"/>
      <c r="CJB8" s="64"/>
      <c r="CJC8" s="4"/>
      <c r="CJD8" s="65"/>
      <c r="CJE8" s="4"/>
      <c r="CJF8" s="4"/>
      <c r="CJG8" s="4"/>
      <c r="CJJ8" s="34"/>
      <c r="CJK8" s="34"/>
      <c r="CJM8" s="34"/>
      <c r="CJN8" s="72"/>
      <c r="CJO8" s="63"/>
      <c r="CJP8" s="34"/>
      <c r="CJQ8" s="64"/>
      <c r="CJR8" s="4"/>
      <c r="CJS8" s="65"/>
      <c r="CJT8" s="4"/>
      <c r="CJU8" s="4"/>
      <c r="CJV8" s="4"/>
      <c r="CJY8" s="34"/>
      <c r="CJZ8" s="34"/>
      <c r="CKB8" s="34"/>
      <c r="CKC8" s="72"/>
      <c r="CKD8" s="63"/>
      <c r="CKE8" s="34"/>
      <c r="CKF8" s="64"/>
      <c r="CKG8" s="4"/>
      <c r="CKH8" s="65"/>
      <c r="CKI8" s="4"/>
      <c r="CKJ8" s="4"/>
      <c r="CKK8" s="4"/>
      <c r="CKN8" s="34"/>
      <c r="CKO8" s="34"/>
      <c r="CKQ8" s="34"/>
      <c r="CKR8" s="72"/>
      <c r="CKS8" s="63"/>
      <c r="CKT8" s="34"/>
      <c r="CKU8" s="64"/>
      <c r="CKV8" s="4"/>
      <c r="CKW8" s="65"/>
      <c r="CKX8" s="4"/>
      <c r="CKY8" s="4"/>
      <c r="CKZ8" s="4"/>
      <c r="CLC8" s="34"/>
      <c r="CLD8" s="34"/>
      <c r="CLF8" s="34"/>
      <c r="CLG8" s="72"/>
      <c r="CLH8" s="63"/>
      <c r="CLI8" s="34"/>
      <c r="CLJ8" s="64"/>
      <c r="CLK8" s="4"/>
      <c r="CLL8" s="65"/>
      <c r="CLM8" s="4"/>
      <c r="CLN8" s="4"/>
      <c r="CLO8" s="4"/>
      <c r="CLR8" s="34"/>
      <c r="CLS8" s="34"/>
      <c r="CLU8" s="34"/>
      <c r="CLV8" s="72"/>
      <c r="CLW8" s="63"/>
      <c r="CLX8" s="34"/>
      <c r="CLY8" s="64"/>
      <c r="CLZ8" s="4"/>
      <c r="CMA8" s="65"/>
      <c r="CMB8" s="4"/>
      <c r="CMC8" s="4"/>
      <c r="CMD8" s="4"/>
      <c r="CMG8" s="34"/>
      <c r="CMH8" s="34"/>
      <c r="CMJ8" s="34"/>
      <c r="CMK8" s="72"/>
      <c r="CML8" s="63"/>
      <c r="CMM8" s="34"/>
      <c r="CMN8" s="64"/>
      <c r="CMO8" s="4"/>
      <c r="CMP8" s="65"/>
      <c r="CMQ8" s="4"/>
      <c r="CMR8" s="4"/>
      <c r="CMS8" s="4"/>
      <c r="CMV8" s="34"/>
      <c r="CMW8" s="34"/>
      <c r="CMY8" s="34"/>
      <c r="CMZ8" s="72"/>
      <c r="CNA8" s="63"/>
      <c r="CNB8" s="34"/>
      <c r="CNC8" s="64"/>
      <c r="CND8" s="4"/>
      <c r="CNE8" s="65"/>
      <c r="CNF8" s="4"/>
      <c r="CNG8" s="4"/>
      <c r="CNH8" s="4"/>
      <c r="CNK8" s="34"/>
      <c r="CNL8" s="34"/>
      <c r="CNN8" s="34"/>
      <c r="CNO8" s="72"/>
      <c r="CNP8" s="63"/>
      <c r="CNQ8" s="34"/>
      <c r="CNR8" s="64"/>
      <c r="CNS8" s="4"/>
      <c r="CNT8" s="65"/>
      <c r="CNU8" s="4"/>
      <c r="CNV8" s="4"/>
      <c r="CNW8" s="4"/>
      <c r="CNZ8" s="34"/>
      <c r="COA8" s="34"/>
      <c r="COC8" s="34"/>
      <c r="COD8" s="72"/>
      <c r="COE8" s="63"/>
      <c r="COF8" s="34"/>
      <c r="COG8" s="64"/>
      <c r="COH8" s="4"/>
      <c r="COI8" s="65"/>
      <c r="COJ8" s="4"/>
      <c r="COK8" s="4"/>
      <c r="COL8" s="4"/>
      <c r="COO8" s="34"/>
      <c r="COP8" s="34"/>
      <c r="COR8" s="34"/>
      <c r="COS8" s="72"/>
      <c r="COT8" s="63"/>
      <c r="COU8" s="34"/>
      <c r="COV8" s="64"/>
      <c r="COW8" s="4"/>
      <c r="COX8" s="65"/>
      <c r="COY8" s="4"/>
      <c r="COZ8" s="4"/>
      <c r="CPA8" s="4"/>
      <c r="CPD8" s="34"/>
      <c r="CPE8" s="34"/>
      <c r="CPG8" s="34"/>
      <c r="CPH8" s="72"/>
      <c r="CPI8" s="63"/>
      <c r="CPJ8" s="34"/>
      <c r="CPK8" s="64"/>
      <c r="CPL8" s="4"/>
      <c r="CPM8" s="65"/>
      <c r="CPN8" s="4"/>
      <c r="CPO8" s="4"/>
      <c r="CPP8" s="4"/>
      <c r="CPS8" s="34"/>
      <c r="CPT8" s="34"/>
      <c r="CPV8" s="34"/>
      <c r="CPW8" s="72"/>
      <c r="CPX8" s="63"/>
      <c r="CPY8" s="34"/>
      <c r="CPZ8" s="64"/>
      <c r="CQA8" s="4"/>
      <c r="CQB8" s="65"/>
      <c r="CQC8" s="4"/>
      <c r="CQD8" s="4"/>
      <c r="CQE8" s="4"/>
      <c r="CQH8" s="34"/>
      <c r="CQI8" s="34"/>
      <c r="CQK8" s="34"/>
      <c r="CQL8" s="72"/>
      <c r="CQM8" s="63"/>
      <c r="CQN8" s="34"/>
      <c r="CQO8" s="64"/>
      <c r="CQP8" s="4"/>
      <c r="CQQ8" s="65"/>
      <c r="CQR8" s="4"/>
      <c r="CQS8" s="4"/>
      <c r="CQT8" s="4"/>
      <c r="CQW8" s="34"/>
      <c r="CQX8" s="34"/>
      <c r="CQZ8" s="34"/>
      <c r="CRA8" s="72"/>
      <c r="CRB8" s="63"/>
      <c r="CRC8" s="34"/>
      <c r="CRD8" s="64"/>
      <c r="CRE8" s="4"/>
      <c r="CRF8" s="65"/>
      <c r="CRG8" s="4"/>
      <c r="CRH8" s="4"/>
      <c r="CRI8" s="4"/>
      <c r="CRL8" s="34"/>
      <c r="CRM8" s="34"/>
      <c r="CRO8" s="34"/>
      <c r="CRP8" s="72"/>
      <c r="CRQ8" s="63"/>
      <c r="CRR8" s="34"/>
      <c r="CRS8" s="64"/>
      <c r="CRT8" s="4"/>
      <c r="CRU8" s="65"/>
      <c r="CRV8" s="4"/>
      <c r="CRW8" s="4"/>
      <c r="CRX8" s="4"/>
      <c r="CSA8" s="34"/>
      <c r="CSB8" s="34"/>
      <c r="CSD8" s="34"/>
      <c r="CSE8" s="72"/>
      <c r="CSF8" s="63"/>
      <c r="CSG8" s="34"/>
      <c r="CSH8" s="64"/>
      <c r="CSI8" s="4"/>
      <c r="CSJ8" s="65"/>
      <c r="CSK8" s="4"/>
      <c r="CSL8" s="4"/>
      <c r="CSM8" s="4"/>
      <c r="CSP8" s="34"/>
      <c r="CSQ8" s="34"/>
      <c r="CSS8" s="34"/>
      <c r="CST8" s="72"/>
      <c r="CSU8" s="63"/>
      <c r="CSV8" s="34"/>
      <c r="CSW8" s="64"/>
      <c r="CSX8" s="4"/>
      <c r="CSY8" s="65"/>
      <c r="CSZ8" s="4"/>
      <c r="CTA8" s="4"/>
      <c r="CTB8" s="4"/>
      <c r="CTE8" s="34"/>
      <c r="CTF8" s="34"/>
      <c r="CTH8" s="34"/>
      <c r="CTI8" s="72"/>
      <c r="CTJ8" s="63"/>
      <c r="CTK8" s="34"/>
      <c r="CTL8" s="64"/>
      <c r="CTM8" s="4"/>
      <c r="CTN8" s="65"/>
      <c r="CTO8" s="4"/>
      <c r="CTP8" s="4"/>
      <c r="CTQ8" s="4"/>
      <c r="CTT8" s="34"/>
      <c r="CTU8" s="34"/>
      <c r="CTW8" s="34"/>
      <c r="CTX8" s="72"/>
      <c r="CTY8" s="63"/>
      <c r="CTZ8" s="34"/>
      <c r="CUA8" s="64"/>
      <c r="CUB8" s="4"/>
      <c r="CUC8" s="65"/>
      <c r="CUD8" s="4"/>
      <c r="CUE8" s="4"/>
      <c r="CUF8" s="4"/>
      <c r="CUI8" s="34"/>
      <c r="CUJ8" s="34"/>
      <c r="CUL8" s="34"/>
      <c r="CUM8" s="72"/>
      <c r="CUN8" s="63"/>
      <c r="CUO8" s="34"/>
      <c r="CUP8" s="64"/>
      <c r="CUQ8" s="4"/>
      <c r="CUR8" s="65"/>
      <c r="CUS8" s="4"/>
      <c r="CUT8" s="4"/>
      <c r="CUU8" s="4"/>
      <c r="CUX8" s="34"/>
      <c r="CUY8" s="34"/>
      <c r="CVA8" s="34"/>
      <c r="CVB8" s="72"/>
      <c r="CVC8" s="63"/>
      <c r="CVD8" s="34"/>
      <c r="CVE8" s="64"/>
      <c r="CVF8" s="4"/>
      <c r="CVG8" s="65"/>
      <c r="CVH8" s="4"/>
      <c r="CVI8" s="4"/>
      <c r="CVJ8" s="4"/>
      <c r="CVM8" s="34"/>
      <c r="CVN8" s="34"/>
      <c r="CVP8" s="34"/>
      <c r="CVQ8" s="72"/>
      <c r="CVR8" s="63"/>
      <c r="CVS8" s="34"/>
      <c r="CVT8" s="64"/>
      <c r="CVU8" s="4"/>
      <c r="CVV8" s="65"/>
      <c r="CVW8" s="4"/>
      <c r="CVX8" s="4"/>
      <c r="CVY8" s="4"/>
      <c r="CWB8" s="34"/>
      <c r="CWC8" s="34"/>
      <c r="CWE8" s="34"/>
      <c r="CWF8" s="72"/>
      <c r="CWG8" s="63"/>
      <c r="CWH8" s="34"/>
      <c r="CWI8" s="64"/>
      <c r="CWJ8" s="4"/>
      <c r="CWK8" s="65"/>
      <c r="CWL8" s="4"/>
      <c r="CWM8" s="4"/>
      <c r="CWN8" s="4"/>
      <c r="CWQ8" s="34"/>
      <c r="CWR8" s="34"/>
      <c r="CWT8" s="34"/>
      <c r="CWU8" s="72"/>
      <c r="CWV8" s="63"/>
      <c r="CWW8" s="34"/>
      <c r="CWX8" s="64"/>
      <c r="CWY8" s="4"/>
      <c r="CWZ8" s="65"/>
      <c r="CXA8" s="4"/>
      <c r="CXB8" s="4"/>
      <c r="CXC8" s="4"/>
      <c r="CXF8" s="34"/>
      <c r="CXG8" s="34"/>
      <c r="CXI8" s="34"/>
      <c r="CXJ8" s="72"/>
      <c r="CXK8" s="63"/>
      <c r="CXL8" s="34"/>
      <c r="CXM8" s="64"/>
      <c r="CXN8" s="4"/>
      <c r="CXO8" s="65"/>
      <c r="CXP8" s="4"/>
      <c r="CXQ8" s="4"/>
      <c r="CXR8" s="4"/>
      <c r="CXU8" s="34"/>
      <c r="CXV8" s="34"/>
      <c r="CXX8" s="34"/>
      <c r="CXY8" s="72"/>
      <c r="CXZ8" s="63"/>
      <c r="CYA8" s="34"/>
      <c r="CYB8" s="64"/>
      <c r="CYC8" s="4"/>
      <c r="CYD8" s="65"/>
      <c r="CYE8" s="4"/>
      <c r="CYF8" s="4"/>
      <c r="CYG8" s="4"/>
      <c r="CYJ8" s="34"/>
      <c r="CYK8" s="34"/>
      <c r="CYM8" s="34"/>
      <c r="CYN8" s="72"/>
      <c r="CYO8" s="63"/>
      <c r="CYP8" s="34"/>
      <c r="CYQ8" s="64"/>
      <c r="CYR8" s="4"/>
      <c r="CYS8" s="65"/>
      <c r="CYT8" s="4"/>
      <c r="CYU8" s="4"/>
      <c r="CYV8" s="4"/>
      <c r="CYY8" s="34"/>
      <c r="CYZ8" s="34"/>
      <c r="CZB8" s="34"/>
      <c r="CZC8" s="72"/>
      <c r="CZD8" s="63"/>
      <c r="CZE8" s="34"/>
      <c r="CZF8" s="64"/>
      <c r="CZG8" s="4"/>
      <c r="CZH8" s="65"/>
      <c r="CZI8" s="4"/>
      <c r="CZJ8" s="4"/>
      <c r="CZK8" s="4"/>
      <c r="CZN8" s="34"/>
      <c r="CZO8" s="34"/>
      <c r="CZQ8" s="34"/>
      <c r="CZR8" s="72"/>
      <c r="CZS8" s="63"/>
      <c r="CZT8" s="34"/>
      <c r="CZU8" s="64"/>
      <c r="CZV8" s="4"/>
      <c r="CZW8" s="65"/>
      <c r="CZX8" s="4"/>
      <c r="CZY8" s="4"/>
      <c r="CZZ8" s="4"/>
      <c r="DAC8" s="34"/>
      <c r="DAD8" s="34"/>
      <c r="DAF8" s="34"/>
      <c r="DAG8" s="72"/>
      <c r="DAH8" s="63"/>
      <c r="DAI8" s="34"/>
      <c r="DAJ8" s="64"/>
      <c r="DAK8" s="4"/>
      <c r="DAL8" s="65"/>
      <c r="DAM8" s="4"/>
      <c r="DAN8" s="4"/>
      <c r="DAO8" s="4"/>
      <c r="DAR8" s="34"/>
      <c r="DAS8" s="34"/>
      <c r="DAU8" s="34"/>
      <c r="DAV8" s="72"/>
      <c r="DAW8" s="63"/>
      <c r="DAX8" s="34"/>
      <c r="DAY8" s="64"/>
      <c r="DAZ8" s="4"/>
      <c r="DBA8" s="65"/>
      <c r="DBB8" s="4"/>
      <c r="DBC8" s="4"/>
      <c r="DBD8" s="4"/>
      <c r="DBG8" s="34"/>
      <c r="DBH8" s="34"/>
      <c r="DBJ8" s="34"/>
      <c r="DBK8" s="72"/>
      <c r="DBL8" s="63"/>
      <c r="DBM8" s="34"/>
      <c r="DBN8" s="64"/>
      <c r="DBO8" s="4"/>
      <c r="DBP8" s="65"/>
      <c r="DBQ8" s="4"/>
      <c r="DBR8" s="4"/>
      <c r="DBS8" s="4"/>
      <c r="DBV8" s="34"/>
      <c r="DBW8" s="34"/>
      <c r="DBY8" s="34"/>
      <c r="DBZ8" s="72"/>
      <c r="DCA8" s="63"/>
      <c r="DCB8" s="34"/>
      <c r="DCC8" s="64"/>
      <c r="DCD8" s="4"/>
      <c r="DCE8" s="65"/>
      <c r="DCF8" s="4"/>
      <c r="DCG8" s="4"/>
      <c r="DCH8" s="4"/>
      <c r="DCK8" s="34"/>
      <c r="DCL8" s="34"/>
      <c r="DCN8" s="34"/>
      <c r="DCO8" s="72"/>
      <c r="DCP8" s="63"/>
      <c r="DCQ8" s="34"/>
      <c r="DCR8" s="64"/>
      <c r="DCS8" s="4"/>
      <c r="DCT8" s="65"/>
      <c r="DCU8" s="4"/>
      <c r="DCV8" s="4"/>
      <c r="DCW8" s="4"/>
      <c r="DCZ8" s="34"/>
      <c r="DDA8" s="34"/>
      <c r="DDC8" s="34"/>
      <c r="DDD8" s="72"/>
      <c r="DDE8" s="63"/>
      <c r="DDF8" s="34"/>
      <c r="DDG8" s="64"/>
      <c r="DDH8" s="4"/>
      <c r="DDI8" s="65"/>
      <c r="DDJ8" s="4"/>
      <c r="DDK8" s="4"/>
      <c r="DDL8" s="4"/>
      <c r="DDO8" s="34"/>
      <c r="DDP8" s="34"/>
      <c r="DDR8" s="34"/>
      <c r="DDS8" s="72"/>
      <c r="DDT8" s="63"/>
      <c r="DDU8" s="34"/>
      <c r="DDV8" s="64"/>
      <c r="DDW8" s="4"/>
      <c r="DDX8" s="65"/>
      <c r="DDY8" s="4"/>
      <c r="DDZ8" s="4"/>
      <c r="DEA8" s="4"/>
      <c r="DED8" s="34"/>
      <c r="DEE8" s="34"/>
      <c r="DEG8" s="34"/>
      <c r="DEH8" s="72"/>
      <c r="DEI8" s="63"/>
      <c r="DEJ8" s="34"/>
      <c r="DEK8" s="64"/>
      <c r="DEL8" s="4"/>
      <c r="DEM8" s="65"/>
      <c r="DEN8" s="4"/>
      <c r="DEO8" s="4"/>
      <c r="DEP8" s="4"/>
      <c r="DES8" s="34"/>
      <c r="DET8" s="34"/>
      <c r="DEV8" s="34"/>
      <c r="DEW8" s="72"/>
      <c r="DEX8" s="63"/>
      <c r="DEY8" s="34"/>
      <c r="DEZ8" s="64"/>
      <c r="DFA8" s="4"/>
      <c r="DFB8" s="65"/>
      <c r="DFC8" s="4"/>
      <c r="DFD8" s="4"/>
      <c r="DFE8" s="4"/>
      <c r="DFH8" s="34"/>
      <c r="DFI8" s="34"/>
      <c r="DFK8" s="34"/>
      <c r="DFL8" s="72"/>
      <c r="DFM8" s="63"/>
      <c r="DFN8" s="34"/>
      <c r="DFO8" s="64"/>
      <c r="DFP8" s="4"/>
      <c r="DFQ8" s="65"/>
      <c r="DFR8" s="4"/>
      <c r="DFS8" s="4"/>
      <c r="DFT8" s="4"/>
      <c r="DFW8" s="34"/>
      <c r="DFX8" s="34"/>
      <c r="DFZ8" s="34"/>
      <c r="DGA8" s="72"/>
      <c r="DGB8" s="63"/>
      <c r="DGC8" s="34"/>
      <c r="DGD8" s="64"/>
      <c r="DGE8" s="4"/>
      <c r="DGF8" s="65"/>
      <c r="DGG8" s="4"/>
      <c r="DGH8" s="4"/>
      <c r="DGI8" s="4"/>
      <c r="DGL8" s="34"/>
      <c r="DGM8" s="34"/>
      <c r="DGO8" s="34"/>
      <c r="DGP8" s="72"/>
      <c r="DGQ8" s="63"/>
      <c r="DGR8" s="34"/>
      <c r="DGS8" s="64"/>
      <c r="DGT8" s="4"/>
      <c r="DGU8" s="65"/>
      <c r="DGV8" s="4"/>
      <c r="DGW8" s="4"/>
      <c r="DGX8" s="4"/>
      <c r="DHA8" s="34"/>
      <c r="DHB8" s="34"/>
      <c r="DHD8" s="34"/>
      <c r="DHE8" s="72"/>
      <c r="DHF8" s="63"/>
      <c r="DHG8" s="34"/>
      <c r="DHH8" s="64"/>
      <c r="DHI8" s="4"/>
      <c r="DHJ8" s="65"/>
      <c r="DHK8" s="4"/>
      <c r="DHL8" s="4"/>
      <c r="DHM8" s="4"/>
      <c r="DHP8" s="34"/>
      <c r="DHQ8" s="34"/>
      <c r="DHS8" s="34"/>
      <c r="DHT8" s="72"/>
      <c r="DHU8" s="63"/>
      <c r="DHV8" s="34"/>
      <c r="DHW8" s="64"/>
      <c r="DHX8" s="4"/>
      <c r="DHY8" s="65"/>
      <c r="DHZ8" s="4"/>
      <c r="DIA8" s="4"/>
      <c r="DIB8" s="4"/>
      <c r="DIE8" s="34"/>
      <c r="DIF8" s="34"/>
      <c r="DIH8" s="34"/>
      <c r="DII8" s="72"/>
      <c r="DIJ8" s="63"/>
      <c r="DIK8" s="34"/>
      <c r="DIL8" s="64"/>
      <c r="DIM8" s="4"/>
      <c r="DIN8" s="65"/>
      <c r="DIO8" s="4"/>
      <c r="DIP8" s="4"/>
      <c r="DIQ8" s="4"/>
      <c r="DIT8" s="34"/>
      <c r="DIU8" s="34"/>
      <c r="DIW8" s="34"/>
      <c r="DIX8" s="72"/>
      <c r="DIY8" s="63"/>
      <c r="DIZ8" s="34"/>
      <c r="DJA8" s="64"/>
      <c r="DJB8" s="4"/>
      <c r="DJC8" s="65"/>
      <c r="DJD8" s="4"/>
      <c r="DJE8" s="4"/>
      <c r="DJF8" s="4"/>
      <c r="DJI8" s="34"/>
      <c r="DJJ8" s="34"/>
      <c r="DJL8" s="34"/>
      <c r="DJM8" s="72"/>
      <c r="DJN8" s="63"/>
      <c r="DJO8" s="34"/>
      <c r="DJP8" s="64"/>
      <c r="DJQ8" s="4"/>
      <c r="DJR8" s="65"/>
      <c r="DJS8" s="4"/>
      <c r="DJT8" s="4"/>
      <c r="DJU8" s="4"/>
      <c r="DJX8" s="34"/>
      <c r="DJY8" s="34"/>
      <c r="DKA8" s="34"/>
      <c r="DKB8" s="72"/>
      <c r="DKC8" s="63"/>
      <c r="DKD8" s="34"/>
      <c r="DKE8" s="64"/>
      <c r="DKF8" s="4"/>
      <c r="DKG8" s="65"/>
      <c r="DKH8" s="4"/>
      <c r="DKI8" s="4"/>
      <c r="DKJ8" s="4"/>
      <c r="DKM8" s="34"/>
      <c r="DKN8" s="34"/>
      <c r="DKP8" s="34"/>
      <c r="DKQ8" s="72"/>
      <c r="DKR8" s="63"/>
      <c r="DKS8" s="34"/>
      <c r="DKT8" s="64"/>
      <c r="DKU8" s="4"/>
      <c r="DKV8" s="65"/>
      <c r="DKW8" s="4"/>
      <c r="DKX8" s="4"/>
      <c r="DKY8" s="4"/>
      <c r="DLB8" s="34"/>
      <c r="DLC8" s="34"/>
      <c r="DLE8" s="34"/>
      <c r="DLF8" s="72"/>
      <c r="DLG8" s="63"/>
      <c r="DLH8" s="34"/>
      <c r="DLI8" s="64"/>
      <c r="DLJ8" s="4"/>
      <c r="DLK8" s="65"/>
      <c r="DLL8" s="4"/>
      <c r="DLM8" s="4"/>
      <c r="DLN8" s="4"/>
      <c r="DLQ8" s="34"/>
      <c r="DLR8" s="34"/>
      <c r="DLT8" s="34"/>
      <c r="DLU8" s="72"/>
      <c r="DLV8" s="63"/>
      <c r="DLW8" s="34"/>
      <c r="DLX8" s="64"/>
      <c r="DLY8" s="4"/>
      <c r="DLZ8" s="65"/>
      <c r="DMA8" s="4"/>
      <c r="DMB8" s="4"/>
      <c r="DMC8" s="4"/>
      <c r="DMF8" s="34"/>
      <c r="DMG8" s="34"/>
      <c r="DMI8" s="34"/>
      <c r="DMJ8" s="72"/>
      <c r="DMK8" s="63"/>
      <c r="DML8" s="34"/>
      <c r="DMM8" s="64"/>
      <c r="DMN8" s="4"/>
      <c r="DMO8" s="65"/>
      <c r="DMP8" s="4"/>
      <c r="DMQ8" s="4"/>
      <c r="DMR8" s="4"/>
      <c r="DMU8" s="34"/>
      <c r="DMV8" s="34"/>
      <c r="DMX8" s="34"/>
      <c r="DMY8" s="72"/>
      <c r="DMZ8" s="63"/>
      <c r="DNA8" s="34"/>
      <c r="DNB8" s="64"/>
      <c r="DNC8" s="4"/>
      <c r="DND8" s="65"/>
      <c r="DNE8" s="4"/>
      <c r="DNF8" s="4"/>
      <c r="DNG8" s="4"/>
      <c r="DNJ8" s="34"/>
      <c r="DNK8" s="34"/>
      <c r="DNM8" s="34"/>
      <c r="DNN8" s="72"/>
      <c r="DNO8" s="63"/>
      <c r="DNP8" s="34"/>
      <c r="DNQ8" s="64"/>
      <c r="DNR8" s="4"/>
      <c r="DNS8" s="65"/>
      <c r="DNT8" s="4"/>
      <c r="DNU8" s="4"/>
      <c r="DNV8" s="4"/>
      <c r="DNY8" s="34"/>
      <c r="DNZ8" s="34"/>
      <c r="DOB8" s="34"/>
      <c r="DOC8" s="72"/>
      <c r="DOD8" s="63"/>
      <c r="DOE8" s="34"/>
      <c r="DOF8" s="64"/>
      <c r="DOG8" s="4"/>
      <c r="DOH8" s="65"/>
      <c r="DOI8" s="4"/>
      <c r="DOJ8" s="4"/>
      <c r="DOK8" s="4"/>
      <c r="DON8" s="34"/>
      <c r="DOO8" s="34"/>
      <c r="DOQ8" s="34"/>
      <c r="DOR8" s="72"/>
      <c r="DOS8" s="63"/>
      <c r="DOT8" s="34"/>
      <c r="DOU8" s="64"/>
      <c r="DOV8" s="4"/>
      <c r="DOW8" s="65"/>
      <c r="DOX8" s="4"/>
      <c r="DOY8" s="4"/>
      <c r="DOZ8" s="4"/>
      <c r="DPC8" s="34"/>
      <c r="DPD8" s="34"/>
      <c r="DPF8" s="34"/>
      <c r="DPG8" s="72"/>
      <c r="DPH8" s="63"/>
      <c r="DPI8" s="34"/>
      <c r="DPJ8" s="64"/>
      <c r="DPK8" s="4"/>
      <c r="DPL8" s="65"/>
      <c r="DPM8" s="4"/>
      <c r="DPN8" s="4"/>
      <c r="DPO8" s="4"/>
      <c r="DPR8" s="34"/>
      <c r="DPS8" s="34"/>
      <c r="DPU8" s="34"/>
      <c r="DPV8" s="72"/>
      <c r="DPW8" s="63"/>
      <c r="DPX8" s="34"/>
      <c r="DPY8" s="64"/>
      <c r="DPZ8" s="4"/>
      <c r="DQA8" s="65"/>
      <c r="DQB8" s="4"/>
      <c r="DQC8" s="4"/>
      <c r="DQD8" s="4"/>
      <c r="DQG8" s="34"/>
      <c r="DQH8" s="34"/>
      <c r="DQJ8" s="34"/>
      <c r="DQK8" s="72"/>
      <c r="DQL8" s="63"/>
      <c r="DQM8" s="34"/>
      <c r="DQN8" s="64"/>
      <c r="DQO8" s="4"/>
      <c r="DQP8" s="65"/>
      <c r="DQQ8" s="4"/>
      <c r="DQR8" s="4"/>
      <c r="DQS8" s="4"/>
      <c r="DQV8" s="34"/>
      <c r="DQW8" s="34"/>
      <c r="DQY8" s="34"/>
      <c r="DQZ8" s="72"/>
      <c r="DRA8" s="63"/>
      <c r="DRB8" s="34"/>
      <c r="DRC8" s="64"/>
      <c r="DRD8" s="4"/>
      <c r="DRE8" s="65"/>
      <c r="DRF8" s="4"/>
      <c r="DRG8" s="4"/>
      <c r="DRH8" s="4"/>
      <c r="DRK8" s="34"/>
      <c r="DRL8" s="34"/>
      <c r="DRN8" s="34"/>
      <c r="DRO8" s="72"/>
      <c r="DRP8" s="63"/>
      <c r="DRQ8" s="34"/>
      <c r="DRR8" s="64"/>
      <c r="DRS8" s="4"/>
      <c r="DRT8" s="65"/>
      <c r="DRU8" s="4"/>
      <c r="DRV8" s="4"/>
      <c r="DRW8" s="4"/>
      <c r="DRZ8" s="34"/>
      <c r="DSA8" s="34"/>
      <c r="DSC8" s="34"/>
      <c r="DSD8" s="72"/>
      <c r="DSE8" s="63"/>
      <c r="DSF8" s="34"/>
      <c r="DSG8" s="64"/>
      <c r="DSH8" s="4"/>
      <c r="DSI8" s="65"/>
      <c r="DSJ8" s="4"/>
      <c r="DSK8" s="4"/>
      <c r="DSL8" s="4"/>
      <c r="DSO8" s="34"/>
      <c r="DSP8" s="34"/>
      <c r="DSR8" s="34"/>
      <c r="DSS8" s="72"/>
      <c r="DST8" s="63"/>
      <c r="DSU8" s="34"/>
      <c r="DSV8" s="64"/>
      <c r="DSW8" s="4"/>
      <c r="DSX8" s="65"/>
      <c r="DSY8" s="4"/>
      <c r="DSZ8" s="4"/>
      <c r="DTA8" s="4"/>
      <c r="DTD8" s="34"/>
      <c r="DTE8" s="34"/>
      <c r="DTG8" s="34"/>
      <c r="DTH8" s="72"/>
      <c r="DTI8" s="63"/>
      <c r="DTJ8" s="34"/>
      <c r="DTK8" s="64"/>
      <c r="DTL8" s="4"/>
      <c r="DTM8" s="65"/>
      <c r="DTN8" s="4"/>
      <c r="DTO8" s="4"/>
      <c r="DTP8" s="4"/>
      <c r="DTS8" s="34"/>
      <c r="DTT8" s="34"/>
      <c r="DTV8" s="34"/>
      <c r="DTW8" s="72"/>
      <c r="DTX8" s="63"/>
      <c r="DTY8" s="34"/>
      <c r="DTZ8" s="64"/>
      <c r="DUA8" s="4"/>
      <c r="DUB8" s="65"/>
      <c r="DUC8" s="4"/>
      <c r="DUD8" s="4"/>
      <c r="DUE8" s="4"/>
      <c r="DUH8" s="34"/>
      <c r="DUI8" s="34"/>
      <c r="DUK8" s="34"/>
      <c r="DUL8" s="72"/>
      <c r="DUM8" s="63"/>
      <c r="DUN8" s="34"/>
      <c r="DUO8" s="64"/>
      <c r="DUP8" s="4"/>
      <c r="DUQ8" s="65"/>
      <c r="DUR8" s="4"/>
      <c r="DUS8" s="4"/>
      <c r="DUT8" s="4"/>
      <c r="DUW8" s="34"/>
      <c r="DUX8" s="34"/>
      <c r="DUZ8" s="34"/>
      <c r="DVA8" s="72"/>
      <c r="DVB8" s="63"/>
      <c r="DVC8" s="34"/>
      <c r="DVD8" s="64"/>
      <c r="DVE8" s="4"/>
      <c r="DVF8" s="65"/>
      <c r="DVG8" s="4"/>
      <c r="DVH8" s="4"/>
      <c r="DVI8" s="4"/>
      <c r="DVL8" s="34"/>
      <c r="DVM8" s="34"/>
      <c r="DVO8" s="34"/>
      <c r="DVP8" s="72"/>
      <c r="DVQ8" s="63"/>
      <c r="DVR8" s="34"/>
      <c r="DVS8" s="64"/>
      <c r="DVT8" s="4"/>
      <c r="DVU8" s="65"/>
      <c r="DVV8" s="4"/>
      <c r="DVW8" s="4"/>
      <c r="DVX8" s="4"/>
      <c r="DWA8" s="34"/>
      <c r="DWB8" s="34"/>
      <c r="DWD8" s="34"/>
      <c r="DWE8" s="72"/>
      <c r="DWF8" s="63"/>
      <c r="DWG8" s="34"/>
      <c r="DWH8" s="64"/>
      <c r="DWI8" s="4"/>
      <c r="DWJ8" s="65"/>
      <c r="DWK8" s="4"/>
      <c r="DWL8" s="4"/>
      <c r="DWM8" s="4"/>
      <c r="DWP8" s="34"/>
      <c r="DWQ8" s="34"/>
      <c r="DWS8" s="34"/>
      <c r="DWT8" s="72"/>
      <c r="DWU8" s="63"/>
      <c r="DWV8" s="34"/>
      <c r="DWW8" s="64"/>
      <c r="DWX8" s="4"/>
      <c r="DWY8" s="65"/>
      <c r="DWZ8" s="4"/>
      <c r="DXA8" s="4"/>
      <c r="DXB8" s="4"/>
      <c r="DXE8" s="34"/>
      <c r="DXF8" s="34"/>
      <c r="DXH8" s="34"/>
      <c r="DXI8" s="72"/>
      <c r="DXJ8" s="63"/>
      <c r="DXK8" s="34"/>
      <c r="DXL8" s="64"/>
      <c r="DXM8" s="4"/>
      <c r="DXN8" s="65"/>
      <c r="DXO8" s="4"/>
      <c r="DXP8" s="4"/>
      <c r="DXQ8" s="4"/>
      <c r="DXT8" s="34"/>
      <c r="DXU8" s="34"/>
      <c r="DXW8" s="34"/>
      <c r="DXX8" s="72"/>
      <c r="DXY8" s="63"/>
      <c r="DXZ8" s="34"/>
      <c r="DYA8" s="64"/>
      <c r="DYB8" s="4"/>
      <c r="DYC8" s="65"/>
      <c r="DYD8" s="4"/>
      <c r="DYE8" s="4"/>
      <c r="DYF8" s="4"/>
      <c r="DYI8" s="34"/>
      <c r="DYJ8" s="34"/>
      <c r="DYL8" s="34"/>
      <c r="DYM8" s="72"/>
      <c r="DYN8" s="63"/>
      <c r="DYO8" s="34"/>
      <c r="DYP8" s="64"/>
      <c r="DYQ8" s="4"/>
      <c r="DYR8" s="65"/>
      <c r="DYS8" s="4"/>
      <c r="DYT8" s="4"/>
      <c r="DYU8" s="4"/>
      <c r="DYX8" s="34"/>
      <c r="DYY8" s="34"/>
      <c r="DZA8" s="34"/>
      <c r="DZB8" s="72"/>
      <c r="DZC8" s="63"/>
      <c r="DZD8" s="34"/>
      <c r="DZE8" s="64"/>
      <c r="DZF8" s="4"/>
      <c r="DZG8" s="65"/>
      <c r="DZH8" s="4"/>
      <c r="DZI8" s="4"/>
      <c r="DZJ8" s="4"/>
      <c r="DZM8" s="34"/>
      <c r="DZN8" s="34"/>
      <c r="DZP8" s="34"/>
      <c r="DZQ8" s="72"/>
      <c r="DZR8" s="63"/>
      <c r="DZS8" s="34"/>
      <c r="DZT8" s="64"/>
      <c r="DZU8" s="4"/>
      <c r="DZV8" s="65"/>
      <c r="DZW8" s="4"/>
      <c r="DZX8" s="4"/>
      <c r="DZY8" s="4"/>
      <c r="EAB8" s="34"/>
      <c r="EAC8" s="34"/>
      <c r="EAE8" s="34"/>
      <c r="EAF8" s="72"/>
      <c r="EAG8" s="63"/>
      <c r="EAH8" s="34"/>
      <c r="EAI8" s="64"/>
      <c r="EAJ8" s="4"/>
      <c r="EAK8" s="65"/>
      <c r="EAL8" s="4"/>
      <c r="EAM8" s="4"/>
      <c r="EAN8" s="4"/>
      <c r="EAQ8" s="34"/>
      <c r="EAR8" s="34"/>
      <c r="EAT8" s="34"/>
      <c r="EAU8" s="72"/>
      <c r="EAV8" s="63"/>
      <c r="EAW8" s="34"/>
      <c r="EAX8" s="64"/>
      <c r="EAY8" s="4"/>
      <c r="EAZ8" s="65"/>
      <c r="EBA8" s="4"/>
      <c r="EBB8" s="4"/>
      <c r="EBC8" s="4"/>
      <c r="EBF8" s="34"/>
      <c r="EBG8" s="34"/>
      <c r="EBI8" s="34"/>
      <c r="EBJ8" s="72"/>
      <c r="EBK8" s="63"/>
      <c r="EBL8" s="34"/>
      <c r="EBM8" s="64"/>
      <c r="EBN8" s="4"/>
      <c r="EBO8" s="65"/>
      <c r="EBP8" s="4"/>
      <c r="EBQ8" s="4"/>
      <c r="EBR8" s="4"/>
      <c r="EBU8" s="34"/>
      <c r="EBV8" s="34"/>
      <c r="EBX8" s="34"/>
      <c r="EBY8" s="72"/>
      <c r="EBZ8" s="63"/>
      <c r="ECA8" s="34"/>
      <c r="ECB8" s="64"/>
      <c r="ECC8" s="4"/>
      <c r="ECD8" s="65"/>
      <c r="ECE8" s="4"/>
      <c r="ECF8" s="4"/>
      <c r="ECG8" s="4"/>
      <c r="ECJ8" s="34"/>
      <c r="ECK8" s="34"/>
      <c r="ECM8" s="34"/>
      <c r="ECN8" s="72"/>
      <c r="ECO8" s="63"/>
      <c r="ECP8" s="34"/>
      <c r="ECQ8" s="64"/>
      <c r="ECR8" s="4"/>
      <c r="ECS8" s="65"/>
      <c r="ECT8" s="4"/>
      <c r="ECU8" s="4"/>
      <c r="ECV8" s="4"/>
      <c r="ECY8" s="34"/>
      <c r="ECZ8" s="34"/>
      <c r="EDB8" s="34"/>
      <c r="EDC8" s="72"/>
      <c r="EDD8" s="63"/>
      <c r="EDE8" s="34"/>
      <c r="EDF8" s="64"/>
      <c r="EDG8" s="4"/>
      <c r="EDH8" s="65"/>
      <c r="EDI8" s="4"/>
      <c r="EDJ8" s="4"/>
      <c r="EDK8" s="4"/>
      <c r="EDN8" s="34"/>
      <c r="EDO8" s="34"/>
      <c r="EDQ8" s="34"/>
      <c r="EDR8" s="72"/>
      <c r="EDS8" s="63"/>
      <c r="EDT8" s="34"/>
      <c r="EDU8" s="64"/>
      <c r="EDV8" s="4"/>
      <c r="EDW8" s="65"/>
      <c r="EDX8" s="4"/>
      <c r="EDY8" s="4"/>
      <c r="EDZ8" s="4"/>
      <c r="EEC8" s="34"/>
      <c r="EED8" s="34"/>
      <c r="EEF8" s="34"/>
      <c r="EEG8" s="72"/>
      <c r="EEH8" s="63"/>
      <c r="EEI8" s="34"/>
      <c r="EEJ8" s="64"/>
      <c r="EEK8" s="4"/>
      <c r="EEL8" s="65"/>
      <c r="EEM8" s="4"/>
      <c r="EEN8" s="4"/>
      <c r="EEO8" s="4"/>
      <c r="EER8" s="34"/>
      <c r="EES8" s="34"/>
      <c r="EEU8" s="34"/>
      <c r="EEV8" s="72"/>
      <c r="EEW8" s="63"/>
      <c r="EEX8" s="34"/>
      <c r="EEY8" s="64"/>
      <c r="EEZ8" s="4"/>
      <c r="EFA8" s="65"/>
      <c r="EFB8" s="4"/>
      <c r="EFC8" s="4"/>
      <c r="EFD8" s="4"/>
      <c r="EFG8" s="34"/>
      <c r="EFH8" s="34"/>
      <c r="EFJ8" s="34"/>
      <c r="EFK8" s="72"/>
      <c r="EFL8" s="63"/>
      <c r="EFM8" s="34"/>
      <c r="EFN8" s="64"/>
      <c r="EFO8" s="4"/>
      <c r="EFP8" s="65"/>
      <c r="EFQ8" s="4"/>
      <c r="EFR8" s="4"/>
      <c r="EFS8" s="4"/>
      <c r="EFV8" s="34"/>
      <c r="EFW8" s="34"/>
      <c r="EFY8" s="34"/>
      <c r="EFZ8" s="72"/>
      <c r="EGA8" s="63"/>
      <c r="EGB8" s="34"/>
      <c r="EGC8" s="64"/>
      <c r="EGD8" s="4"/>
      <c r="EGE8" s="65"/>
      <c r="EGF8" s="4"/>
      <c r="EGG8" s="4"/>
      <c r="EGH8" s="4"/>
      <c r="EGK8" s="34"/>
      <c r="EGL8" s="34"/>
      <c r="EGN8" s="34"/>
      <c r="EGO8" s="72"/>
      <c r="EGP8" s="63"/>
      <c r="EGQ8" s="34"/>
      <c r="EGR8" s="64"/>
      <c r="EGS8" s="4"/>
      <c r="EGT8" s="65"/>
      <c r="EGU8" s="4"/>
      <c r="EGV8" s="4"/>
      <c r="EGW8" s="4"/>
      <c r="EGZ8" s="34"/>
      <c r="EHA8" s="34"/>
      <c r="EHC8" s="34"/>
      <c r="EHD8" s="72"/>
      <c r="EHE8" s="63"/>
      <c r="EHF8" s="34"/>
      <c r="EHG8" s="64"/>
      <c r="EHH8" s="4"/>
      <c r="EHI8" s="65"/>
      <c r="EHJ8" s="4"/>
      <c r="EHK8" s="4"/>
      <c r="EHL8" s="4"/>
      <c r="EHO8" s="34"/>
      <c r="EHP8" s="34"/>
      <c r="EHR8" s="34"/>
      <c r="EHS8" s="72"/>
      <c r="EHT8" s="63"/>
      <c r="EHU8" s="34"/>
      <c r="EHV8" s="64"/>
      <c r="EHW8" s="4"/>
      <c r="EHX8" s="65"/>
      <c r="EHY8" s="4"/>
      <c r="EHZ8" s="4"/>
      <c r="EIA8" s="4"/>
      <c r="EID8" s="34"/>
      <c r="EIE8" s="34"/>
      <c r="EIG8" s="34"/>
      <c r="EIH8" s="72"/>
      <c r="EII8" s="63"/>
      <c r="EIJ8" s="34"/>
      <c r="EIK8" s="64"/>
      <c r="EIL8" s="4"/>
      <c r="EIM8" s="65"/>
      <c r="EIN8" s="4"/>
      <c r="EIO8" s="4"/>
      <c r="EIP8" s="4"/>
      <c r="EIS8" s="34"/>
      <c r="EIT8" s="34"/>
      <c r="EIV8" s="34"/>
      <c r="EIW8" s="72"/>
      <c r="EIX8" s="63"/>
      <c r="EIY8" s="34"/>
      <c r="EIZ8" s="64"/>
      <c r="EJA8" s="4"/>
      <c r="EJB8" s="65"/>
      <c r="EJC8" s="4"/>
      <c r="EJD8" s="4"/>
      <c r="EJE8" s="4"/>
      <c r="EJH8" s="34"/>
      <c r="EJI8" s="34"/>
      <c r="EJK8" s="34"/>
      <c r="EJL8" s="72"/>
      <c r="EJM8" s="63"/>
      <c r="EJN8" s="34"/>
      <c r="EJO8" s="64"/>
      <c r="EJP8" s="4"/>
      <c r="EJQ8" s="65"/>
      <c r="EJR8" s="4"/>
      <c r="EJS8" s="4"/>
      <c r="EJT8" s="4"/>
      <c r="EJW8" s="34"/>
      <c r="EJX8" s="34"/>
      <c r="EJZ8" s="34"/>
      <c r="EKA8" s="72"/>
      <c r="EKB8" s="63"/>
      <c r="EKC8" s="34"/>
      <c r="EKD8" s="64"/>
      <c r="EKE8" s="4"/>
      <c r="EKF8" s="65"/>
      <c r="EKG8" s="4"/>
      <c r="EKH8" s="4"/>
      <c r="EKI8" s="4"/>
      <c r="EKL8" s="34"/>
      <c r="EKM8" s="34"/>
      <c r="EKO8" s="34"/>
      <c r="EKP8" s="72"/>
      <c r="EKQ8" s="63"/>
      <c r="EKR8" s="34"/>
      <c r="EKS8" s="64"/>
      <c r="EKT8" s="4"/>
      <c r="EKU8" s="65"/>
      <c r="EKV8" s="4"/>
      <c r="EKW8" s="4"/>
      <c r="EKX8" s="4"/>
      <c r="ELA8" s="34"/>
      <c r="ELB8" s="34"/>
      <c r="ELD8" s="34"/>
      <c r="ELE8" s="72"/>
      <c r="ELF8" s="63"/>
      <c r="ELG8" s="34"/>
      <c r="ELH8" s="64"/>
      <c r="ELI8" s="4"/>
      <c r="ELJ8" s="65"/>
      <c r="ELK8" s="4"/>
      <c r="ELL8" s="4"/>
      <c r="ELM8" s="4"/>
      <c r="ELP8" s="34"/>
      <c r="ELQ8" s="34"/>
      <c r="ELS8" s="34"/>
      <c r="ELT8" s="72"/>
      <c r="ELU8" s="63"/>
      <c r="ELV8" s="34"/>
      <c r="ELW8" s="64"/>
      <c r="ELX8" s="4"/>
      <c r="ELY8" s="65"/>
      <c r="ELZ8" s="4"/>
      <c r="EMA8" s="4"/>
      <c r="EMB8" s="4"/>
      <c r="EME8" s="34"/>
      <c r="EMF8" s="34"/>
      <c r="EMH8" s="34"/>
      <c r="EMI8" s="72"/>
      <c r="EMJ8" s="63"/>
      <c r="EMK8" s="34"/>
      <c r="EML8" s="64"/>
      <c r="EMM8" s="4"/>
      <c r="EMN8" s="65"/>
      <c r="EMO8" s="4"/>
      <c r="EMP8" s="4"/>
      <c r="EMQ8" s="4"/>
      <c r="EMT8" s="34"/>
      <c r="EMU8" s="34"/>
      <c r="EMW8" s="34"/>
      <c r="EMX8" s="72"/>
      <c r="EMY8" s="63"/>
      <c r="EMZ8" s="34"/>
      <c r="ENA8" s="64"/>
      <c r="ENB8" s="4"/>
      <c r="ENC8" s="65"/>
      <c r="END8" s="4"/>
      <c r="ENE8" s="4"/>
      <c r="ENF8" s="4"/>
      <c r="ENI8" s="34"/>
      <c r="ENJ8" s="34"/>
      <c r="ENL8" s="34"/>
      <c r="ENM8" s="72"/>
      <c r="ENN8" s="63"/>
      <c r="ENO8" s="34"/>
      <c r="ENP8" s="64"/>
      <c r="ENQ8" s="4"/>
      <c r="ENR8" s="65"/>
      <c r="ENS8" s="4"/>
      <c r="ENT8" s="4"/>
      <c r="ENU8" s="4"/>
      <c r="ENX8" s="34"/>
      <c r="ENY8" s="34"/>
      <c r="EOA8" s="34"/>
      <c r="EOB8" s="72"/>
      <c r="EOC8" s="63"/>
      <c r="EOD8" s="34"/>
      <c r="EOE8" s="64"/>
      <c r="EOF8" s="4"/>
      <c r="EOG8" s="65"/>
      <c r="EOH8" s="4"/>
      <c r="EOI8" s="4"/>
      <c r="EOJ8" s="4"/>
      <c r="EOM8" s="34"/>
      <c r="EON8" s="34"/>
      <c r="EOP8" s="34"/>
      <c r="EOQ8" s="72"/>
      <c r="EOR8" s="63"/>
      <c r="EOS8" s="34"/>
      <c r="EOT8" s="64"/>
      <c r="EOU8" s="4"/>
      <c r="EOV8" s="65"/>
      <c r="EOW8" s="4"/>
      <c r="EOX8" s="4"/>
      <c r="EOY8" s="4"/>
      <c r="EPB8" s="34"/>
      <c r="EPC8" s="34"/>
      <c r="EPE8" s="34"/>
      <c r="EPF8" s="72"/>
      <c r="EPG8" s="63"/>
      <c r="EPH8" s="34"/>
      <c r="EPI8" s="64"/>
      <c r="EPJ8" s="4"/>
      <c r="EPK8" s="65"/>
      <c r="EPL8" s="4"/>
      <c r="EPM8" s="4"/>
      <c r="EPN8" s="4"/>
      <c r="EPQ8" s="34"/>
      <c r="EPR8" s="34"/>
      <c r="EPT8" s="34"/>
      <c r="EPU8" s="72"/>
      <c r="EPV8" s="63"/>
      <c r="EPW8" s="34"/>
      <c r="EPX8" s="64"/>
      <c r="EPY8" s="4"/>
      <c r="EPZ8" s="65"/>
      <c r="EQA8" s="4"/>
      <c r="EQB8" s="4"/>
      <c r="EQC8" s="4"/>
      <c r="EQF8" s="34"/>
      <c r="EQG8" s="34"/>
      <c r="EQI8" s="34"/>
      <c r="EQJ8" s="72"/>
      <c r="EQK8" s="63"/>
      <c r="EQL8" s="34"/>
      <c r="EQM8" s="64"/>
      <c r="EQN8" s="4"/>
      <c r="EQO8" s="65"/>
      <c r="EQP8" s="4"/>
      <c r="EQQ8" s="4"/>
      <c r="EQR8" s="4"/>
      <c r="EQU8" s="34"/>
      <c r="EQV8" s="34"/>
      <c r="EQX8" s="34"/>
      <c r="EQY8" s="72"/>
      <c r="EQZ8" s="63"/>
      <c r="ERA8" s="34"/>
      <c r="ERB8" s="64"/>
      <c r="ERC8" s="4"/>
      <c r="ERD8" s="65"/>
      <c r="ERE8" s="4"/>
      <c r="ERF8" s="4"/>
      <c r="ERG8" s="4"/>
      <c r="ERJ8" s="34"/>
      <c r="ERK8" s="34"/>
      <c r="ERM8" s="34"/>
      <c r="ERN8" s="72"/>
      <c r="ERO8" s="63"/>
      <c r="ERP8" s="34"/>
      <c r="ERQ8" s="64"/>
      <c r="ERR8" s="4"/>
      <c r="ERS8" s="65"/>
      <c r="ERT8" s="4"/>
      <c r="ERU8" s="4"/>
      <c r="ERV8" s="4"/>
      <c r="ERY8" s="34"/>
      <c r="ERZ8" s="34"/>
      <c r="ESB8" s="34"/>
      <c r="ESC8" s="72"/>
      <c r="ESD8" s="63"/>
      <c r="ESE8" s="34"/>
      <c r="ESF8" s="64"/>
      <c r="ESG8" s="4"/>
      <c r="ESH8" s="65"/>
      <c r="ESI8" s="4"/>
      <c r="ESJ8" s="4"/>
      <c r="ESK8" s="4"/>
      <c r="ESN8" s="34"/>
      <c r="ESO8" s="34"/>
      <c r="ESQ8" s="34"/>
      <c r="ESR8" s="72"/>
      <c r="ESS8" s="63"/>
      <c r="EST8" s="34"/>
      <c r="ESU8" s="64"/>
      <c r="ESV8" s="4"/>
      <c r="ESW8" s="65"/>
      <c r="ESX8" s="4"/>
      <c r="ESY8" s="4"/>
      <c r="ESZ8" s="4"/>
      <c r="ETC8" s="34"/>
      <c r="ETD8" s="34"/>
      <c r="ETF8" s="34"/>
      <c r="ETG8" s="72"/>
      <c r="ETH8" s="63"/>
      <c r="ETI8" s="34"/>
      <c r="ETJ8" s="64"/>
      <c r="ETK8" s="4"/>
      <c r="ETL8" s="65"/>
      <c r="ETM8" s="4"/>
      <c r="ETN8" s="4"/>
      <c r="ETO8" s="4"/>
      <c r="ETR8" s="34"/>
      <c r="ETS8" s="34"/>
      <c r="ETU8" s="34"/>
      <c r="ETV8" s="72"/>
      <c r="ETW8" s="63"/>
      <c r="ETX8" s="34"/>
      <c r="ETY8" s="64"/>
      <c r="ETZ8" s="4"/>
      <c r="EUA8" s="65"/>
      <c r="EUB8" s="4"/>
      <c r="EUC8" s="4"/>
      <c r="EUD8" s="4"/>
      <c r="EUG8" s="34"/>
      <c r="EUH8" s="34"/>
      <c r="EUJ8" s="34"/>
      <c r="EUK8" s="72"/>
      <c r="EUL8" s="63"/>
      <c r="EUM8" s="34"/>
      <c r="EUN8" s="64"/>
      <c r="EUO8" s="4"/>
      <c r="EUP8" s="65"/>
      <c r="EUQ8" s="4"/>
      <c r="EUR8" s="4"/>
      <c r="EUS8" s="4"/>
      <c r="EUV8" s="34"/>
      <c r="EUW8" s="34"/>
      <c r="EUY8" s="34"/>
      <c r="EUZ8" s="72"/>
      <c r="EVA8" s="63"/>
      <c r="EVB8" s="34"/>
      <c r="EVC8" s="64"/>
      <c r="EVD8" s="4"/>
      <c r="EVE8" s="65"/>
      <c r="EVF8" s="4"/>
      <c r="EVG8" s="4"/>
      <c r="EVH8" s="4"/>
      <c r="EVK8" s="34"/>
      <c r="EVL8" s="34"/>
      <c r="EVN8" s="34"/>
      <c r="EVO8" s="72"/>
      <c r="EVP8" s="63"/>
      <c r="EVQ8" s="34"/>
      <c r="EVR8" s="64"/>
      <c r="EVS8" s="4"/>
      <c r="EVT8" s="65"/>
      <c r="EVU8" s="4"/>
      <c r="EVV8" s="4"/>
      <c r="EVW8" s="4"/>
      <c r="EVZ8" s="34"/>
      <c r="EWA8" s="34"/>
      <c r="EWC8" s="34"/>
      <c r="EWD8" s="72"/>
      <c r="EWE8" s="63"/>
      <c r="EWF8" s="34"/>
      <c r="EWG8" s="64"/>
      <c r="EWH8" s="4"/>
      <c r="EWI8" s="65"/>
      <c r="EWJ8" s="4"/>
      <c r="EWK8" s="4"/>
      <c r="EWL8" s="4"/>
      <c r="EWO8" s="34"/>
      <c r="EWP8" s="34"/>
      <c r="EWR8" s="34"/>
      <c r="EWS8" s="72"/>
      <c r="EWT8" s="63"/>
      <c r="EWU8" s="34"/>
      <c r="EWV8" s="64"/>
      <c r="EWW8" s="4"/>
      <c r="EWX8" s="65"/>
      <c r="EWY8" s="4"/>
      <c r="EWZ8" s="4"/>
      <c r="EXA8" s="4"/>
      <c r="EXD8" s="34"/>
      <c r="EXE8" s="34"/>
      <c r="EXG8" s="34"/>
      <c r="EXH8" s="72"/>
      <c r="EXI8" s="63"/>
      <c r="EXJ8" s="34"/>
      <c r="EXK8" s="64"/>
      <c r="EXL8" s="4"/>
      <c r="EXM8" s="65"/>
      <c r="EXN8" s="4"/>
      <c r="EXO8" s="4"/>
      <c r="EXP8" s="4"/>
      <c r="EXS8" s="34"/>
      <c r="EXT8" s="34"/>
      <c r="EXV8" s="34"/>
      <c r="EXW8" s="72"/>
      <c r="EXX8" s="63"/>
      <c r="EXY8" s="34"/>
      <c r="EXZ8" s="64"/>
      <c r="EYA8" s="4"/>
      <c r="EYB8" s="65"/>
      <c r="EYC8" s="4"/>
      <c r="EYD8" s="4"/>
      <c r="EYE8" s="4"/>
      <c r="EYH8" s="34"/>
      <c r="EYI8" s="34"/>
      <c r="EYK8" s="34"/>
      <c r="EYL8" s="72"/>
      <c r="EYM8" s="63"/>
      <c r="EYN8" s="34"/>
      <c r="EYO8" s="64"/>
      <c r="EYP8" s="4"/>
      <c r="EYQ8" s="65"/>
      <c r="EYR8" s="4"/>
      <c r="EYS8" s="4"/>
      <c r="EYT8" s="4"/>
      <c r="EYW8" s="34"/>
      <c r="EYX8" s="34"/>
      <c r="EYZ8" s="34"/>
      <c r="EZA8" s="72"/>
      <c r="EZB8" s="63"/>
      <c r="EZC8" s="34"/>
      <c r="EZD8" s="64"/>
      <c r="EZE8" s="4"/>
      <c r="EZF8" s="65"/>
      <c r="EZG8" s="4"/>
      <c r="EZH8" s="4"/>
      <c r="EZI8" s="4"/>
      <c r="EZL8" s="34"/>
      <c r="EZM8" s="34"/>
      <c r="EZO8" s="34"/>
      <c r="EZP8" s="72"/>
      <c r="EZQ8" s="63"/>
      <c r="EZR8" s="34"/>
      <c r="EZS8" s="64"/>
      <c r="EZT8" s="4"/>
      <c r="EZU8" s="65"/>
      <c r="EZV8" s="4"/>
      <c r="EZW8" s="4"/>
      <c r="EZX8" s="4"/>
      <c r="FAA8" s="34"/>
      <c r="FAB8" s="34"/>
      <c r="FAD8" s="34"/>
      <c r="FAE8" s="72"/>
      <c r="FAF8" s="63"/>
      <c r="FAG8" s="34"/>
      <c r="FAH8" s="64"/>
      <c r="FAI8" s="4"/>
      <c r="FAJ8" s="65"/>
      <c r="FAK8" s="4"/>
      <c r="FAL8" s="4"/>
      <c r="FAM8" s="4"/>
      <c r="FAP8" s="34"/>
      <c r="FAQ8" s="34"/>
      <c r="FAS8" s="34"/>
      <c r="FAT8" s="72"/>
      <c r="FAU8" s="63"/>
      <c r="FAV8" s="34"/>
      <c r="FAW8" s="64"/>
      <c r="FAX8" s="4"/>
      <c r="FAY8" s="65"/>
      <c r="FAZ8" s="4"/>
      <c r="FBA8" s="4"/>
      <c r="FBB8" s="4"/>
      <c r="FBE8" s="34"/>
      <c r="FBF8" s="34"/>
      <c r="FBH8" s="34"/>
      <c r="FBI8" s="72"/>
      <c r="FBJ8" s="63"/>
      <c r="FBK8" s="34"/>
      <c r="FBL8" s="64"/>
      <c r="FBM8" s="4"/>
      <c r="FBN8" s="65"/>
      <c r="FBO8" s="4"/>
      <c r="FBP8" s="4"/>
      <c r="FBQ8" s="4"/>
      <c r="FBT8" s="34"/>
      <c r="FBU8" s="34"/>
      <c r="FBW8" s="34"/>
      <c r="FBX8" s="72"/>
      <c r="FBY8" s="63"/>
      <c r="FBZ8" s="34"/>
      <c r="FCA8" s="64"/>
      <c r="FCB8" s="4"/>
      <c r="FCC8" s="65"/>
      <c r="FCD8" s="4"/>
      <c r="FCE8" s="4"/>
      <c r="FCF8" s="4"/>
      <c r="FCI8" s="34"/>
      <c r="FCJ8" s="34"/>
      <c r="FCL8" s="34"/>
      <c r="FCM8" s="72"/>
      <c r="FCN8" s="63"/>
      <c r="FCO8" s="34"/>
      <c r="FCP8" s="64"/>
      <c r="FCQ8" s="4"/>
      <c r="FCR8" s="65"/>
      <c r="FCS8" s="4"/>
      <c r="FCT8" s="4"/>
      <c r="FCU8" s="4"/>
      <c r="FCX8" s="34"/>
      <c r="FCY8" s="34"/>
      <c r="FDA8" s="34"/>
      <c r="FDB8" s="72"/>
      <c r="FDC8" s="63"/>
      <c r="FDD8" s="34"/>
      <c r="FDE8" s="64"/>
      <c r="FDF8" s="4"/>
      <c r="FDG8" s="65"/>
      <c r="FDH8" s="4"/>
      <c r="FDI8" s="4"/>
      <c r="FDJ8" s="4"/>
      <c r="FDM8" s="34"/>
      <c r="FDN8" s="34"/>
      <c r="FDP8" s="34"/>
      <c r="FDQ8" s="72"/>
      <c r="FDR8" s="63"/>
      <c r="FDS8" s="34"/>
      <c r="FDT8" s="64"/>
      <c r="FDU8" s="4"/>
      <c r="FDV8" s="65"/>
      <c r="FDW8" s="4"/>
      <c r="FDX8" s="4"/>
      <c r="FDY8" s="4"/>
      <c r="FEB8" s="34"/>
      <c r="FEC8" s="34"/>
      <c r="FEE8" s="34"/>
      <c r="FEF8" s="72"/>
      <c r="FEG8" s="63"/>
      <c r="FEH8" s="34"/>
      <c r="FEI8" s="64"/>
      <c r="FEJ8" s="4"/>
      <c r="FEK8" s="65"/>
      <c r="FEL8" s="4"/>
      <c r="FEM8" s="4"/>
      <c r="FEN8" s="4"/>
      <c r="FEQ8" s="34"/>
      <c r="FER8" s="34"/>
      <c r="FET8" s="34"/>
      <c r="FEU8" s="72"/>
      <c r="FEV8" s="63"/>
      <c r="FEW8" s="34"/>
      <c r="FEX8" s="64"/>
      <c r="FEY8" s="4"/>
      <c r="FEZ8" s="65"/>
      <c r="FFA8" s="4"/>
      <c r="FFB8" s="4"/>
      <c r="FFC8" s="4"/>
      <c r="FFF8" s="34"/>
      <c r="FFG8" s="34"/>
      <c r="FFI8" s="34"/>
      <c r="FFJ8" s="72"/>
      <c r="FFK8" s="63"/>
      <c r="FFL8" s="34"/>
      <c r="FFM8" s="64"/>
      <c r="FFN8" s="4"/>
      <c r="FFO8" s="65"/>
      <c r="FFP8" s="4"/>
      <c r="FFQ8" s="4"/>
      <c r="FFR8" s="4"/>
      <c r="FFU8" s="34"/>
      <c r="FFV8" s="34"/>
      <c r="FFX8" s="34"/>
      <c r="FFY8" s="72"/>
      <c r="FFZ8" s="63"/>
      <c r="FGA8" s="34"/>
      <c r="FGB8" s="64"/>
      <c r="FGC8" s="4"/>
      <c r="FGD8" s="65"/>
      <c r="FGE8" s="4"/>
      <c r="FGF8" s="4"/>
      <c r="FGG8" s="4"/>
      <c r="FGJ8" s="34"/>
      <c r="FGK8" s="34"/>
      <c r="FGM8" s="34"/>
      <c r="FGN8" s="72"/>
      <c r="FGO8" s="63"/>
      <c r="FGP8" s="34"/>
      <c r="FGQ8" s="64"/>
      <c r="FGR8" s="4"/>
      <c r="FGS8" s="65"/>
      <c r="FGT8" s="4"/>
      <c r="FGU8" s="4"/>
      <c r="FGV8" s="4"/>
      <c r="FGY8" s="34"/>
      <c r="FGZ8" s="34"/>
      <c r="FHB8" s="34"/>
      <c r="FHC8" s="72"/>
      <c r="FHD8" s="63"/>
      <c r="FHE8" s="34"/>
      <c r="FHF8" s="64"/>
      <c r="FHG8" s="4"/>
      <c r="FHH8" s="65"/>
      <c r="FHI8" s="4"/>
      <c r="FHJ8" s="4"/>
      <c r="FHK8" s="4"/>
      <c r="FHN8" s="34"/>
      <c r="FHO8" s="34"/>
      <c r="FHQ8" s="34"/>
      <c r="FHR8" s="72"/>
      <c r="FHS8" s="63"/>
      <c r="FHT8" s="34"/>
      <c r="FHU8" s="64"/>
      <c r="FHV8" s="4"/>
      <c r="FHW8" s="65"/>
      <c r="FHX8" s="4"/>
      <c r="FHY8" s="4"/>
      <c r="FHZ8" s="4"/>
      <c r="FIC8" s="34"/>
      <c r="FID8" s="34"/>
      <c r="FIF8" s="34"/>
      <c r="FIG8" s="72"/>
      <c r="FIH8" s="63"/>
      <c r="FII8" s="34"/>
      <c r="FIJ8" s="64"/>
      <c r="FIK8" s="4"/>
      <c r="FIL8" s="65"/>
      <c r="FIM8" s="4"/>
      <c r="FIN8" s="4"/>
      <c r="FIO8" s="4"/>
      <c r="FIR8" s="34"/>
      <c r="FIS8" s="34"/>
      <c r="FIU8" s="34"/>
      <c r="FIV8" s="72"/>
      <c r="FIW8" s="63"/>
      <c r="FIX8" s="34"/>
      <c r="FIY8" s="64"/>
      <c r="FIZ8" s="4"/>
      <c r="FJA8" s="65"/>
      <c r="FJB8" s="4"/>
      <c r="FJC8" s="4"/>
      <c r="FJD8" s="4"/>
      <c r="FJG8" s="34"/>
      <c r="FJH8" s="34"/>
      <c r="FJJ8" s="34"/>
      <c r="FJK8" s="72"/>
      <c r="FJL8" s="63"/>
      <c r="FJM8" s="34"/>
      <c r="FJN8" s="64"/>
      <c r="FJO8" s="4"/>
      <c r="FJP8" s="65"/>
      <c r="FJQ8" s="4"/>
      <c r="FJR8" s="4"/>
      <c r="FJS8" s="4"/>
      <c r="FJV8" s="34"/>
      <c r="FJW8" s="34"/>
      <c r="FJY8" s="34"/>
      <c r="FJZ8" s="72"/>
      <c r="FKA8" s="63"/>
      <c r="FKB8" s="34"/>
      <c r="FKC8" s="64"/>
      <c r="FKD8" s="4"/>
      <c r="FKE8" s="65"/>
      <c r="FKF8" s="4"/>
      <c r="FKG8" s="4"/>
      <c r="FKH8" s="4"/>
      <c r="FKK8" s="34"/>
      <c r="FKL8" s="34"/>
      <c r="FKN8" s="34"/>
      <c r="FKO8" s="72"/>
      <c r="FKP8" s="63"/>
      <c r="FKQ8" s="34"/>
      <c r="FKR8" s="64"/>
      <c r="FKS8" s="4"/>
      <c r="FKT8" s="65"/>
      <c r="FKU8" s="4"/>
      <c r="FKV8" s="4"/>
      <c r="FKW8" s="4"/>
      <c r="FKZ8" s="34"/>
      <c r="FLA8" s="34"/>
      <c r="FLC8" s="34"/>
      <c r="FLD8" s="72"/>
      <c r="FLE8" s="63"/>
      <c r="FLF8" s="34"/>
      <c r="FLG8" s="64"/>
      <c r="FLH8" s="4"/>
      <c r="FLI8" s="65"/>
      <c r="FLJ8" s="4"/>
      <c r="FLK8" s="4"/>
      <c r="FLL8" s="4"/>
      <c r="FLO8" s="34"/>
      <c r="FLP8" s="34"/>
      <c r="FLR8" s="34"/>
      <c r="FLS8" s="72"/>
      <c r="FLT8" s="63"/>
      <c r="FLU8" s="34"/>
      <c r="FLV8" s="64"/>
      <c r="FLW8" s="4"/>
      <c r="FLX8" s="65"/>
      <c r="FLY8" s="4"/>
      <c r="FLZ8" s="4"/>
      <c r="FMA8" s="4"/>
      <c r="FMD8" s="34"/>
      <c r="FME8" s="34"/>
      <c r="FMG8" s="34"/>
      <c r="FMH8" s="72"/>
      <c r="FMI8" s="63"/>
      <c r="FMJ8" s="34"/>
      <c r="FMK8" s="64"/>
      <c r="FML8" s="4"/>
      <c r="FMM8" s="65"/>
      <c r="FMN8" s="4"/>
      <c r="FMO8" s="4"/>
      <c r="FMP8" s="4"/>
      <c r="FMS8" s="34"/>
      <c r="FMT8" s="34"/>
      <c r="FMV8" s="34"/>
      <c r="FMW8" s="72"/>
      <c r="FMX8" s="63"/>
      <c r="FMY8" s="34"/>
      <c r="FMZ8" s="64"/>
      <c r="FNA8" s="4"/>
      <c r="FNB8" s="65"/>
      <c r="FNC8" s="4"/>
      <c r="FND8" s="4"/>
      <c r="FNE8" s="4"/>
      <c r="FNH8" s="34"/>
      <c r="FNI8" s="34"/>
      <c r="FNK8" s="34"/>
      <c r="FNL8" s="72"/>
      <c r="FNM8" s="63"/>
      <c r="FNN8" s="34"/>
      <c r="FNO8" s="64"/>
      <c r="FNP8" s="4"/>
      <c r="FNQ8" s="65"/>
      <c r="FNR8" s="4"/>
      <c r="FNS8" s="4"/>
      <c r="FNT8" s="4"/>
      <c r="FNW8" s="34"/>
      <c r="FNX8" s="34"/>
      <c r="FNZ8" s="34"/>
      <c r="FOA8" s="72"/>
      <c r="FOB8" s="63"/>
      <c r="FOC8" s="34"/>
      <c r="FOD8" s="64"/>
      <c r="FOE8" s="4"/>
      <c r="FOF8" s="65"/>
      <c r="FOG8" s="4"/>
      <c r="FOH8" s="4"/>
      <c r="FOI8" s="4"/>
      <c r="FOL8" s="34"/>
      <c r="FOM8" s="34"/>
      <c r="FOO8" s="34"/>
      <c r="FOP8" s="72"/>
      <c r="FOQ8" s="63"/>
      <c r="FOR8" s="34"/>
      <c r="FOS8" s="64"/>
      <c r="FOT8" s="4"/>
      <c r="FOU8" s="65"/>
      <c r="FOV8" s="4"/>
      <c r="FOW8" s="4"/>
      <c r="FOX8" s="4"/>
      <c r="FPA8" s="34"/>
      <c r="FPB8" s="34"/>
      <c r="FPD8" s="34"/>
      <c r="FPE8" s="72"/>
      <c r="FPF8" s="63"/>
      <c r="FPG8" s="34"/>
      <c r="FPH8" s="64"/>
      <c r="FPI8" s="4"/>
      <c r="FPJ8" s="65"/>
      <c r="FPK8" s="4"/>
      <c r="FPL8" s="4"/>
      <c r="FPM8" s="4"/>
      <c r="FPP8" s="34"/>
      <c r="FPQ8" s="34"/>
      <c r="FPS8" s="34"/>
      <c r="FPT8" s="72"/>
      <c r="FPU8" s="63"/>
      <c r="FPV8" s="34"/>
      <c r="FPW8" s="64"/>
      <c r="FPX8" s="4"/>
      <c r="FPY8" s="65"/>
      <c r="FPZ8" s="4"/>
      <c r="FQA8" s="4"/>
      <c r="FQB8" s="4"/>
      <c r="FQE8" s="34"/>
      <c r="FQF8" s="34"/>
      <c r="FQH8" s="34"/>
      <c r="FQI8" s="72"/>
      <c r="FQJ8" s="63"/>
      <c r="FQK8" s="34"/>
      <c r="FQL8" s="64"/>
      <c r="FQM8" s="4"/>
      <c r="FQN8" s="65"/>
      <c r="FQO8" s="4"/>
      <c r="FQP8" s="4"/>
      <c r="FQQ8" s="4"/>
      <c r="FQT8" s="34"/>
      <c r="FQU8" s="34"/>
      <c r="FQW8" s="34"/>
      <c r="FQX8" s="72"/>
      <c r="FQY8" s="63"/>
      <c r="FQZ8" s="34"/>
      <c r="FRA8" s="64"/>
      <c r="FRB8" s="4"/>
      <c r="FRC8" s="65"/>
      <c r="FRD8" s="4"/>
      <c r="FRE8" s="4"/>
      <c r="FRF8" s="4"/>
      <c r="FRI8" s="34"/>
      <c r="FRJ8" s="34"/>
      <c r="FRL8" s="34"/>
      <c r="FRM8" s="72"/>
      <c r="FRN8" s="63"/>
      <c r="FRO8" s="34"/>
      <c r="FRP8" s="64"/>
      <c r="FRQ8" s="4"/>
      <c r="FRR8" s="65"/>
      <c r="FRS8" s="4"/>
      <c r="FRT8" s="4"/>
      <c r="FRU8" s="4"/>
      <c r="FRX8" s="34"/>
      <c r="FRY8" s="34"/>
      <c r="FSA8" s="34"/>
      <c r="FSB8" s="72"/>
      <c r="FSC8" s="63"/>
      <c r="FSD8" s="34"/>
      <c r="FSE8" s="64"/>
      <c r="FSF8" s="4"/>
      <c r="FSG8" s="65"/>
      <c r="FSH8" s="4"/>
      <c r="FSI8" s="4"/>
      <c r="FSJ8" s="4"/>
      <c r="FSM8" s="34"/>
      <c r="FSN8" s="34"/>
      <c r="FSP8" s="34"/>
      <c r="FSQ8" s="72"/>
      <c r="FSR8" s="63"/>
      <c r="FSS8" s="34"/>
      <c r="FST8" s="64"/>
      <c r="FSU8" s="4"/>
      <c r="FSV8" s="65"/>
      <c r="FSW8" s="4"/>
      <c r="FSX8" s="4"/>
      <c r="FSY8" s="4"/>
      <c r="FTB8" s="34"/>
      <c r="FTC8" s="34"/>
      <c r="FTE8" s="34"/>
      <c r="FTF8" s="72"/>
      <c r="FTG8" s="63"/>
      <c r="FTH8" s="34"/>
      <c r="FTI8" s="64"/>
      <c r="FTJ8" s="4"/>
      <c r="FTK8" s="65"/>
      <c r="FTL8" s="4"/>
      <c r="FTM8" s="4"/>
      <c r="FTN8" s="4"/>
      <c r="FTQ8" s="34"/>
      <c r="FTR8" s="34"/>
      <c r="FTT8" s="34"/>
      <c r="FTU8" s="72"/>
      <c r="FTV8" s="63"/>
      <c r="FTW8" s="34"/>
      <c r="FTX8" s="64"/>
      <c r="FTY8" s="4"/>
      <c r="FTZ8" s="65"/>
      <c r="FUA8" s="4"/>
      <c r="FUB8" s="4"/>
      <c r="FUC8" s="4"/>
      <c r="FUF8" s="34"/>
      <c r="FUG8" s="34"/>
      <c r="FUI8" s="34"/>
      <c r="FUJ8" s="72"/>
      <c r="FUK8" s="63"/>
      <c r="FUL8" s="34"/>
      <c r="FUM8" s="64"/>
      <c r="FUN8" s="4"/>
      <c r="FUO8" s="65"/>
      <c r="FUP8" s="4"/>
      <c r="FUQ8" s="4"/>
      <c r="FUR8" s="4"/>
      <c r="FUU8" s="34"/>
      <c r="FUV8" s="34"/>
      <c r="FUX8" s="34"/>
      <c r="FUY8" s="72"/>
      <c r="FUZ8" s="63"/>
      <c r="FVA8" s="34"/>
      <c r="FVB8" s="64"/>
      <c r="FVC8" s="4"/>
      <c r="FVD8" s="65"/>
      <c r="FVE8" s="4"/>
      <c r="FVF8" s="4"/>
      <c r="FVG8" s="4"/>
      <c r="FVJ8" s="34"/>
      <c r="FVK8" s="34"/>
      <c r="FVM8" s="34"/>
      <c r="FVN8" s="72"/>
      <c r="FVO8" s="63"/>
      <c r="FVP8" s="34"/>
      <c r="FVQ8" s="64"/>
      <c r="FVR8" s="4"/>
      <c r="FVS8" s="65"/>
      <c r="FVT8" s="4"/>
      <c r="FVU8" s="4"/>
      <c r="FVV8" s="4"/>
      <c r="FVY8" s="34"/>
      <c r="FVZ8" s="34"/>
      <c r="FWB8" s="34"/>
      <c r="FWC8" s="72"/>
      <c r="FWD8" s="63"/>
      <c r="FWE8" s="34"/>
      <c r="FWF8" s="64"/>
      <c r="FWG8" s="4"/>
      <c r="FWH8" s="65"/>
      <c r="FWI8" s="4"/>
      <c r="FWJ8" s="4"/>
      <c r="FWK8" s="4"/>
      <c r="FWN8" s="34"/>
      <c r="FWO8" s="34"/>
      <c r="FWQ8" s="34"/>
      <c r="FWR8" s="72"/>
      <c r="FWS8" s="63"/>
      <c r="FWT8" s="34"/>
      <c r="FWU8" s="64"/>
      <c r="FWV8" s="4"/>
      <c r="FWW8" s="65"/>
      <c r="FWX8" s="4"/>
      <c r="FWY8" s="4"/>
      <c r="FWZ8" s="4"/>
      <c r="FXC8" s="34"/>
      <c r="FXD8" s="34"/>
      <c r="FXF8" s="34"/>
      <c r="FXG8" s="72"/>
      <c r="FXH8" s="63"/>
      <c r="FXI8" s="34"/>
      <c r="FXJ8" s="64"/>
      <c r="FXK8" s="4"/>
      <c r="FXL8" s="65"/>
      <c r="FXM8" s="4"/>
      <c r="FXN8" s="4"/>
      <c r="FXO8" s="4"/>
      <c r="FXR8" s="34"/>
      <c r="FXS8" s="34"/>
      <c r="FXU8" s="34"/>
      <c r="FXV8" s="72"/>
      <c r="FXW8" s="63"/>
      <c r="FXX8" s="34"/>
      <c r="FXY8" s="64"/>
      <c r="FXZ8" s="4"/>
      <c r="FYA8" s="65"/>
      <c r="FYB8" s="4"/>
      <c r="FYC8" s="4"/>
      <c r="FYD8" s="4"/>
      <c r="FYG8" s="34"/>
      <c r="FYH8" s="34"/>
      <c r="FYJ8" s="34"/>
      <c r="FYK8" s="72"/>
      <c r="FYL8" s="63"/>
      <c r="FYM8" s="34"/>
      <c r="FYN8" s="64"/>
      <c r="FYO8" s="4"/>
      <c r="FYP8" s="65"/>
      <c r="FYQ8" s="4"/>
      <c r="FYR8" s="4"/>
      <c r="FYS8" s="4"/>
      <c r="FYV8" s="34"/>
      <c r="FYW8" s="34"/>
      <c r="FYY8" s="34"/>
      <c r="FYZ8" s="72"/>
      <c r="FZA8" s="63"/>
      <c r="FZB8" s="34"/>
      <c r="FZC8" s="64"/>
      <c r="FZD8" s="4"/>
      <c r="FZE8" s="65"/>
      <c r="FZF8" s="4"/>
      <c r="FZG8" s="4"/>
      <c r="FZH8" s="4"/>
      <c r="FZK8" s="34"/>
      <c r="FZL8" s="34"/>
      <c r="FZN8" s="34"/>
      <c r="FZO8" s="72"/>
      <c r="FZP8" s="63"/>
      <c r="FZQ8" s="34"/>
      <c r="FZR8" s="64"/>
      <c r="FZS8" s="4"/>
      <c r="FZT8" s="65"/>
      <c r="FZU8" s="4"/>
      <c r="FZV8" s="4"/>
      <c r="FZW8" s="4"/>
      <c r="FZZ8" s="34"/>
      <c r="GAA8" s="34"/>
      <c r="GAC8" s="34"/>
      <c r="GAD8" s="72"/>
      <c r="GAE8" s="63"/>
      <c r="GAF8" s="34"/>
      <c r="GAG8" s="64"/>
      <c r="GAH8" s="4"/>
      <c r="GAI8" s="65"/>
      <c r="GAJ8" s="4"/>
      <c r="GAK8" s="4"/>
      <c r="GAL8" s="4"/>
      <c r="GAO8" s="34"/>
      <c r="GAP8" s="34"/>
      <c r="GAR8" s="34"/>
      <c r="GAS8" s="72"/>
      <c r="GAT8" s="63"/>
      <c r="GAU8" s="34"/>
      <c r="GAV8" s="64"/>
      <c r="GAW8" s="4"/>
      <c r="GAX8" s="65"/>
      <c r="GAY8" s="4"/>
      <c r="GAZ8" s="4"/>
      <c r="GBA8" s="4"/>
      <c r="GBD8" s="34"/>
      <c r="GBE8" s="34"/>
      <c r="GBG8" s="34"/>
      <c r="GBH8" s="72"/>
      <c r="GBI8" s="63"/>
      <c r="GBJ8" s="34"/>
      <c r="GBK8" s="64"/>
      <c r="GBL8" s="4"/>
      <c r="GBM8" s="65"/>
      <c r="GBN8" s="4"/>
      <c r="GBO8" s="4"/>
      <c r="GBP8" s="4"/>
      <c r="GBS8" s="34"/>
      <c r="GBT8" s="34"/>
      <c r="GBV8" s="34"/>
      <c r="GBW8" s="72"/>
      <c r="GBX8" s="63"/>
      <c r="GBY8" s="34"/>
      <c r="GBZ8" s="64"/>
      <c r="GCA8" s="4"/>
      <c r="GCB8" s="65"/>
      <c r="GCC8" s="4"/>
      <c r="GCD8" s="4"/>
      <c r="GCE8" s="4"/>
      <c r="GCH8" s="34"/>
      <c r="GCI8" s="34"/>
      <c r="GCK8" s="34"/>
      <c r="GCL8" s="72"/>
      <c r="GCM8" s="63"/>
      <c r="GCN8" s="34"/>
      <c r="GCO8" s="64"/>
      <c r="GCP8" s="4"/>
      <c r="GCQ8" s="65"/>
      <c r="GCR8" s="4"/>
      <c r="GCS8" s="4"/>
      <c r="GCT8" s="4"/>
      <c r="GCW8" s="34"/>
      <c r="GCX8" s="34"/>
      <c r="GCZ8" s="34"/>
      <c r="GDA8" s="72"/>
      <c r="GDB8" s="63"/>
      <c r="GDC8" s="34"/>
      <c r="GDD8" s="64"/>
      <c r="GDE8" s="4"/>
      <c r="GDF8" s="65"/>
      <c r="GDG8" s="4"/>
      <c r="GDH8" s="4"/>
      <c r="GDI8" s="4"/>
      <c r="GDL8" s="34"/>
      <c r="GDM8" s="34"/>
      <c r="GDO8" s="34"/>
      <c r="GDP8" s="72"/>
      <c r="GDQ8" s="63"/>
      <c r="GDR8" s="34"/>
      <c r="GDS8" s="64"/>
      <c r="GDT8" s="4"/>
      <c r="GDU8" s="65"/>
      <c r="GDV8" s="4"/>
      <c r="GDW8" s="4"/>
      <c r="GDX8" s="4"/>
      <c r="GEA8" s="34"/>
      <c r="GEB8" s="34"/>
      <c r="GED8" s="34"/>
      <c r="GEE8" s="72"/>
      <c r="GEF8" s="63"/>
      <c r="GEG8" s="34"/>
      <c r="GEH8" s="64"/>
      <c r="GEI8" s="4"/>
      <c r="GEJ8" s="65"/>
      <c r="GEK8" s="4"/>
      <c r="GEL8" s="4"/>
      <c r="GEM8" s="4"/>
      <c r="GEP8" s="34"/>
      <c r="GEQ8" s="34"/>
      <c r="GES8" s="34"/>
      <c r="GET8" s="72"/>
      <c r="GEU8" s="63"/>
      <c r="GEV8" s="34"/>
      <c r="GEW8" s="64"/>
      <c r="GEX8" s="4"/>
      <c r="GEY8" s="65"/>
      <c r="GEZ8" s="4"/>
      <c r="GFA8" s="4"/>
      <c r="GFB8" s="4"/>
      <c r="GFE8" s="34"/>
      <c r="GFF8" s="34"/>
      <c r="GFH8" s="34"/>
      <c r="GFI8" s="72"/>
      <c r="GFJ8" s="63"/>
      <c r="GFK8" s="34"/>
      <c r="GFL8" s="64"/>
      <c r="GFM8" s="4"/>
      <c r="GFN8" s="65"/>
      <c r="GFO8" s="4"/>
      <c r="GFP8" s="4"/>
      <c r="GFQ8" s="4"/>
      <c r="GFT8" s="34"/>
      <c r="GFU8" s="34"/>
      <c r="GFW8" s="34"/>
      <c r="GFX8" s="72"/>
      <c r="GFY8" s="63"/>
      <c r="GFZ8" s="34"/>
      <c r="GGA8" s="64"/>
      <c r="GGB8" s="4"/>
      <c r="GGC8" s="65"/>
      <c r="GGD8" s="4"/>
      <c r="GGE8" s="4"/>
      <c r="GGF8" s="4"/>
      <c r="GGI8" s="34"/>
      <c r="GGJ8" s="34"/>
      <c r="GGL8" s="34"/>
      <c r="GGM8" s="72"/>
      <c r="GGN8" s="63"/>
      <c r="GGO8" s="34"/>
      <c r="GGP8" s="64"/>
      <c r="GGQ8" s="4"/>
      <c r="GGR8" s="65"/>
      <c r="GGS8" s="4"/>
      <c r="GGT8" s="4"/>
      <c r="GGU8" s="4"/>
      <c r="GGX8" s="34"/>
      <c r="GGY8" s="34"/>
      <c r="GHA8" s="34"/>
      <c r="GHB8" s="72"/>
      <c r="GHC8" s="63"/>
      <c r="GHD8" s="34"/>
      <c r="GHE8" s="64"/>
      <c r="GHF8" s="4"/>
      <c r="GHG8" s="65"/>
      <c r="GHH8" s="4"/>
      <c r="GHI8" s="4"/>
      <c r="GHJ8" s="4"/>
      <c r="GHM8" s="34"/>
      <c r="GHN8" s="34"/>
      <c r="GHP8" s="34"/>
      <c r="GHQ8" s="72"/>
      <c r="GHR8" s="63"/>
      <c r="GHS8" s="34"/>
      <c r="GHT8" s="64"/>
      <c r="GHU8" s="4"/>
      <c r="GHV8" s="65"/>
      <c r="GHW8" s="4"/>
      <c r="GHX8" s="4"/>
      <c r="GHY8" s="4"/>
      <c r="GIB8" s="34"/>
      <c r="GIC8" s="34"/>
      <c r="GIE8" s="34"/>
      <c r="GIF8" s="72"/>
      <c r="GIG8" s="63"/>
      <c r="GIH8" s="34"/>
      <c r="GII8" s="64"/>
      <c r="GIJ8" s="4"/>
      <c r="GIK8" s="65"/>
      <c r="GIL8" s="4"/>
      <c r="GIM8" s="4"/>
      <c r="GIN8" s="4"/>
      <c r="GIQ8" s="34"/>
      <c r="GIR8" s="34"/>
      <c r="GIT8" s="34"/>
      <c r="GIU8" s="72"/>
      <c r="GIV8" s="63"/>
      <c r="GIW8" s="34"/>
      <c r="GIX8" s="64"/>
      <c r="GIY8" s="4"/>
      <c r="GIZ8" s="65"/>
      <c r="GJA8" s="4"/>
      <c r="GJB8" s="4"/>
      <c r="GJC8" s="4"/>
      <c r="GJF8" s="34"/>
      <c r="GJG8" s="34"/>
      <c r="GJI8" s="34"/>
      <c r="GJJ8" s="72"/>
      <c r="GJK8" s="63"/>
      <c r="GJL8" s="34"/>
      <c r="GJM8" s="64"/>
      <c r="GJN8" s="4"/>
      <c r="GJO8" s="65"/>
      <c r="GJP8" s="4"/>
      <c r="GJQ8" s="4"/>
      <c r="GJR8" s="4"/>
      <c r="GJU8" s="34"/>
      <c r="GJV8" s="34"/>
      <c r="GJX8" s="34"/>
      <c r="GJY8" s="72"/>
      <c r="GJZ8" s="63"/>
      <c r="GKA8" s="34"/>
      <c r="GKB8" s="64"/>
      <c r="GKC8" s="4"/>
      <c r="GKD8" s="65"/>
      <c r="GKE8" s="4"/>
      <c r="GKF8" s="4"/>
      <c r="GKG8" s="4"/>
      <c r="GKJ8" s="34"/>
      <c r="GKK8" s="34"/>
      <c r="GKM8" s="34"/>
      <c r="GKN8" s="72"/>
      <c r="GKO8" s="63"/>
      <c r="GKP8" s="34"/>
      <c r="GKQ8" s="64"/>
      <c r="GKR8" s="4"/>
      <c r="GKS8" s="65"/>
      <c r="GKT8" s="4"/>
      <c r="GKU8" s="4"/>
      <c r="GKV8" s="4"/>
      <c r="GKY8" s="34"/>
      <c r="GKZ8" s="34"/>
      <c r="GLB8" s="34"/>
      <c r="GLC8" s="72"/>
      <c r="GLD8" s="63"/>
      <c r="GLE8" s="34"/>
      <c r="GLF8" s="64"/>
      <c r="GLG8" s="4"/>
      <c r="GLH8" s="65"/>
      <c r="GLI8" s="4"/>
      <c r="GLJ8" s="4"/>
      <c r="GLK8" s="4"/>
      <c r="GLN8" s="34"/>
      <c r="GLO8" s="34"/>
      <c r="GLQ8" s="34"/>
      <c r="GLR8" s="72"/>
      <c r="GLS8" s="63"/>
      <c r="GLT8" s="34"/>
      <c r="GLU8" s="64"/>
      <c r="GLV8" s="4"/>
      <c r="GLW8" s="65"/>
      <c r="GLX8" s="4"/>
      <c r="GLY8" s="4"/>
      <c r="GLZ8" s="4"/>
      <c r="GMC8" s="34"/>
      <c r="GMD8" s="34"/>
      <c r="GMF8" s="34"/>
      <c r="GMG8" s="72"/>
      <c r="GMH8" s="63"/>
      <c r="GMI8" s="34"/>
      <c r="GMJ8" s="64"/>
      <c r="GMK8" s="4"/>
      <c r="GML8" s="65"/>
      <c r="GMM8" s="4"/>
      <c r="GMN8" s="4"/>
      <c r="GMO8" s="4"/>
      <c r="GMR8" s="34"/>
      <c r="GMS8" s="34"/>
      <c r="GMU8" s="34"/>
      <c r="GMV8" s="72"/>
      <c r="GMW8" s="63"/>
      <c r="GMX8" s="34"/>
      <c r="GMY8" s="64"/>
      <c r="GMZ8" s="4"/>
      <c r="GNA8" s="65"/>
      <c r="GNB8" s="4"/>
      <c r="GNC8" s="4"/>
      <c r="GND8" s="4"/>
      <c r="GNG8" s="34"/>
      <c r="GNH8" s="34"/>
      <c r="GNJ8" s="34"/>
      <c r="GNK8" s="72"/>
      <c r="GNL8" s="63"/>
      <c r="GNM8" s="34"/>
      <c r="GNN8" s="64"/>
      <c r="GNO8" s="4"/>
      <c r="GNP8" s="65"/>
      <c r="GNQ8" s="4"/>
      <c r="GNR8" s="4"/>
      <c r="GNS8" s="4"/>
      <c r="GNV8" s="34"/>
      <c r="GNW8" s="34"/>
      <c r="GNY8" s="34"/>
      <c r="GNZ8" s="72"/>
      <c r="GOA8" s="63"/>
      <c r="GOB8" s="34"/>
      <c r="GOC8" s="64"/>
      <c r="GOD8" s="4"/>
      <c r="GOE8" s="65"/>
      <c r="GOF8" s="4"/>
      <c r="GOG8" s="4"/>
      <c r="GOH8" s="4"/>
      <c r="GOK8" s="34"/>
      <c r="GOL8" s="34"/>
      <c r="GON8" s="34"/>
      <c r="GOO8" s="72"/>
      <c r="GOP8" s="63"/>
      <c r="GOQ8" s="34"/>
      <c r="GOR8" s="64"/>
      <c r="GOS8" s="4"/>
      <c r="GOT8" s="65"/>
      <c r="GOU8" s="4"/>
      <c r="GOV8" s="4"/>
      <c r="GOW8" s="4"/>
      <c r="GOZ8" s="34"/>
      <c r="GPA8" s="34"/>
      <c r="GPC8" s="34"/>
      <c r="GPD8" s="72"/>
      <c r="GPE8" s="63"/>
      <c r="GPF8" s="34"/>
      <c r="GPG8" s="64"/>
      <c r="GPH8" s="4"/>
      <c r="GPI8" s="65"/>
      <c r="GPJ8" s="4"/>
      <c r="GPK8" s="4"/>
      <c r="GPL8" s="4"/>
      <c r="GPO8" s="34"/>
      <c r="GPP8" s="34"/>
      <c r="GPR8" s="34"/>
      <c r="GPS8" s="72"/>
      <c r="GPT8" s="63"/>
      <c r="GPU8" s="34"/>
      <c r="GPV8" s="64"/>
      <c r="GPW8" s="4"/>
      <c r="GPX8" s="65"/>
      <c r="GPY8" s="4"/>
      <c r="GPZ8" s="4"/>
      <c r="GQA8" s="4"/>
      <c r="GQD8" s="34"/>
      <c r="GQE8" s="34"/>
      <c r="GQG8" s="34"/>
      <c r="GQH8" s="72"/>
      <c r="GQI8" s="63"/>
      <c r="GQJ8" s="34"/>
      <c r="GQK8" s="64"/>
      <c r="GQL8" s="4"/>
      <c r="GQM8" s="65"/>
      <c r="GQN8" s="4"/>
      <c r="GQO8" s="4"/>
      <c r="GQP8" s="4"/>
      <c r="GQS8" s="34"/>
      <c r="GQT8" s="34"/>
      <c r="GQV8" s="34"/>
      <c r="GQW8" s="72"/>
      <c r="GQX8" s="63"/>
      <c r="GQY8" s="34"/>
      <c r="GQZ8" s="64"/>
      <c r="GRA8" s="4"/>
      <c r="GRB8" s="65"/>
      <c r="GRC8" s="4"/>
      <c r="GRD8" s="4"/>
      <c r="GRE8" s="4"/>
      <c r="GRH8" s="34"/>
      <c r="GRI8" s="34"/>
      <c r="GRK8" s="34"/>
      <c r="GRL8" s="72"/>
      <c r="GRM8" s="63"/>
      <c r="GRN8" s="34"/>
      <c r="GRO8" s="64"/>
      <c r="GRP8" s="4"/>
      <c r="GRQ8" s="65"/>
      <c r="GRR8" s="4"/>
      <c r="GRS8" s="4"/>
      <c r="GRT8" s="4"/>
      <c r="GRW8" s="34"/>
      <c r="GRX8" s="34"/>
      <c r="GRZ8" s="34"/>
      <c r="GSA8" s="72"/>
      <c r="GSB8" s="63"/>
      <c r="GSC8" s="34"/>
      <c r="GSD8" s="64"/>
      <c r="GSE8" s="4"/>
      <c r="GSF8" s="65"/>
      <c r="GSG8" s="4"/>
      <c r="GSH8" s="4"/>
      <c r="GSI8" s="4"/>
      <c r="GSL8" s="34"/>
      <c r="GSM8" s="34"/>
      <c r="GSO8" s="34"/>
      <c r="GSP8" s="72"/>
      <c r="GSQ8" s="63"/>
      <c r="GSR8" s="34"/>
      <c r="GSS8" s="64"/>
      <c r="GST8" s="4"/>
      <c r="GSU8" s="65"/>
      <c r="GSV8" s="4"/>
      <c r="GSW8" s="4"/>
      <c r="GSX8" s="4"/>
      <c r="GTA8" s="34"/>
      <c r="GTB8" s="34"/>
      <c r="GTD8" s="34"/>
      <c r="GTE8" s="72"/>
      <c r="GTF8" s="63"/>
      <c r="GTG8" s="34"/>
      <c r="GTH8" s="64"/>
      <c r="GTI8" s="4"/>
      <c r="GTJ8" s="65"/>
      <c r="GTK8" s="4"/>
      <c r="GTL8" s="4"/>
      <c r="GTM8" s="4"/>
      <c r="GTP8" s="34"/>
      <c r="GTQ8" s="34"/>
      <c r="GTS8" s="34"/>
      <c r="GTT8" s="72"/>
      <c r="GTU8" s="63"/>
      <c r="GTV8" s="34"/>
      <c r="GTW8" s="64"/>
      <c r="GTX8" s="4"/>
      <c r="GTY8" s="65"/>
      <c r="GTZ8" s="4"/>
      <c r="GUA8" s="4"/>
      <c r="GUB8" s="4"/>
      <c r="GUE8" s="34"/>
      <c r="GUF8" s="34"/>
      <c r="GUH8" s="34"/>
      <c r="GUI8" s="72"/>
      <c r="GUJ8" s="63"/>
      <c r="GUK8" s="34"/>
      <c r="GUL8" s="64"/>
      <c r="GUM8" s="4"/>
      <c r="GUN8" s="65"/>
      <c r="GUO8" s="4"/>
      <c r="GUP8" s="4"/>
      <c r="GUQ8" s="4"/>
      <c r="GUT8" s="34"/>
      <c r="GUU8" s="34"/>
      <c r="GUW8" s="34"/>
      <c r="GUX8" s="72"/>
      <c r="GUY8" s="63"/>
      <c r="GUZ8" s="34"/>
      <c r="GVA8" s="64"/>
      <c r="GVB8" s="4"/>
      <c r="GVC8" s="65"/>
      <c r="GVD8" s="4"/>
      <c r="GVE8" s="4"/>
      <c r="GVF8" s="4"/>
      <c r="GVI8" s="34"/>
      <c r="GVJ8" s="34"/>
      <c r="GVL8" s="34"/>
      <c r="GVM8" s="72"/>
      <c r="GVN8" s="63"/>
      <c r="GVO8" s="34"/>
      <c r="GVP8" s="64"/>
      <c r="GVQ8" s="4"/>
      <c r="GVR8" s="65"/>
      <c r="GVS8" s="4"/>
      <c r="GVT8" s="4"/>
      <c r="GVU8" s="4"/>
      <c r="GVX8" s="34"/>
      <c r="GVY8" s="34"/>
      <c r="GWA8" s="34"/>
      <c r="GWB8" s="72"/>
      <c r="GWC8" s="63"/>
      <c r="GWD8" s="34"/>
      <c r="GWE8" s="64"/>
      <c r="GWF8" s="4"/>
      <c r="GWG8" s="65"/>
      <c r="GWH8" s="4"/>
      <c r="GWI8" s="4"/>
      <c r="GWJ8" s="4"/>
      <c r="GWM8" s="34"/>
      <c r="GWN8" s="34"/>
      <c r="GWP8" s="34"/>
      <c r="GWQ8" s="72"/>
      <c r="GWR8" s="63"/>
      <c r="GWS8" s="34"/>
      <c r="GWT8" s="64"/>
      <c r="GWU8" s="4"/>
      <c r="GWV8" s="65"/>
      <c r="GWW8" s="4"/>
      <c r="GWX8" s="4"/>
      <c r="GWY8" s="4"/>
      <c r="GXB8" s="34"/>
      <c r="GXC8" s="34"/>
      <c r="GXE8" s="34"/>
      <c r="GXF8" s="72"/>
      <c r="GXG8" s="63"/>
      <c r="GXH8" s="34"/>
      <c r="GXI8" s="64"/>
      <c r="GXJ8" s="4"/>
      <c r="GXK8" s="65"/>
      <c r="GXL8" s="4"/>
      <c r="GXM8" s="4"/>
      <c r="GXN8" s="4"/>
      <c r="GXQ8" s="34"/>
      <c r="GXR8" s="34"/>
      <c r="GXT8" s="34"/>
      <c r="GXU8" s="72"/>
      <c r="GXV8" s="63"/>
      <c r="GXW8" s="34"/>
      <c r="GXX8" s="64"/>
      <c r="GXY8" s="4"/>
      <c r="GXZ8" s="65"/>
      <c r="GYA8" s="4"/>
      <c r="GYB8" s="4"/>
      <c r="GYC8" s="4"/>
      <c r="GYF8" s="34"/>
      <c r="GYG8" s="34"/>
      <c r="GYI8" s="34"/>
      <c r="GYJ8" s="72"/>
      <c r="GYK8" s="63"/>
      <c r="GYL8" s="34"/>
      <c r="GYM8" s="64"/>
      <c r="GYN8" s="4"/>
      <c r="GYO8" s="65"/>
      <c r="GYP8" s="4"/>
      <c r="GYQ8" s="4"/>
      <c r="GYR8" s="4"/>
      <c r="GYU8" s="34"/>
      <c r="GYV8" s="34"/>
      <c r="GYX8" s="34"/>
      <c r="GYY8" s="72"/>
      <c r="GYZ8" s="63"/>
      <c r="GZA8" s="34"/>
      <c r="GZB8" s="64"/>
      <c r="GZC8" s="4"/>
      <c r="GZD8" s="65"/>
      <c r="GZE8" s="4"/>
      <c r="GZF8" s="4"/>
      <c r="GZG8" s="4"/>
      <c r="GZJ8" s="34"/>
      <c r="GZK8" s="34"/>
      <c r="GZM8" s="34"/>
      <c r="GZN8" s="72"/>
      <c r="GZO8" s="63"/>
      <c r="GZP8" s="34"/>
      <c r="GZQ8" s="64"/>
      <c r="GZR8" s="4"/>
      <c r="GZS8" s="65"/>
      <c r="GZT8" s="4"/>
      <c r="GZU8" s="4"/>
      <c r="GZV8" s="4"/>
      <c r="GZY8" s="34"/>
      <c r="GZZ8" s="34"/>
      <c r="HAB8" s="34"/>
      <c r="HAC8" s="72"/>
      <c r="HAD8" s="63"/>
      <c r="HAE8" s="34"/>
      <c r="HAF8" s="64"/>
      <c r="HAG8" s="4"/>
      <c r="HAH8" s="65"/>
      <c r="HAI8" s="4"/>
      <c r="HAJ8" s="4"/>
      <c r="HAK8" s="4"/>
      <c r="HAN8" s="34"/>
      <c r="HAO8" s="34"/>
      <c r="HAQ8" s="34"/>
      <c r="HAR8" s="72"/>
      <c r="HAS8" s="63"/>
      <c r="HAT8" s="34"/>
      <c r="HAU8" s="64"/>
      <c r="HAV8" s="4"/>
      <c r="HAW8" s="65"/>
      <c r="HAX8" s="4"/>
      <c r="HAY8" s="4"/>
      <c r="HAZ8" s="4"/>
      <c r="HBC8" s="34"/>
      <c r="HBD8" s="34"/>
      <c r="HBF8" s="34"/>
      <c r="HBG8" s="72"/>
      <c r="HBH8" s="63"/>
      <c r="HBI8" s="34"/>
      <c r="HBJ8" s="64"/>
      <c r="HBK8" s="4"/>
      <c r="HBL8" s="65"/>
      <c r="HBM8" s="4"/>
      <c r="HBN8" s="4"/>
      <c r="HBO8" s="4"/>
      <c r="HBR8" s="34"/>
      <c r="HBS8" s="34"/>
      <c r="HBU8" s="34"/>
      <c r="HBV8" s="72"/>
      <c r="HBW8" s="63"/>
      <c r="HBX8" s="34"/>
      <c r="HBY8" s="64"/>
      <c r="HBZ8" s="4"/>
      <c r="HCA8" s="65"/>
      <c r="HCB8" s="4"/>
      <c r="HCC8" s="4"/>
      <c r="HCD8" s="4"/>
      <c r="HCG8" s="34"/>
      <c r="HCH8" s="34"/>
      <c r="HCJ8" s="34"/>
      <c r="HCK8" s="72"/>
      <c r="HCL8" s="63"/>
      <c r="HCM8" s="34"/>
      <c r="HCN8" s="64"/>
      <c r="HCO8" s="4"/>
      <c r="HCP8" s="65"/>
      <c r="HCQ8" s="4"/>
      <c r="HCR8" s="4"/>
      <c r="HCS8" s="4"/>
      <c r="HCV8" s="34"/>
      <c r="HCW8" s="34"/>
      <c r="HCY8" s="34"/>
      <c r="HCZ8" s="72"/>
      <c r="HDA8" s="63"/>
      <c r="HDB8" s="34"/>
      <c r="HDC8" s="64"/>
      <c r="HDD8" s="4"/>
      <c r="HDE8" s="65"/>
      <c r="HDF8" s="4"/>
      <c r="HDG8" s="4"/>
      <c r="HDH8" s="4"/>
      <c r="HDK8" s="34"/>
      <c r="HDL8" s="34"/>
      <c r="HDN8" s="34"/>
      <c r="HDO8" s="72"/>
      <c r="HDP8" s="63"/>
      <c r="HDQ8" s="34"/>
      <c r="HDR8" s="64"/>
      <c r="HDS8" s="4"/>
      <c r="HDT8" s="65"/>
      <c r="HDU8" s="4"/>
      <c r="HDV8" s="4"/>
      <c r="HDW8" s="4"/>
      <c r="HDZ8" s="34"/>
      <c r="HEA8" s="34"/>
      <c r="HEC8" s="34"/>
      <c r="HED8" s="72"/>
      <c r="HEE8" s="63"/>
      <c r="HEF8" s="34"/>
      <c r="HEG8" s="64"/>
      <c r="HEH8" s="4"/>
      <c r="HEI8" s="65"/>
      <c r="HEJ8" s="4"/>
      <c r="HEK8" s="4"/>
      <c r="HEL8" s="4"/>
      <c r="HEO8" s="34"/>
      <c r="HEP8" s="34"/>
      <c r="HER8" s="34"/>
      <c r="HES8" s="72"/>
      <c r="HET8" s="63"/>
      <c r="HEU8" s="34"/>
      <c r="HEV8" s="64"/>
      <c r="HEW8" s="4"/>
      <c r="HEX8" s="65"/>
      <c r="HEY8" s="4"/>
      <c r="HEZ8" s="4"/>
      <c r="HFA8" s="4"/>
      <c r="HFD8" s="34"/>
      <c r="HFE8" s="34"/>
      <c r="HFG8" s="34"/>
      <c r="HFH8" s="72"/>
      <c r="HFI8" s="63"/>
      <c r="HFJ8" s="34"/>
      <c r="HFK8" s="64"/>
      <c r="HFL8" s="4"/>
      <c r="HFM8" s="65"/>
      <c r="HFN8" s="4"/>
      <c r="HFO8" s="4"/>
      <c r="HFP8" s="4"/>
      <c r="HFS8" s="34"/>
      <c r="HFT8" s="34"/>
      <c r="HFV8" s="34"/>
      <c r="HFW8" s="72"/>
      <c r="HFX8" s="63"/>
      <c r="HFY8" s="34"/>
      <c r="HFZ8" s="64"/>
      <c r="HGA8" s="4"/>
      <c r="HGB8" s="65"/>
      <c r="HGC8" s="4"/>
      <c r="HGD8" s="4"/>
      <c r="HGE8" s="4"/>
      <c r="HGH8" s="34"/>
      <c r="HGI8" s="34"/>
      <c r="HGK8" s="34"/>
      <c r="HGL8" s="72"/>
      <c r="HGM8" s="63"/>
      <c r="HGN8" s="34"/>
      <c r="HGO8" s="64"/>
      <c r="HGP8" s="4"/>
      <c r="HGQ8" s="65"/>
      <c r="HGR8" s="4"/>
      <c r="HGS8" s="4"/>
      <c r="HGT8" s="4"/>
      <c r="HGW8" s="34"/>
      <c r="HGX8" s="34"/>
      <c r="HGZ8" s="34"/>
      <c r="HHA8" s="72"/>
      <c r="HHB8" s="63"/>
      <c r="HHC8" s="34"/>
      <c r="HHD8" s="64"/>
      <c r="HHE8" s="4"/>
      <c r="HHF8" s="65"/>
      <c r="HHG8" s="4"/>
      <c r="HHH8" s="4"/>
      <c r="HHI8" s="4"/>
      <c r="HHL8" s="34"/>
      <c r="HHM8" s="34"/>
      <c r="HHO8" s="34"/>
      <c r="HHP8" s="72"/>
      <c r="HHQ8" s="63"/>
      <c r="HHR8" s="34"/>
      <c r="HHS8" s="64"/>
      <c r="HHT8" s="4"/>
      <c r="HHU8" s="65"/>
      <c r="HHV8" s="4"/>
      <c r="HHW8" s="4"/>
      <c r="HHX8" s="4"/>
      <c r="HIA8" s="34"/>
      <c r="HIB8" s="34"/>
      <c r="HID8" s="34"/>
      <c r="HIE8" s="72"/>
      <c r="HIF8" s="63"/>
      <c r="HIG8" s="34"/>
      <c r="HIH8" s="64"/>
      <c r="HII8" s="4"/>
      <c r="HIJ8" s="65"/>
      <c r="HIK8" s="4"/>
      <c r="HIL8" s="4"/>
      <c r="HIM8" s="4"/>
      <c r="HIP8" s="34"/>
      <c r="HIQ8" s="34"/>
      <c r="HIS8" s="34"/>
      <c r="HIT8" s="72"/>
      <c r="HIU8" s="63"/>
      <c r="HIV8" s="34"/>
      <c r="HIW8" s="64"/>
      <c r="HIX8" s="4"/>
      <c r="HIY8" s="65"/>
      <c r="HIZ8" s="4"/>
      <c r="HJA8" s="4"/>
      <c r="HJB8" s="4"/>
      <c r="HJE8" s="34"/>
      <c r="HJF8" s="34"/>
      <c r="HJH8" s="34"/>
      <c r="HJI8" s="72"/>
      <c r="HJJ8" s="63"/>
      <c r="HJK8" s="34"/>
      <c r="HJL8" s="64"/>
      <c r="HJM8" s="4"/>
      <c r="HJN8" s="65"/>
      <c r="HJO8" s="4"/>
      <c r="HJP8" s="4"/>
      <c r="HJQ8" s="4"/>
      <c r="HJT8" s="34"/>
      <c r="HJU8" s="34"/>
      <c r="HJW8" s="34"/>
      <c r="HJX8" s="72"/>
      <c r="HJY8" s="63"/>
      <c r="HJZ8" s="34"/>
      <c r="HKA8" s="64"/>
      <c r="HKB8" s="4"/>
      <c r="HKC8" s="65"/>
      <c r="HKD8" s="4"/>
      <c r="HKE8" s="4"/>
      <c r="HKF8" s="4"/>
      <c r="HKI8" s="34"/>
      <c r="HKJ8" s="34"/>
      <c r="HKL8" s="34"/>
      <c r="HKM8" s="72"/>
      <c r="HKN8" s="63"/>
      <c r="HKO8" s="34"/>
      <c r="HKP8" s="64"/>
      <c r="HKQ8" s="4"/>
      <c r="HKR8" s="65"/>
      <c r="HKS8" s="4"/>
      <c r="HKT8" s="4"/>
      <c r="HKU8" s="4"/>
      <c r="HKX8" s="34"/>
      <c r="HKY8" s="34"/>
      <c r="HLA8" s="34"/>
      <c r="HLB8" s="72"/>
      <c r="HLC8" s="63"/>
      <c r="HLD8" s="34"/>
      <c r="HLE8" s="64"/>
      <c r="HLF8" s="4"/>
      <c r="HLG8" s="65"/>
      <c r="HLH8" s="4"/>
      <c r="HLI8" s="4"/>
      <c r="HLJ8" s="4"/>
      <c r="HLM8" s="34"/>
      <c r="HLN8" s="34"/>
      <c r="HLP8" s="34"/>
      <c r="HLQ8" s="72"/>
      <c r="HLR8" s="63"/>
      <c r="HLS8" s="34"/>
      <c r="HLT8" s="64"/>
      <c r="HLU8" s="4"/>
      <c r="HLV8" s="65"/>
      <c r="HLW8" s="4"/>
      <c r="HLX8" s="4"/>
      <c r="HLY8" s="4"/>
      <c r="HMB8" s="34"/>
      <c r="HMC8" s="34"/>
      <c r="HME8" s="34"/>
      <c r="HMF8" s="72"/>
      <c r="HMG8" s="63"/>
      <c r="HMH8" s="34"/>
      <c r="HMI8" s="64"/>
      <c r="HMJ8" s="4"/>
      <c r="HMK8" s="65"/>
      <c r="HML8" s="4"/>
      <c r="HMM8" s="4"/>
      <c r="HMN8" s="4"/>
      <c r="HMQ8" s="34"/>
      <c r="HMR8" s="34"/>
      <c r="HMT8" s="34"/>
      <c r="HMU8" s="72"/>
      <c r="HMV8" s="63"/>
      <c r="HMW8" s="34"/>
      <c r="HMX8" s="64"/>
      <c r="HMY8" s="4"/>
      <c r="HMZ8" s="65"/>
      <c r="HNA8" s="4"/>
      <c r="HNB8" s="4"/>
      <c r="HNC8" s="4"/>
      <c r="HNF8" s="34"/>
      <c r="HNG8" s="34"/>
      <c r="HNI8" s="34"/>
      <c r="HNJ8" s="72"/>
      <c r="HNK8" s="63"/>
      <c r="HNL8" s="34"/>
      <c r="HNM8" s="64"/>
      <c r="HNN8" s="4"/>
      <c r="HNO8" s="65"/>
      <c r="HNP8" s="4"/>
      <c r="HNQ8" s="4"/>
      <c r="HNR8" s="4"/>
      <c r="HNU8" s="34"/>
      <c r="HNV8" s="34"/>
      <c r="HNX8" s="34"/>
      <c r="HNY8" s="72"/>
      <c r="HNZ8" s="63"/>
      <c r="HOA8" s="34"/>
      <c r="HOB8" s="64"/>
      <c r="HOC8" s="4"/>
      <c r="HOD8" s="65"/>
      <c r="HOE8" s="4"/>
      <c r="HOF8" s="4"/>
      <c r="HOG8" s="4"/>
      <c r="HOJ8" s="34"/>
      <c r="HOK8" s="34"/>
      <c r="HOM8" s="34"/>
      <c r="HON8" s="72"/>
      <c r="HOO8" s="63"/>
      <c r="HOP8" s="34"/>
      <c r="HOQ8" s="64"/>
      <c r="HOR8" s="4"/>
      <c r="HOS8" s="65"/>
      <c r="HOT8" s="4"/>
      <c r="HOU8" s="4"/>
      <c r="HOV8" s="4"/>
      <c r="HOY8" s="34"/>
      <c r="HOZ8" s="34"/>
      <c r="HPB8" s="34"/>
      <c r="HPC8" s="72"/>
      <c r="HPD8" s="63"/>
      <c r="HPE8" s="34"/>
      <c r="HPF8" s="64"/>
      <c r="HPG8" s="4"/>
      <c r="HPH8" s="65"/>
      <c r="HPI8" s="4"/>
      <c r="HPJ8" s="4"/>
      <c r="HPK8" s="4"/>
      <c r="HPN8" s="34"/>
      <c r="HPO8" s="34"/>
      <c r="HPQ8" s="34"/>
      <c r="HPR8" s="72"/>
      <c r="HPS8" s="63"/>
      <c r="HPT8" s="34"/>
      <c r="HPU8" s="64"/>
      <c r="HPV8" s="4"/>
      <c r="HPW8" s="65"/>
      <c r="HPX8" s="4"/>
      <c r="HPY8" s="4"/>
      <c r="HPZ8" s="4"/>
      <c r="HQC8" s="34"/>
      <c r="HQD8" s="34"/>
      <c r="HQF8" s="34"/>
      <c r="HQG8" s="72"/>
      <c r="HQH8" s="63"/>
      <c r="HQI8" s="34"/>
      <c r="HQJ8" s="64"/>
      <c r="HQK8" s="4"/>
      <c r="HQL8" s="65"/>
      <c r="HQM8" s="4"/>
      <c r="HQN8" s="4"/>
      <c r="HQO8" s="4"/>
      <c r="HQR8" s="34"/>
      <c r="HQS8" s="34"/>
      <c r="HQU8" s="34"/>
      <c r="HQV8" s="72"/>
      <c r="HQW8" s="63"/>
      <c r="HQX8" s="34"/>
      <c r="HQY8" s="64"/>
      <c r="HQZ8" s="4"/>
      <c r="HRA8" s="65"/>
      <c r="HRB8" s="4"/>
      <c r="HRC8" s="4"/>
      <c r="HRD8" s="4"/>
      <c r="HRG8" s="34"/>
      <c r="HRH8" s="34"/>
      <c r="HRJ8" s="34"/>
      <c r="HRK8" s="72"/>
      <c r="HRL8" s="63"/>
      <c r="HRM8" s="34"/>
      <c r="HRN8" s="64"/>
      <c r="HRO8" s="4"/>
      <c r="HRP8" s="65"/>
      <c r="HRQ8" s="4"/>
      <c r="HRR8" s="4"/>
      <c r="HRS8" s="4"/>
      <c r="HRV8" s="34"/>
      <c r="HRW8" s="34"/>
      <c r="HRY8" s="34"/>
      <c r="HRZ8" s="72"/>
      <c r="HSA8" s="63"/>
      <c r="HSB8" s="34"/>
      <c r="HSC8" s="64"/>
      <c r="HSD8" s="4"/>
      <c r="HSE8" s="65"/>
      <c r="HSF8" s="4"/>
      <c r="HSG8" s="4"/>
      <c r="HSH8" s="4"/>
      <c r="HSK8" s="34"/>
      <c r="HSL8" s="34"/>
      <c r="HSN8" s="34"/>
      <c r="HSO8" s="72"/>
      <c r="HSP8" s="63"/>
      <c r="HSQ8" s="34"/>
      <c r="HSR8" s="64"/>
      <c r="HSS8" s="4"/>
      <c r="HST8" s="65"/>
      <c r="HSU8" s="4"/>
      <c r="HSV8" s="4"/>
      <c r="HSW8" s="4"/>
      <c r="HSZ8" s="34"/>
      <c r="HTA8" s="34"/>
      <c r="HTC8" s="34"/>
      <c r="HTD8" s="72"/>
      <c r="HTE8" s="63"/>
      <c r="HTF8" s="34"/>
      <c r="HTG8" s="64"/>
      <c r="HTH8" s="4"/>
      <c r="HTI8" s="65"/>
      <c r="HTJ8" s="4"/>
      <c r="HTK8" s="4"/>
      <c r="HTL8" s="4"/>
      <c r="HTO8" s="34"/>
      <c r="HTP8" s="34"/>
      <c r="HTR8" s="34"/>
      <c r="HTS8" s="72"/>
      <c r="HTT8" s="63"/>
      <c r="HTU8" s="34"/>
      <c r="HTV8" s="64"/>
      <c r="HTW8" s="4"/>
      <c r="HTX8" s="65"/>
      <c r="HTY8" s="4"/>
      <c r="HTZ8" s="4"/>
      <c r="HUA8" s="4"/>
      <c r="HUD8" s="34"/>
      <c r="HUE8" s="34"/>
      <c r="HUG8" s="34"/>
      <c r="HUH8" s="72"/>
      <c r="HUI8" s="63"/>
      <c r="HUJ8" s="34"/>
      <c r="HUK8" s="64"/>
      <c r="HUL8" s="4"/>
      <c r="HUM8" s="65"/>
      <c r="HUN8" s="4"/>
      <c r="HUO8" s="4"/>
      <c r="HUP8" s="4"/>
      <c r="HUS8" s="34"/>
      <c r="HUT8" s="34"/>
      <c r="HUV8" s="34"/>
      <c r="HUW8" s="72"/>
      <c r="HUX8" s="63"/>
      <c r="HUY8" s="34"/>
      <c r="HUZ8" s="64"/>
      <c r="HVA8" s="4"/>
      <c r="HVB8" s="65"/>
      <c r="HVC8" s="4"/>
      <c r="HVD8" s="4"/>
      <c r="HVE8" s="4"/>
      <c r="HVH8" s="34"/>
      <c r="HVI8" s="34"/>
      <c r="HVK8" s="34"/>
      <c r="HVL8" s="72"/>
      <c r="HVM8" s="63"/>
      <c r="HVN8" s="34"/>
      <c r="HVO8" s="64"/>
      <c r="HVP8" s="4"/>
      <c r="HVQ8" s="65"/>
      <c r="HVR8" s="4"/>
      <c r="HVS8" s="4"/>
      <c r="HVT8" s="4"/>
      <c r="HVW8" s="34"/>
      <c r="HVX8" s="34"/>
      <c r="HVZ8" s="34"/>
      <c r="HWA8" s="72"/>
      <c r="HWB8" s="63"/>
      <c r="HWC8" s="34"/>
      <c r="HWD8" s="64"/>
      <c r="HWE8" s="4"/>
      <c r="HWF8" s="65"/>
      <c r="HWG8" s="4"/>
      <c r="HWH8" s="4"/>
      <c r="HWI8" s="4"/>
      <c r="HWL8" s="34"/>
      <c r="HWM8" s="34"/>
      <c r="HWO8" s="34"/>
      <c r="HWP8" s="72"/>
      <c r="HWQ8" s="63"/>
      <c r="HWR8" s="34"/>
      <c r="HWS8" s="64"/>
      <c r="HWT8" s="4"/>
      <c r="HWU8" s="65"/>
      <c r="HWV8" s="4"/>
      <c r="HWW8" s="4"/>
      <c r="HWX8" s="4"/>
      <c r="HXA8" s="34"/>
      <c r="HXB8" s="34"/>
      <c r="HXD8" s="34"/>
      <c r="HXE8" s="72"/>
      <c r="HXF8" s="63"/>
      <c r="HXG8" s="34"/>
      <c r="HXH8" s="64"/>
      <c r="HXI8" s="4"/>
      <c r="HXJ8" s="65"/>
      <c r="HXK8" s="4"/>
      <c r="HXL8" s="4"/>
      <c r="HXM8" s="4"/>
      <c r="HXP8" s="34"/>
      <c r="HXQ8" s="34"/>
      <c r="HXS8" s="34"/>
      <c r="HXT8" s="72"/>
      <c r="HXU8" s="63"/>
      <c r="HXV8" s="34"/>
      <c r="HXW8" s="64"/>
      <c r="HXX8" s="4"/>
      <c r="HXY8" s="65"/>
      <c r="HXZ8" s="4"/>
      <c r="HYA8" s="4"/>
      <c r="HYB8" s="4"/>
      <c r="HYE8" s="34"/>
      <c r="HYF8" s="34"/>
      <c r="HYH8" s="34"/>
      <c r="HYI8" s="72"/>
      <c r="HYJ8" s="63"/>
      <c r="HYK8" s="34"/>
      <c r="HYL8" s="64"/>
      <c r="HYM8" s="4"/>
      <c r="HYN8" s="65"/>
      <c r="HYO8" s="4"/>
      <c r="HYP8" s="4"/>
      <c r="HYQ8" s="4"/>
      <c r="HYT8" s="34"/>
      <c r="HYU8" s="34"/>
      <c r="HYW8" s="34"/>
      <c r="HYX8" s="72"/>
      <c r="HYY8" s="63"/>
      <c r="HYZ8" s="34"/>
      <c r="HZA8" s="64"/>
      <c r="HZB8" s="4"/>
      <c r="HZC8" s="65"/>
      <c r="HZD8" s="4"/>
      <c r="HZE8" s="4"/>
      <c r="HZF8" s="4"/>
      <c r="HZI8" s="34"/>
      <c r="HZJ8" s="34"/>
      <c r="HZL8" s="34"/>
      <c r="HZM8" s="72"/>
      <c r="HZN8" s="63"/>
      <c r="HZO8" s="34"/>
      <c r="HZP8" s="64"/>
      <c r="HZQ8" s="4"/>
      <c r="HZR8" s="65"/>
      <c r="HZS8" s="4"/>
      <c r="HZT8" s="4"/>
      <c r="HZU8" s="4"/>
      <c r="HZX8" s="34"/>
      <c r="HZY8" s="34"/>
      <c r="IAA8" s="34"/>
      <c r="IAB8" s="72"/>
      <c r="IAC8" s="63"/>
      <c r="IAD8" s="34"/>
      <c r="IAE8" s="64"/>
      <c r="IAF8" s="4"/>
      <c r="IAG8" s="65"/>
      <c r="IAH8" s="4"/>
      <c r="IAI8" s="4"/>
      <c r="IAJ8" s="4"/>
      <c r="IAM8" s="34"/>
      <c r="IAN8" s="34"/>
      <c r="IAP8" s="34"/>
      <c r="IAQ8" s="72"/>
      <c r="IAR8" s="63"/>
      <c r="IAS8" s="34"/>
      <c r="IAT8" s="64"/>
      <c r="IAU8" s="4"/>
      <c r="IAV8" s="65"/>
      <c r="IAW8" s="4"/>
      <c r="IAX8" s="4"/>
      <c r="IAY8" s="4"/>
      <c r="IBB8" s="34"/>
      <c r="IBC8" s="34"/>
      <c r="IBE8" s="34"/>
      <c r="IBF8" s="72"/>
      <c r="IBG8" s="63"/>
      <c r="IBH8" s="34"/>
      <c r="IBI8" s="64"/>
      <c r="IBJ8" s="4"/>
      <c r="IBK8" s="65"/>
      <c r="IBL8" s="4"/>
      <c r="IBM8" s="4"/>
      <c r="IBN8" s="4"/>
      <c r="IBQ8" s="34"/>
      <c r="IBR8" s="34"/>
      <c r="IBT8" s="34"/>
      <c r="IBU8" s="72"/>
      <c r="IBV8" s="63"/>
      <c r="IBW8" s="34"/>
      <c r="IBX8" s="64"/>
      <c r="IBY8" s="4"/>
      <c r="IBZ8" s="65"/>
      <c r="ICA8" s="4"/>
      <c r="ICB8" s="4"/>
      <c r="ICC8" s="4"/>
      <c r="ICF8" s="34"/>
      <c r="ICG8" s="34"/>
      <c r="ICI8" s="34"/>
      <c r="ICJ8" s="72"/>
      <c r="ICK8" s="63"/>
      <c r="ICL8" s="34"/>
      <c r="ICM8" s="64"/>
      <c r="ICN8" s="4"/>
      <c r="ICO8" s="65"/>
      <c r="ICP8" s="4"/>
      <c r="ICQ8" s="4"/>
      <c r="ICR8" s="4"/>
      <c r="ICU8" s="34"/>
      <c r="ICV8" s="34"/>
      <c r="ICX8" s="34"/>
      <c r="ICY8" s="72"/>
      <c r="ICZ8" s="63"/>
      <c r="IDA8" s="34"/>
      <c r="IDB8" s="64"/>
      <c r="IDC8" s="4"/>
      <c r="IDD8" s="65"/>
      <c r="IDE8" s="4"/>
      <c r="IDF8" s="4"/>
      <c r="IDG8" s="4"/>
      <c r="IDJ8" s="34"/>
      <c r="IDK8" s="34"/>
      <c r="IDM8" s="34"/>
      <c r="IDN8" s="72"/>
      <c r="IDO8" s="63"/>
      <c r="IDP8" s="34"/>
      <c r="IDQ8" s="64"/>
      <c r="IDR8" s="4"/>
      <c r="IDS8" s="65"/>
      <c r="IDT8" s="4"/>
      <c r="IDU8" s="4"/>
      <c r="IDV8" s="4"/>
      <c r="IDY8" s="34"/>
      <c r="IDZ8" s="34"/>
      <c r="IEB8" s="34"/>
      <c r="IEC8" s="72"/>
      <c r="IED8" s="63"/>
      <c r="IEE8" s="34"/>
      <c r="IEF8" s="64"/>
      <c r="IEG8" s="4"/>
      <c r="IEH8" s="65"/>
      <c r="IEI8" s="4"/>
      <c r="IEJ8" s="4"/>
      <c r="IEK8" s="4"/>
      <c r="IEN8" s="34"/>
      <c r="IEO8" s="34"/>
      <c r="IEQ8" s="34"/>
      <c r="IER8" s="72"/>
      <c r="IES8" s="63"/>
      <c r="IET8" s="34"/>
      <c r="IEU8" s="64"/>
      <c r="IEV8" s="4"/>
      <c r="IEW8" s="65"/>
      <c r="IEX8" s="4"/>
      <c r="IEY8" s="4"/>
      <c r="IEZ8" s="4"/>
      <c r="IFC8" s="34"/>
      <c r="IFD8" s="34"/>
      <c r="IFF8" s="34"/>
      <c r="IFG8" s="72"/>
      <c r="IFH8" s="63"/>
      <c r="IFI8" s="34"/>
      <c r="IFJ8" s="64"/>
      <c r="IFK8" s="4"/>
      <c r="IFL8" s="65"/>
      <c r="IFM8" s="4"/>
      <c r="IFN8" s="4"/>
      <c r="IFO8" s="4"/>
      <c r="IFR8" s="34"/>
      <c r="IFS8" s="34"/>
      <c r="IFU8" s="34"/>
      <c r="IFV8" s="72"/>
      <c r="IFW8" s="63"/>
      <c r="IFX8" s="34"/>
      <c r="IFY8" s="64"/>
      <c r="IFZ8" s="4"/>
      <c r="IGA8" s="65"/>
      <c r="IGB8" s="4"/>
      <c r="IGC8" s="4"/>
      <c r="IGD8" s="4"/>
      <c r="IGG8" s="34"/>
      <c r="IGH8" s="34"/>
      <c r="IGJ8" s="34"/>
      <c r="IGK8" s="72"/>
      <c r="IGL8" s="63"/>
      <c r="IGM8" s="34"/>
      <c r="IGN8" s="64"/>
      <c r="IGO8" s="4"/>
      <c r="IGP8" s="65"/>
      <c r="IGQ8" s="4"/>
      <c r="IGR8" s="4"/>
      <c r="IGS8" s="4"/>
      <c r="IGV8" s="34"/>
      <c r="IGW8" s="34"/>
      <c r="IGY8" s="34"/>
      <c r="IGZ8" s="72"/>
      <c r="IHA8" s="63"/>
      <c r="IHB8" s="34"/>
      <c r="IHC8" s="64"/>
      <c r="IHD8" s="4"/>
      <c r="IHE8" s="65"/>
      <c r="IHF8" s="4"/>
      <c r="IHG8" s="4"/>
      <c r="IHH8" s="4"/>
      <c r="IHK8" s="34"/>
      <c r="IHL8" s="34"/>
      <c r="IHN8" s="34"/>
      <c r="IHO8" s="72"/>
      <c r="IHP8" s="63"/>
      <c r="IHQ8" s="34"/>
      <c r="IHR8" s="64"/>
      <c r="IHS8" s="4"/>
      <c r="IHT8" s="65"/>
      <c r="IHU8" s="4"/>
      <c r="IHV8" s="4"/>
      <c r="IHW8" s="4"/>
      <c r="IHZ8" s="34"/>
      <c r="IIA8" s="34"/>
      <c r="IIC8" s="34"/>
      <c r="IID8" s="72"/>
      <c r="IIE8" s="63"/>
      <c r="IIF8" s="34"/>
      <c r="IIG8" s="64"/>
      <c r="IIH8" s="4"/>
      <c r="III8" s="65"/>
      <c r="IIJ8" s="4"/>
      <c r="IIK8" s="4"/>
      <c r="IIL8" s="4"/>
      <c r="IIO8" s="34"/>
      <c r="IIP8" s="34"/>
      <c r="IIR8" s="34"/>
      <c r="IIS8" s="72"/>
      <c r="IIT8" s="63"/>
      <c r="IIU8" s="34"/>
      <c r="IIV8" s="64"/>
      <c r="IIW8" s="4"/>
      <c r="IIX8" s="65"/>
      <c r="IIY8" s="4"/>
      <c r="IIZ8" s="4"/>
      <c r="IJA8" s="4"/>
      <c r="IJD8" s="34"/>
      <c r="IJE8" s="34"/>
      <c r="IJG8" s="34"/>
      <c r="IJH8" s="72"/>
      <c r="IJI8" s="63"/>
      <c r="IJJ8" s="34"/>
      <c r="IJK8" s="64"/>
      <c r="IJL8" s="4"/>
      <c r="IJM8" s="65"/>
      <c r="IJN8" s="4"/>
      <c r="IJO8" s="4"/>
      <c r="IJP8" s="4"/>
      <c r="IJS8" s="34"/>
      <c r="IJT8" s="34"/>
      <c r="IJV8" s="34"/>
      <c r="IJW8" s="72"/>
      <c r="IJX8" s="63"/>
      <c r="IJY8" s="34"/>
      <c r="IJZ8" s="64"/>
      <c r="IKA8" s="4"/>
      <c r="IKB8" s="65"/>
      <c r="IKC8" s="4"/>
      <c r="IKD8" s="4"/>
      <c r="IKE8" s="4"/>
      <c r="IKH8" s="34"/>
      <c r="IKI8" s="34"/>
      <c r="IKK8" s="34"/>
      <c r="IKL8" s="72"/>
      <c r="IKM8" s="63"/>
      <c r="IKN8" s="34"/>
      <c r="IKO8" s="64"/>
      <c r="IKP8" s="4"/>
      <c r="IKQ8" s="65"/>
      <c r="IKR8" s="4"/>
      <c r="IKS8" s="4"/>
      <c r="IKT8" s="4"/>
      <c r="IKW8" s="34"/>
      <c r="IKX8" s="34"/>
      <c r="IKZ8" s="34"/>
      <c r="ILA8" s="72"/>
      <c r="ILB8" s="63"/>
      <c r="ILC8" s="34"/>
      <c r="ILD8" s="64"/>
      <c r="ILE8" s="4"/>
      <c r="ILF8" s="65"/>
      <c r="ILG8" s="4"/>
      <c r="ILH8" s="4"/>
      <c r="ILI8" s="4"/>
      <c r="ILL8" s="34"/>
      <c r="ILM8" s="34"/>
      <c r="ILO8" s="34"/>
      <c r="ILP8" s="72"/>
      <c r="ILQ8" s="63"/>
      <c r="ILR8" s="34"/>
      <c r="ILS8" s="64"/>
      <c r="ILT8" s="4"/>
      <c r="ILU8" s="65"/>
      <c r="ILV8" s="4"/>
      <c r="ILW8" s="4"/>
      <c r="ILX8" s="4"/>
      <c r="IMA8" s="34"/>
      <c r="IMB8" s="34"/>
      <c r="IMD8" s="34"/>
      <c r="IME8" s="72"/>
      <c r="IMF8" s="63"/>
      <c r="IMG8" s="34"/>
      <c r="IMH8" s="64"/>
      <c r="IMI8" s="4"/>
      <c r="IMJ8" s="65"/>
      <c r="IMK8" s="4"/>
      <c r="IML8" s="4"/>
      <c r="IMM8" s="4"/>
      <c r="IMP8" s="34"/>
      <c r="IMQ8" s="34"/>
      <c r="IMS8" s="34"/>
      <c r="IMT8" s="72"/>
      <c r="IMU8" s="63"/>
      <c r="IMV8" s="34"/>
      <c r="IMW8" s="64"/>
      <c r="IMX8" s="4"/>
      <c r="IMY8" s="65"/>
      <c r="IMZ8" s="4"/>
      <c r="INA8" s="4"/>
      <c r="INB8" s="4"/>
      <c r="INE8" s="34"/>
      <c r="INF8" s="34"/>
      <c r="INH8" s="34"/>
      <c r="INI8" s="72"/>
      <c r="INJ8" s="63"/>
      <c r="INK8" s="34"/>
      <c r="INL8" s="64"/>
      <c r="INM8" s="4"/>
      <c r="INN8" s="65"/>
      <c r="INO8" s="4"/>
      <c r="INP8" s="4"/>
      <c r="INQ8" s="4"/>
      <c r="INT8" s="34"/>
      <c r="INU8" s="34"/>
      <c r="INW8" s="34"/>
      <c r="INX8" s="72"/>
      <c r="INY8" s="63"/>
      <c r="INZ8" s="34"/>
      <c r="IOA8" s="64"/>
      <c r="IOB8" s="4"/>
      <c r="IOC8" s="65"/>
      <c r="IOD8" s="4"/>
      <c r="IOE8" s="4"/>
      <c r="IOF8" s="4"/>
      <c r="IOI8" s="34"/>
      <c r="IOJ8" s="34"/>
      <c r="IOL8" s="34"/>
      <c r="IOM8" s="72"/>
      <c r="ION8" s="63"/>
      <c r="IOO8" s="34"/>
      <c r="IOP8" s="64"/>
      <c r="IOQ8" s="4"/>
      <c r="IOR8" s="65"/>
      <c r="IOS8" s="4"/>
      <c r="IOT8" s="4"/>
      <c r="IOU8" s="4"/>
      <c r="IOX8" s="34"/>
      <c r="IOY8" s="34"/>
      <c r="IPA8" s="34"/>
      <c r="IPB8" s="72"/>
      <c r="IPC8" s="63"/>
      <c r="IPD8" s="34"/>
      <c r="IPE8" s="64"/>
      <c r="IPF8" s="4"/>
      <c r="IPG8" s="65"/>
      <c r="IPH8" s="4"/>
      <c r="IPI8" s="4"/>
      <c r="IPJ8" s="4"/>
      <c r="IPM8" s="34"/>
      <c r="IPN8" s="34"/>
      <c r="IPP8" s="34"/>
      <c r="IPQ8" s="72"/>
      <c r="IPR8" s="63"/>
      <c r="IPS8" s="34"/>
      <c r="IPT8" s="64"/>
      <c r="IPU8" s="4"/>
      <c r="IPV8" s="65"/>
      <c r="IPW8" s="4"/>
      <c r="IPX8" s="4"/>
      <c r="IPY8" s="4"/>
      <c r="IQB8" s="34"/>
      <c r="IQC8" s="34"/>
      <c r="IQE8" s="34"/>
      <c r="IQF8" s="72"/>
      <c r="IQG8" s="63"/>
      <c r="IQH8" s="34"/>
      <c r="IQI8" s="64"/>
      <c r="IQJ8" s="4"/>
      <c r="IQK8" s="65"/>
      <c r="IQL8" s="4"/>
      <c r="IQM8" s="4"/>
      <c r="IQN8" s="4"/>
      <c r="IQQ8" s="34"/>
      <c r="IQR8" s="34"/>
      <c r="IQT8" s="34"/>
      <c r="IQU8" s="72"/>
      <c r="IQV8" s="63"/>
      <c r="IQW8" s="34"/>
      <c r="IQX8" s="64"/>
      <c r="IQY8" s="4"/>
      <c r="IQZ8" s="65"/>
      <c r="IRA8" s="4"/>
      <c r="IRB8" s="4"/>
      <c r="IRC8" s="4"/>
      <c r="IRF8" s="34"/>
      <c r="IRG8" s="34"/>
      <c r="IRI8" s="34"/>
      <c r="IRJ8" s="72"/>
      <c r="IRK8" s="63"/>
      <c r="IRL8" s="34"/>
      <c r="IRM8" s="64"/>
      <c r="IRN8" s="4"/>
      <c r="IRO8" s="65"/>
      <c r="IRP8" s="4"/>
      <c r="IRQ8" s="4"/>
      <c r="IRR8" s="4"/>
      <c r="IRU8" s="34"/>
      <c r="IRV8" s="34"/>
      <c r="IRX8" s="34"/>
      <c r="IRY8" s="72"/>
      <c r="IRZ8" s="63"/>
      <c r="ISA8" s="34"/>
      <c r="ISB8" s="64"/>
      <c r="ISC8" s="4"/>
      <c r="ISD8" s="65"/>
      <c r="ISE8" s="4"/>
      <c r="ISF8" s="4"/>
      <c r="ISG8" s="4"/>
      <c r="ISJ8" s="34"/>
      <c r="ISK8" s="34"/>
      <c r="ISM8" s="34"/>
      <c r="ISN8" s="72"/>
      <c r="ISO8" s="63"/>
      <c r="ISP8" s="34"/>
      <c r="ISQ8" s="64"/>
      <c r="ISR8" s="4"/>
      <c r="ISS8" s="65"/>
      <c r="IST8" s="4"/>
      <c r="ISU8" s="4"/>
      <c r="ISV8" s="4"/>
      <c r="ISY8" s="34"/>
      <c r="ISZ8" s="34"/>
      <c r="ITB8" s="34"/>
      <c r="ITC8" s="72"/>
      <c r="ITD8" s="63"/>
      <c r="ITE8" s="34"/>
      <c r="ITF8" s="64"/>
      <c r="ITG8" s="4"/>
      <c r="ITH8" s="65"/>
      <c r="ITI8" s="4"/>
      <c r="ITJ8" s="4"/>
      <c r="ITK8" s="4"/>
      <c r="ITN8" s="34"/>
      <c r="ITO8" s="34"/>
      <c r="ITQ8" s="34"/>
      <c r="ITR8" s="72"/>
      <c r="ITS8" s="63"/>
      <c r="ITT8" s="34"/>
      <c r="ITU8" s="64"/>
      <c r="ITV8" s="4"/>
      <c r="ITW8" s="65"/>
      <c r="ITX8" s="4"/>
      <c r="ITY8" s="4"/>
      <c r="ITZ8" s="4"/>
      <c r="IUC8" s="34"/>
      <c r="IUD8" s="34"/>
      <c r="IUF8" s="34"/>
      <c r="IUG8" s="72"/>
      <c r="IUH8" s="63"/>
      <c r="IUI8" s="34"/>
      <c r="IUJ8" s="64"/>
      <c r="IUK8" s="4"/>
      <c r="IUL8" s="65"/>
      <c r="IUM8" s="4"/>
      <c r="IUN8" s="4"/>
      <c r="IUO8" s="4"/>
      <c r="IUR8" s="34"/>
      <c r="IUS8" s="34"/>
      <c r="IUU8" s="34"/>
      <c r="IUV8" s="72"/>
      <c r="IUW8" s="63"/>
      <c r="IUX8" s="34"/>
      <c r="IUY8" s="64"/>
      <c r="IUZ8" s="4"/>
      <c r="IVA8" s="65"/>
      <c r="IVB8" s="4"/>
      <c r="IVC8" s="4"/>
      <c r="IVD8" s="4"/>
      <c r="IVG8" s="34"/>
      <c r="IVH8" s="34"/>
      <c r="IVJ8" s="34"/>
      <c r="IVK8" s="72"/>
      <c r="IVL8" s="63"/>
      <c r="IVM8" s="34"/>
      <c r="IVN8" s="64"/>
      <c r="IVO8" s="4"/>
      <c r="IVP8" s="65"/>
      <c r="IVQ8" s="4"/>
      <c r="IVR8" s="4"/>
      <c r="IVS8" s="4"/>
      <c r="IVV8" s="34"/>
      <c r="IVW8" s="34"/>
      <c r="IVY8" s="34"/>
      <c r="IVZ8" s="72"/>
      <c r="IWA8" s="63"/>
      <c r="IWB8" s="34"/>
      <c r="IWC8" s="64"/>
      <c r="IWD8" s="4"/>
      <c r="IWE8" s="65"/>
      <c r="IWF8" s="4"/>
      <c r="IWG8" s="4"/>
      <c r="IWH8" s="4"/>
      <c r="IWK8" s="34"/>
      <c r="IWL8" s="34"/>
      <c r="IWN8" s="34"/>
      <c r="IWO8" s="72"/>
      <c r="IWP8" s="63"/>
      <c r="IWQ8" s="34"/>
      <c r="IWR8" s="64"/>
      <c r="IWS8" s="4"/>
      <c r="IWT8" s="65"/>
      <c r="IWU8" s="4"/>
      <c r="IWV8" s="4"/>
      <c r="IWW8" s="4"/>
      <c r="IWZ8" s="34"/>
      <c r="IXA8" s="34"/>
      <c r="IXC8" s="34"/>
      <c r="IXD8" s="72"/>
      <c r="IXE8" s="63"/>
      <c r="IXF8" s="34"/>
      <c r="IXG8" s="64"/>
      <c r="IXH8" s="4"/>
      <c r="IXI8" s="65"/>
      <c r="IXJ8" s="4"/>
      <c r="IXK8" s="4"/>
      <c r="IXL8" s="4"/>
      <c r="IXO8" s="34"/>
      <c r="IXP8" s="34"/>
      <c r="IXR8" s="34"/>
      <c r="IXS8" s="72"/>
      <c r="IXT8" s="63"/>
      <c r="IXU8" s="34"/>
      <c r="IXV8" s="64"/>
      <c r="IXW8" s="4"/>
      <c r="IXX8" s="65"/>
      <c r="IXY8" s="4"/>
      <c r="IXZ8" s="4"/>
      <c r="IYA8" s="4"/>
      <c r="IYD8" s="34"/>
      <c r="IYE8" s="34"/>
      <c r="IYG8" s="34"/>
      <c r="IYH8" s="72"/>
      <c r="IYI8" s="63"/>
      <c r="IYJ8" s="34"/>
      <c r="IYK8" s="64"/>
      <c r="IYL8" s="4"/>
      <c r="IYM8" s="65"/>
      <c r="IYN8" s="4"/>
      <c r="IYO8" s="4"/>
      <c r="IYP8" s="4"/>
      <c r="IYS8" s="34"/>
      <c r="IYT8" s="34"/>
      <c r="IYV8" s="34"/>
      <c r="IYW8" s="72"/>
      <c r="IYX8" s="63"/>
      <c r="IYY8" s="34"/>
      <c r="IYZ8" s="64"/>
      <c r="IZA8" s="4"/>
      <c r="IZB8" s="65"/>
      <c r="IZC8" s="4"/>
      <c r="IZD8" s="4"/>
      <c r="IZE8" s="4"/>
      <c r="IZH8" s="34"/>
      <c r="IZI8" s="34"/>
      <c r="IZK8" s="34"/>
      <c r="IZL8" s="72"/>
      <c r="IZM8" s="63"/>
      <c r="IZN8" s="34"/>
      <c r="IZO8" s="64"/>
      <c r="IZP8" s="4"/>
      <c r="IZQ8" s="65"/>
      <c r="IZR8" s="4"/>
      <c r="IZS8" s="4"/>
      <c r="IZT8" s="4"/>
      <c r="IZW8" s="34"/>
      <c r="IZX8" s="34"/>
      <c r="IZZ8" s="34"/>
      <c r="JAA8" s="72"/>
      <c r="JAB8" s="63"/>
      <c r="JAC8" s="34"/>
      <c r="JAD8" s="64"/>
      <c r="JAE8" s="4"/>
      <c r="JAF8" s="65"/>
      <c r="JAG8" s="4"/>
      <c r="JAH8" s="4"/>
      <c r="JAI8" s="4"/>
      <c r="JAL8" s="34"/>
      <c r="JAM8" s="34"/>
      <c r="JAO8" s="34"/>
      <c r="JAP8" s="72"/>
      <c r="JAQ8" s="63"/>
      <c r="JAR8" s="34"/>
      <c r="JAS8" s="64"/>
      <c r="JAT8" s="4"/>
      <c r="JAU8" s="65"/>
      <c r="JAV8" s="4"/>
      <c r="JAW8" s="4"/>
      <c r="JAX8" s="4"/>
      <c r="JBA8" s="34"/>
      <c r="JBB8" s="34"/>
      <c r="JBD8" s="34"/>
      <c r="JBE8" s="72"/>
      <c r="JBF8" s="63"/>
      <c r="JBG8" s="34"/>
      <c r="JBH8" s="64"/>
      <c r="JBI8" s="4"/>
      <c r="JBJ8" s="65"/>
      <c r="JBK8" s="4"/>
      <c r="JBL8" s="4"/>
      <c r="JBM8" s="4"/>
      <c r="JBP8" s="34"/>
      <c r="JBQ8" s="34"/>
      <c r="JBS8" s="34"/>
      <c r="JBT8" s="72"/>
      <c r="JBU8" s="63"/>
      <c r="JBV8" s="34"/>
      <c r="JBW8" s="64"/>
      <c r="JBX8" s="4"/>
      <c r="JBY8" s="65"/>
      <c r="JBZ8" s="4"/>
      <c r="JCA8" s="4"/>
      <c r="JCB8" s="4"/>
      <c r="JCE8" s="34"/>
      <c r="JCF8" s="34"/>
      <c r="JCH8" s="34"/>
      <c r="JCI8" s="72"/>
      <c r="JCJ8" s="63"/>
      <c r="JCK8" s="34"/>
      <c r="JCL8" s="64"/>
      <c r="JCM8" s="4"/>
      <c r="JCN8" s="65"/>
      <c r="JCO8" s="4"/>
      <c r="JCP8" s="4"/>
      <c r="JCQ8" s="4"/>
      <c r="JCT8" s="34"/>
      <c r="JCU8" s="34"/>
      <c r="JCW8" s="34"/>
      <c r="JCX8" s="72"/>
      <c r="JCY8" s="63"/>
      <c r="JCZ8" s="34"/>
      <c r="JDA8" s="64"/>
      <c r="JDB8" s="4"/>
      <c r="JDC8" s="65"/>
      <c r="JDD8" s="4"/>
      <c r="JDE8" s="4"/>
      <c r="JDF8" s="4"/>
      <c r="JDI8" s="34"/>
      <c r="JDJ8" s="34"/>
      <c r="JDL8" s="34"/>
      <c r="JDM8" s="72"/>
      <c r="JDN8" s="63"/>
      <c r="JDO8" s="34"/>
      <c r="JDP8" s="64"/>
      <c r="JDQ8" s="4"/>
      <c r="JDR8" s="65"/>
      <c r="JDS8" s="4"/>
      <c r="JDT8" s="4"/>
      <c r="JDU8" s="4"/>
      <c r="JDX8" s="34"/>
      <c r="JDY8" s="34"/>
      <c r="JEA8" s="34"/>
      <c r="JEB8" s="72"/>
      <c r="JEC8" s="63"/>
      <c r="JED8" s="34"/>
      <c r="JEE8" s="64"/>
      <c r="JEF8" s="4"/>
      <c r="JEG8" s="65"/>
      <c r="JEH8" s="4"/>
      <c r="JEI8" s="4"/>
      <c r="JEJ8" s="4"/>
      <c r="JEM8" s="34"/>
      <c r="JEN8" s="34"/>
      <c r="JEP8" s="34"/>
      <c r="JEQ8" s="72"/>
      <c r="JER8" s="63"/>
      <c r="JES8" s="34"/>
      <c r="JET8" s="64"/>
      <c r="JEU8" s="4"/>
      <c r="JEV8" s="65"/>
      <c r="JEW8" s="4"/>
      <c r="JEX8" s="4"/>
      <c r="JEY8" s="4"/>
      <c r="JFB8" s="34"/>
      <c r="JFC8" s="34"/>
      <c r="JFE8" s="34"/>
      <c r="JFF8" s="72"/>
      <c r="JFG8" s="63"/>
      <c r="JFH8" s="34"/>
      <c r="JFI8" s="64"/>
      <c r="JFJ8" s="4"/>
      <c r="JFK8" s="65"/>
      <c r="JFL8" s="4"/>
      <c r="JFM8" s="4"/>
      <c r="JFN8" s="4"/>
      <c r="JFQ8" s="34"/>
      <c r="JFR8" s="34"/>
      <c r="JFT8" s="34"/>
      <c r="JFU8" s="72"/>
      <c r="JFV8" s="63"/>
      <c r="JFW8" s="34"/>
      <c r="JFX8" s="64"/>
      <c r="JFY8" s="4"/>
      <c r="JFZ8" s="65"/>
      <c r="JGA8" s="4"/>
      <c r="JGB8" s="4"/>
      <c r="JGC8" s="4"/>
      <c r="JGF8" s="34"/>
      <c r="JGG8" s="34"/>
      <c r="JGI8" s="34"/>
      <c r="JGJ8" s="72"/>
      <c r="JGK8" s="63"/>
      <c r="JGL8" s="34"/>
      <c r="JGM8" s="64"/>
      <c r="JGN8" s="4"/>
      <c r="JGO8" s="65"/>
      <c r="JGP8" s="4"/>
      <c r="JGQ8" s="4"/>
      <c r="JGR8" s="4"/>
      <c r="JGU8" s="34"/>
      <c r="JGV8" s="34"/>
      <c r="JGX8" s="34"/>
      <c r="JGY8" s="72"/>
      <c r="JGZ8" s="63"/>
      <c r="JHA8" s="34"/>
      <c r="JHB8" s="64"/>
      <c r="JHC8" s="4"/>
      <c r="JHD8" s="65"/>
      <c r="JHE8" s="4"/>
      <c r="JHF8" s="4"/>
      <c r="JHG8" s="4"/>
      <c r="JHJ8" s="34"/>
      <c r="JHK8" s="34"/>
      <c r="JHM8" s="34"/>
      <c r="JHN8" s="72"/>
      <c r="JHO8" s="63"/>
      <c r="JHP8" s="34"/>
      <c r="JHQ8" s="64"/>
      <c r="JHR8" s="4"/>
      <c r="JHS8" s="65"/>
      <c r="JHT8" s="4"/>
      <c r="JHU8" s="4"/>
      <c r="JHV8" s="4"/>
      <c r="JHY8" s="34"/>
      <c r="JHZ8" s="34"/>
      <c r="JIB8" s="34"/>
      <c r="JIC8" s="72"/>
      <c r="JID8" s="63"/>
      <c r="JIE8" s="34"/>
      <c r="JIF8" s="64"/>
      <c r="JIG8" s="4"/>
      <c r="JIH8" s="65"/>
      <c r="JII8" s="4"/>
      <c r="JIJ8" s="4"/>
      <c r="JIK8" s="4"/>
      <c r="JIN8" s="34"/>
      <c r="JIO8" s="34"/>
      <c r="JIQ8" s="34"/>
      <c r="JIR8" s="72"/>
      <c r="JIS8" s="63"/>
      <c r="JIT8" s="34"/>
      <c r="JIU8" s="64"/>
      <c r="JIV8" s="4"/>
      <c r="JIW8" s="65"/>
      <c r="JIX8" s="4"/>
      <c r="JIY8" s="4"/>
      <c r="JIZ8" s="4"/>
      <c r="JJC8" s="34"/>
      <c r="JJD8" s="34"/>
      <c r="JJF8" s="34"/>
      <c r="JJG8" s="72"/>
      <c r="JJH8" s="63"/>
      <c r="JJI8" s="34"/>
      <c r="JJJ8" s="64"/>
      <c r="JJK8" s="4"/>
      <c r="JJL8" s="65"/>
      <c r="JJM8" s="4"/>
      <c r="JJN8" s="4"/>
      <c r="JJO8" s="4"/>
      <c r="JJR8" s="34"/>
      <c r="JJS8" s="34"/>
      <c r="JJU8" s="34"/>
      <c r="JJV8" s="72"/>
      <c r="JJW8" s="63"/>
      <c r="JJX8" s="34"/>
      <c r="JJY8" s="64"/>
      <c r="JJZ8" s="4"/>
      <c r="JKA8" s="65"/>
      <c r="JKB8" s="4"/>
      <c r="JKC8" s="4"/>
      <c r="JKD8" s="4"/>
      <c r="JKG8" s="34"/>
      <c r="JKH8" s="34"/>
      <c r="JKJ8" s="34"/>
      <c r="JKK8" s="72"/>
      <c r="JKL8" s="63"/>
      <c r="JKM8" s="34"/>
      <c r="JKN8" s="64"/>
      <c r="JKO8" s="4"/>
      <c r="JKP8" s="65"/>
      <c r="JKQ8" s="4"/>
      <c r="JKR8" s="4"/>
      <c r="JKS8" s="4"/>
      <c r="JKV8" s="34"/>
      <c r="JKW8" s="34"/>
      <c r="JKY8" s="34"/>
      <c r="JKZ8" s="72"/>
      <c r="JLA8" s="63"/>
      <c r="JLB8" s="34"/>
      <c r="JLC8" s="64"/>
      <c r="JLD8" s="4"/>
      <c r="JLE8" s="65"/>
      <c r="JLF8" s="4"/>
      <c r="JLG8" s="4"/>
      <c r="JLH8" s="4"/>
      <c r="JLK8" s="34"/>
      <c r="JLL8" s="34"/>
      <c r="JLN8" s="34"/>
      <c r="JLO8" s="72"/>
      <c r="JLP8" s="63"/>
      <c r="JLQ8" s="34"/>
      <c r="JLR8" s="64"/>
      <c r="JLS8" s="4"/>
      <c r="JLT8" s="65"/>
      <c r="JLU8" s="4"/>
      <c r="JLV8" s="4"/>
      <c r="JLW8" s="4"/>
      <c r="JLZ8" s="34"/>
      <c r="JMA8" s="34"/>
      <c r="JMC8" s="34"/>
      <c r="JMD8" s="72"/>
      <c r="JME8" s="63"/>
      <c r="JMF8" s="34"/>
      <c r="JMG8" s="64"/>
      <c r="JMH8" s="4"/>
      <c r="JMI8" s="65"/>
      <c r="JMJ8" s="4"/>
      <c r="JMK8" s="4"/>
      <c r="JML8" s="4"/>
      <c r="JMO8" s="34"/>
      <c r="JMP8" s="34"/>
      <c r="JMR8" s="34"/>
      <c r="JMS8" s="72"/>
      <c r="JMT8" s="63"/>
      <c r="JMU8" s="34"/>
      <c r="JMV8" s="64"/>
      <c r="JMW8" s="4"/>
      <c r="JMX8" s="65"/>
      <c r="JMY8" s="4"/>
      <c r="JMZ8" s="4"/>
      <c r="JNA8" s="4"/>
      <c r="JND8" s="34"/>
      <c r="JNE8" s="34"/>
      <c r="JNG8" s="34"/>
      <c r="JNH8" s="72"/>
      <c r="JNI8" s="63"/>
      <c r="JNJ8" s="34"/>
      <c r="JNK8" s="64"/>
      <c r="JNL8" s="4"/>
      <c r="JNM8" s="65"/>
      <c r="JNN8" s="4"/>
      <c r="JNO8" s="4"/>
      <c r="JNP8" s="4"/>
      <c r="JNS8" s="34"/>
      <c r="JNT8" s="34"/>
      <c r="JNV8" s="34"/>
      <c r="JNW8" s="72"/>
      <c r="JNX8" s="63"/>
      <c r="JNY8" s="34"/>
      <c r="JNZ8" s="64"/>
      <c r="JOA8" s="4"/>
      <c r="JOB8" s="65"/>
      <c r="JOC8" s="4"/>
      <c r="JOD8" s="4"/>
      <c r="JOE8" s="4"/>
      <c r="JOH8" s="34"/>
      <c r="JOI8" s="34"/>
      <c r="JOK8" s="34"/>
      <c r="JOL8" s="72"/>
      <c r="JOM8" s="63"/>
      <c r="JON8" s="34"/>
      <c r="JOO8" s="64"/>
      <c r="JOP8" s="4"/>
      <c r="JOQ8" s="65"/>
      <c r="JOR8" s="4"/>
      <c r="JOS8" s="4"/>
      <c r="JOT8" s="4"/>
      <c r="JOW8" s="34"/>
      <c r="JOX8" s="34"/>
      <c r="JOZ8" s="34"/>
      <c r="JPA8" s="72"/>
      <c r="JPB8" s="63"/>
      <c r="JPC8" s="34"/>
      <c r="JPD8" s="64"/>
      <c r="JPE8" s="4"/>
      <c r="JPF8" s="65"/>
      <c r="JPG8" s="4"/>
      <c r="JPH8" s="4"/>
      <c r="JPI8" s="4"/>
      <c r="JPL8" s="34"/>
      <c r="JPM8" s="34"/>
      <c r="JPO8" s="34"/>
      <c r="JPP8" s="72"/>
      <c r="JPQ8" s="63"/>
      <c r="JPR8" s="34"/>
      <c r="JPS8" s="64"/>
      <c r="JPT8" s="4"/>
      <c r="JPU8" s="65"/>
      <c r="JPV8" s="4"/>
      <c r="JPW8" s="4"/>
      <c r="JPX8" s="4"/>
      <c r="JQA8" s="34"/>
      <c r="JQB8" s="34"/>
      <c r="JQD8" s="34"/>
      <c r="JQE8" s="72"/>
      <c r="JQF8" s="63"/>
      <c r="JQG8" s="34"/>
      <c r="JQH8" s="64"/>
      <c r="JQI8" s="4"/>
      <c r="JQJ8" s="65"/>
      <c r="JQK8" s="4"/>
      <c r="JQL8" s="4"/>
      <c r="JQM8" s="4"/>
      <c r="JQP8" s="34"/>
      <c r="JQQ8" s="34"/>
      <c r="JQS8" s="34"/>
      <c r="JQT8" s="72"/>
      <c r="JQU8" s="63"/>
      <c r="JQV8" s="34"/>
      <c r="JQW8" s="64"/>
      <c r="JQX8" s="4"/>
      <c r="JQY8" s="65"/>
      <c r="JQZ8" s="4"/>
      <c r="JRA8" s="4"/>
      <c r="JRB8" s="4"/>
      <c r="JRE8" s="34"/>
      <c r="JRF8" s="34"/>
      <c r="JRH8" s="34"/>
      <c r="JRI8" s="72"/>
      <c r="JRJ8" s="63"/>
      <c r="JRK8" s="34"/>
      <c r="JRL8" s="64"/>
      <c r="JRM8" s="4"/>
      <c r="JRN8" s="65"/>
      <c r="JRO8" s="4"/>
      <c r="JRP8" s="4"/>
      <c r="JRQ8" s="4"/>
      <c r="JRT8" s="34"/>
      <c r="JRU8" s="34"/>
      <c r="JRW8" s="34"/>
      <c r="JRX8" s="72"/>
      <c r="JRY8" s="63"/>
      <c r="JRZ8" s="34"/>
      <c r="JSA8" s="64"/>
      <c r="JSB8" s="4"/>
      <c r="JSC8" s="65"/>
      <c r="JSD8" s="4"/>
      <c r="JSE8" s="4"/>
      <c r="JSF8" s="4"/>
      <c r="JSI8" s="34"/>
      <c r="JSJ8" s="34"/>
      <c r="JSL8" s="34"/>
      <c r="JSM8" s="72"/>
      <c r="JSN8" s="63"/>
      <c r="JSO8" s="34"/>
      <c r="JSP8" s="64"/>
      <c r="JSQ8" s="4"/>
      <c r="JSR8" s="65"/>
      <c r="JSS8" s="4"/>
      <c r="JST8" s="4"/>
      <c r="JSU8" s="4"/>
      <c r="JSX8" s="34"/>
      <c r="JSY8" s="34"/>
      <c r="JTA8" s="34"/>
      <c r="JTB8" s="72"/>
      <c r="JTC8" s="63"/>
      <c r="JTD8" s="34"/>
      <c r="JTE8" s="64"/>
      <c r="JTF8" s="4"/>
      <c r="JTG8" s="65"/>
      <c r="JTH8" s="4"/>
      <c r="JTI8" s="4"/>
      <c r="JTJ8" s="4"/>
      <c r="JTM8" s="34"/>
      <c r="JTN8" s="34"/>
      <c r="JTP8" s="34"/>
      <c r="JTQ8" s="72"/>
      <c r="JTR8" s="63"/>
      <c r="JTS8" s="34"/>
      <c r="JTT8" s="64"/>
      <c r="JTU8" s="4"/>
      <c r="JTV8" s="65"/>
      <c r="JTW8" s="4"/>
      <c r="JTX8" s="4"/>
      <c r="JTY8" s="4"/>
      <c r="JUB8" s="34"/>
      <c r="JUC8" s="34"/>
      <c r="JUE8" s="34"/>
      <c r="JUF8" s="72"/>
      <c r="JUG8" s="63"/>
      <c r="JUH8" s="34"/>
      <c r="JUI8" s="64"/>
      <c r="JUJ8" s="4"/>
      <c r="JUK8" s="65"/>
      <c r="JUL8" s="4"/>
      <c r="JUM8" s="4"/>
      <c r="JUN8" s="4"/>
      <c r="JUQ8" s="34"/>
      <c r="JUR8" s="34"/>
      <c r="JUT8" s="34"/>
      <c r="JUU8" s="72"/>
      <c r="JUV8" s="63"/>
      <c r="JUW8" s="34"/>
      <c r="JUX8" s="64"/>
      <c r="JUY8" s="4"/>
      <c r="JUZ8" s="65"/>
      <c r="JVA8" s="4"/>
      <c r="JVB8" s="4"/>
      <c r="JVC8" s="4"/>
      <c r="JVF8" s="34"/>
      <c r="JVG8" s="34"/>
      <c r="JVI8" s="34"/>
      <c r="JVJ8" s="72"/>
      <c r="JVK8" s="63"/>
      <c r="JVL8" s="34"/>
      <c r="JVM8" s="64"/>
      <c r="JVN8" s="4"/>
      <c r="JVO8" s="65"/>
      <c r="JVP8" s="4"/>
      <c r="JVQ8" s="4"/>
      <c r="JVR8" s="4"/>
      <c r="JVU8" s="34"/>
      <c r="JVV8" s="34"/>
      <c r="JVX8" s="34"/>
      <c r="JVY8" s="72"/>
      <c r="JVZ8" s="63"/>
      <c r="JWA8" s="34"/>
      <c r="JWB8" s="64"/>
      <c r="JWC8" s="4"/>
      <c r="JWD8" s="65"/>
      <c r="JWE8" s="4"/>
      <c r="JWF8" s="4"/>
      <c r="JWG8" s="4"/>
      <c r="JWJ8" s="34"/>
      <c r="JWK8" s="34"/>
      <c r="JWM8" s="34"/>
      <c r="JWN8" s="72"/>
      <c r="JWO8" s="63"/>
      <c r="JWP8" s="34"/>
      <c r="JWQ8" s="64"/>
      <c r="JWR8" s="4"/>
      <c r="JWS8" s="65"/>
      <c r="JWT8" s="4"/>
      <c r="JWU8" s="4"/>
      <c r="JWV8" s="4"/>
      <c r="JWY8" s="34"/>
      <c r="JWZ8" s="34"/>
      <c r="JXB8" s="34"/>
      <c r="JXC8" s="72"/>
      <c r="JXD8" s="63"/>
      <c r="JXE8" s="34"/>
      <c r="JXF8" s="64"/>
      <c r="JXG8" s="4"/>
      <c r="JXH8" s="65"/>
      <c r="JXI8" s="4"/>
      <c r="JXJ8" s="4"/>
      <c r="JXK8" s="4"/>
      <c r="JXN8" s="34"/>
      <c r="JXO8" s="34"/>
      <c r="JXQ8" s="34"/>
      <c r="JXR8" s="72"/>
      <c r="JXS8" s="63"/>
      <c r="JXT8" s="34"/>
      <c r="JXU8" s="64"/>
      <c r="JXV8" s="4"/>
      <c r="JXW8" s="65"/>
      <c r="JXX8" s="4"/>
      <c r="JXY8" s="4"/>
      <c r="JXZ8" s="4"/>
      <c r="JYC8" s="34"/>
      <c r="JYD8" s="34"/>
      <c r="JYF8" s="34"/>
      <c r="JYG8" s="72"/>
      <c r="JYH8" s="63"/>
      <c r="JYI8" s="34"/>
      <c r="JYJ8" s="64"/>
      <c r="JYK8" s="4"/>
      <c r="JYL8" s="65"/>
      <c r="JYM8" s="4"/>
      <c r="JYN8" s="4"/>
      <c r="JYO8" s="4"/>
      <c r="JYR8" s="34"/>
      <c r="JYS8" s="34"/>
      <c r="JYU8" s="34"/>
      <c r="JYV8" s="72"/>
      <c r="JYW8" s="63"/>
      <c r="JYX8" s="34"/>
      <c r="JYY8" s="64"/>
      <c r="JYZ8" s="4"/>
      <c r="JZA8" s="65"/>
      <c r="JZB8" s="4"/>
      <c r="JZC8" s="4"/>
      <c r="JZD8" s="4"/>
      <c r="JZG8" s="34"/>
      <c r="JZH8" s="34"/>
      <c r="JZJ8" s="34"/>
      <c r="JZK8" s="72"/>
      <c r="JZL8" s="63"/>
      <c r="JZM8" s="34"/>
      <c r="JZN8" s="64"/>
      <c r="JZO8" s="4"/>
      <c r="JZP8" s="65"/>
      <c r="JZQ8" s="4"/>
      <c r="JZR8" s="4"/>
      <c r="JZS8" s="4"/>
      <c r="JZV8" s="34"/>
      <c r="JZW8" s="34"/>
      <c r="JZY8" s="34"/>
      <c r="JZZ8" s="72"/>
      <c r="KAA8" s="63"/>
      <c r="KAB8" s="34"/>
      <c r="KAC8" s="64"/>
      <c r="KAD8" s="4"/>
      <c r="KAE8" s="65"/>
      <c r="KAF8" s="4"/>
      <c r="KAG8" s="4"/>
      <c r="KAH8" s="4"/>
      <c r="KAK8" s="34"/>
      <c r="KAL8" s="34"/>
      <c r="KAN8" s="34"/>
      <c r="KAO8" s="72"/>
      <c r="KAP8" s="63"/>
      <c r="KAQ8" s="34"/>
      <c r="KAR8" s="64"/>
      <c r="KAS8" s="4"/>
      <c r="KAT8" s="65"/>
      <c r="KAU8" s="4"/>
      <c r="KAV8" s="4"/>
      <c r="KAW8" s="4"/>
      <c r="KAZ8" s="34"/>
      <c r="KBA8" s="34"/>
      <c r="KBC8" s="34"/>
      <c r="KBD8" s="72"/>
      <c r="KBE8" s="63"/>
      <c r="KBF8" s="34"/>
      <c r="KBG8" s="64"/>
      <c r="KBH8" s="4"/>
      <c r="KBI8" s="65"/>
      <c r="KBJ8" s="4"/>
      <c r="KBK8" s="4"/>
      <c r="KBL8" s="4"/>
      <c r="KBO8" s="34"/>
      <c r="KBP8" s="34"/>
      <c r="KBR8" s="34"/>
      <c r="KBS8" s="72"/>
      <c r="KBT8" s="63"/>
      <c r="KBU8" s="34"/>
      <c r="KBV8" s="64"/>
      <c r="KBW8" s="4"/>
      <c r="KBX8" s="65"/>
      <c r="KBY8" s="4"/>
      <c r="KBZ8" s="4"/>
      <c r="KCA8" s="4"/>
      <c r="KCD8" s="34"/>
      <c r="KCE8" s="34"/>
      <c r="KCG8" s="34"/>
      <c r="KCH8" s="72"/>
      <c r="KCI8" s="63"/>
      <c r="KCJ8" s="34"/>
      <c r="KCK8" s="64"/>
      <c r="KCL8" s="4"/>
      <c r="KCM8" s="65"/>
      <c r="KCN8" s="4"/>
      <c r="KCO8" s="4"/>
      <c r="KCP8" s="4"/>
      <c r="KCS8" s="34"/>
      <c r="KCT8" s="34"/>
      <c r="KCV8" s="34"/>
      <c r="KCW8" s="72"/>
      <c r="KCX8" s="63"/>
      <c r="KCY8" s="34"/>
      <c r="KCZ8" s="64"/>
      <c r="KDA8" s="4"/>
      <c r="KDB8" s="65"/>
      <c r="KDC8" s="4"/>
      <c r="KDD8" s="4"/>
      <c r="KDE8" s="4"/>
      <c r="KDH8" s="34"/>
      <c r="KDI8" s="34"/>
      <c r="KDK8" s="34"/>
      <c r="KDL8" s="72"/>
      <c r="KDM8" s="63"/>
      <c r="KDN8" s="34"/>
      <c r="KDO8" s="64"/>
      <c r="KDP8" s="4"/>
      <c r="KDQ8" s="65"/>
      <c r="KDR8" s="4"/>
      <c r="KDS8" s="4"/>
      <c r="KDT8" s="4"/>
      <c r="KDW8" s="34"/>
      <c r="KDX8" s="34"/>
      <c r="KDZ8" s="34"/>
      <c r="KEA8" s="72"/>
      <c r="KEB8" s="63"/>
      <c r="KEC8" s="34"/>
      <c r="KED8" s="64"/>
      <c r="KEE8" s="4"/>
      <c r="KEF8" s="65"/>
      <c r="KEG8" s="4"/>
      <c r="KEH8" s="4"/>
      <c r="KEI8" s="4"/>
      <c r="KEL8" s="34"/>
      <c r="KEM8" s="34"/>
      <c r="KEO8" s="34"/>
      <c r="KEP8" s="72"/>
      <c r="KEQ8" s="63"/>
      <c r="KER8" s="34"/>
      <c r="KES8" s="64"/>
      <c r="KET8" s="4"/>
      <c r="KEU8" s="65"/>
      <c r="KEV8" s="4"/>
      <c r="KEW8" s="4"/>
      <c r="KEX8" s="4"/>
      <c r="KFA8" s="34"/>
      <c r="KFB8" s="34"/>
      <c r="KFD8" s="34"/>
      <c r="KFE8" s="72"/>
      <c r="KFF8" s="63"/>
      <c r="KFG8" s="34"/>
      <c r="KFH8" s="64"/>
      <c r="KFI8" s="4"/>
      <c r="KFJ8" s="65"/>
      <c r="KFK8" s="4"/>
      <c r="KFL8" s="4"/>
      <c r="KFM8" s="4"/>
      <c r="KFP8" s="34"/>
      <c r="KFQ8" s="34"/>
      <c r="KFS8" s="34"/>
      <c r="KFT8" s="72"/>
      <c r="KFU8" s="63"/>
      <c r="KFV8" s="34"/>
      <c r="KFW8" s="64"/>
      <c r="KFX8" s="4"/>
      <c r="KFY8" s="65"/>
      <c r="KFZ8" s="4"/>
      <c r="KGA8" s="4"/>
      <c r="KGB8" s="4"/>
      <c r="KGE8" s="34"/>
      <c r="KGF8" s="34"/>
      <c r="KGH8" s="34"/>
      <c r="KGI8" s="72"/>
      <c r="KGJ8" s="63"/>
      <c r="KGK8" s="34"/>
      <c r="KGL8" s="64"/>
      <c r="KGM8" s="4"/>
      <c r="KGN8" s="65"/>
      <c r="KGO8" s="4"/>
      <c r="KGP8" s="4"/>
      <c r="KGQ8" s="4"/>
      <c r="KGT8" s="34"/>
      <c r="KGU8" s="34"/>
      <c r="KGW8" s="34"/>
      <c r="KGX8" s="72"/>
      <c r="KGY8" s="63"/>
      <c r="KGZ8" s="34"/>
      <c r="KHA8" s="64"/>
      <c r="KHB8" s="4"/>
      <c r="KHC8" s="65"/>
      <c r="KHD8" s="4"/>
      <c r="KHE8" s="4"/>
      <c r="KHF8" s="4"/>
      <c r="KHI8" s="34"/>
      <c r="KHJ8" s="34"/>
      <c r="KHL8" s="34"/>
      <c r="KHM8" s="72"/>
      <c r="KHN8" s="63"/>
      <c r="KHO8" s="34"/>
      <c r="KHP8" s="64"/>
      <c r="KHQ8" s="4"/>
      <c r="KHR8" s="65"/>
      <c r="KHS8" s="4"/>
      <c r="KHT8" s="4"/>
      <c r="KHU8" s="4"/>
      <c r="KHX8" s="34"/>
      <c r="KHY8" s="34"/>
      <c r="KIA8" s="34"/>
      <c r="KIB8" s="72"/>
      <c r="KIC8" s="63"/>
      <c r="KID8" s="34"/>
      <c r="KIE8" s="64"/>
      <c r="KIF8" s="4"/>
      <c r="KIG8" s="65"/>
      <c r="KIH8" s="4"/>
      <c r="KII8" s="4"/>
      <c r="KIJ8" s="4"/>
      <c r="KIM8" s="34"/>
      <c r="KIN8" s="34"/>
      <c r="KIP8" s="34"/>
      <c r="KIQ8" s="72"/>
      <c r="KIR8" s="63"/>
      <c r="KIS8" s="34"/>
      <c r="KIT8" s="64"/>
      <c r="KIU8" s="4"/>
      <c r="KIV8" s="65"/>
      <c r="KIW8" s="4"/>
      <c r="KIX8" s="4"/>
      <c r="KIY8" s="4"/>
      <c r="KJB8" s="34"/>
      <c r="KJC8" s="34"/>
      <c r="KJE8" s="34"/>
      <c r="KJF8" s="72"/>
      <c r="KJG8" s="63"/>
      <c r="KJH8" s="34"/>
      <c r="KJI8" s="64"/>
      <c r="KJJ8" s="4"/>
      <c r="KJK8" s="65"/>
      <c r="KJL8" s="4"/>
      <c r="KJM8" s="4"/>
      <c r="KJN8" s="4"/>
      <c r="KJQ8" s="34"/>
      <c r="KJR8" s="34"/>
      <c r="KJT8" s="34"/>
      <c r="KJU8" s="72"/>
      <c r="KJV8" s="63"/>
      <c r="KJW8" s="34"/>
      <c r="KJX8" s="64"/>
      <c r="KJY8" s="4"/>
      <c r="KJZ8" s="65"/>
      <c r="KKA8" s="4"/>
      <c r="KKB8" s="4"/>
      <c r="KKC8" s="4"/>
      <c r="KKF8" s="34"/>
      <c r="KKG8" s="34"/>
      <c r="KKI8" s="34"/>
      <c r="KKJ8" s="72"/>
      <c r="KKK8" s="63"/>
      <c r="KKL8" s="34"/>
      <c r="KKM8" s="64"/>
      <c r="KKN8" s="4"/>
      <c r="KKO8" s="65"/>
      <c r="KKP8" s="4"/>
      <c r="KKQ8" s="4"/>
      <c r="KKR8" s="4"/>
      <c r="KKU8" s="34"/>
      <c r="KKV8" s="34"/>
      <c r="KKX8" s="34"/>
      <c r="KKY8" s="72"/>
      <c r="KKZ8" s="63"/>
      <c r="KLA8" s="34"/>
      <c r="KLB8" s="64"/>
      <c r="KLC8" s="4"/>
      <c r="KLD8" s="65"/>
      <c r="KLE8" s="4"/>
      <c r="KLF8" s="4"/>
      <c r="KLG8" s="4"/>
      <c r="KLJ8" s="34"/>
      <c r="KLK8" s="34"/>
      <c r="KLM8" s="34"/>
      <c r="KLN8" s="72"/>
      <c r="KLO8" s="63"/>
      <c r="KLP8" s="34"/>
      <c r="KLQ8" s="64"/>
      <c r="KLR8" s="4"/>
      <c r="KLS8" s="65"/>
      <c r="KLT8" s="4"/>
      <c r="KLU8" s="4"/>
      <c r="KLV8" s="4"/>
      <c r="KLY8" s="34"/>
      <c r="KLZ8" s="34"/>
      <c r="KMB8" s="34"/>
      <c r="KMC8" s="72"/>
      <c r="KMD8" s="63"/>
      <c r="KME8" s="34"/>
      <c r="KMF8" s="64"/>
      <c r="KMG8" s="4"/>
      <c r="KMH8" s="65"/>
      <c r="KMI8" s="4"/>
      <c r="KMJ8" s="4"/>
      <c r="KMK8" s="4"/>
      <c r="KMN8" s="34"/>
      <c r="KMO8" s="34"/>
      <c r="KMQ8" s="34"/>
      <c r="KMR8" s="72"/>
      <c r="KMS8" s="63"/>
      <c r="KMT8" s="34"/>
      <c r="KMU8" s="64"/>
      <c r="KMV8" s="4"/>
      <c r="KMW8" s="65"/>
      <c r="KMX8" s="4"/>
      <c r="KMY8" s="4"/>
      <c r="KMZ8" s="4"/>
      <c r="KNC8" s="34"/>
      <c r="KND8" s="34"/>
      <c r="KNF8" s="34"/>
      <c r="KNG8" s="72"/>
      <c r="KNH8" s="63"/>
      <c r="KNI8" s="34"/>
      <c r="KNJ8" s="64"/>
      <c r="KNK8" s="4"/>
      <c r="KNL8" s="65"/>
      <c r="KNM8" s="4"/>
      <c r="KNN8" s="4"/>
      <c r="KNO8" s="4"/>
      <c r="KNR8" s="34"/>
      <c r="KNS8" s="34"/>
      <c r="KNU8" s="34"/>
      <c r="KNV8" s="72"/>
      <c r="KNW8" s="63"/>
      <c r="KNX8" s="34"/>
      <c r="KNY8" s="64"/>
      <c r="KNZ8" s="4"/>
      <c r="KOA8" s="65"/>
      <c r="KOB8" s="4"/>
      <c r="KOC8" s="4"/>
      <c r="KOD8" s="4"/>
      <c r="KOG8" s="34"/>
      <c r="KOH8" s="34"/>
      <c r="KOJ8" s="34"/>
      <c r="KOK8" s="72"/>
      <c r="KOL8" s="63"/>
      <c r="KOM8" s="34"/>
      <c r="KON8" s="64"/>
      <c r="KOO8" s="4"/>
      <c r="KOP8" s="65"/>
      <c r="KOQ8" s="4"/>
      <c r="KOR8" s="4"/>
      <c r="KOS8" s="4"/>
      <c r="KOV8" s="34"/>
      <c r="KOW8" s="34"/>
      <c r="KOY8" s="34"/>
      <c r="KOZ8" s="72"/>
      <c r="KPA8" s="63"/>
      <c r="KPB8" s="34"/>
      <c r="KPC8" s="64"/>
      <c r="KPD8" s="4"/>
      <c r="KPE8" s="65"/>
      <c r="KPF8" s="4"/>
      <c r="KPG8" s="4"/>
      <c r="KPH8" s="4"/>
      <c r="KPK8" s="34"/>
      <c r="KPL8" s="34"/>
      <c r="KPN8" s="34"/>
      <c r="KPO8" s="72"/>
      <c r="KPP8" s="63"/>
      <c r="KPQ8" s="34"/>
      <c r="KPR8" s="64"/>
      <c r="KPS8" s="4"/>
      <c r="KPT8" s="65"/>
      <c r="KPU8" s="4"/>
      <c r="KPV8" s="4"/>
      <c r="KPW8" s="4"/>
      <c r="KPZ8" s="34"/>
      <c r="KQA8" s="34"/>
      <c r="KQC8" s="34"/>
      <c r="KQD8" s="72"/>
      <c r="KQE8" s="63"/>
      <c r="KQF8" s="34"/>
      <c r="KQG8" s="64"/>
      <c r="KQH8" s="4"/>
      <c r="KQI8" s="65"/>
      <c r="KQJ8" s="4"/>
      <c r="KQK8" s="4"/>
      <c r="KQL8" s="4"/>
      <c r="KQO8" s="34"/>
      <c r="KQP8" s="34"/>
      <c r="KQR8" s="34"/>
      <c r="KQS8" s="72"/>
      <c r="KQT8" s="63"/>
      <c r="KQU8" s="34"/>
      <c r="KQV8" s="64"/>
      <c r="KQW8" s="4"/>
      <c r="KQX8" s="65"/>
      <c r="KQY8" s="4"/>
      <c r="KQZ8" s="4"/>
      <c r="KRA8" s="4"/>
      <c r="KRD8" s="34"/>
      <c r="KRE8" s="34"/>
      <c r="KRG8" s="34"/>
      <c r="KRH8" s="72"/>
      <c r="KRI8" s="63"/>
      <c r="KRJ8" s="34"/>
      <c r="KRK8" s="64"/>
      <c r="KRL8" s="4"/>
      <c r="KRM8" s="65"/>
      <c r="KRN8" s="4"/>
      <c r="KRO8" s="4"/>
      <c r="KRP8" s="4"/>
      <c r="KRS8" s="34"/>
      <c r="KRT8" s="34"/>
      <c r="KRV8" s="34"/>
      <c r="KRW8" s="72"/>
      <c r="KRX8" s="63"/>
      <c r="KRY8" s="34"/>
      <c r="KRZ8" s="64"/>
      <c r="KSA8" s="4"/>
      <c r="KSB8" s="65"/>
      <c r="KSC8" s="4"/>
      <c r="KSD8" s="4"/>
      <c r="KSE8" s="4"/>
      <c r="KSH8" s="34"/>
      <c r="KSI8" s="34"/>
      <c r="KSK8" s="34"/>
      <c r="KSL8" s="72"/>
      <c r="KSM8" s="63"/>
      <c r="KSN8" s="34"/>
      <c r="KSO8" s="64"/>
      <c r="KSP8" s="4"/>
      <c r="KSQ8" s="65"/>
      <c r="KSR8" s="4"/>
      <c r="KSS8" s="4"/>
      <c r="KST8" s="4"/>
      <c r="KSW8" s="34"/>
      <c r="KSX8" s="34"/>
      <c r="KSZ8" s="34"/>
      <c r="KTA8" s="72"/>
      <c r="KTB8" s="63"/>
      <c r="KTC8" s="34"/>
      <c r="KTD8" s="64"/>
      <c r="KTE8" s="4"/>
      <c r="KTF8" s="65"/>
      <c r="KTG8" s="4"/>
      <c r="KTH8" s="4"/>
      <c r="KTI8" s="4"/>
      <c r="KTL8" s="34"/>
      <c r="KTM8" s="34"/>
      <c r="KTO8" s="34"/>
      <c r="KTP8" s="72"/>
      <c r="KTQ8" s="63"/>
      <c r="KTR8" s="34"/>
      <c r="KTS8" s="64"/>
      <c r="KTT8" s="4"/>
      <c r="KTU8" s="65"/>
      <c r="KTV8" s="4"/>
      <c r="KTW8" s="4"/>
      <c r="KTX8" s="4"/>
      <c r="KUA8" s="34"/>
      <c r="KUB8" s="34"/>
      <c r="KUD8" s="34"/>
      <c r="KUE8" s="72"/>
      <c r="KUF8" s="63"/>
      <c r="KUG8" s="34"/>
      <c r="KUH8" s="64"/>
      <c r="KUI8" s="4"/>
      <c r="KUJ8" s="65"/>
      <c r="KUK8" s="4"/>
      <c r="KUL8" s="4"/>
      <c r="KUM8" s="4"/>
      <c r="KUP8" s="34"/>
      <c r="KUQ8" s="34"/>
      <c r="KUS8" s="34"/>
      <c r="KUT8" s="72"/>
      <c r="KUU8" s="63"/>
      <c r="KUV8" s="34"/>
      <c r="KUW8" s="64"/>
      <c r="KUX8" s="4"/>
      <c r="KUY8" s="65"/>
      <c r="KUZ8" s="4"/>
      <c r="KVA8" s="4"/>
      <c r="KVB8" s="4"/>
      <c r="KVE8" s="34"/>
      <c r="KVF8" s="34"/>
      <c r="KVH8" s="34"/>
      <c r="KVI8" s="72"/>
      <c r="KVJ8" s="63"/>
      <c r="KVK8" s="34"/>
      <c r="KVL8" s="64"/>
      <c r="KVM8" s="4"/>
      <c r="KVN8" s="65"/>
      <c r="KVO8" s="4"/>
      <c r="KVP8" s="4"/>
      <c r="KVQ8" s="4"/>
      <c r="KVT8" s="34"/>
      <c r="KVU8" s="34"/>
      <c r="KVW8" s="34"/>
      <c r="KVX8" s="72"/>
      <c r="KVY8" s="63"/>
      <c r="KVZ8" s="34"/>
      <c r="KWA8" s="64"/>
      <c r="KWB8" s="4"/>
      <c r="KWC8" s="65"/>
      <c r="KWD8" s="4"/>
      <c r="KWE8" s="4"/>
      <c r="KWF8" s="4"/>
      <c r="KWI8" s="34"/>
      <c r="KWJ8" s="34"/>
      <c r="KWL8" s="34"/>
      <c r="KWM8" s="72"/>
      <c r="KWN8" s="63"/>
      <c r="KWO8" s="34"/>
      <c r="KWP8" s="64"/>
      <c r="KWQ8" s="4"/>
      <c r="KWR8" s="65"/>
      <c r="KWS8" s="4"/>
      <c r="KWT8" s="4"/>
      <c r="KWU8" s="4"/>
      <c r="KWX8" s="34"/>
      <c r="KWY8" s="34"/>
      <c r="KXA8" s="34"/>
      <c r="KXB8" s="72"/>
      <c r="KXC8" s="63"/>
      <c r="KXD8" s="34"/>
      <c r="KXE8" s="64"/>
      <c r="KXF8" s="4"/>
      <c r="KXG8" s="65"/>
      <c r="KXH8" s="4"/>
      <c r="KXI8" s="4"/>
      <c r="KXJ8" s="4"/>
      <c r="KXM8" s="34"/>
      <c r="KXN8" s="34"/>
      <c r="KXP8" s="34"/>
      <c r="KXQ8" s="72"/>
      <c r="KXR8" s="63"/>
      <c r="KXS8" s="34"/>
      <c r="KXT8" s="64"/>
      <c r="KXU8" s="4"/>
      <c r="KXV8" s="65"/>
      <c r="KXW8" s="4"/>
      <c r="KXX8" s="4"/>
      <c r="KXY8" s="4"/>
      <c r="KYB8" s="34"/>
      <c r="KYC8" s="34"/>
      <c r="KYE8" s="34"/>
      <c r="KYF8" s="72"/>
      <c r="KYG8" s="63"/>
      <c r="KYH8" s="34"/>
      <c r="KYI8" s="64"/>
      <c r="KYJ8" s="4"/>
      <c r="KYK8" s="65"/>
      <c r="KYL8" s="4"/>
      <c r="KYM8" s="4"/>
      <c r="KYN8" s="4"/>
      <c r="KYQ8" s="34"/>
      <c r="KYR8" s="34"/>
      <c r="KYT8" s="34"/>
      <c r="KYU8" s="72"/>
      <c r="KYV8" s="63"/>
      <c r="KYW8" s="34"/>
      <c r="KYX8" s="64"/>
      <c r="KYY8" s="4"/>
      <c r="KYZ8" s="65"/>
      <c r="KZA8" s="4"/>
      <c r="KZB8" s="4"/>
      <c r="KZC8" s="4"/>
      <c r="KZF8" s="34"/>
      <c r="KZG8" s="34"/>
      <c r="KZI8" s="34"/>
      <c r="KZJ8" s="72"/>
      <c r="KZK8" s="63"/>
      <c r="KZL8" s="34"/>
      <c r="KZM8" s="64"/>
      <c r="KZN8" s="4"/>
      <c r="KZO8" s="65"/>
      <c r="KZP8" s="4"/>
      <c r="KZQ8" s="4"/>
      <c r="KZR8" s="4"/>
      <c r="KZU8" s="34"/>
      <c r="KZV8" s="34"/>
      <c r="KZX8" s="34"/>
      <c r="KZY8" s="72"/>
      <c r="KZZ8" s="63"/>
      <c r="LAA8" s="34"/>
      <c r="LAB8" s="64"/>
      <c r="LAC8" s="4"/>
      <c r="LAD8" s="65"/>
      <c r="LAE8" s="4"/>
      <c r="LAF8" s="4"/>
      <c r="LAG8" s="4"/>
      <c r="LAJ8" s="34"/>
      <c r="LAK8" s="34"/>
      <c r="LAM8" s="34"/>
      <c r="LAN8" s="72"/>
      <c r="LAO8" s="63"/>
      <c r="LAP8" s="34"/>
      <c r="LAQ8" s="64"/>
      <c r="LAR8" s="4"/>
      <c r="LAS8" s="65"/>
      <c r="LAT8" s="4"/>
      <c r="LAU8" s="4"/>
      <c r="LAV8" s="4"/>
      <c r="LAY8" s="34"/>
      <c r="LAZ8" s="34"/>
      <c r="LBB8" s="34"/>
      <c r="LBC8" s="72"/>
      <c r="LBD8" s="63"/>
      <c r="LBE8" s="34"/>
      <c r="LBF8" s="64"/>
      <c r="LBG8" s="4"/>
      <c r="LBH8" s="65"/>
      <c r="LBI8" s="4"/>
      <c r="LBJ8" s="4"/>
      <c r="LBK8" s="4"/>
      <c r="LBN8" s="34"/>
      <c r="LBO8" s="34"/>
      <c r="LBQ8" s="34"/>
      <c r="LBR8" s="72"/>
      <c r="LBS8" s="63"/>
      <c r="LBT8" s="34"/>
      <c r="LBU8" s="64"/>
      <c r="LBV8" s="4"/>
      <c r="LBW8" s="65"/>
      <c r="LBX8" s="4"/>
      <c r="LBY8" s="4"/>
      <c r="LBZ8" s="4"/>
      <c r="LCC8" s="34"/>
      <c r="LCD8" s="34"/>
      <c r="LCF8" s="34"/>
      <c r="LCG8" s="72"/>
      <c r="LCH8" s="63"/>
      <c r="LCI8" s="34"/>
      <c r="LCJ8" s="64"/>
      <c r="LCK8" s="4"/>
      <c r="LCL8" s="65"/>
      <c r="LCM8" s="4"/>
      <c r="LCN8" s="4"/>
      <c r="LCO8" s="4"/>
      <c r="LCR8" s="34"/>
      <c r="LCS8" s="34"/>
      <c r="LCU8" s="34"/>
      <c r="LCV8" s="72"/>
      <c r="LCW8" s="63"/>
      <c r="LCX8" s="34"/>
      <c r="LCY8" s="64"/>
      <c r="LCZ8" s="4"/>
      <c r="LDA8" s="65"/>
      <c r="LDB8" s="4"/>
      <c r="LDC8" s="4"/>
      <c r="LDD8" s="4"/>
      <c r="LDG8" s="34"/>
      <c r="LDH8" s="34"/>
      <c r="LDJ8" s="34"/>
      <c r="LDK8" s="72"/>
      <c r="LDL8" s="63"/>
      <c r="LDM8" s="34"/>
      <c r="LDN8" s="64"/>
      <c r="LDO8" s="4"/>
      <c r="LDP8" s="65"/>
      <c r="LDQ8" s="4"/>
      <c r="LDR8" s="4"/>
      <c r="LDS8" s="4"/>
      <c r="LDV8" s="34"/>
      <c r="LDW8" s="34"/>
      <c r="LDY8" s="34"/>
      <c r="LDZ8" s="72"/>
      <c r="LEA8" s="63"/>
      <c r="LEB8" s="34"/>
      <c r="LEC8" s="64"/>
      <c r="LED8" s="4"/>
      <c r="LEE8" s="65"/>
      <c r="LEF8" s="4"/>
      <c r="LEG8" s="4"/>
      <c r="LEH8" s="4"/>
      <c r="LEK8" s="34"/>
      <c r="LEL8" s="34"/>
      <c r="LEN8" s="34"/>
      <c r="LEO8" s="72"/>
      <c r="LEP8" s="63"/>
      <c r="LEQ8" s="34"/>
      <c r="LER8" s="64"/>
      <c r="LES8" s="4"/>
      <c r="LET8" s="65"/>
      <c r="LEU8" s="4"/>
      <c r="LEV8" s="4"/>
      <c r="LEW8" s="4"/>
      <c r="LEZ8" s="34"/>
      <c r="LFA8" s="34"/>
      <c r="LFC8" s="34"/>
      <c r="LFD8" s="72"/>
      <c r="LFE8" s="63"/>
      <c r="LFF8" s="34"/>
      <c r="LFG8" s="64"/>
      <c r="LFH8" s="4"/>
      <c r="LFI8" s="65"/>
      <c r="LFJ8" s="4"/>
      <c r="LFK8" s="4"/>
      <c r="LFL8" s="4"/>
      <c r="LFO8" s="34"/>
      <c r="LFP8" s="34"/>
      <c r="LFR8" s="34"/>
      <c r="LFS8" s="72"/>
      <c r="LFT8" s="63"/>
      <c r="LFU8" s="34"/>
      <c r="LFV8" s="64"/>
      <c r="LFW8" s="4"/>
      <c r="LFX8" s="65"/>
      <c r="LFY8" s="4"/>
      <c r="LFZ8" s="4"/>
      <c r="LGA8" s="4"/>
      <c r="LGD8" s="34"/>
      <c r="LGE8" s="34"/>
      <c r="LGG8" s="34"/>
      <c r="LGH8" s="72"/>
      <c r="LGI8" s="63"/>
      <c r="LGJ8" s="34"/>
      <c r="LGK8" s="64"/>
      <c r="LGL8" s="4"/>
      <c r="LGM8" s="65"/>
      <c r="LGN8" s="4"/>
      <c r="LGO8" s="4"/>
      <c r="LGP8" s="4"/>
      <c r="LGS8" s="34"/>
      <c r="LGT8" s="34"/>
      <c r="LGV8" s="34"/>
      <c r="LGW8" s="72"/>
      <c r="LGX8" s="63"/>
      <c r="LGY8" s="34"/>
      <c r="LGZ8" s="64"/>
      <c r="LHA8" s="4"/>
      <c r="LHB8" s="65"/>
      <c r="LHC8" s="4"/>
      <c r="LHD8" s="4"/>
      <c r="LHE8" s="4"/>
      <c r="LHH8" s="34"/>
      <c r="LHI8" s="34"/>
      <c r="LHK8" s="34"/>
      <c r="LHL8" s="72"/>
      <c r="LHM8" s="63"/>
      <c r="LHN8" s="34"/>
      <c r="LHO8" s="64"/>
      <c r="LHP8" s="4"/>
      <c r="LHQ8" s="65"/>
      <c r="LHR8" s="4"/>
      <c r="LHS8" s="4"/>
      <c r="LHT8" s="4"/>
      <c r="LHW8" s="34"/>
      <c r="LHX8" s="34"/>
      <c r="LHZ8" s="34"/>
      <c r="LIA8" s="72"/>
      <c r="LIB8" s="63"/>
      <c r="LIC8" s="34"/>
      <c r="LID8" s="64"/>
      <c r="LIE8" s="4"/>
      <c r="LIF8" s="65"/>
      <c r="LIG8" s="4"/>
      <c r="LIH8" s="4"/>
      <c r="LII8" s="4"/>
      <c r="LIL8" s="34"/>
      <c r="LIM8" s="34"/>
      <c r="LIO8" s="34"/>
      <c r="LIP8" s="72"/>
      <c r="LIQ8" s="63"/>
      <c r="LIR8" s="34"/>
      <c r="LIS8" s="64"/>
      <c r="LIT8" s="4"/>
      <c r="LIU8" s="65"/>
      <c r="LIV8" s="4"/>
      <c r="LIW8" s="4"/>
      <c r="LIX8" s="4"/>
      <c r="LJA8" s="34"/>
      <c r="LJB8" s="34"/>
      <c r="LJD8" s="34"/>
      <c r="LJE8" s="72"/>
      <c r="LJF8" s="63"/>
      <c r="LJG8" s="34"/>
      <c r="LJH8" s="64"/>
      <c r="LJI8" s="4"/>
      <c r="LJJ8" s="65"/>
      <c r="LJK8" s="4"/>
      <c r="LJL8" s="4"/>
      <c r="LJM8" s="4"/>
      <c r="LJP8" s="34"/>
      <c r="LJQ8" s="34"/>
      <c r="LJS8" s="34"/>
      <c r="LJT8" s="72"/>
      <c r="LJU8" s="63"/>
      <c r="LJV8" s="34"/>
      <c r="LJW8" s="64"/>
      <c r="LJX8" s="4"/>
      <c r="LJY8" s="65"/>
      <c r="LJZ8" s="4"/>
      <c r="LKA8" s="4"/>
      <c r="LKB8" s="4"/>
      <c r="LKE8" s="34"/>
      <c r="LKF8" s="34"/>
      <c r="LKH8" s="34"/>
      <c r="LKI8" s="72"/>
      <c r="LKJ8" s="63"/>
      <c r="LKK8" s="34"/>
      <c r="LKL8" s="64"/>
      <c r="LKM8" s="4"/>
      <c r="LKN8" s="65"/>
      <c r="LKO8" s="4"/>
      <c r="LKP8" s="4"/>
      <c r="LKQ8" s="4"/>
      <c r="LKT8" s="34"/>
      <c r="LKU8" s="34"/>
      <c r="LKW8" s="34"/>
      <c r="LKX8" s="72"/>
      <c r="LKY8" s="63"/>
      <c r="LKZ8" s="34"/>
      <c r="LLA8" s="64"/>
      <c r="LLB8" s="4"/>
      <c r="LLC8" s="65"/>
      <c r="LLD8" s="4"/>
      <c r="LLE8" s="4"/>
      <c r="LLF8" s="4"/>
      <c r="LLI8" s="34"/>
      <c r="LLJ8" s="34"/>
      <c r="LLL8" s="34"/>
      <c r="LLM8" s="72"/>
      <c r="LLN8" s="63"/>
      <c r="LLO8" s="34"/>
      <c r="LLP8" s="64"/>
      <c r="LLQ8" s="4"/>
      <c r="LLR8" s="65"/>
      <c r="LLS8" s="4"/>
      <c r="LLT8" s="4"/>
      <c r="LLU8" s="4"/>
      <c r="LLX8" s="34"/>
      <c r="LLY8" s="34"/>
      <c r="LMA8" s="34"/>
      <c r="LMB8" s="72"/>
      <c r="LMC8" s="63"/>
      <c r="LMD8" s="34"/>
      <c r="LME8" s="64"/>
      <c r="LMF8" s="4"/>
      <c r="LMG8" s="65"/>
      <c r="LMH8" s="4"/>
      <c r="LMI8" s="4"/>
      <c r="LMJ8" s="4"/>
      <c r="LMM8" s="34"/>
      <c r="LMN8" s="34"/>
      <c r="LMP8" s="34"/>
      <c r="LMQ8" s="72"/>
      <c r="LMR8" s="63"/>
      <c r="LMS8" s="34"/>
      <c r="LMT8" s="64"/>
      <c r="LMU8" s="4"/>
      <c r="LMV8" s="65"/>
      <c r="LMW8" s="4"/>
      <c r="LMX8" s="4"/>
      <c r="LMY8" s="4"/>
      <c r="LNB8" s="34"/>
      <c r="LNC8" s="34"/>
      <c r="LNE8" s="34"/>
      <c r="LNF8" s="72"/>
      <c r="LNG8" s="63"/>
      <c r="LNH8" s="34"/>
      <c r="LNI8" s="64"/>
      <c r="LNJ8" s="4"/>
      <c r="LNK8" s="65"/>
      <c r="LNL8" s="4"/>
      <c r="LNM8" s="4"/>
      <c r="LNN8" s="4"/>
      <c r="LNQ8" s="34"/>
      <c r="LNR8" s="34"/>
      <c r="LNT8" s="34"/>
      <c r="LNU8" s="72"/>
      <c r="LNV8" s="63"/>
      <c r="LNW8" s="34"/>
      <c r="LNX8" s="64"/>
      <c r="LNY8" s="4"/>
      <c r="LNZ8" s="65"/>
      <c r="LOA8" s="4"/>
      <c r="LOB8" s="4"/>
      <c r="LOC8" s="4"/>
      <c r="LOF8" s="34"/>
      <c r="LOG8" s="34"/>
      <c r="LOI8" s="34"/>
      <c r="LOJ8" s="72"/>
      <c r="LOK8" s="63"/>
      <c r="LOL8" s="34"/>
      <c r="LOM8" s="64"/>
      <c r="LON8" s="4"/>
      <c r="LOO8" s="65"/>
      <c r="LOP8" s="4"/>
      <c r="LOQ8" s="4"/>
      <c r="LOR8" s="4"/>
      <c r="LOU8" s="34"/>
      <c r="LOV8" s="34"/>
      <c r="LOX8" s="34"/>
      <c r="LOY8" s="72"/>
      <c r="LOZ8" s="63"/>
      <c r="LPA8" s="34"/>
      <c r="LPB8" s="64"/>
      <c r="LPC8" s="4"/>
      <c r="LPD8" s="65"/>
      <c r="LPE8" s="4"/>
      <c r="LPF8" s="4"/>
      <c r="LPG8" s="4"/>
      <c r="LPJ8" s="34"/>
      <c r="LPK8" s="34"/>
      <c r="LPM8" s="34"/>
      <c r="LPN8" s="72"/>
      <c r="LPO8" s="63"/>
      <c r="LPP8" s="34"/>
      <c r="LPQ8" s="64"/>
      <c r="LPR8" s="4"/>
      <c r="LPS8" s="65"/>
      <c r="LPT8" s="4"/>
      <c r="LPU8" s="4"/>
      <c r="LPV8" s="4"/>
      <c r="LPY8" s="34"/>
      <c r="LPZ8" s="34"/>
      <c r="LQB8" s="34"/>
      <c r="LQC8" s="72"/>
      <c r="LQD8" s="63"/>
      <c r="LQE8" s="34"/>
      <c r="LQF8" s="64"/>
      <c r="LQG8" s="4"/>
      <c r="LQH8" s="65"/>
      <c r="LQI8" s="4"/>
      <c r="LQJ8" s="4"/>
      <c r="LQK8" s="4"/>
      <c r="LQN8" s="34"/>
      <c r="LQO8" s="34"/>
      <c r="LQQ8" s="34"/>
      <c r="LQR8" s="72"/>
      <c r="LQS8" s="63"/>
      <c r="LQT8" s="34"/>
      <c r="LQU8" s="64"/>
      <c r="LQV8" s="4"/>
      <c r="LQW8" s="65"/>
      <c r="LQX8" s="4"/>
      <c r="LQY8" s="4"/>
      <c r="LQZ8" s="4"/>
      <c r="LRC8" s="34"/>
      <c r="LRD8" s="34"/>
      <c r="LRF8" s="34"/>
      <c r="LRG8" s="72"/>
      <c r="LRH8" s="63"/>
      <c r="LRI8" s="34"/>
      <c r="LRJ8" s="64"/>
      <c r="LRK8" s="4"/>
      <c r="LRL8" s="65"/>
      <c r="LRM8" s="4"/>
      <c r="LRN8" s="4"/>
      <c r="LRO8" s="4"/>
      <c r="LRR8" s="34"/>
      <c r="LRS8" s="34"/>
      <c r="LRU8" s="34"/>
      <c r="LRV8" s="72"/>
      <c r="LRW8" s="63"/>
      <c r="LRX8" s="34"/>
      <c r="LRY8" s="64"/>
      <c r="LRZ8" s="4"/>
      <c r="LSA8" s="65"/>
      <c r="LSB8" s="4"/>
      <c r="LSC8" s="4"/>
      <c r="LSD8" s="4"/>
      <c r="LSG8" s="34"/>
      <c r="LSH8" s="34"/>
      <c r="LSJ8" s="34"/>
      <c r="LSK8" s="72"/>
      <c r="LSL8" s="63"/>
      <c r="LSM8" s="34"/>
      <c r="LSN8" s="64"/>
      <c r="LSO8" s="4"/>
      <c r="LSP8" s="65"/>
      <c r="LSQ8" s="4"/>
      <c r="LSR8" s="4"/>
      <c r="LSS8" s="4"/>
      <c r="LSV8" s="34"/>
      <c r="LSW8" s="34"/>
      <c r="LSY8" s="34"/>
      <c r="LSZ8" s="72"/>
      <c r="LTA8" s="63"/>
      <c r="LTB8" s="34"/>
      <c r="LTC8" s="64"/>
      <c r="LTD8" s="4"/>
      <c r="LTE8" s="65"/>
      <c r="LTF8" s="4"/>
      <c r="LTG8" s="4"/>
      <c r="LTH8" s="4"/>
      <c r="LTK8" s="34"/>
      <c r="LTL8" s="34"/>
      <c r="LTN8" s="34"/>
      <c r="LTO8" s="72"/>
      <c r="LTP8" s="63"/>
      <c r="LTQ8" s="34"/>
      <c r="LTR8" s="64"/>
      <c r="LTS8" s="4"/>
      <c r="LTT8" s="65"/>
      <c r="LTU8" s="4"/>
      <c r="LTV8" s="4"/>
      <c r="LTW8" s="4"/>
      <c r="LTZ8" s="34"/>
      <c r="LUA8" s="34"/>
      <c r="LUC8" s="34"/>
      <c r="LUD8" s="72"/>
      <c r="LUE8" s="63"/>
      <c r="LUF8" s="34"/>
      <c r="LUG8" s="64"/>
      <c r="LUH8" s="4"/>
      <c r="LUI8" s="65"/>
      <c r="LUJ8" s="4"/>
      <c r="LUK8" s="4"/>
      <c r="LUL8" s="4"/>
      <c r="LUO8" s="34"/>
      <c r="LUP8" s="34"/>
      <c r="LUR8" s="34"/>
      <c r="LUS8" s="72"/>
      <c r="LUT8" s="63"/>
      <c r="LUU8" s="34"/>
      <c r="LUV8" s="64"/>
      <c r="LUW8" s="4"/>
      <c r="LUX8" s="65"/>
      <c r="LUY8" s="4"/>
      <c r="LUZ8" s="4"/>
      <c r="LVA8" s="4"/>
      <c r="LVD8" s="34"/>
      <c r="LVE8" s="34"/>
      <c r="LVG8" s="34"/>
      <c r="LVH8" s="72"/>
      <c r="LVI8" s="63"/>
      <c r="LVJ8" s="34"/>
      <c r="LVK8" s="64"/>
      <c r="LVL8" s="4"/>
      <c r="LVM8" s="65"/>
      <c r="LVN8" s="4"/>
      <c r="LVO8" s="4"/>
      <c r="LVP8" s="4"/>
      <c r="LVS8" s="34"/>
      <c r="LVT8" s="34"/>
      <c r="LVV8" s="34"/>
      <c r="LVW8" s="72"/>
      <c r="LVX8" s="63"/>
      <c r="LVY8" s="34"/>
      <c r="LVZ8" s="64"/>
      <c r="LWA8" s="4"/>
      <c r="LWB8" s="65"/>
      <c r="LWC8" s="4"/>
      <c r="LWD8" s="4"/>
      <c r="LWE8" s="4"/>
      <c r="LWH8" s="34"/>
      <c r="LWI8" s="34"/>
      <c r="LWK8" s="34"/>
      <c r="LWL8" s="72"/>
      <c r="LWM8" s="63"/>
      <c r="LWN8" s="34"/>
      <c r="LWO8" s="64"/>
      <c r="LWP8" s="4"/>
      <c r="LWQ8" s="65"/>
      <c r="LWR8" s="4"/>
      <c r="LWS8" s="4"/>
      <c r="LWT8" s="4"/>
      <c r="LWW8" s="34"/>
      <c r="LWX8" s="34"/>
      <c r="LWZ8" s="34"/>
      <c r="LXA8" s="72"/>
      <c r="LXB8" s="63"/>
      <c r="LXC8" s="34"/>
      <c r="LXD8" s="64"/>
      <c r="LXE8" s="4"/>
      <c r="LXF8" s="65"/>
      <c r="LXG8" s="4"/>
      <c r="LXH8" s="4"/>
      <c r="LXI8" s="4"/>
      <c r="LXL8" s="34"/>
      <c r="LXM8" s="34"/>
      <c r="LXO8" s="34"/>
      <c r="LXP8" s="72"/>
      <c r="LXQ8" s="63"/>
      <c r="LXR8" s="34"/>
      <c r="LXS8" s="64"/>
      <c r="LXT8" s="4"/>
      <c r="LXU8" s="65"/>
      <c r="LXV8" s="4"/>
      <c r="LXW8" s="4"/>
      <c r="LXX8" s="4"/>
      <c r="LYA8" s="34"/>
      <c r="LYB8" s="34"/>
      <c r="LYD8" s="34"/>
      <c r="LYE8" s="72"/>
      <c r="LYF8" s="63"/>
      <c r="LYG8" s="34"/>
      <c r="LYH8" s="64"/>
      <c r="LYI8" s="4"/>
      <c r="LYJ8" s="65"/>
      <c r="LYK8" s="4"/>
      <c r="LYL8" s="4"/>
      <c r="LYM8" s="4"/>
      <c r="LYP8" s="34"/>
      <c r="LYQ8" s="34"/>
      <c r="LYS8" s="34"/>
      <c r="LYT8" s="72"/>
      <c r="LYU8" s="63"/>
      <c r="LYV8" s="34"/>
      <c r="LYW8" s="64"/>
      <c r="LYX8" s="4"/>
      <c r="LYY8" s="65"/>
      <c r="LYZ8" s="4"/>
      <c r="LZA8" s="4"/>
      <c r="LZB8" s="4"/>
      <c r="LZE8" s="34"/>
      <c r="LZF8" s="34"/>
      <c r="LZH8" s="34"/>
      <c r="LZI8" s="72"/>
      <c r="LZJ8" s="63"/>
      <c r="LZK8" s="34"/>
      <c r="LZL8" s="64"/>
      <c r="LZM8" s="4"/>
      <c r="LZN8" s="65"/>
      <c r="LZO8" s="4"/>
      <c r="LZP8" s="4"/>
      <c r="LZQ8" s="4"/>
      <c r="LZT8" s="34"/>
      <c r="LZU8" s="34"/>
      <c r="LZW8" s="34"/>
      <c r="LZX8" s="72"/>
      <c r="LZY8" s="63"/>
      <c r="LZZ8" s="34"/>
      <c r="MAA8" s="64"/>
      <c r="MAB8" s="4"/>
      <c r="MAC8" s="65"/>
      <c r="MAD8" s="4"/>
      <c r="MAE8" s="4"/>
      <c r="MAF8" s="4"/>
      <c r="MAI8" s="34"/>
      <c r="MAJ8" s="34"/>
      <c r="MAL8" s="34"/>
      <c r="MAM8" s="72"/>
      <c r="MAN8" s="63"/>
      <c r="MAO8" s="34"/>
      <c r="MAP8" s="64"/>
      <c r="MAQ8" s="4"/>
      <c r="MAR8" s="65"/>
      <c r="MAS8" s="4"/>
      <c r="MAT8" s="4"/>
      <c r="MAU8" s="4"/>
      <c r="MAX8" s="34"/>
      <c r="MAY8" s="34"/>
      <c r="MBA8" s="34"/>
      <c r="MBB8" s="72"/>
      <c r="MBC8" s="63"/>
      <c r="MBD8" s="34"/>
      <c r="MBE8" s="64"/>
      <c r="MBF8" s="4"/>
      <c r="MBG8" s="65"/>
      <c r="MBH8" s="4"/>
      <c r="MBI8" s="4"/>
      <c r="MBJ8" s="4"/>
      <c r="MBM8" s="34"/>
      <c r="MBN8" s="34"/>
      <c r="MBP8" s="34"/>
      <c r="MBQ8" s="72"/>
      <c r="MBR8" s="63"/>
      <c r="MBS8" s="34"/>
      <c r="MBT8" s="64"/>
      <c r="MBU8" s="4"/>
      <c r="MBV8" s="65"/>
      <c r="MBW8" s="4"/>
      <c r="MBX8" s="4"/>
      <c r="MBY8" s="4"/>
      <c r="MCB8" s="34"/>
      <c r="MCC8" s="34"/>
      <c r="MCE8" s="34"/>
      <c r="MCF8" s="72"/>
      <c r="MCG8" s="63"/>
      <c r="MCH8" s="34"/>
      <c r="MCI8" s="64"/>
      <c r="MCJ8" s="4"/>
      <c r="MCK8" s="65"/>
      <c r="MCL8" s="4"/>
      <c r="MCM8" s="4"/>
      <c r="MCN8" s="4"/>
      <c r="MCQ8" s="34"/>
      <c r="MCR8" s="34"/>
      <c r="MCT8" s="34"/>
      <c r="MCU8" s="72"/>
      <c r="MCV8" s="63"/>
      <c r="MCW8" s="34"/>
      <c r="MCX8" s="64"/>
      <c r="MCY8" s="4"/>
      <c r="MCZ8" s="65"/>
      <c r="MDA8" s="4"/>
      <c r="MDB8" s="4"/>
      <c r="MDC8" s="4"/>
      <c r="MDF8" s="34"/>
      <c r="MDG8" s="34"/>
      <c r="MDI8" s="34"/>
      <c r="MDJ8" s="72"/>
      <c r="MDK8" s="63"/>
      <c r="MDL8" s="34"/>
      <c r="MDM8" s="64"/>
      <c r="MDN8" s="4"/>
      <c r="MDO8" s="65"/>
      <c r="MDP8" s="4"/>
      <c r="MDQ8" s="4"/>
      <c r="MDR8" s="4"/>
      <c r="MDU8" s="34"/>
      <c r="MDV8" s="34"/>
      <c r="MDX8" s="34"/>
      <c r="MDY8" s="72"/>
      <c r="MDZ8" s="63"/>
      <c r="MEA8" s="34"/>
      <c r="MEB8" s="64"/>
      <c r="MEC8" s="4"/>
      <c r="MED8" s="65"/>
      <c r="MEE8" s="4"/>
      <c r="MEF8" s="4"/>
      <c r="MEG8" s="4"/>
      <c r="MEJ8" s="34"/>
      <c r="MEK8" s="34"/>
      <c r="MEM8" s="34"/>
      <c r="MEN8" s="72"/>
      <c r="MEO8" s="63"/>
      <c r="MEP8" s="34"/>
      <c r="MEQ8" s="64"/>
      <c r="MER8" s="4"/>
      <c r="MES8" s="65"/>
      <c r="MET8" s="4"/>
      <c r="MEU8" s="4"/>
      <c r="MEV8" s="4"/>
      <c r="MEY8" s="34"/>
      <c r="MEZ8" s="34"/>
      <c r="MFB8" s="34"/>
      <c r="MFC8" s="72"/>
      <c r="MFD8" s="63"/>
      <c r="MFE8" s="34"/>
      <c r="MFF8" s="64"/>
      <c r="MFG8" s="4"/>
      <c r="MFH8" s="65"/>
      <c r="MFI8" s="4"/>
      <c r="MFJ8" s="4"/>
      <c r="MFK8" s="4"/>
      <c r="MFN8" s="34"/>
      <c r="MFO8" s="34"/>
      <c r="MFQ8" s="34"/>
      <c r="MFR8" s="72"/>
      <c r="MFS8" s="63"/>
      <c r="MFT8" s="34"/>
      <c r="MFU8" s="64"/>
      <c r="MFV8" s="4"/>
      <c r="MFW8" s="65"/>
      <c r="MFX8" s="4"/>
      <c r="MFY8" s="4"/>
      <c r="MFZ8" s="4"/>
      <c r="MGC8" s="34"/>
      <c r="MGD8" s="34"/>
      <c r="MGF8" s="34"/>
      <c r="MGG8" s="72"/>
      <c r="MGH8" s="63"/>
      <c r="MGI8" s="34"/>
      <c r="MGJ8" s="64"/>
      <c r="MGK8" s="4"/>
      <c r="MGL8" s="65"/>
      <c r="MGM8" s="4"/>
      <c r="MGN8" s="4"/>
      <c r="MGO8" s="4"/>
      <c r="MGR8" s="34"/>
      <c r="MGS8" s="34"/>
      <c r="MGU8" s="34"/>
      <c r="MGV8" s="72"/>
      <c r="MGW8" s="63"/>
      <c r="MGX8" s="34"/>
      <c r="MGY8" s="64"/>
      <c r="MGZ8" s="4"/>
      <c r="MHA8" s="65"/>
      <c r="MHB8" s="4"/>
      <c r="MHC8" s="4"/>
      <c r="MHD8" s="4"/>
      <c r="MHG8" s="34"/>
      <c r="MHH8" s="34"/>
      <c r="MHJ8" s="34"/>
      <c r="MHK8" s="72"/>
      <c r="MHL8" s="63"/>
      <c r="MHM8" s="34"/>
      <c r="MHN8" s="64"/>
      <c r="MHO8" s="4"/>
      <c r="MHP8" s="65"/>
      <c r="MHQ8" s="4"/>
      <c r="MHR8" s="4"/>
      <c r="MHS8" s="4"/>
      <c r="MHV8" s="34"/>
      <c r="MHW8" s="34"/>
      <c r="MHY8" s="34"/>
      <c r="MHZ8" s="72"/>
      <c r="MIA8" s="63"/>
      <c r="MIB8" s="34"/>
      <c r="MIC8" s="64"/>
      <c r="MID8" s="4"/>
      <c r="MIE8" s="65"/>
      <c r="MIF8" s="4"/>
      <c r="MIG8" s="4"/>
      <c r="MIH8" s="4"/>
      <c r="MIK8" s="34"/>
      <c r="MIL8" s="34"/>
      <c r="MIN8" s="34"/>
      <c r="MIO8" s="72"/>
      <c r="MIP8" s="63"/>
      <c r="MIQ8" s="34"/>
      <c r="MIR8" s="64"/>
      <c r="MIS8" s="4"/>
      <c r="MIT8" s="65"/>
      <c r="MIU8" s="4"/>
      <c r="MIV8" s="4"/>
      <c r="MIW8" s="4"/>
      <c r="MIZ8" s="34"/>
      <c r="MJA8" s="34"/>
      <c r="MJC8" s="34"/>
      <c r="MJD8" s="72"/>
      <c r="MJE8" s="63"/>
      <c r="MJF8" s="34"/>
      <c r="MJG8" s="64"/>
      <c r="MJH8" s="4"/>
      <c r="MJI8" s="65"/>
      <c r="MJJ8" s="4"/>
      <c r="MJK8" s="4"/>
      <c r="MJL8" s="4"/>
      <c r="MJO8" s="34"/>
      <c r="MJP8" s="34"/>
      <c r="MJR8" s="34"/>
      <c r="MJS8" s="72"/>
      <c r="MJT8" s="63"/>
      <c r="MJU8" s="34"/>
      <c r="MJV8" s="64"/>
      <c r="MJW8" s="4"/>
      <c r="MJX8" s="65"/>
      <c r="MJY8" s="4"/>
      <c r="MJZ8" s="4"/>
      <c r="MKA8" s="4"/>
      <c r="MKD8" s="34"/>
      <c r="MKE8" s="34"/>
      <c r="MKG8" s="34"/>
      <c r="MKH8" s="72"/>
      <c r="MKI8" s="63"/>
      <c r="MKJ8" s="34"/>
      <c r="MKK8" s="64"/>
      <c r="MKL8" s="4"/>
      <c r="MKM8" s="65"/>
      <c r="MKN8" s="4"/>
      <c r="MKO8" s="4"/>
      <c r="MKP8" s="4"/>
      <c r="MKS8" s="34"/>
      <c r="MKT8" s="34"/>
      <c r="MKV8" s="34"/>
      <c r="MKW8" s="72"/>
      <c r="MKX8" s="63"/>
      <c r="MKY8" s="34"/>
      <c r="MKZ8" s="64"/>
      <c r="MLA8" s="4"/>
      <c r="MLB8" s="65"/>
      <c r="MLC8" s="4"/>
      <c r="MLD8" s="4"/>
      <c r="MLE8" s="4"/>
      <c r="MLH8" s="34"/>
      <c r="MLI8" s="34"/>
      <c r="MLK8" s="34"/>
      <c r="MLL8" s="72"/>
      <c r="MLM8" s="63"/>
      <c r="MLN8" s="34"/>
      <c r="MLO8" s="64"/>
      <c r="MLP8" s="4"/>
      <c r="MLQ8" s="65"/>
      <c r="MLR8" s="4"/>
      <c r="MLS8" s="4"/>
      <c r="MLT8" s="4"/>
      <c r="MLW8" s="34"/>
      <c r="MLX8" s="34"/>
      <c r="MLZ8" s="34"/>
      <c r="MMA8" s="72"/>
      <c r="MMB8" s="63"/>
      <c r="MMC8" s="34"/>
      <c r="MMD8" s="64"/>
      <c r="MME8" s="4"/>
      <c r="MMF8" s="65"/>
      <c r="MMG8" s="4"/>
      <c r="MMH8" s="4"/>
      <c r="MMI8" s="4"/>
      <c r="MML8" s="34"/>
      <c r="MMM8" s="34"/>
      <c r="MMO8" s="34"/>
      <c r="MMP8" s="72"/>
      <c r="MMQ8" s="63"/>
      <c r="MMR8" s="34"/>
      <c r="MMS8" s="64"/>
      <c r="MMT8" s="4"/>
      <c r="MMU8" s="65"/>
      <c r="MMV8" s="4"/>
      <c r="MMW8" s="4"/>
      <c r="MMX8" s="4"/>
      <c r="MNA8" s="34"/>
      <c r="MNB8" s="34"/>
      <c r="MND8" s="34"/>
      <c r="MNE8" s="72"/>
      <c r="MNF8" s="63"/>
      <c r="MNG8" s="34"/>
      <c r="MNH8" s="64"/>
      <c r="MNI8" s="4"/>
      <c r="MNJ8" s="65"/>
      <c r="MNK8" s="4"/>
      <c r="MNL8" s="4"/>
      <c r="MNM8" s="4"/>
      <c r="MNP8" s="34"/>
      <c r="MNQ8" s="34"/>
      <c r="MNS8" s="34"/>
      <c r="MNT8" s="72"/>
      <c r="MNU8" s="63"/>
      <c r="MNV8" s="34"/>
      <c r="MNW8" s="64"/>
      <c r="MNX8" s="4"/>
      <c r="MNY8" s="65"/>
      <c r="MNZ8" s="4"/>
      <c r="MOA8" s="4"/>
      <c r="MOB8" s="4"/>
      <c r="MOE8" s="34"/>
      <c r="MOF8" s="34"/>
      <c r="MOH8" s="34"/>
      <c r="MOI8" s="72"/>
      <c r="MOJ8" s="63"/>
      <c r="MOK8" s="34"/>
      <c r="MOL8" s="64"/>
      <c r="MOM8" s="4"/>
      <c r="MON8" s="65"/>
      <c r="MOO8" s="4"/>
      <c r="MOP8" s="4"/>
      <c r="MOQ8" s="4"/>
      <c r="MOT8" s="34"/>
      <c r="MOU8" s="34"/>
      <c r="MOW8" s="34"/>
      <c r="MOX8" s="72"/>
      <c r="MOY8" s="63"/>
      <c r="MOZ8" s="34"/>
      <c r="MPA8" s="64"/>
      <c r="MPB8" s="4"/>
      <c r="MPC8" s="65"/>
      <c r="MPD8" s="4"/>
      <c r="MPE8" s="4"/>
      <c r="MPF8" s="4"/>
      <c r="MPI8" s="34"/>
      <c r="MPJ8" s="34"/>
      <c r="MPL8" s="34"/>
      <c r="MPM8" s="72"/>
      <c r="MPN8" s="63"/>
      <c r="MPO8" s="34"/>
      <c r="MPP8" s="64"/>
      <c r="MPQ8" s="4"/>
      <c r="MPR8" s="65"/>
      <c r="MPS8" s="4"/>
      <c r="MPT8" s="4"/>
      <c r="MPU8" s="4"/>
      <c r="MPX8" s="34"/>
      <c r="MPY8" s="34"/>
      <c r="MQA8" s="34"/>
      <c r="MQB8" s="72"/>
      <c r="MQC8" s="63"/>
      <c r="MQD8" s="34"/>
      <c r="MQE8" s="64"/>
      <c r="MQF8" s="4"/>
      <c r="MQG8" s="65"/>
      <c r="MQH8" s="4"/>
      <c r="MQI8" s="4"/>
      <c r="MQJ8" s="4"/>
      <c r="MQM8" s="34"/>
      <c r="MQN8" s="34"/>
      <c r="MQP8" s="34"/>
      <c r="MQQ8" s="72"/>
      <c r="MQR8" s="63"/>
      <c r="MQS8" s="34"/>
      <c r="MQT8" s="64"/>
      <c r="MQU8" s="4"/>
      <c r="MQV8" s="65"/>
      <c r="MQW8" s="4"/>
      <c r="MQX8" s="4"/>
      <c r="MQY8" s="4"/>
      <c r="MRB8" s="34"/>
      <c r="MRC8" s="34"/>
      <c r="MRE8" s="34"/>
      <c r="MRF8" s="72"/>
      <c r="MRG8" s="63"/>
      <c r="MRH8" s="34"/>
      <c r="MRI8" s="64"/>
      <c r="MRJ8" s="4"/>
      <c r="MRK8" s="65"/>
      <c r="MRL8" s="4"/>
      <c r="MRM8" s="4"/>
      <c r="MRN8" s="4"/>
      <c r="MRQ8" s="34"/>
      <c r="MRR8" s="34"/>
      <c r="MRT8" s="34"/>
      <c r="MRU8" s="72"/>
      <c r="MRV8" s="63"/>
      <c r="MRW8" s="34"/>
      <c r="MRX8" s="64"/>
      <c r="MRY8" s="4"/>
      <c r="MRZ8" s="65"/>
      <c r="MSA8" s="4"/>
      <c r="MSB8" s="4"/>
      <c r="MSC8" s="4"/>
      <c r="MSF8" s="34"/>
      <c r="MSG8" s="34"/>
      <c r="MSI8" s="34"/>
      <c r="MSJ8" s="72"/>
      <c r="MSK8" s="63"/>
      <c r="MSL8" s="34"/>
      <c r="MSM8" s="64"/>
      <c r="MSN8" s="4"/>
      <c r="MSO8" s="65"/>
      <c r="MSP8" s="4"/>
      <c r="MSQ8" s="4"/>
      <c r="MSR8" s="4"/>
      <c r="MSU8" s="34"/>
      <c r="MSV8" s="34"/>
      <c r="MSX8" s="34"/>
      <c r="MSY8" s="72"/>
      <c r="MSZ8" s="63"/>
      <c r="MTA8" s="34"/>
      <c r="MTB8" s="64"/>
      <c r="MTC8" s="4"/>
      <c r="MTD8" s="65"/>
      <c r="MTE8" s="4"/>
      <c r="MTF8" s="4"/>
      <c r="MTG8" s="4"/>
      <c r="MTJ8" s="34"/>
      <c r="MTK8" s="34"/>
      <c r="MTM8" s="34"/>
      <c r="MTN8" s="72"/>
      <c r="MTO8" s="63"/>
      <c r="MTP8" s="34"/>
      <c r="MTQ8" s="64"/>
      <c r="MTR8" s="4"/>
      <c r="MTS8" s="65"/>
      <c r="MTT8" s="4"/>
      <c r="MTU8" s="4"/>
      <c r="MTV8" s="4"/>
      <c r="MTY8" s="34"/>
      <c r="MTZ8" s="34"/>
      <c r="MUB8" s="34"/>
      <c r="MUC8" s="72"/>
      <c r="MUD8" s="63"/>
      <c r="MUE8" s="34"/>
      <c r="MUF8" s="64"/>
      <c r="MUG8" s="4"/>
      <c r="MUH8" s="65"/>
      <c r="MUI8" s="4"/>
      <c r="MUJ8" s="4"/>
      <c r="MUK8" s="4"/>
      <c r="MUN8" s="34"/>
      <c r="MUO8" s="34"/>
      <c r="MUQ8" s="34"/>
      <c r="MUR8" s="72"/>
      <c r="MUS8" s="63"/>
      <c r="MUT8" s="34"/>
      <c r="MUU8" s="64"/>
      <c r="MUV8" s="4"/>
      <c r="MUW8" s="65"/>
      <c r="MUX8" s="4"/>
      <c r="MUY8" s="4"/>
      <c r="MUZ8" s="4"/>
      <c r="MVC8" s="34"/>
      <c r="MVD8" s="34"/>
      <c r="MVF8" s="34"/>
      <c r="MVG8" s="72"/>
      <c r="MVH8" s="63"/>
      <c r="MVI8" s="34"/>
      <c r="MVJ8" s="64"/>
      <c r="MVK8" s="4"/>
      <c r="MVL8" s="65"/>
      <c r="MVM8" s="4"/>
      <c r="MVN8" s="4"/>
      <c r="MVO8" s="4"/>
      <c r="MVR8" s="34"/>
      <c r="MVS8" s="34"/>
      <c r="MVU8" s="34"/>
      <c r="MVV8" s="72"/>
      <c r="MVW8" s="63"/>
      <c r="MVX8" s="34"/>
      <c r="MVY8" s="64"/>
      <c r="MVZ8" s="4"/>
      <c r="MWA8" s="65"/>
      <c r="MWB8" s="4"/>
      <c r="MWC8" s="4"/>
      <c r="MWD8" s="4"/>
      <c r="MWG8" s="34"/>
      <c r="MWH8" s="34"/>
      <c r="MWJ8" s="34"/>
      <c r="MWK8" s="72"/>
      <c r="MWL8" s="63"/>
      <c r="MWM8" s="34"/>
      <c r="MWN8" s="64"/>
      <c r="MWO8" s="4"/>
      <c r="MWP8" s="65"/>
      <c r="MWQ8" s="4"/>
      <c r="MWR8" s="4"/>
      <c r="MWS8" s="4"/>
      <c r="MWV8" s="34"/>
      <c r="MWW8" s="34"/>
      <c r="MWY8" s="34"/>
      <c r="MWZ8" s="72"/>
      <c r="MXA8" s="63"/>
      <c r="MXB8" s="34"/>
      <c r="MXC8" s="64"/>
      <c r="MXD8" s="4"/>
      <c r="MXE8" s="65"/>
      <c r="MXF8" s="4"/>
      <c r="MXG8" s="4"/>
      <c r="MXH8" s="4"/>
      <c r="MXK8" s="34"/>
      <c r="MXL8" s="34"/>
      <c r="MXN8" s="34"/>
      <c r="MXO8" s="72"/>
      <c r="MXP8" s="63"/>
      <c r="MXQ8" s="34"/>
      <c r="MXR8" s="64"/>
      <c r="MXS8" s="4"/>
      <c r="MXT8" s="65"/>
      <c r="MXU8" s="4"/>
      <c r="MXV8" s="4"/>
      <c r="MXW8" s="4"/>
      <c r="MXZ8" s="34"/>
      <c r="MYA8" s="34"/>
      <c r="MYC8" s="34"/>
      <c r="MYD8" s="72"/>
      <c r="MYE8" s="63"/>
      <c r="MYF8" s="34"/>
      <c r="MYG8" s="64"/>
      <c r="MYH8" s="4"/>
      <c r="MYI8" s="65"/>
      <c r="MYJ8" s="4"/>
      <c r="MYK8" s="4"/>
      <c r="MYL8" s="4"/>
      <c r="MYO8" s="34"/>
      <c r="MYP8" s="34"/>
      <c r="MYR8" s="34"/>
      <c r="MYS8" s="72"/>
      <c r="MYT8" s="63"/>
      <c r="MYU8" s="34"/>
      <c r="MYV8" s="64"/>
      <c r="MYW8" s="4"/>
      <c r="MYX8" s="65"/>
      <c r="MYY8" s="4"/>
      <c r="MYZ8" s="4"/>
      <c r="MZA8" s="4"/>
      <c r="MZD8" s="34"/>
      <c r="MZE8" s="34"/>
      <c r="MZG8" s="34"/>
      <c r="MZH8" s="72"/>
      <c r="MZI8" s="63"/>
      <c r="MZJ8" s="34"/>
      <c r="MZK8" s="64"/>
      <c r="MZL8" s="4"/>
      <c r="MZM8" s="65"/>
      <c r="MZN8" s="4"/>
      <c r="MZO8" s="4"/>
      <c r="MZP8" s="4"/>
      <c r="MZS8" s="34"/>
      <c r="MZT8" s="34"/>
      <c r="MZV8" s="34"/>
      <c r="MZW8" s="72"/>
      <c r="MZX8" s="63"/>
      <c r="MZY8" s="34"/>
      <c r="MZZ8" s="64"/>
      <c r="NAA8" s="4"/>
      <c r="NAB8" s="65"/>
      <c r="NAC8" s="4"/>
      <c r="NAD8" s="4"/>
      <c r="NAE8" s="4"/>
      <c r="NAH8" s="34"/>
      <c r="NAI8" s="34"/>
      <c r="NAK8" s="34"/>
      <c r="NAL8" s="72"/>
      <c r="NAM8" s="63"/>
      <c r="NAN8" s="34"/>
      <c r="NAO8" s="64"/>
      <c r="NAP8" s="4"/>
      <c r="NAQ8" s="65"/>
      <c r="NAR8" s="4"/>
      <c r="NAS8" s="4"/>
      <c r="NAT8" s="4"/>
      <c r="NAW8" s="34"/>
      <c r="NAX8" s="34"/>
      <c r="NAZ8" s="34"/>
      <c r="NBA8" s="72"/>
      <c r="NBB8" s="63"/>
      <c r="NBC8" s="34"/>
      <c r="NBD8" s="64"/>
      <c r="NBE8" s="4"/>
      <c r="NBF8" s="65"/>
      <c r="NBG8" s="4"/>
      <c r="NBH8" s="4"/>
      <c r="NBI8" s="4"/>
      <c r="NBL8" s="34"/>
      <c r="NBM8" s="34"/>
      <c r="NBO8" s="34"/>
      <c r="NBP8" s="72"/>
      <c r="NBQ8" s="63"/>
      <c r="NBR8" s="34"/>
      <c r="NBS8" s="64"/>
      <c r="NBT8" s="4"/>
      <c r="NBU8" s="65"/>
      <c r="NBV8" s="4"/>
      <c r="NBW8" s="4"/>
      <c r="NBX8" s="4"/>
      <c r="NCA8" s="34"/>
      <c r="NCB8" s="34"/>
      <c r="NCD8" s="34"/>
      <c r="NCE8" s="72"/>
      <c r="NCF8" s="63"/>
      <c r="NCG8" s="34"/>
      <c r="NCH8" s="64"/>
      <c r="NCI8" s="4"/>
      <c r="NCJ8" s="65"/>
      <c r="NCK8" s="4"/>
      <c r="NCL8" s="4"/>
      <c r="NCM8" s="4"/>
      <c r="NCP8" s="34"/>
      <c r="NCQ8" s="34"/>
      <c r="NCS8" s="34"/>
      <c r="NCT8" s="72"/>
      <c r="NCU8" s="63"/>
      <c r="NCV8" s="34"/>
      <c r="NCW8" s="64"/>
      <c r="NCX8" s="4"/>
      <c r="NCY8" s="65"/>
      <c r="NCZ8" s="4"/>
      <c r="NDA8" s="4"/>
      <c r="NDB8" s="4"/>
      <c r="NDE8" s="34"/>
      <c r="NDF8" s="34"/>
      <c r="NDH8" s="34"/>
      <c r="NDI8" s="72"/>
      <c r="NDJ8" s="63"/>
      <c r="NDK8" s="34"/>
      <c r="NDL8" s="64"/>
      <c r="NDM8" s="4"/>
      <c r="NDN8" s="65"/>
      <c r="NDO8" s="4"/>
      <c r="NDP8" s="4"/>
      <c r="NDQ8" s="4"/>
      <c r="NDT8" s="34"/>
      <c r="NDU8" s="34"/>
      <c r="NDW8" s="34"/>
      <c r="NDX8" s="72"/>
      <c r="NDY8" s="63"/>
      <c r="NDZ8" s="34"/>
      <c r="NEA8" s="64"/>
      <c r="NEB8" s="4"/>
      <c r="NEC8" s="65"/>
      <c r="NED8" s="4"/>
      <c r="NEE8" s="4"/>
      <c r="NEF8" s="4"/>
      <c r="NEI8" s="34"/>
      <c r="NEJ8" s="34"/>
      <c r="NEL8" s="34"/>
      <c r="NEM8" s="72"/>
      <c r="NEN8" s="63"/>
      <c r="NEO8" s="34"/>
      <c r="NEP8" s="64"/>
      <c r="NEQ8" s="4"/>
      <c r="NER8" s="65"/>
      <c r="NES8" s="4"/>
      <c r="NET8" s="4"/>
      <c r="NEU8" s="4"/>
      <c r="NEX8" s="34"/>
      <c r="NEY8" s="34"/>
      <c r="NFA8" s="34"/>
      <c r="NFB8" s="72"/>
      <c r="NFC8" s="63"/>
      <c r="NFD8" s="34"/>
      <c r="NFE8" s="64"/>
      <c r="NFF8" s="4"/>
      <c r="NFG8" s="65"/>
      <c r="NFH8" s="4"/>
      <c r="NFI8" s="4"/>
      <c r="NFJ8" s="4"/>
      <c r="NFM8" s="34"/>
      <c r="NFN8" s="34"/>
      <c r="NFP8" s="34"/>
      <c r="NFQ8" s="72"/>
      <c r="NFR8" s="63"/>
      <c r="NFS8" s="34"/>
      <c r="NFT8" s="64"/>
      <c r="NFU8" s="4"/>
      <c r="NFV8" s="65"/>
      <c r="NFW8" s="4"/>
      <c r="NFX8" s="4"/>
      <c r="NFY8" s="4"/>
      <c r="NGB8" s="34"/>
      <c r="NGC8" s="34"/>
      <c r="NGE8" s="34"/>
      <c r="NGF8" s="72"/>
      <c r="NGG8" s="63"/>
      <c r="NGH8" s="34"/>
      <c r="NGI8" s="64"/>
      <c r="NGJ8" s="4"/>
      <c r="NGK8" s="65"/>
      <c r="NGL8" s="4"/>
      <c r="NGM8" s="4"/>
      <c r="NGN8" s="4"/>
      <c r="NGQ8" s="34"/>
      <c r="NGR8" s="34"/>
      <c r="NGT8" s="34"/>
      <c r="NGU8" s="72"/>
      <c r="NGV8" s="63"/>
      <c r="NGW8" s="34"/>
      <c r="NGX8" s="64"/>
      <c r="NGY8" s="4"/>
      <c r="NGZ8" s="65"/>
      <c r="NHA8" s="4"/>
      <c r="NHB8" s="4"/>
      <c r="NHC8" s="4"/>
      <c r="NHF8" s="34"/>
      <c r="NHG8" s="34"/>
      <c r="NHI8" s="34"/>
      <c r="NHJ8" s="72"/>
      <c r="NHK8" s="63"/>
      <c r="NHL8" s="34"/>
      <c r="NHM8" s="64"/>
      <c r="NHN8" s="4"/>
      <c r="NHO8" s="65"/>
      <c r="NHP8" s="4"/>
      <c r="NHQ8" s="4"/>
      <c r="NHR8" s="4"/>
      <c r="NHU8" s="34"/>
      <c r="NHV8" s="34"/>
      <c r="NHX8" s="34"/>
      <c r="NHY8" s="72"/>
      <c r="NHZ8" s="63"/>
      <c r="NIA8" s="34"/>
      <c r="NIB8" s="64"/>
      <c r="NIC8" s="4"/>
      <c r="NID8" s="65"/>
      <c r="NIE8" s="4"/>
      <c r="NIF8" s="4"/>
      <c r="NIG8" s="4"/>
      <c r="NIJ8" s="34"/>
      <c r="NIK8" s="34"/>
      <c r="NIM8" s="34"/>
      <c r="NIN8" s="72"/>
      <c r="NIO8" s="63"/>
      <c r="NIP8" s="34"/>
      <c r="NIQ8" s="64"/>
      <c r="NIR8" s="4"/>
      <c r="NIS8" s="65"/>
      <c r="NIT8" s="4"/>
      <c r="NIU8" s="4"/>
      <c r="NIV8" s="4"/>
      <c r="NIY8" s="34"/>
      <c r="NIZ8" s="34"/>
      <c r="NJB8" s="34"/>
      <c r="NJC8" s="72"/>
      <c r="NJD8" s="63"/>
      <c r="NJE8" s="34"/>
      <c r="NJF8" s="64"/>
      <c r="NJG8" s="4"/>
      <c r="NJH8" s="65"/>
      <c r="NJI8" s="4"/>
      <c r="NJJ8" s="4"/>
      <c r="NJK8" s="4"/>
      <c r="NJN8" s="34"/>
      <c r="NJO8" s="34"/>
      <c r="NJQ8" s="34"/>
      <c r="NJR8" s="72"/>
      <c r="NJS8" s="63"/>
      <c r="NJT8" s="34"/>
      <c r="NJU8" s="64"/>
      <c r="NJV8" s="4"/>
      <c r="NJW8" s="65"/>
      <c r="NJX8" s="4"/>
      <c r="NJY8" s="4"/>
      <c r="NJZ8" s="4"/>
      <c r="NKC8" s="34"/>
      <c r="NKD8" s="34"/>
      <c r="NKF8" s="34"/>
      <c r="NKG8" s="72"/>
      <c r="NKH8" s="63"/>
      <c r="NKI8" s="34"/>
      <c r="NKJ8" s="64"/>
      <c r="NKK8" s="4"/>
      <c r="NKL8" s="65"/>
      <c r="NKM8" s="4"/>
      <c r="NKN8" s="4"/>
      <c r="NKO8" s="4"/>
      <c r="NKR8" s="34"/>
      <c r="NKS8" s="34"/>
      <c r="NKU8" s="34"/>
      <c r="NKV8" s="72"/>
      <c r="NKW8" s="63"/>
      <c r="NKX8" s="34"/>
      <c r="NKY8" s="64"/>
      <c r="NKZ8" s="4"/>
      <c r="NLA8" s="65"/>
      <c r="NLB8" s="4"/>
      <c r="NLC8" s="4"/>
      <c r="NLD8" s="4"/>
      <c r="NLG8" s="34"/>
      <c r="NLH8" s="34"/>
      <c r="NLJ8" s="34"/>
      <c r="NLK8" s="72"/>
      <c r="NLL8" s="63"/>
      <c r="NLM8" s="34"/>
      <c r="NLN8" s="64"/>
      <c r="NLO8" s="4"/>
      <c r="NLP8" s="65"/>
      <c r="NLQ8" s="4"/>
      <c r="NLR8" s="4"/>
      <c r="NLS8" s="4"/>
      <c r="NLV8" s="34"/>
      <c r="NLW8" s="34"/>
      <c r="NLY8" s="34"/>
      <c r="NLZ8" s="72"/>
      <c r="NMA8" s="63"/>
      <c r="NMB8" s="34"/>
      <c r="NMC8" s="64"/>
      <c r="NMD8" s="4"/>
      <c r="NME8" s="65"/>
      <c r="NMF8" s="4"/>
      <c r="NMG8" s="4"/>
      <c r="NMH8" s="4"/>
      <c r="NMK8" s="34"/>
      <c r="NML8" s="34"/>
      <c r="NMN8" s="34"/>
      <c r="NMO8" s="72"/>
      <c r="NMP8" s="63"/>
      <c r="NMQ8" s="34"/>
      <c r="NMR8" s="64"/>
      <c r="NMS8" s="4"/>
      <c r="NMT8" s="65"/>
      <c r="NMU8" s="4"/>
      <c r="NMV8" s="4"/>
      <c r="NMW8" s="4"/>
      <c r="NMZ8" s="34"/>
      <c r="NNA8" s="34"/>
      <c r="NNC8" s="34"/>
      <c r="NND8" s="72"/>
      <c r="NNE8" s="63"/>
      <c r="NNF8" s="34"/>
      <c r="NNG8" s="64"/>
      <c r="NNH8" s="4"/>
      <c r="NNI8" s="65"/>
      <c r="NNJ8" s="4"/>
      <c r="NNK8" s="4"/>
      <c r="NNL8" s="4"/>
      <c r="NNO8" s="34"/>
      <c r="NNP8" s="34"/>
      <c r="NNR8" s="34"/>
      <c r="NNS8" s="72"/>
      <c r="NNT8" s="63"/>
      <c r="NNU8" s="34"/>
      <c r="NNV8" s="64"/>
      <c r="NNW8" s="4"/>
      <c r="NNX8" s="65"/>
      <c r="NNY8" s="4"/>
      <c r="NNZ8" s="4"/>
      <c r="NOA8" s="4"/>
      <c r="NOD8" s="34"/>
      <c r="NOE8" s="34"/>
      <c r="NOG8" s="34"/>
      <c r="NOH8" s="72"/>
      <c r="NOI8" s="63"/>
      <c r="NOJ8" s="34"/>
      <c r="NOK8" s="64"/>
      <c r="NOL8" s="4"/>
      <c r="NOM8" s="65"/>
      <c r="NON8" s="4"/>
      <c r="NOO8" s="4"/>
      <c r="NOP8" s="4"/>
      <c r="NOS8" s="34"/>
      <c r="NOT8" s="34"/>
      <c r="NOV8" s="34"/>
      <c r="NOW8" s="72"/>
      <c r="NOX8" s="63"/>
      <c r="NOY8" s="34"/>
      <c r="NOZ8" s="64"/>
      <c r="NPA8" s="4"/>
      <c r="NPB8" s="65"/>
      <c r="NPC8" s="4"/>
      <c r="NPD8" s="4"/>
      <c r="NPE8" s="4"/>
      <c r="NPH8" s="34"/>
      <c r="NPI8" s="34"/>
      <c r="NPK8" s="34"/>
      <c r="NPL8" s="72"/>
      <c r="NPM8" s="63"/>
      <c r="NPN8" s="34"/>
      <c r="NPO8" s="64"/>
      <c r="NPP8" s="4"/>
      <c r="NPQ8" s="65"/>
      <c r="NPR8" s="4"/>
      <c r="NPS8" s="4"/>
      <c r="NPT8" s="4"/>
      <c r="NPW8" s="34"/>
      <c r="NPX8" s="34"/>
      <c r="NPZ8" s="34"/>
      <c r="NQA8" s="72"/>
      <c r="NQB8" s="63"/>
      <c r="NQC8" s="34"/>
      <c r="NQD8" s="64"/>
      <c r="NQE8" s="4"/>
      <c r="NQF8" s="65"/>
      <c r="NQG8" s="4"/>
      <c r="NQH8" s="4"/>
      <c r="NQI8" s="4"/>
      <c r="NQL8" s="34"/>
      <c r="NQM8" s="34"/>
      <c r="NQO8" s="34"/>
      <c r="NQP8" s="72"/>
      <c r="NQQ8" s="63"/>
      <c r="NQR8" s="34"/>
      <c r="NQS8" s="64"/>
      <c r="NQT8" s="4"/>
      <c r="NQU8" s="65"/>
      <c r="NQV8" s="4"/>
      <c r="NQW8" s="4"/>
      <c r="NQX8" s="4"/>
      <c r="NRA8" s="34"/>
      <c r="NRB8" s="34"/>
      <c r="NRD8" s="34"/>
      <c r="NRE8" s="72"/>
      <c r="NRF8" s="63"/>
      <c r="NRG8" s="34"/>
      <c r="NRH8" s="64"/>
      <c r="NRI8" s="4"/>
      <c r="NRJ8" s="65"/>
      <c r="NRK8" s="4"/>
      <c r="NRL8" s="4"/>
      <c r="NRM8" s="4"/>
      <c r="NRP8" s="34"/>
      <c r="NRQ8" s="34"/>
      <c r="NRS8" s="34"/>
      <c r="NRT8" s="72"/>
      <c r="NRU8" s="63"/>
      <c r="NRV8" s="34"/>
      <c r="NRW8" s="64"/>
      <c r="NRX8" s="4"/>
      <c r="NRY8" s="65"/>
      <c r="NRZ8" s="4"/>
      <c r="NSA8" s="4"/>
      <c r="NSB8" s="4"/>
      <c r="NSE8" s="34"/>
      <c r="NSF8" s="34"/>
      <c r="NSH8" s="34"/>
      <c r="NSI8" s="72"/>
      <c r="NSJ8" s="63"/>
      <c r="NSK8" s="34"/>
      <c r="NSL8" s="64"/>
      <c r="NSM8" s="4"/>
      <c r="NSN8" s="65"/>
      <c r="NSO8" s="4"/>
      <c r="NSP8" s="4"/>
      <c r="NSQ8" s="4"/>
      <c r="NST8" s="34"/>
      <c r="NSU8" s="34"/>
      <c r="NSW8" s="34"/>
      <c r="NSX8" s="72"/>
      <c r="NSY8" s="63"/>
      <c r="NSZ8" s="34"/>
      <c r="NTA8" s="64"/>
      <c r="NTB8" s="4"/>
      <c r="NTC8" s="65"/>
      <c r="NTD8" s="4"/>
      <c r="NTE8" s="4"/>
      <c r="NTF8" s="4"/>
      <c r="NTI8" s="34"/>
      <c r="NTJ8" s="34"/>
      <c r="NTL8" s="34"/>
      <c r="NTM8" s="72"/>
      <c r="NTN8" s="63"/>
      <c r="NTO8" s="34"/>
      <c r="NTP8" s="64"/>
      <c r="NTQ8" s="4"/>
      <c r="NTR8" s="65"/>
      <c r="NTS8" s="4"/>
      <c r="NTT8" s="4"/>
      <c r="NTU8" s="4"/>
      <c r="NTX8" s="34"/>
      <c r="NTY8" s="34"/>
      <c r="NUA8" s="34"/>
      <c r="NUB8" s="72"/>
      <c r="NUC8" s="63"/>
      <c r="NUD8" s="34"/>
      <c r="NUE8" s="64"/>
      <c r="NUF8" s="4"/>
      <c r="NUG8" s="65"/>
      <c r="NUH8" s="4"/>
      <c r="NUI8" s="4"/>
      <c r="NUJ8" s="4"/>
      <c r="NUM8" s="34"/>
      <c r="NUN8" s="34"/>
      <c r="NUP8" s="34"/>
      <c r="NUQ8" s="72"/>
      <c r="NUR8" s="63"/>
      <c r="NUS8" s="34"/>
      <c r="NUT8" s="64"/>
      <c r="NUU8" s="4"/>
      <c r="NUV8" s="65"/>
      <c r="NUW8" s="4"/>
      <c r="NUX8" s="4"/>
      <c r="NUY8" s="4"/>
      <c r="NVB8" s="34"/>
      <c r="NVC8" s="34"/>
      <c r="NVE8" s="34"/>
      <c r="NVF8" s="72"/>
      <c r="NVG8" s="63"/>
      <c r="NVH8" s="34"/>
      <c r="NVI8" s="64"/>
      <c r="NVJ8" s="4"/>
      <c r="NVK8" s="65"/>
      <c r="NVL8" s="4"/>
      <c r="NVM8" s="4"/>
      <c r="NVN8" s="4"/>
      <c r="NVQ8" s="34"/>
      <c r="NVR8" s="34"/>
      <c r="NVT8" s="34"/>
      <c r="NVU8" s="72"/>
      <c r="NVV8" s="63"/>
      <c r="NVW8" s="34"/>
      <c r="NVX8" s="64"/>
      <c r="NVY8" s="4"/>
      <c r="NVZ8" s="65"/>
      <c r="NWA8" s="4"/>
      <c r="NWB8" s="4"/>
      <c r="NWC8" s="4"/>
      <c r="NWF8" s="34"/>
      <c r="NWG8" s="34"/>
      <c r="NWI8" s="34"/>
      <c r="NWJ8" s="72"/>
      <c r="NWK8" s="63"/>
      <c r="NWL8" s="34"/>
      <c r="NWM8" s="64"/>
      <c r="NWN8" s="4"/>
      <c r="NWO8" s="65"/>
      <c r="NWP8" s="4"/>
      <c r="NWQ8" s="4"/>
      <c r="NWR8" s="4"/>
      <c r="NWU8" s="34"/>
      <c r="NWV8" s="34"/>
      <c r="NWX8" s="34"/>
      <c r="NWY8" s="72"/>
      <c r="NWZ8" s="63"/>
      <c r="NXA8" s="34"/>
      <c r="NXB8" s="64"/>
      <c r="NXC8" s="4"/>
      <c r="NXD8" s="65"/>
      <c r="NXE8" s="4"/>
      <c r="NXF8" s="4"/>
      <c r="NXG8" s="4"/>
      <c r="NXJ8" s="34"/>
      <c r="NXK8" s="34"/>
      <c r="NXM8" s="34"/>
      <c r="NXN8" s="72"/>
      <c r="NXO8" s="63"/>
      <c r="NXP8" s="34"/>
      <c r="NXQ8" s="64"/>
      <c r="NXR8" s="4"/>
      <c r="NXS8" s="65"/>
      <c r="NXT8" s="4"/>
      <c r="NXU8" s="4"/>
      <c r="NXV8" s="4"/>
      <c r="NXY8" s="34"/>
      <c r="NXZ8" s="34"/>
      <c r="NYB8" s="34"/>
      <c r="NYC8" s="72"/>
      <c r="NYD8" s="63"/>
      <c r="NYE8" s="34"/>
      <c r="NYF8" s="64"/>
      <c r="NYG8" s="4"/>
      <c r="NYH8" s="65"/>
      <c r="NYI8" s="4"/>
      <c r="NYJ8" s="4"/>
      <c r="NYK8" s="4"/>
      <c r="NYN8" s="34"/>
      <c r="NYO8" s="34"/>
      <c r="NYQ8" s="34"/>
      <c r="NYR8" s="72"/>
      <c r="NYS8" s="63"/>
      <c r="NYT8" s="34"/>
      <c r="NYU8" s="64"/>
      <c r="NYV8" s="4"/>
      <c r="NYW8" s="65"/>
      <c r="NYX8" s="4"/>
      <c r="NYY8" s="4"/>
      <c r="NYZ8" s="4"/>
      <c r="NZC8" s="34"/>
      <c r="NZD8" s="34"/>
      <c r="NZF8" s="34"/>
      <c r="NZG8" s="72"/>
      <c r="NZH8" s="63"/>
      <c r="NZI8" s="34"/>
      <c r="NZJ8" s="64"/>
      <c r="NZK8" s="4"/>
      <c r="NZL8" s="65"/>
      <c r="NZM8" s="4"/>
      <c r="NZN8" s="4"/>
      <c r="NZO8" s="4"/>
      <c r="NZR8" s="34"/>
      <c r="NZS8" s="34"/>
      <c r="NZU8" s="34"/>
      <c r="NZV8" s="72"/>
      <c r="NZW8" s="63"/>
      <c r="NZX8" s="34"/>
      <c r="NZY8" s="64"/>
      <c r="NZZ8" s="4"/>
      <c r="OAA8" s="65"/>
      <c r="OAB8" s="4"/>
      <c r="OAC8" s="4"/>
      <c r="OAD8" s="4"/>
      <c r="OAG8" s="34"/>
      <c r="OAH8" s="34"/>
      <c r="OAJ8" s="34"/>
      <c r="OAK8" s="72"/>
      <c r="OAL8" s="63"/>
      <c r="OAM8" s="34"/>
      <c r="OAN8" s="64"/>
      <c r="OAO8" s="4"/>
      <c r="OAP8" s="65"/>
      <c r="OAQ8" s="4"/>
      <c r="OAR8" s="4"/>
      <c r="OAS8" s="4"/>
      <c r="OAV8" s="34"/>
      <c r="OAW8" s="34"/>
      <c r="OAY8" s="34"/>
      <c r="OAZ8" s="72"/>
      <c r="OBA8" s="63"/>
      <c r="OBB8" s="34"/>
      <c r="OBC8" s="64"/>
      <c r="OBD8" s="4"/>
      <c r="OBE8" s="65"/>
      <c r="OBF8" s="4"/>
      <c r="OBG8" s="4"/>
      <c r="OBH8" s="4"/>
      <c r="OBK8" s="34"/>
      <c r="OBL8" s="34"/>
      <c r="OBN8" s="34"/>
      <c r="OBO8" s="72"/>
      <c r="OBP8" s="63"/>
      <c r="OBQ8" s="34"/>
      <c r="OBR8" s="64"/>
      <c r="OBS8" s="4"/>
      <c r="OBT8" s="65"/>
      <c r="OBU8" s="4"/>
      <c r="OBV8" s="4"/>
      <c r="OBW8" s="4"/>
      <c r="OBZ8" s="34"/>
      <c r="OCA8" s="34"/>
      <c r="OCC8" s="34"/>
      <c r="OCD8" s="72"/>
      <c r="OCE8" s="63"/>
      <c r="OCF8" s="34"/>
      <c r="OCG8" s="64"/>
      <c r="OCH8" s="4"/>
      <c r="OCI8" s="65"/>
      <c r="OCJ8" s="4"/>
      <c r="OCK8" s="4"/>
      <c r="OCL8" s="4"/>
      <c r="OCO8" s="34"/>
      <c r="OCP8" s="34"/>
      <c r="OCR8" s="34"/>
      <c r="OCS8" s="72"/>
      <c r="OCT8" s="63"/>
      <c r="OCU8" s="34"/>
      <c r="OCV8" s="64"/>
      <c r="OCW8" s="4"/>
      <c r="OCX8" s="65"/>
      <c r="OCY8" s="4"/>
      <c r="OCZ8" s="4"/>
      <c r="ODA8" s="4"/>
      <c r="ODD8" s="34"/>
      <c r="ODE8" s="34"/>
      <c r="ODG8" s="34"/>
      <c r="ODH8" s="72"/>
      <c r="ODI8" s="63"/>
      <c r="ODJ8" s="34"/>
      <c r="ODK8" s="64"/>
      <c r="ODL8" s="4"/>
      <c r="ODM8" s="65"/>
      <c r="ODN8" s="4"/>
      <c r="ODO8" s="4"/>
      <c r="ODP8" s="4"/>
      <c r="ODS8" s="34"/>
      <c r="ODT8" s="34"/>
      <c r="ODV8" s="34"/>
      <c r="ODW8" s="72"/>
      <c r="ODX8" s="63"/>
      <c r="ODY8" s="34"/>
      <c r="ODZ8" s="64"/>
      <c r="OEA8" s="4"/>
      <c r="OEB8" s="65"/>
      <c r="OEC8" s="4"/>
      <c r="OED8" s="4"/>
      <c r="OEE8" s="4"/>
      <c r="OEH8" s="34"/>
      <c r="OEI8" s="34"/>
      <c r="OEK8" s="34"/>
      <c r="OEL8" s="72"/>
      <c r="OEM8" s="63"/>
      <c r="OEN8" s="34"/>
      <c r="OEO8" s="64"/>
      <c r="OEP8" s="4"/>
      <c r="OEQ8" s="65"/>
      <c r="OER8" s="4"/>
      <c r="OES8" s="4"/>
      <c r="OET8" s="4"/>
      <c r="OEW8" s="34"/>
      <c r="OEX8" s="34"/>
      <c r="OEZ8" s="34"/>
      <c r="OFA8" s="72"/>
      <c r="OFB8" s="63"/>
      <c r="OFC8" s="34"/>
      <c r="OFD8" s="64"/>
      <c r="OFE8" s="4"/>
      <c r="OFF8" s="65"/>
      <c r="OFG8" s="4"/>
      <c r="OFH8" s="4"/>
      <c r="OFI8" s="4"/>
      <c r="OFL8" s="34"/>
      <c r="OFM8" s="34"/>
      <c r="OFO8" s="34"/>
      <c r="OFP8" s="72"/>
      <c r="OFQ8" s="63"/>
      <c r="OFR8" s="34"/>
      <c r="OFS8" s="64"/>
      <c r="OFT8" s="4"/>
      <c r="OFU8" s="65"/>
      <c r="OFV8" s="4"/>
      <c r="OFW8" s="4"/>
      <c r="OFX8" s="4"/>
      <c r="OGA8" s="34"/>
      <c r="OGB8" s="34"/>
      <c r="OGD8" s="34"/>
      <c r="OGE8" s="72"/>
      <c r="OGF8" s="63"/>
      <c r="OGG8" s="34"/>
      <c r="OGH8" s="64"/>
      <c r="OGI8" s="4"/>
      <c r="OGJ8" s="65"/>
      <c r="OGK8" s="4"/>
      <c r="OGL8" s="4"/>
      <c r="OGM8" s="4"/>
      <c r="OGP8" s="34"/>
      <c r="OGQ8" s="34"/>
      <c r="OGS8" s="34"/>
      <c r="OGT8" s="72"/>
      <c r="OGU8" s="63"/>
      <c r="OGV8" s="34"/>
      <c r="OGW8" s="64"/>
      <c r="OGX8" s="4"/>
      <c r="OGY8" s="65"/>
      <c r="OGZ8" s="4"/>
      <c r="OHA8" s="4"/>
      <c r="OHB8" s="4"/>
      <c r="OHE8" s="34"/>
      <c r="OHF8" s="34"/>
      <c r="OHH8" s="34"/>
      <c r="OHI8" s="72"/>
      <c r="OHJ8" s="63"/>
      <c r="OHK8" s="34"/>
      <c r="OHL8" s="64"/>
      <c r="OHM8" s="4"/>
      <c r="OHN8" s="65"/>
      <c r="OHO8" s="4"/>
      <c r="OHP8" s="4"/>
      <c r="OHQ8" s="4"/>
      <c r="OHT8" s="34"/>
      <c r="OHU8" s="34"/>
      <c r="OHW8" s="34"/>
      <c r="OHX8" s="72"/>
      <c r="OHY8" s="63"/>
      <c r="OHZ8" s="34"/>
      <c r="OIA8" s="64"/>
      <c r="OIB8" s="4"/>
      <c r="OIC8" s="65"/>
      <c r="OID8" s="4"/>
      <c r="OIE8" s="4"/>
      <c r="OIF8" s="4"/>
      <c r="OII8" s="34"/>
      <c r="OIJ8" s="34"/>
      <c r="OIL8" s="34"/>
      <c r="OIM8" s="72"/>
      <c r="OIN8" s="63"/>
      <c r="OIO8" s="34"/>
      <c r="OIP8" s="64"/>
      <c r="OIQ8" s="4"/>
      <c r="OIR8" s="65"/>
      <c r="OIS8" s="4"/>
      <c r="OIT8" s="4"/>
      <c r="OIU8" s="4"/>
      <c r="OIX8" s="34"/>
      <c r="OIY8" s="34"/>
      <c r="OJA8" s="34"/>
      <c r="OJB8" s="72"/>
      <c r="OJC8" s="63"/>
      <c r="OJD8" s="34"/>
      <c r="OJE8" s="64"/>
      <c r="OJF8" s="4"/>
      <c r="OJG8" s="65"/>
      <c r="OJH8" s="4"/>
      <c r="OJI8" s="4"/>
      <c r="OJJ8" s="4"/>
      <c r="OJM8" s="34"/>
      <c r="OJN8" s="34"/>
      <c r="OJP8" s="34"/>
      <c r="OJQ8" s="72"/>
      <c r="OJR8" s="63"/>
      <c r="OJS8" s="34"/>
      <c r="OJT8" s="64"/>
      <c r="OJU8" s="4"/>
      <c r="OJV8" s="65"/>
      <c r="OJW8" s="4"/>
      <c r="OJX8" s="4"/>
      <c r="OJY8" s="4"/>
      <c r="OKB8" s="34"/>
      <c r="OKC8" s="34"/>
      <c r="OKE8" s="34"/>
      <c r="OKF8" s="72"/>
      <c r="OKG8" s="63"/>
      <c r="OKH8" s="34"/>
      <c r="OKI8" s="64"/>
      <c r="OKJ8" s="4"/>
      <c r="OKK8" s="65"/>
      <c r="OKL8" s="4"/>
      <c r="OKM8" s="4"/>
      <c r="OKN8" s="4"/>
      <c r="OKQ8" s="34"/>
      <c r="OKR8" s="34"/>
      <c r="OKT8" s="34"/>
      <c r="OKU8" s="72"/>
      <c r="OKV8" s="63"/>
      <c r="OKW8" s="34"/>
      <c r="OKX8" s="64"/>
      <c r="OKY8" s="4"/>
      <c r="OKZ8" s="65"/>
      <c r="OLA8" s="4"/>
      <c r="OLB8" s="4"/>
      <c r="OLC8" s="4"/>
      <c r="OLF8" s="34"/>
      <c r="OLG8" s="34"/>
      <c r="OLI8" s="34"/>
      <c r="OLJ8" s="72"/>
      <c r="OLK8" s="63"/>
      <c r="OLL8" s="34"/>
      <c r="OLM8" s="64"/>
      <c r="OLN8" s="4"/>
      <c r="OLO8" s="65"/>
      <c r="OLP8" s="4"/>
      <c r="OLQ8" s="4"/>
      <c r="OLR8" s="4"/>
      <c r="OLU8" s="34"/>
      <c r="OLV8" s="34"/>
      <c r="OLX8" s="34"/>
      <c r="OLY8" s="72"/>
      <c r="OLZ8" s="63"/>
      <c r="OMA8" s="34"/>
      <c r="OMB8" s="64"/>
      <c r="OMC8" s="4"/>
      <c r="OMD8" s="65"/>
      <c r="OME8" s="4"/>
      <c r="OMF8" s="4"/>
      <c r="OMG8" s="4"/>
      <c r="OMJ8" s="34"/>
      <c r="OMK8" s="34"/>
      <c r="OMM8" s="34"/>
      <c r="OMN8" s="72"/>
      <c r="OMO8" s="63"/>
      <c r="OMP8" s="34"/>
      <c r="OMQ8" s="64"/>
      <c r="OMR8" s="4"/>
      <c r="OMS8" s="65"/>
      <c r="OMT8" s="4"/>
      <c r="OMU8" s="4"/>
      <c r="OMV8" s="4"/>
      <c r="OMY8" s="34"/>
      <c r="OMZ8" s="34"/>
      <c r="ONB8" s="34"/>
      <c r="ONC8" s="72"/>
      <c r="OND8" s="63"/>
      <c r="ONE8" s="34"/>
      <c r="ONF8" s="64"/>
      <c r="ONG8" s="4"/>
      <c r="ONH8" s="65"/>
      <c r="ONI8" s="4"/>
      <c r="ONJ8" s="4"/>
      <c r="ONK8" s="4"/>
      <c r="ONN8" s="34"/>
      <c r="ONO8" s="34"/>
      <c r="ONQ8" s="34"/>
      <c r="ONR8" s="72"/>
      <c r="ONS8" s="63"/>
      <c r="ONT8" s="34"/>
      <c r="ONU8" s="64"/>
      <c r="ONV8" s="4"/>
      <c r="ONW8" s="65"/>
      <c r="ONX8" s="4"/>
      <c r="ONY8" s="4"/>
      <c r="ONZ8" s="4"/>
      <c r="OOC8" s="34"/>
      <c r="OOD8" s="34"/>
      <c r="OOF8" s="34"/>
      <c r="OOG8" s="72"/>
      <c r="OOH8" s="63"/>
      <c r="OOI8" s="34"/>
      <c r="OOJ8" s="64"/>
      <c r="OOK8" s="4"/>
      <c r="OOL8" s="65"/>
      <c r="OOM8" s="4"/>
      <c r="OON8" s="4"/>
      <c r="OOO8" s="4"/>
      <c r="OOR8" s="34"/>
      <c r="OOS8" s="34"/>
      <c r="OOU8" s="34"/>
      <c r="OOV8" s="72"/>
      <c r="OOW8" s="63"/>
      <c r="OOX8" s="34"/>
      <c r="OOY8" s="64"/>
      <c r="OOZ8" s="4"/>
      <c r="OPA8" s="65"/>
      <c r="OPB8" s="4"/>
      <c r="OPC8" s="4"/>
      <c r="OPD8" s="4"/>
      <c r="OPG8" s="34"/>
      <c r="OPH8" s="34"/>
      <c r="OPJ8" s="34"/>
      <c r="OPK8" s="72"/>
      <c r="OPL8" s="63"/>
      <c r="OPM8" s="34"/>
      <c r="OPN8" s="64"/>
      <c r="OPO8" s="4"/>
      <c r="OPP8" s="65"/>
      <c r="OPQ8" s="4"/>
      <c r="OPR8" s="4"/>
      <c r="OPS8" s="4"/>
      <c r="OPV8" s="34"/>
      <c r="OPW8" s="34"/>
      <c r="OPY8" s="34"/>
      <c r="OPZ8" s="72"/>
      <c r="OQA8" s="63"/>
      <c r="OQB8" s="34"/>
      <c r="OQC8" s="64"/>
      <c r="OQD8" s="4"/>
      <c r="OQE8" s="65"/>
      <c r="OQF8" s="4"/>
      <c r="OQG8" s="4"/>
      <c r="OQH8" s="4"/>
      <c r="OQK8" s="34"/>
      <c r="OQL8" s="34"/>
      <c r="OQN8" s="34"/>
      <c r="OQO8" s="72"/>
      <c r="OQP8" s="63"/>
      <c r="OQQ8" s="34"/>
      <c r="OQR8" s="64"/>
      <c r="OQS8" s="4"/>
      <c r="OQT8" s="65"/>
      <c r="OQU8" s="4"/>
      <c r="OQV8" s="4"/>
      <c r="OQW8" s="4"/>
      <c r="OQZ8" s="34"/>
      <c r="ORA8" s="34"/>
      <c r="ORC8" s="34"/>
      <c r="ORD8" s="72"/>
      <c r="ORE8" s="63"/>
      <c r="ORF8" s="34"/>
      <c r="ORG8" s="64"/>
      <c r="ORH8" s="4"/>
      <c r="ORI8" s="65"/>
      <c r="ORJ8" s="4"/>
      <c r="ORK8" s="4"/>
      <c r="ORL8" s="4"/>
      <c r="ORO8" s="34"/>
      <c r="ORP8" s="34"/>
      <c r="ORR8" s="34"/>
      <c r="ORS8" s="72"/>
      <c r="ORT8" s="63"/>
      <c r="ORU8" s="34"/>
      <c r="ORV8" s="64"/>
      <c r="ORW8" s="4"/>
      <c r="ORX8" s="65"/>
      <c r="ORY8" s="4"/>
      <c r="ORZ8" s="4"/>
      <c r="OSA8" s="4"/>
      <c r="OSD8" s="34"/>
      <c r="OSE8" s="34"/>
      <c r="OSG8" s="34"/>
      <c r="OSH8" s="72"/>
      <c r="OSI8" s="63"/>
      <c r="OSJ8" s="34"/>
      <c r="OSK8" s="64"/>
      <c r="OSL8" s="4"/>
      <c r="OSM8" s="65"/>
      <c r="OSN8" s="4"/>
      <c r="OSO8" s="4"/>
      <c r="OSP8" s="4"/>
      <c r="OSS8" s="34"/>
      <c r="OST8" s="34"/>
      <c r="OSV8" s="34"/>
      <c r="OSW8" s="72"/>
      <c r="OSX8" s="63"/>
      <c r="OSY8" s="34"/>
      <c r="OSZ8" s="64"/>
      <c r="OTA8" s="4"/>
      <c r="OTB8" s="65"/>
      <c r="OTC8" s="4"/>
      <c r="OTD8" s="4"/>
      <c r="OTE8" s="4"/>
      <c r="OTH8" s="34"/>
      <c r="OTI8" s="34"/>
      <c r="OTK8" s="34"/>
      <c r="OTL8" s="72"/>
      <c r="OTM8" s="63"/>
      <c r="OTN8" s="34"/>
      <c r="OTO8" s="64"/>
      <c r="OTP8" s="4"/>
      <c r="OTQ8" s="65"/>
      <c r="OTR8" s="4"/>
      <c r="OTS8" s="4"/>
      <c r="OTT8" s="4"/>
      <c r="OTW8" s="34"/>
      <c r="OTX8" s="34"/>
      <c r="OTZ8" s="34"/>
      <c r="OUA8" s="72"/>
      <c r="OUB8" s="63"/>
      <c r="OUC8" s="34"/>
      <c r="OUD8" s="64"/>
      <c r="OUE8" s="4"/>
      <c r="OUF8" s="65"/>
      <c r="OUG8" s="4"/>
      <c r="OUH8" s="4"/>
      <c r="OUI8" s="4"/>
      <c r="OUL8" s="34"/>
      <c r="OUM8" s="34"/>
      <c r="OUO8" s="34"/>
      <c r="OUP8" s="72"/>
      <c r="OUQ8" s="63"/>
      <c r="OUR8" s="34"/>
      <c r="OUS8" s="64"/>
      <c r="OUT8" s="4"/>
      <c r="OUU8" s="65"/>
      <c r="OUV8" s="4"/>
      <c r="OUW8" s="4"/>
      <c r="OUX8" s="4"/>
      <c r="OVA8" s="34"/>
      <c r="OVB8" s="34"/>
      <c r="OVD8" s="34"/>
      <c r="OVE8" s="72"/>
      <c r="OVF8" s="63"/>
      <c r="OVG8" s="34"/>
      <c r="OVH8" s="64"/>
      <c r="OVI8" s="4"/>
      <c r="OVJ8" s="65"/>
      <c r="OVK8" s="4"/>
      <c r="OVL8" s="4"/>
      <c r="OVM8" s="4"/>
      <c r="OVP8" s="34"/>
      <c r="OVQ8" s="34"/>
      <c r="OVS8" s="34"/>
      <c r="OVT8" s="72"/>
      <c r="OVU8" s="63"/>
      <c r="OVV8" s="34"/>
      <c r="OVW8" s="64"/>
      <c r="OVX8" s="4"/>
      <c r="OVY8" s="65"/>
      <c r="OVZ8" s="4"/>
      <c r="OWA8" s="4"/>
      <c r="OWB8" s="4"/>
      <c r="OWE8" s="34"/>
      <c r="OWF8" s="34"/>
      <c r="OWH8" s="34"/>
      <c r="OWI8" s="72"/>
      <c r="OWJ8" s="63"/>
      <c r="OWK8" s="34"/>
      <c r="OWL8" s="64"/>
      <c r="OWM8" s="4"/>
      <c r="OWN8" s="65"/>
      <c r="OWO8" s="4"/>
      <c r="OWP8" s="4"/>
      <c r="OWQ8" s="4"/>
      <c r="OWT8" s="34"/>
      <c r="OWU8" s="34"/>
      <c r="OWW8" s="34"/>
      <c r="OWX8" s="72"/>
      <c r="OWY8" s="63"/>
      <c r="OWZ8" s="34"/>
      <c r="OXA8" s="64"/>
      <c r="OXB8" s="4"/>
      <c r="OXC8" s="65"/>
      <c r="OXD8" s="4"/>
      <c r="OXE8" s="4"/>
      <c r="OXF8" s="4"/>
      <c r="OXI8" s="34"/>
      <c r="OXJ8" s="34"/>
      <c r="OXL8" s="34"/>
      <c r="OXM8" s="72"/>
      <c r="OXN8" s="63"/>
      <c r="OXO8" s="34"/>
      <c r="OXP8" s="64"/>
      <c r="OXQ8" s="4"/>
      <c r="OXR8" s="65"/>
      <c r="OXS8" s="4"/>
      <c r="OXT8" s="4"/>
      <c r="OXU8" s="4"/>
      <c r="OXX8" s="34"/>
      <c r="OXY8" s="34"/>
      <c r="OYA8" s="34"/>
      <c r="OYB8" s="72"/>
      <c r="OYC8" s="63"/>
      <c r="OYD8" s="34"/>
      <c r="OYE8" s="64"/>
      <c r="OYF8" s="4"/>
      <c r="OYG8" s="65"/>
      <c r="OYH8" s="4"/>
      <c r="OYI8" s="4"/>
      <c r="OYJ8" s="4"/>
      <c r="OYM8" s="34"/>
      <c r="OYN8" s="34"/>
      <c r="OYP8" s="34"/>
      <c r="OYQ8" s="72"/>
      <c r="OYR8" s="63"/>
      <c r="OYS8" s="34"/>
      <c r="OYT8" s="64"/>
      <c r="OYU8" s="4"/>
      <c r="OYV8" s="65"/>
      <c r="OYW8" s="4"/>
      <c r="OYX8" s="4"/>
      <c r="OYY8" s="4"/>
      <c r="OZB8" s="34"/>
      <c r="OZC8" s="34"/>
      <c r="OZE8" s="34"/>
      <c r="OZF8" s="72"/>
      <c r="OZG8" s="63"/>
      <c r="OZH8" s="34"/>
      <c r="OZI8" s="64"/>
      <c r="OZJ8" s="4"/>
      <c r="OZK8" s="65"/>
      <c r="OZL8" s="4"/>
      <c r="OZM8" s="4"/>
      <c r="OZN8" s="4"/>
      <c r="OZQ8" s="34"/>
      <c r="OZR8" s="34"/>
      <c r="OZT8" s="34"/>
      <c r="OZU8" s="72"/>
      <c r="OZV8" s="63"/>
      <c r="OZW8" s="34"/>
      <c r="OZX8" s="64"/>
      <c r="OZY8" s="4"/>
      <c r="OZZ8" s="65"/>
      <c r="PAA8" s="4"/>
      <c r="PAB8" s="4"/>
      <c r="PAC8" s="4"/>
      <c r="PAF8" s="34"/>
      <c r="PAG8" s="34"/>
      <c r="PAI8" s="34"/>
      <c r="PAJ8" s="72"/>
      <c r="PAK8" s="63"/>
      <c r="PAL8" s="34"/>
      <c r="PAM8" s="64"/>
      <c r="PAN8" s="4"/>
      <c r="PAO8" s="65"/>
      <c r="PAP8" s="4"/>
      <c r="PAQ8" s="4"/>
      <c r="PAR8" s="4"/>
      <c r="PAU8" s="34"/>
      <c r="PAV8" s="34"/>
      <c r="PAX8" s="34"/>
      <c r="PAY8" s="72"/>
      <c r="PAZ8" s="63"/>
      <c r="PBA8" s="34"/>
      <c r="PBB8" s="64"/>
      <c r="PBC8" s="4"/>
      <c r="PBD8" s="65"/>
      <c r="PBE8" s="4"/>
      <c r="PBF8" s="4"/>
      <c r="PBG8" s="4"/>
      <c r="PBJ8" s="34"/>
      <c r="PBK8" s="34"/>
      <c r="PBM8" s="34"/>
      <c r="PBN8" s="72"/>
      <c r="PBO8" s="63"/>
      <c r="PBP8" s="34"/>
      <c r="PBQ8" s="64"/>
      <c r="PBR8" s="4"/>
      <c r="PBS8" s="65"/>
      <c r="PBT8" s="4"/>
      <c r="PBU8" s="4"/>
      <c r="PBV8" s="4"/>
      <c r="PBY8" s="34"/>
      <c r="PBZ8" s="34"/>
      <c r="PCB8" s="34"/>
      <c r="PCC8" s="72"/>
      <c r="PCD8" s="63"/>
      <c r="PCE8" s="34"/>
      <c r="PCF8" s="64"/>
      <c r="PCG8" s="4"/>
      <c r="PCH8" s="65"/>
      <c r="PCI8" s="4"/>
      <c r="PCJ8" s="4"/>
      <c r="PCK8" s="4"/>
      <c r="PCN8" s="34"/>
      <c r="PCO8" s="34"/>
      <c r="PCQ8" s="34"/>
      <c r="PCR8" s="72"/>
      <c r="PCS8" s="63"/>
      <c r="PCT8" s="34"/>
      <c r="PCU8" s="64"/>
      <c r="PCV8" s="4"/>
      <c r="PCW8" s="65"/>
      <c r="PCX8" s="4"/>
      <c r="PCY8" s="4"/>
      <c r="PCZ8" s="4"/>
      <c r="PDC8" s="34"/>
      <c r="PDD8" s="34"/>
      <c r="PDF8" s="34"/>
      <c r="PDG8" s="72"/>
      <c r="PDH8" s="63"/>
      <c r="PDI8" s="34"/>
      <c r="PDJ8" s="64"/>
      <c r="PDK8" s="4"/>
      <c r="PDL8" s="65"/>
      <c r="PDM8" s="4"/>
      <c r="PDN8" s="4"/>
      <c r="PDO8" s="4"/>
      <c r="PDR8" s="34"/>
      <c r="PDS8" s="34"/>
      <c r="PDU8" s="34"/>
      <c r="PDV8" s="72"/>
      <c r="PDW8" s="63"/>
      <c r="PDX8" s="34"/>
      <c r="PDY8" s="64"/>
      <c r="PDZ8" s="4"/>
      <c r="PEA8" s="65"/>
      <c r="PEB8" s="4"/>
      <c r="PEC8" s="4"/>
      <c r="PED8" s="4"/>
      <c r="PEG8" s="34"/>
      <c r="PEH8" s="34"/>
      <c r="PEJ8" s="34"/>
      <c r="PEK8" s="72"/>
      <c r="PEL8" s="63"/>
      <c r="PEM8" s="34"/>
      <c r="PEN8" s="64"/>
      <c r="PEO8" s="4"/>
      <c r="PEP8" s="65"/>
      <c r="PEQ8" s="4"/>
      <c r="PER8" s="4"/>
      <c r="PES8" s="4"/>
      <c r="PEV8" s="34"/>
      <c r="PEW8" s="34"/>
      <c r="PEY8" s="34"/>
      <c r="PEZ8" s="72"/>
      <c r="PFA8" s="63"/>
      <c r="PFB8" s="34"/>
      <c r="PFC8" s="64"/>
      <c r="PFD8" s="4"/>
      <c r="PFE8" s="65"/>
      <c r="PFF8" s="4"/>
      <c r="PFG8" s="4"/>
      <c r="PFH8" s="4"/>
      <c r="PFK8" s="34"/>
      <c r="PFL8" s="34"/>
      <c r="PFN8" s="34"/>
      <c r="PFO8" s="72"/>
      <c r="PFP8" s="63"/>
      <c r="PFQ8" s="34"/>
      <c r="PFR8" s="64"/>
      <c r="PFS8" s="4"/>
      <c r="PFT8" s="65"/>
      <c r="PFU8" s="4"/>
      <c r="PFV8" s="4"/>
      <c r="PFW8" s="4"/>
      <c r="PFZ8" s="34"/>
      <c r="PGA8" s="34"/>
      <c r="PGC8" s="34"/>
      <c r="PGD8" s="72"/>
      <c r="PGE8" s="63"/>
      <c r="PGF8" s="34"/>
      <c r="PGG8" s="64"/>
      <c r="PGH8" s="4"/>
      <c r="PGI8" s="65"/>
      <c r="PGJ8" s="4"/>
      <c r="PGK8" s="4"/>
      <c r="PGL8" s="4"/>
      <c r="PGO8" s="34"/>
      <c r="PGP8" s="34"/>
      <c r="PGR8" s="34"/>
      <c r="PGS8" s="72"/>
      <c r="PGT8" s="63"/>
      <c r="PGU8" s="34"/>
      <c r="PGV8" s="64"/>
      <c r="PGW8" s="4"/>
      <c r="PGX8" s="65"/>
      <c r="PGY8" s="4"/>
      <c r="PGZ8" s="4"/>
      <c r="PHA8" s="4"/>
      <c r="PHD8" s="34"/>
      <c r="PHE8" s="34"/>
      <c r="PHG8" s="34"/>
      <c r="PHH8" s="72"/>
      <c r="PHI8" s="63"/>
      <c r="PHJ8" s="34"/>
      <c r="PHK8" s="64"/>
      <c r="PHL8" s="4"/>
      <c r="PHM8" s="65"/>
      <c r="PHN8" s="4"/>
      <c r="PHO8" s="4"/>
      <c r="PHP8" s="4"/>
      <c r="PHS8" s="34"/>
      <c r="PHT8" s="34"/>
      <c r="PHV8" s="34"/>
      <c r="PHW8" s="72"/>
      <c r="PHX8" s="63"/>
      <c r="PHY8" s="34"/>
      <c r="PHZ8" s="64"/>
      <c r="PIA8" s="4"/>
      <c r="PIB8" s="65"/>
      <c r="PIC8" s="4"/>
      <c r="PID8" s="4"/>
      <c r="PIE8" s="4"/>
      <c r="PIH8" s="34"/>
      <c r="PII8" s="34"/>
      <c r="PIK8" s="34"/>
      <c r="PIL8" s="72"/>
      <c r="PIM8" s="63"/>
      <c r="PIN8" s="34"/>
      <c r="PIO8" s="64"/>
      <c r="PIP8" s="4"/>
      <c r="PIQ8" s="65"/>
      <c r="PIR8" s="4"/>
      <c r="PIS8" s="4"/>
      <c r="PIT8" s="4"/>
      <c r="PIW8" s="34"/>
      <c r="PIX8" s="34"/>
      <c r="PIZ8" s="34"/>
      <c r="PJA8" s="72"/>
      <c r="PJB8" s="63"/>
      <c r="PJC8" s="34"/>
      <c r="PJD8" s="64"/>
      <c r="PJE8" s="4"/>
      <c r="PJF8" s="65"/>
      <c r="PJG8" s="4"/>
      <c r="PJH8" s="4"/>
      <c r="PJI8" s="4"/>
      <c r="PJL8" s="34"/>
      <c r="PJM8" s="34"/>
      <c r="PJO8" s="34"/>
      <c r="PJP8" s="72"/>
      <c r="PJQ8" s="63"/>
      <c r="PJR8" s="34"/>
      <c r="PJS8" s="64"/>
      <c r="PJT8" s="4"/>
      <c r="PJU8" s="65"/>
      <c r="PJV8" s="4"/>
      <c r="PJW8" s="4"/>
      <c r="PJX8" s="4"/>
      <c r="PKA8" s="34"/>
      <c r="PKB8" s="34"/>
      <c r="PKD8" s="34"/>
      <c r="PKE8" s="72"/>
      <c r="PKF8" s="63"/>
      <c r="PKG8" s="34"/>
      <c r="PKH8" s="64"/>
      <c r="PKI8" s="4"/>
      <c r="PKJ8" s="65"/>
      <c r="PKK8" s="4"/>
      <c r="PKL8" s="4"/>
      <c r="PKM8" s="4"/>
      <c r="PKP8" s="34"/>
      <c r="PKQ8" s="34"/>
      <c r="PKS8" s="34"/>
      <c r="PKT8" s="72"/>
      <c r="PKU8" s="63"/>
      <c r="PKV8" s="34"/>
      <c r="PKW8" s="64"/>
      <c r="PKX8" s="4"/>
      <c r="PKY8" s="65"/>
      <c r="PKZ8" s="4"/>
      <c r="PLA8" s="4"/>
      <c r="PLB8" s="4"/>
      <c r="PLE8" s="34"/>
      <c r="PLF8" s="34"/>
      <c r="PLH8" s="34"/>
      <c r="PLI8" s="72"/>
      <c r="PLJ8" s="63"/>
      <c r="PLK8" s="34"/>
      <c r="PLL8" s="64"/>
      <c r="PLM8" s="4"/>
      <c r="PLN8" s="65"/>
      <c r="PLO8" s="4"/>
      <c r="PLP8" s="4"/>
      <c r="PLQ8" s="4"/>
      <c r="PLT8" s="34"/>
      <c r="PLU8" s="34"/>
      <c r="PLW8" s="34"/>
      <c r="PLX8" s="72"/>
      <c r="PLY8" s="63"/>
      <c r="PLZ8" s="34"/>
      <c r="PMA8" s="64"/>
      <c r="PMB8" s="4"/>
      <c r="PMC8" s="65"/>
      <c r="PMD8" s="4"/>
      <c r="PME8" s="4"/>
      <c r="PMF8" s="4"/>
      <c r="PMI8" s="34"/>
      <c r="PMJ8" s="34"/>
      <c r="PML8" s="34"/>
      <c r="PMM8" s="72"/>
      <c r="PMN8" s="63"/>
      <c r="PMO8" s="34"/>
      <c r="PMP8" s="64"/>
      <c r="PMQ8" s="4"/>
      <c r="PMR8" s="65"/>
      <c r="PMS8" s="4"/>
      <c r="PMT8" s="4"/>
      <c r="PMU8" s="4"/>
      <c r="PMX8" s="34"/>
      <c r="PMY8" s="34"/>
      <c r="PNA8" s="34"/>
      <c r="PNB8" s="72"/>
      <c r="PNC8" s="63"/>
      <c r="PND8" s="34"/>
      <c r="PNE8" s="64"/>
      <c r="PNF8" s="4"/>
      <c r="PNG8" s="65"/>
      <c r="PNH8" s="4"/>
      <c r="PNI8" s="4"/>
      <c r="PNJ8" s="4"/>
      <c r="PNM8" s="34"/>
      <c r="PNN8" s="34"/>
      <c r="PNP8" s="34"/>
      <c r="PNQ8" s="72"/>
      <c r="PNR8" s="63"/>
      <c r="PNS8" s="34"/>
      <c r="PNT8" s="64"/>
      <c r="PNU8" s="4"/>
      <c r="PNV8" s="65"/>
      <c r="PNW8" s="4"/>
      <c r="PNX8" s="4"/>
      <c r="PNY8" s="4"/>
      <c r="POB8" s="34"/>
      <c r="POC8" s="34"/>
      <c r="POE8" s="34"/>
      <c r="POF8" s="72"/>
      <c r="POG8" s="63"/>
      <c r="POH8" s="34"/>
      <c r="POI8" s="64"/>
      <c r="POJ8" s="4"/>
      <c r="POK8" s="65"/>
      <c r="POL8" s="4"/>
      <c r="POM8" s="4"/>
      <c r="PON8" s="4"/>
      <c r="POQ8" s="34"/>
      <c r="POR8" s="34"/>
      <c r="POT8" s="34"/>
      <c r="POU8" s="72"/>
      <c r="POV8" s="63"/>
      <c r="POW8" s="34"/>
      <c r="POX8" s="64"/>
      <c r="POY8" s="4"/>
      <c r="POZ8" s="65"/>
      <c r="PPA8" s="4"/>
      <c r="PPB8" s="4"/>
      <c r="PPC8" s="4"/>
      <c r="PPF8" s="34"/>
      <c r="PPG8" s="34"/>
      <c r="PPI8" s="34"/>
      <c r="PPJ8" s="72"/>
      <c r="PPK8" s="63"/>
      <c r="PPL8" s="34"/>
      <c r="PPM8" s="64"/>
      <c r="PPN8" s="4"/>
      <c r="PPO8" s="65"/>
      <c r="PPP8" s="4"/>
      <c r="PPQ8" s="4"/>
      <c r="PPR8" s="4"/>
      <c r="PPU8" s="34"/>
      <c r="PPV8" s="34"/>
      <c r="PPX8" s="34"/>
      <c r="PPY8" s="72"/>
      <c r="PPZ8" s="63"/>
      <c r="PQA8" s="34"/>
      <c r="PQB8" s="64"/>
      <c r="PQC8" s="4"/>
      <c r="PQD8" s="65"/>
      <c r="PQE8" s="4"/>
      <c r="PQF8" s="4"/>
      <c r="PQG8" s="4"/>
      <c r="PQJ8" s="34"/>
      <c r="PQK8" s="34"/>
      <c r="PQM8" s="34"/>
      <c r="PQN8" s="72"/>
      <c r="PQO8" s="63"/>
      <c r="PQP8" s="34"/>
      <c r="PQQ8" s="64"/>
      <c r="PQR8" s="4"/>
      <c r="PQS8" s="65"/>
      <c r="PQT8" s="4"/>
      <c r="PQU8" s="4"/>
      <c r="PQV8" s="4"/>
      <c r="PQY8" s="34"/>
      <c r="PQZ8" s="34"/>
      <c r="PRB8" s="34"/>
      <c r="PRC8" s="72"/>
      <c r="PRD8" s="63"/>
      <c r="PRE8" s="34"/>
      <c r="PRF8" s="64"/>
      <c r="PRG8" s="4"/>
      <c r="PRH8" s="65"/>
      <c r="PRI8" s="4"/>
      <c r="PRJ8" s="4"/>
      <c r="PRK8" s="4"/>
      <c r="PRN8" s="34"/>
      <c r="PRO8" s="34"/>
      <c r="PRQ8" s="34"/>
      <c r="PRR8" s="72"/>
      <c r="PRS8" s="63"/>
      <c r="PRT8" s="34"/>
      <c r="PRU8" s="64"/>
      <c r="PRV8" s="4"/>
      <c r="PRW8" s="65"/>
      <c r="PRX8" s="4"/>
      <c r="PRY8" s="4"/>
      <c r="PRZ8" s="4"/>
      <c r="PSC8" s="34"/>
      <c r="PSD8" s="34"/>
      <c r="PSF8" s="34"/>
      <c r="PSG8" s="72"/>
      <c r="PSH8" s="63"/>
      <c r="PSI8" s="34"/>
      <c r="PSJ8" s="64"/>
      <c r="PSK8" s="4"/>
      <c r="PSL8" s="65"/>
      <c r="PSM8" s="4"/>
      <c r="PSN8" s="4"/>
      <c r="PSO8" s="4"/>
      <c r="PSR8" s="34"/>
      <c r="PSS8" s="34"/>
      <c r="PSU8" s="34"/>
      <c r="PSV8" s="72"/>
      <c r="PSW8" s="63"/>
      <c r="PSX8" s="34"/>
      <c r="PSY8" s="64"/>
      <c r="PSZ8" s="4"/>
      <c r="PTA8" s="65"/>
      <c r="PTB8" s="4"/>
      <c r="PTC8" s="4"/>
      <c r="PTD8" s="4"/>
      <c r="PTG8" s="34"/>
      <c r="PTH8" s="34"/>
      <c r="PTJ8" s="34"/>
      <c r="PTK8" s="72"/>
      <c r="PTL8" s="63"/>
      <c r="PTM8" s="34"/>
      <c r="PTN8" s="64"/>
      <c r="PTO8" s="4"/>
      <c r="PTP8" s="65"/>
      <c r="PTQ8" s="4"/>
      <c r="PTR8" s="4"/>
      <c r="PTS8" s="4"/>
      <c r="PTV8" s="34"/>
      <c r="PTW8" s="34"/>
      <c r="PTY8" s="34"/>
      <c r="PTZ8" s="72"/>
      <c r="PUA8" s="63"/>
      <c r="PUB8" s="34"/>
      <c r="PUC8" s="64"/>
      <c r="PUD8" s="4"/>
      <c r="PUE8" s="65"/>
      <c r="PUF8" s="4"/>
      <c r="PUG8" s="4"/>
      <c r="PUH8" s="4"/>
      <c r="PUK8" s="34"/>
      <c r="PUL8" s="34"/>
      <c r="PUN8" s="34"/>
      <c r="PUO8" s="72"/>
      <c r="PUP8" s="63"/>
      <c r="PUQ8" s="34"/>
      <c r="PUR8" s="64"/>
      <c r="PUS8" s="4"/>
      <c r="PUT8" s="65"/>
      <c r="PUU8" s="4"/>
      <c r="PUV8" s="4"/>
      <c r="PUW8" s="4"/>
      <c r="PUZ8" s="34"/>
      <c r="PVA8" s="34"/>
      <c r="PVC8" s="34"/>
      <c r="PVD8" s="72"/>
      <c r="PVE8" s="63"/>
      <c r="PVF8" s="34"/>
      <c r="PVG8" s="64"/>
      <c r="PVH8" s="4"/>
      <c r="PVI8" s="65"/>
      <c r="PVJ8" s="4"/>
      <c r="PVK8" s="4"/>
      <c r="PVL8" s="4"/>
      <c r="PVO8" s="34"/>
      <c r="PVP8" s="34"/>
      <c r="PVR8" s="34"/>
      <c r="PVS8" s="72"/>
      <c r="PVT8" s="63"/>
      <c r="PVU8" s="34"/>
      <c r="PVV8" s="64"/>
      <c r="PVW8" s="4"/>
      <c r="PVX8" s="65"/>
      <c r="PVY8" s="4"/>
      <c r="PVZ8" s="4"/>
      <c r="PWA8" s="4"/>
      <c r="PWD8" s="34"/>
      <c r="PWE8" s="34"/>
      <c r="PWG8" s="34"/>
      <c r="PWH8" s="72"/>
      <c r="PWI8" s="63"/>
      <c r="PWJ8" s="34"/>
      <c r="PWK8" s="64"/>
      <c r="PWL8" s="4"/>
      <c r="PWM8" s="65"/>
      <c r="PWN8" s="4"/>
      <c r="PWO8" s="4"/>
      <c r="PWP8" s="4"/>
      <c r="PWS8" s="34"/>
      <c r="PWT8" s="34"/>
      <c r="PWV8" s="34"/>
      <c r="PWW8" s="72"/>
      <c r="PWX8" s="63"/>
      <c r="PWY8" s="34"/>
      <c r="PWZ8" s="64"/>
      <c r="PXA8" s="4"/>
      <c r="PXB8" s="65"/>
      <c r="PXC8" s="4"/>
      <c r="PXD8" s="4"/>
      <c r="PXE8" s="4"/>
      <c r="PXH8" s="34"/>
      <c r="PXI8" s="34"/>
      <c r="PXK8" s="34"/>
      <c r="PXL8" s="72"/>
      <c r="PXM8" s="63"/>
      <c r="PXN8" s="34"/>
      <c r="PXO8" s="64"/>
      <c r="PXP8" s="4"/>
      <c r="PXQ8" s="65"/>
      <c r="PXR8" s="4"/>
      <c r="PXS8" s="4"/>
      <c r="PXT8" s="4"/>
      <c r="PXW8" s="34"/>
      <c r="PXX8" s="34"/>
      <c r="PXZ8" s="34"/>
      <c r="PYA8" s="72"/>
      <c r="PYB8" s="63"/>
      <c r="PYC8" s="34"/>
      <c r="PYD8" s="64"/>
      <c r="PYE8" s="4"/>
      <c r="PYF8" s="65"/>
      <c r="PYG8" s="4"/>
      <c r="PYH8" s="4"/>
      <c r="PYI8" s="4"/>
      <c r="PYL8" s="34"/>
      <c r="PYM8" s="34"/>
      <c r="PYO8" s="34"/>
      <c r="PYP8" s="72"/>
      <c r="PYQ8" s="63"/>
      <c r="PYR8" s="34"/>
      <c r="PYS8" s="64"/>
      <c r="PYT8" s="4"/>
      <c r="PYU8" s="65"/>
      <c r="PYV8" s="4"/>
      <c r="PYW8" s="4"/>
      <c r="PYX8" s="4"/>
      <c r="PZA8" s="34"/>
      <c r="PZB8" s="34"/>
      <c r="PZD8" s="34"/>
      <c r="PZE8" s="72"/>
      <c r="PZF8" s="63"/>
      <c r="PZG8" s="34"/>
      <c r="PZH8" s="64"/>
      <c r="PZI8" s="4"/>
      <c r="PZJ8" s="65"/>
      <c r="PZK8" s="4"/>
      <c r="PZL8" s="4"/>
      <c r="PZM8" s="4"/>
      <c r="PZP8" s="34"/>
      <c r="PZQ8" s="34"/>
      <c r="PZS8" s="34"/>
      <c r="PZT8" s="72"/>
      <c r="PZU8" s="63"/>
      <c r="PZV8" s="34"/>
      <c r="PZW8" s="64"/>
      <c r="PZX8" s="4"/>
      <c r="PZY8" s="65"/>
      <c r="PZZ8" s="4"/>
      <c r="QAA8" s="4"/>
      <c r="QAB8" s="4"/>
      <c r="QAE8" s="34"/>
      <c r="QAF8" s="34"/>
      <c r="QAH8" s="34"/>
      <c r="QAI8" s="72"/>
      <c r="QAJ8" s="63"/>
      <c r="QAK8" s="34"/>
      <c r="QAL8" s="64"/>
      <c r="QAM8" s="4"/>
      <c r="QAN8" s="65"/>
      <c r="QAO8" s="4"/>
      <c r="QAP8" s="4"/>
      <c r="QAQ8" s="4"/>
      <c r="QAT8" s="34"/>
      <c r="QAU8" s="34"/>
      <c r="QAW8" s="34"/>
      <c r="QAX8" s="72"/>
      <c r="QAY8" s="63"/>
      <c r="QAZ8" s="34"/>
      <c r="QBA8" s="64"/>
      <c r="QBB8" s="4"/>
      <c r="QBC8" s="65"/>
      <c r="QBD8" s="4"/>
      <c r="QBE8" s="4"/>
      <c r="QBF8" s="4"/>
      <c r="QBI8" s="34"/>
      <c r="QBJ8" s="34"/>
      <c r="QBL8" s="34"/>
      <c r="QBM8" s="72"/>
      <c r="QBN8" s="63"/>
      <c r="QBO8" s="34"/>
      <c r="QBP8" s="64"/>
      <c r="QBQ8" s="4"/>
      <c r="QBR8" s="65"/>
      <c r="QBS8" s="4"/>
      <c r="QBT8" s="4"/>
      <c r="QBU8" s="4"/>
      <c r="QBX8" s="34"/>
      <c r="QBY8" s="34"/>
      <c r="QCA8" s="34"/>
      <c r="QCB8" s="72"/>
      <c r="QCC8" s="63"/>
      <c r="QCD8" s="34"/>
      <c r="QCE8" s="64"/>
      <c r="QCF8" s="4"/>
      <c r="QCG8" s="65"/>
      <c r="QCH8" s="4"/>
      <c r="QCI8" s="4"/>
      <c r="QCJ8" s="4"/>
      <c r="QCM8" s="34"/>
      <c r="QCN8" s="34"/>
      <c r="QCP8" s="34"/>
      <c r="QCQ8" s="72"/>
      <c r="QCR8" s="63"/>
      <c r="QCS8" s="34"/>
      <c r="QCT8" s="64"/>
      <c r="QCU8" s="4"/>
      <c r="QCV8" s="65"/>
      <c r="QCW8" s="4"/>
      <c r="QCX8" s="4"/>
      <c r="QCY8" s="4"/>
      <c r="QDB8" s="34"/>
      <c r="QDC8" s="34"/>
      <c r="QDE8" s="34"/>
      <c r="QDF8" s="72"/>
      <c r="QDG8" s="63"/>
      <c r="QDH8" s="34"/>
      <c r="QDI8" s="64"/>
      <c r="QDJ8" s="4"/>
      <c r="QDK8" s="65"/>
      <c r="QDL8" s="4"/>
      <c r="QDM8" s="4"/>
      <c r="QDN8" s="4"/>
      <c r="QDQ8" s="34"/>
      <c r="QDR8" s="34"/>
      <c r="QDT8" s="34"/>
      <c r="QDU8" s="72"/>
      <c r="QDV8" s="63"/>
      <c r="QDW8" s="34"/>
      <c r="QDX8" s="64"/>
      <c r="QDY8" s="4"/>
      <c r="QDZ8" s="65"/>
      <c r="QEA8" s="4"/>
      <c r="QEB8" s="4"/>
      <c r="QEC8" s="4"/>
      <c r="QEF8" s="34"/>
      <c r="QEG8" s="34"/>
      <c r="QEI8" s="34"/>
      <c r="QEJ8" s="72"/>
      <c r="QEK8" s="63"/>
      <c r="QEL8" s="34"/>
      <c r="QEM8" s="64"/>
      <c r="QEN8" s="4"/>
      <c r="QEO8" s="65"/>
      <c r="QEP8" s="4"/>
      <c r="QEQ8" s="4"/>
      <c r="QER8" s="4"/>
      <c r="QEU8" s="34"/>
      <c r="QEV8" s="34"/>
      <c r="QEX8" s="34"/>
      <c r="QEY8" s="72"/>
      <c r="QEZ8" s="63"/>
      <c r="QFA8" s="34"/>
      <c r="QFB8" s="64"/>
      <c r="QFC8" s="4"/>
      <c r="QFD8" s="65"/>
      <c r="QFE8" s="4"/>
      <c r="QFF8" s="4"/>
      <c r="QFG8" s="4"/>
      <c r="QFJ8" s="34"/>
      <c r="QFK8" s="34"/>
      <c r="QFM8" s="34"/>
      <c r="QFN8" s="72"/>
      <c r="QFO8" s="63"/>
      <c r="QFP8" s="34"/>
      <c r="QFQ8" s="64"/>
      <c r="QFR8" s="4"/>
      <c r="QFS8" s="65"/>
      <c r="QFT8" s="4"/>
      <c r="QFU8" s="4"/>
      <c r="QFV8" s="4"/>
      <c r="QFY8" s="34"/>
      <c r="QFZ8" s="34"/>
      <c r="QGB8" s="34"/>
      <c r="QGC8" s="72"/>
      <c r="QGD8" s="63"/>
      <c r="QGE8" s="34"/>
      <c r="QGF8" s="64"/>
      <c r="QGG8" s="4"/>
      <c r="QGH8" s="65"/>
      <c r="QGI8" s="4"/>
      <c r="QGJ8" s="4"/>
      <c r="QGK8" s="4"/>
      <c r="QGN8" s="34"/>
      <c r="QGO8" s="34"/>
      <c r="QGQ8" s="34"/>
      <c r="QGR8" s="72"/>
      <c r="QGS8" s="63"/>
      <c r="QGT8" s="34"/>
      <c r="QGU8" s="64"/>
      <c r="QGV8" s="4"/>
      <c r="QGW8" s="65"/>
      <c r="QGX8" s="4"/>
      <c r="QGY8" s="4"/>
      <c r="QGZ8" s="4"/>
      <c r="QHC8" s="34"/>
      <c r="QHD8" s="34"/>
      <c r="QHF8" s="34"/>
      <c r="QHG8" s="72"/>
      <c r="QHH8" s="63"/>
      <c r="QHI8" s="34"/>
      <c r="QHJ8" s="64"/>
      <c r="QHK8" s="4"/>
      <c r="QHL8" s="65"/>
      <c r="QHM8" s="4"/>
      <c r="QHN8" s="4"/>
      <c r="QHO8" s="4"/>
      <c r="QHR8" s="34"/>
      <c r="QHS8" s="34"/>
      <c r="QHU8" s="34"/>
      <c r="QHV8" s="72"/>
      <c r="QHW8" s="63"/>
      <c r="QHX8" s="34"/>
      <c r="QHY8" s="64"/>
      <c r="QHZ8" s="4"/>
      <c r="QIA8" s="65"/>
      <c r="QIB8" s="4"/>
      <c r="QIC8" s="4"/>
      <c r="QID8" s="4"/>
      <c r="QIG8" s="34"/>
      <c r="QIH8" s="34"/>
      <c r="QIJ8" s="34"/>
      <c r="QIK8" s="72"/>
      <c r="QIL8" s="63"/>
      <c r="QIM8" s="34"/>
      <c r="QIN8" s="64"/>
      <c r="QIO8" s="4"/>
      <c r="QIP8" s="65"/>
      <c r="QIQ8" s="4"/>
      <c r="QIR8" s="4"/>
      <c r="QIS8" s="4"/>
      <c r="QIV8" s="34"/>
      <c r="QIW8" s="34"/>
      <c r="QIY8" s="34"/>
      <c r="QIZ8" s="72"/>
      <c r="QJA8" s="63"/>
      <c r="QJB8" s="34"/>
      <c r="QJC8" s="64"/>
      <c r="QJD8" s="4"/>
      <c r="QJE8" s="65"/>
      <c r="QJF8" s="4"/>
      <c r="QJG8" s="4"/>
      <c r="QJH8" s="4"/>
      <c r="QJK8" s="34"/>
      <c r="QJL8" s="34"/>
      <c r="QJN8" s="34"/>
      <c r="QJO8" s="72"/>
      <c r="QJP8" s="63"/>
      <c r="QJQ8" s="34"/>
      <c r="QJR8" s="64"/>
      <c r="QJS8" s="4"/>
      <c r="QJT8" s="65"/>
      <c r="QJU8" s="4"/>
      <c r="QJV8" s="4"/>
      <c r="QJW8" s="4"/>
      <c r="QJZ8" s="34"/>
      <c r="QKA8" s="34"/>
      <c r="QKC8" s="34"/>
      <c r="QKD8" s="72"/>
      <c r="QKE8" s="63"/>
      <c r="QKF8" s="34"/>
      <c r="QKG8" s="64"/>
      <c r="QKH8" s="4"/>
      <c r="QKI8" s="65"/>
      <c r="QKJ8" s="4"/>
      <c r="QKK8" s="4"/>
      <c r="QKL8" s="4"/>
      <c r="QKO8" s="34"/>
      <c r="QKP8" s="34"/>
      <c r="QKR8" s="34"/>
      <c r="QKS8" s="72"/>
      <c r="QKT8" s="63"/>
      <c r="QKU8" s="34"/>
      <c r="QKV8" s="64"/>
      <c r="QKW8" s="4"/>
      <c r="QKX8" s="65"/>
      <c r="QKY8" s="4"/>
      <c r="QKZ8" s="4"/>
      <c r="QLA8" s="4"/>
      <c r="QLD8" s="34"/>
      <c r="QLE8" s="34"/>
      <c r="QLG8" s="34"/>
      <c r="QLH8" s="72"/>
      <c r="QLI8" s="63"/>
      <c r="QLJ8" s="34"/>
      <c r="QLK8" s="64"/>
      <c r="QLL8" s="4"/>
      <c r="QLM8" s="65"/>
      <c r="QLN8" s="4"/>
      <c r="QLO8" s="4"/>
      <c r="QLP8" s="4"/>
      <c r="QLS8" s="34"/>
      <c r="QLT8" s="34"/>
      <c r="QLV8" s="34"/>
      <c r="QLW8" s="72"/>
      <c r="QLX8" s="63"/>
      <c r="QLY8" s="34"/>
      <c r="QLZ8" s="64"/>
      <c r="QMA8" s="4"/>
      <c r="QMB8" s="65"/>
      <c r="QMC8" s="4"/>
      <c r="QMD8" s="4"/>
      <c r="QME8" s="4"/>
      <c r="QMH8" s="34"/>
      <c r="QMI8" s="34"/>
      <c r="QMK8" s="34"/>
      <c r="QML8" s="72"/>
      <c r="QMM8" s="63"/>
      <c r="QMN8" s="34"/>
      <c r="QMO8" s="64"/>
      <c r="QMP8" s="4"/>
      <c r="QMQ8" s="65"/>
      <c r="QMR8" s="4"/>
      <c r="QMS8" s="4"/>
      <c r="QMT8" s="4"/>
      <c r="QMW8" s="34"/>
      <c r="QMX8" s="34"/>
      <c r="QMZ8" s="34"/>
      <c r="QNA8" s="72"/>
      <c r="QNB8" s="63"/>
      <c r="QNC8" s="34"/>
      <c r="QND8" s="64"/>
      <c r="QNE8" s="4"/>
      <c r="QNF8" s="65"/>
      <c r="QNG8" s="4"/>
      <c r="QNH8" s="4"/>
      <c r="QNI8" s="4"/>
      <c r="QNL8" s="34"/>
      <c r="QNM8" s="34"/>
      <c r="QNO8" s="34"/>
      <c r="QNP8" s="72"/>
      <c r="QNQ8" s="63"/>
      <c r="QNR8" s="34"/>
      <c r="QNS8" s="64"/>
      <c r="QNT8" s="4"/>
      <c r="QNU8" s="65"/>
      <c r="QNV8" s="4"/>
      <c r="QNW8" s="4"/>
      <c r="QNX8" s="4"/>
      <c r="QOA8" s="34"/>
      <c r="QOB8" s="34"/>
      <c r="QOD8" s="34"/>
      <c r="QOE8" s="72"/>
      <c r="QOF8" s="63"/>
      <c r="QOG8" s="34"/>
      <c r="QOH8" s="64"/>
      <c r="QOI8" s="4"/>
      <c r="QOJ8" s="65"/>
      <c r="QOK8" s="4"/>
      <c r="QOL8" s="4"/>
      <c r="QOM8" s="4"/>
      <c r="QOP8" s="34"/>
      <c r="QOQ8" s="34"/>
      <c r="QOS8" s="34"/>
      <c r="QOT8" s="72"/>
      <c r="QOU8" s="63"/>
      <c r="QOV8" s="34"/>
      <c r="QOW8" s="64"/>
      <c r="QOX8" s="4"/>
      <c r="QOY8" s="65"/>
      <c r="QOZ8" s="4"/>
      <c r="QPA8" s="4"/>
      <c r="QPB8" s="4"/>
      <c r="QPE8" s="34"/>
      <c r="QPF8" s="34"/>
      <c r="QPH8" s="34"/>
      <c r="QPI8" s="72"/>
      <c r="QPJ8" s="63"/>
      <c r="QPK8" s="34"/>
      <c r="QPL8" s="64"/>
      <c r="QPM8" s="4"/>
      <c r="QPN8" s="65"/>
      <c r="QPO8" s="4"/>
      <c r="QPP8" s="4"/>
      <c r="QPQ8" s="4"/>
      <c r="QPT8" s="34"/>
      <c r="QPU8" s="34"/>
      <c r="QPW8" s="34"/>
      <c r="QPX8" s="72"/>
      <c r="QPY8" s="63"/>
      <c r="QPZ8" s="34"/>
      <c r="QQA8" s="64"/>
      <c r="QQB8" s="4"/>
      <c r="QQC8" s="65"/>
      <c r="QQD8" s="4"/>
      <c r="QQE8" s="4"/>
      <c r="QQF8" s="4"/>
      <c r="QQI8" s="34"/>
      <c r="QQJ8" s="34"/>
      <c r="QQL8" s="34"/>
      <c r="QQM8" s="72"/>
      <c r="QQN8" s="63"/>
      <c r="QQO8" s="34"/>
      <c r="QQP8" s="64"/>
      <c r="QQQ8" s="4"/>
      <c r="QQR8" s="65"/>
      <c r="QQS8" s="4"/>
      <c r="QQT8" s="4"/>
      <c r="QQU8" s="4"/>
      <c r="QQX8" s="34"/>
      <c r="QQY8" s="34"/>
      <c r="QRA8" s="34"/>
      <c r="QRB8" s="72"/>
      <c r="QRC8" s="63"/>
      <c r="QRD8" s="34"/>
      <c r="QRE8" s="64"/>
      <c r="QRF8" s="4"/>
      <c r="QRG8" s="65"/>
      <c r="QRH8" s="4"/>
      <c r="QRI8" s="4"/>
      <c r="QRJ8" s="4"/>
      <c r="QRM8" s="34"/>
      <c r="QRN8" s="34"/>
      <c r="QRP8" s="34"/>
      <c r="QRQ8" s="72"/>
      <c r="QRR8" s="63"/>
      <c r="QRS8" s="34"/>
      <c r="QRT8" s="64"/>
      <c r="QRU8" s="4"/>
      <c r="QRV8" s="65"/>
      <c r="QRW8" s="4"/>
      <c r="QRX8" s="4"/>
      <c r="QRY8" s="4"/>
      <c r="QSB8" s="34"/>
      <c r="QSC8" s="34"/>
      <c r="QSE8" s="34"/>
      <c r="QSF8" s="72"/>
      <c r="QSG8" s="63"/>
      <c r="QSH8" s="34"/>
      <c r="QSI8" s="64"/>
      <c r="QSJ8" s="4"/>
      <c r="QSK8" s="65"/>
      <c r="QSL8" s="4"/>
      <c r="QSM8" s="4"/>
      <c r="QSN8" s="4"/>
      <c r="QSQ8" s="34"/>
      <c r="QSR8" s="34"/>
      <c r="QST8" s="34"/>
      <c r="QSU8" s="72"/>
      <c r="QSV8" s="63"/>
      <c r="QSW8" s="34"/>
      <c r="QSX8" s="64"/>
      <c r="QSY8" s="4"/>
      <c r="QSZ8" s="65"/>
      <c r="QTA8" s="4"/>
      <c r="QTB8" s="4"/>
      <c r="QTC8" s="4"/>
      <c r="QTF8" s="34"/>
      <c r="QTG8" s="34"/>
      <c r="QTI8" s="34"/>
      <c r="QTJ8" s="72"/>
      <c r="QTK8" s="63"/>
      <c r="QTL8" s="34"/>
      <c r="QTM8" s="64"/>
      <c r="QTN8" s="4"/>
      <c r="QTO8" s="65"/>
      <c r="QTP8" s="4"/>
      <c r="QTQ8" s="4"/>
      <c r="QTR8" s="4"/>
      <c r="QTU8" s="34"/>
      <c r="QTV8" s="34"/>
      <c r="QTX8" s="34"/>
      <c r="QTY8" s="72"/>
      <c r="QTZ8" s="63"/>
      <c r="QUA8" s="34"/>
      <c r="QUB8" s="64"/>
      <c r="QUC8" s="4"/>
      <c r="QUD8" s="65"/>
      <c r="QUE8" s="4"/>
      <c r="QUF8" s="4"/>
      <c r="QUG8" s="4"/>
      <c r="QUJ8" s="34"/>
      <c r="QUK8" s="34"/>
      <c r="QUM8" s="34"/>
      <c r="QUN8" s="72"/>
      <c r="QUO8" s="63"/>
      <c r="QUP8" s="34"/>
      <c r="QUQ8" s="64"/>
      <c r="QUR8" s="4"/>
      <c r="QUS8" s="65"/>
      <c r="QUT8" s="4"/>
      <c r="QUU8" s="4"/>
      <c r="QUV8" s="4"/>
      <c r="QUY8" s="34"/>
      <c r="QUZ8" s="34"/>
      <c r="QVB8" s="34"/>
      <c r="QVC8" s="72"/>
      <c r="QVD8" s="63"/>
      <c r="QVE8" s="34"/>
      <c r="QVF8" s="64"/>
      <c r="QVG8" s="4"/>
      <c r="QVH8" s="65"/>
      <c r="QVI8" s="4"/>
      <c r="QVJ8" s="4"/>
      <c r="QVK8" s="4"/>
      <c r="QVN8" s="34"/>
      <c r="QVO8" s="34"/>
      <c r="QVQ8" s="34"/>
      <c r="QVR8" s="72"/>
      <c r="QVS8" s="63"/>
      <c r="QVT8" s="34"/>
      <c r="QVU8" s="64"/>
      <c r="QVV8" s="4"/>
      <c r="QVW8" s="65"/>
      <c r="QVX8" s="4"/>
      <c r="QVY8" s="4"/>
      <c r="QVZ8" s="4"/>
      <c r="QWC8" s="34"/>
      <c r="QWD8" s="34"/>
      <c r="QWF8" s="34"/>
      <c r="QWG8" s="72"/>
      <c r="QWH8" s="63"/>
      <c r="QWI8" s="34"/>
      <c r="QWJ8" s="64"/>
      <c r="QWK8" s="4"/>
      <c r="QWL8" s="65"/>
      <c r="QWM8" s="4"/>
      <c r="QWN8" s="4"/>
      <c r="QWO8" s="4"/>
      <c r="QWR8" s="34"/>
      <c r="QWS8" s="34"/>
      <c r="QWU8" s="34"/>
      <c r="QWV8" s="72"/>
      <c r="QWW8" s="63"/>
      <c r="QWX8" s="34"/>
      <c r="QWY8" s="64"/>
      <c r="QWZ8" s="4"/>
      <c r="QXA8" s="65"/>
      <c r="QXB8" s="4"/>
      <c r="QXC8" s="4"/>
      <c r="QXD8" s="4"/>
      <c r="QXG8" s="34"/>
      <c r="QXH8" s="34"/>
      <c r="QXJ8" s="34"/>
      <c r="QXK8" s="72"/>
      <c r="QXL8" s="63"/>
      <c r="QXM8" s="34"/>
      <c r="QXN8" s="64"/>
      <c r="QXO8" s="4"/>
      <c r="QXP8" s="65"/>
      <c r="QXQ8" s="4"/>
      <c r="QXR8" s="4"/>
      <c r="QXS8" s="4"/>
      <c r="QXV8" s="34"/>
      <c r="QXW8" s="34"/>
      <c r="QXY8" s="34"/>
      <c r="QXZ8" s="72"/>
      <c r="QYA8" s="63"/>
      <c r="QYB8" s="34"/>
      <c r="QYC8" s="64"/>
      <c r="QYD8" s="4"/>
      <c r="QYE8" s="65"/>
      <c r="QYF8" s="4"/>
      <c r="QYG8" s="4"/>
      <c r="QYH8" s="4"/>
      <c r="QYK8" s="34"/>
      <c r="QYL8" s="34"/>
      <c r="QYN8" s="34"/>
      <c r="QYO8" s="72"/>
      <c r="QYP8" s="63"/>
      <c r="QYQ8" s="34"/>
      <c r="QYR8" s="64"/>
      <c r="QYS8" s="4"/>
      <c r="QYT8" s="65"/>
      <c r="QYU8" s="4"/>
      <c r="QYV8" s="4"/>
      <c r="QYW8" s="4"/>
      <c r="QYZ8" s="34"/>
      <c r="QZA8" s="34"/>
      <c r="QZC8" s="34"/>
      <c r="QZD8" s="72"/>
      <c r="QZE8" s="63"/>
      <c r="QZF8" s="34"/>
      <c r="QZG8" s="64"/>
      <c r="QZH8" s="4"/>
      <c r="QZI8" s="65"/>
      <c r="QZJ8" s="4"/>
      <c r="QZK8" s="4"/>
      <c r="QZL8" s="4"/>
      <c r="QZO8" s="34"/>
      <c r="QZP8" s="34"/>
      <c r="QZR8" s="34"/>
      <c r="QZS8" s="72"/>
      <c r="QZT8" s="63"/>
      <c r="QZU8" s="34"/>
      <c r="QZV8" s="64"/>
      <c r="QZW8" s="4"/>
      <c r="QZX8" s="65"/>
      <c r="QZY8" s="4"/>
      <c r="QZZ8" s="4"/>
      <c r="RAA8" s="4"/>
      <c r="RAD8" s="34"/>
      <c r="RAE8" s="34"/>
      <c r="RAG8" s="34"/>
      <c r="RAH8" s="72"/>
      <c r="RAI8" s="63"/>
      <c r="RAJ8" s="34"/>
      <c r="RAK8" s="64"/>
      <c r="RAL8" s="4"/>
      <c r="RAM8" s="65"/>
      <c r="RAN8" s="4"/>
      <c r="RAO8" s="4"/>
      <c r="RAP8" s="4"/>
      <c r="RAS8" s="34"/>
      <c r="RAT8" s="34"/>
      <c r="RAV8" s="34"/>
      <c r="RAW8" s="72"/>
      <c r="RAX8" s="63"/>
      <c r="RAY8" s="34"/>
      <c r="RAZ8" s="64"/>
      <c r="RBA8" s="4"/>
      <c r="RBB8" s="65"/>
      <c r="RBC8" s="4"/>
      <c r="RBD8" s="4"/>
      <c r="RBE8" s="4"/>
      <c r="RBH8" s="34"/>
      <c r="RBI8" s="34"/>
      <c r="RBK8" s="34"/>
      <c r="RBL8" s="72"/>
      <c r="RBM8" s="63"/>
      <c r="RBN8" s="34"/>
      <c r="RBO8" s="64"/>
      <c r="RBP8" s="4"/>
      <c r="RBQ8" s="65"/>
      <c r="RBR8" s="4"/>
      <c r="RBS8" s="4"/>
      <c r="RBT8" s="4"/>
      <c r="RBW8" s="34"/>
      <c r="RBX8" s="34"/>
      <c r="RBZ8" s="34"/>
      <c r="RCA8" s="72"/>
      <c r="RCB8" s="63"/>
      <c r="RCC8" s="34"/>
      <c r="RCD8" s="64"/>
      <c r="RCE8" s="4"/>
      <c r="RCF8" s="65"/>
      <c r="RCG8" s="4"/>
      <c r="RCH8" s="4"/>
      <c r="RCI8" s="4"/>
      <c r="RCL8" s="34"/>
      <c r="RCM8" s="34"/>
      <c r="RCO8" s="34"/>
      <c r="RCP8" s="72"/>
      <c r="RCQ8" s="63"/>
      <c r="RCR8" s="34"/>
      <c r="RCS8" s="64"/>
      <c r="RCT8" s="4"/>
      <c r="RCU8" s="65"/>
      <c r="RCV8" s="4"/>
      <c r="RCW8" s="4"/>
      <c r="RCX8" s="4"/>
      <c r="RDA8" s="34"/>
      <c r="RDB8" s="34"/>
      <c r="RDD8" s="34"/>
      <c r="RDE8" s="72"/>
      <c r="RDF8" s="63"/>
      <c r="RDG8" s="34"/>
      <c r="RDH8" s="64"/>
      <c r="RDI8" s="4"/>
      <c r="RDJ8" s="65"/>
      <c r="RDK8" s="4"/>
      <c r="RDL8" s="4"/>
      <c r="RDM8" s="4"/>
      <c r="RDP8" s="34"/>
      <c r="RDQ8" s="34"/>
      <c r="RDS8" s="34"/>
      <c r="RDT8" s="72"/>
      <c r="RDU8" s="63"/>
      <c r="RDV8" s="34"/>
      <c r="RDW8" s="64"/>
      <c r="RDX8" s="4"/>
      <c r="RDY8" s="65"/>
      <c r="RDZ8" s="4"/>
      <c r="REA8" s="4"/>
      <c r="REB8" s="4"/>
      <c r="REE8" s="34"/>
      <c r="REF8" s="34"/>
      <c r="REH8" s="34"/>
      <c r="REI8" s="72"/>
      <c r="REJ8" s="63"/>
      <c r="REK8" s="34"/>
      <c r="REL8" s="64"/>
      <c r="REM8" s="4"/>
      <c r="REN8" s="65"/>
      <c r="REO8" s="4"/>
      <c r="REP8" s="4"/>
      <c r="REQ8" s="4"/>
      <c r="RET8" s="34"/>
      <c r="REU8" s="34"/>
      <c r="REW8" s="34"/>
      <c r="REX8" s="72"/>
      <c r="REY8" s="63"/>
      <c r="REZ8" s="34"/>
      <c r="RFA8" s="64"/>
      <c r="RFB8" s="4"/>
      <c r="RFC8" s="65"/>
      <c r="RFD8" s="4"/>
      <c r="RFE8" s="4"/>
      <c r="RFF8" s="4"/>
      <c r="RFI8" s="34"/>
      <c r="RFJ8" s="34"/>
      <c r="RFL8" s="34"/>
      <c r="RFM8" s="72"/>
      <c r="RFN8" s="63"/>
      <c r="RFO8" s="34"/>
      <c r="RFP8" s="64"/>
      <c r="RFQ8" s="4"/>
      <c r="RFR8" s="65"/>
      <c r="RFS8" s="4"/>
      <c r="RFT8" s="4"/>
      <c r="RFU8" s="4"/>
      <c r="RFX8" s="34"/>
      <c r="RFY8" s="34"/>
      <c r="RGA8" s="34"/>
      <c r="RGB8" s="72"/>
      <c r="RGC8" s="63"/>
      <c r="RGD8" s="34"/>
      <c r="RGE8" s="64"/>
      <c r="RGF8" s="4"/>
      <c r="RGG8" s="65"/>
      <c r="RGH8" s="4"/>
      <c r="RGI8" s="4"/>
      <c r="RGJ8" s="4"/>
      <c r="RGM8" s="34"/>
      <c r="RGN8" s="34"/>
      <c r="RGP8" s="34"/>
      <c r="RGQ8" s="72"/>
      <c r="RGR8" s="63"/>
      <c r="RGS8" s="34"/>
      <c r="RGT8" s="64"/>
      <c r="RGU8" s="4"/>
      <c r="RGV8" s="65"/>
      <c r="RGW8" s="4"/>
      <c r="RGX8" s="4"/>
      <c r="RGY8" s="4"/>
      <c r="RHB8" s="34"/>
      <c r="RHC8" s="34"/>
      <c r="RHE8" s="34"/>
      <c r="RHF8" s="72"/>
      <c r="RHG8" s="63"/>
      <c r="RHH8" s="34"/>
      <c r="RHI8" s="64"/>
      <c r="RHJ8" s="4"/>
      <c r="RHK8" s="65"/>
      <c r="RHL8" s="4"/>
      <c r="RHM8" s="4"/>
      <c r="RHN8" s="4"/>
      <c r="RHQ8" s="34"/>
      <c r="RHR8" s="34"/>
      <c r="RHT8" s="34"/>
      <c r="RHU8" s="72"/>
      <c r="RHV8" s="63"/>
      <c r="RHW8" s="34"/>
      <c r="RHX8" s="64"/>
      <c r="RHY8" s="4"/>
      <c r="RHZ8" s="65"/>
      <c r="RIA8" s="4"/>
      <c r="RIB8" s="4"/>
      <c r="RIC8" s="4"/>
      <c r="RIF8" s="34"/>
      <c r="RIG8" s="34"/>
      <c r="RII8" s="34"/>
      <c r="RIJ8" s="72"/>
      <c r="RIK8" s="63"/>
      <c r="RIL8" s="34"/>
      <c r="RIM8" s="64"/>
      <c r="RIN8" s="4"/>
      <c r="RIO8" s="65"/>
      <c r="RIP8" s="4"/>
      <c r="RIQ8" s="4"/>
      <c r="RIR8" s="4"/>
      <c r="RIU8" s="34"/>
      <c r="RIV8" s="34"/>
      <c r="RIX8" s="34"/>
      <c r="RIY8" s="72"/>
      <c r="RIZ8" s="63"/>
      <c r="RJA8" s="34"/>
      <c r="RJB8" s="64"/>
      <c r="RJC8" s="4"/>
      <c r="RJD8" s="65"/>
      <c r="RJE8" s="4"/>
      <c r="RJF8" s="4"/>
      <c r="RJG8" s="4"/>
      <c r="RJJ8" s="34"/>
      <c r="RJK8" s="34"/>
      <c r="RJM8" s="34"/>
      <c r="RJN8" s="72"/>
      <c r="RJO8" s="63"/>
      <c r="RJP8" s="34"/>
      <c r="RJQ8" s="64"/>
      <c r="RJR8" s="4"/>
      <c r="RJS8" s="65"/>
      <c r="RJT8" s="4"/>
      <c r="RJU8" s="4"/>
      <c r="RJV8" s="4"/>
      <c r="RJY8" s="34"/>
      <c r="RJZ8" s="34"/>
      <c r="RKB8" s="34"/>
      <c r="RKC8" s="72"/>
      <c r="RKD8" s="63"/>
      <c r="RKE8" s="34"/>
      <c r="RKF8" s="64"/>
      <c r="RKG8" s="4"/>
      <c r="RKH8" s="65"/>
      <c r="RKI8" s="4"/>
      <c r="RKJ8" s="4"/>
      <c r="RKK8" s="4"/>
      <c r="RKN8" s="34"/>
      <c r="RKO8" s="34"/>
      <c r="RKQ8" s="34"/>
      <c r="RKR8" s="72"/>
      <c r="RKS8" s="63"/>
      <c r="RKT8" s="34"/>
      <c r="RKU8" s="64"/>
      <c r="RKV8" s="4"/>
      <c r="RKW8" s="65"/>
      <c r="RKX8" s="4"/>
      <c r="RKY8" s="4"/>
      <c r="RKZ8" s="4"/>
      <c r="RLC8" s="34"/>
      <c r="RLD8" s="34"/>
      <c r="RLF8" s="34"/>
      <c r="RLG8" s="72"/>
      <c r="RLH8" s="63"/>
      <c r="RLI8" s="34"/>
      <c r="RLJ8" s="64"/>
      <c r="RLK8" s="4"/>
      <c r="RLL8" s="65"/>
      <c r="RLM8" s="4"/>
      <c r="RLN8" s="4"/>
      <c r="RLO8" s="4"/>
      <c r="RLR8" s="34"/>
      <c r="RLS8" s="34"/>
      <c r="RLU8" s="34"/>
      <c r="RLV8" s="72"/>
      <c r="RLW8" s="63"/>
      <c r="RLX8" s="34"/>
      <c r="RLY8" s="64"/>
      <c r="RLZ8" s="4"/>
      <c r="RMA8" s="65"/>
      <c r="RMB8" s="4"/>
      <c r="RMC8" s="4"/>
      <c r="RMD8" s="4"/>
      <c r="RMG8" s="34"/>
      <c r="RMH8" s="34"/>
      <c r="RMJ8" s="34"/>
      <c r="RMK8" s="72"/>
      <c r="RML8" s="63"/>
      <c r="RMM8" s="34"/>
      <c r="RMN8" s="64"/>
      <c r="RMO8" s="4"/>
      <c r="RMP8" s="65"/>
      <c r="RMQ8" s="4"/>
      <c r="RMR8" s="4"/>
      <c r="RMS8" s="4"/>
      <c r="RMV8" s="34"/>
      <c r="RMW8" s="34"/>
      <c r="RMY8" s="34"/>
      <c r="RMZ8" s="72"/>
      <c r="RNA8" s="63"/>
      <c r="RNB8" s="34"/>
      <c r="RNC8" s="64"/>
      <c r="RND8" s="4"/>
      <c r="RNE8" s="65"/>
      <c r="RNF8" s="4"/>
      <c r="RNG8" s="4"/>
      <c r="RNH8" s="4"/>
      <c r="RNK8" s="34"/>
      <c r="RNL8" s="34"/>
      <c r="RNN8" s="34"/>
      <c r="RNO8" s="72"/>
      <c r="RNP8" s="63"/>
      <c r="RNQ8" s="34"/>
      <c r="RNR8" s="64"/>
      <c r="RNS8" s="4"/>
      <c r="RNT8" s="65"/>
      <c r="RNU8" s="4"/>
      <c r="RNV8" s="4"/>
      <c r="RNW8" s="4"/>
      <c r="RNZ8" s="34"/>
      <c r="ROA8" s="34"/>
      <c r="ROC8" s="34"/>
      <c r="ROD8" s="72"/>
      <c r="ROE8" s="63"/>
      <c r="ROF8" s="34"/>
      <c r="ROG8" s="64"/>
      <c r="ROH8" s="4"/>
      <c r="ROI8" s="65"/>
      <c r="ROJ8" s="4"/>
      <c r="ROK8" s="4"/>
      <c r="ROL8" s="4"/>
      <c r="ROO8" s="34"/>
      <c r="ROP8" s="34"/>
      <c r="ROR8" s="34"/>
      <c r="ROS8" s="72"/>
      <c r="ROT8" s="63"/>
      <c r="ROU8" s="34"/>
      <c r="ROV8" s="64"/>
      <c r="ROW8" s="4"/>
      <c r="ROX8" s="65"/>
      <c r="ROY8" s="4"/>
      <c r="ROZ8" s="4"/>
      <c r="RPA8" s="4"/>
      <c r="RPD8" s="34"/>
      <c r="RPE8" s="34"/>
      <c r="RPG8" s="34"/>
      <c r="RPH8" s="72"/>
      <c r="RPI8" s="63"/>
      <c r="RPJ8" s="34"/>
      <c r="RPK8" s="64"/>
      <c r="RPL8" s="4"/>
      <c r="RPM8" s="65"/>
      <c r="RPN8" s="4"/>
      <c r="RPO8" s="4"/>
      <c r="RPP8" s="4"/>
      <c r="RPS8" s="34"/>
      <c r="RPT8" s="34"/>
      <c r="RPV8" s="34"/>
      <c r="RPW8" s="72"/>
      <c r="RPX8" s="63"/>
      <c r="RPY8" s="34"/>
      <c r="RPZ8" s="64"/>
      <c r="RQA8" s="4"/>
      <c r="RQB8" s="65"/>
      <c r="RQC8" s="4"/>
      <c r="RQD8" s="4"/>
      <c r="RQE8" s="4"/>
      <c r="RQH8" s="34"/>
      <c r="RQI8" s="34"/>
      <c r="RQK8" s="34"/>
      <c r="RQL8" s="72"/>
      <c r="RQM8" s="63"/>
      <c r="RQN8" s="34"/>
      <c r="RQO8" s="64"/>
      <c r="RQP8" s="4"/>
      <c r="RQQ8" s="65"/>
      <c r="RQR8" s="4"/>
      <c r="RQS8" s="4"/>
      <c r="RQT8" s="4"/>
      <c r="RQW8" s="34"/>
      <c r="RQX8" s="34"/>
      <c r="RQZ8" s="34"/>
      <c r="RRA8" s="72"/>
      <c r="RRB8" s="63"/>
      <c r="RRC8" s="34"/>
      <c r="RRD8" s="64"/>
      <c r="RRE8" s="4"/>
      <c r="RRF8" s="65"/>
      <c r="RRG8" s="4"/>
      <c r="RRH8" s="4"/>
      <c r="RRI8" s="4"/>
      <c r="RRL8" s="34"/>
      <c r="RRM8" s="34"/>
      <c r="RRO8" s="34"/>
      <c r="RRP8" s="72"/>
      <c r="RRQ8" s="63"/>
      <c r="RRR8" s="34"/>
      <c r="RRS8" s="64"/>
      <c r="RRT8" s="4"/>
      <c r="RRU8" s="65"/>
      <c r="RRV8" s="4"/>
      <c r="RRW8" s="4"/>
      <c r="RRX8" s="4"/>
      <c r="RSA8" s="34"/>
      <c r="RSB8" s="34"/>
      <c r="RSD8" s="34"/>
      <c r="RSE8" s="72"/>
      <c r="RSF8" s="63"/>
      <c r="RSG8" s="34"/>
      <c r="RSH8" s="64"/>
      <c r="RSI8" s="4"/>
      <c r="RSJ8" s="65"/>
      <c r="RSK8" s="4"/>
      <c r="RSL8" s="4"/>
      <c r="RSM8" s="4"/>
      <c r="RSP8" s="34"/>
      <c r="RSQ8" s="34"/>
      <c r="RSS8" s="34"/>
      <c r="RST8" s="72"/>
      <c r="RSU8" s="63"/>
      <c r="RSV8" s="34"/>
      <c r="RSW8" s="64"/>
      <c r="RSX8" s="4"/>
      <c r="RSY8" s="65"/>
      <c r="RSZ8" s="4"/>
      <c r="RTA8" s="4"/>
      <c r="RTB8" s="4"/>
      <c r="RTE8" s="34"/>
      <c r="RTF8" s="34"/>
      <c r="RTH8" s="34"/>
      <c r="RTI8" s="72"/>
      <c r="RTJ8" s="63"/>
      <c r="RTK8" s="34"/>
      <c r="RTL8" s="64"/>
      <c r="RTM8" s="4"/>
      <c r="RTN8" s="65"/>
      <c r="RTO8" s="4"/>
      <c r="RTP8" s="4"/>
      <c r="RTQ8" s="4"/>
      <c r="RTT8" s="34"/>
      <c r="RTU8" s="34"/>
      <c r="RTW8" s="34"/>
      <c r="RTX8" s="72"/>
      <c r="RTY8" s="63"/>
      <c r="RTZ8" s="34"/>
      <c r="RUA8" s="64"/>
      <c r="RUB8" s="4"/>
      <c r="RUC8" s="65"/>
      <c r="RUD8" s="4"/>
      <c r="RUE8" s="4"/>
      <c r="RUF8" s="4"/>
      <c r="RUI8" s="34"/>
      <c r="RUJ8" s="34"/>
      <c r="RUL8" s="34"/>
      <c r="RUM8" s="72"/>
      <c r="RUN8" s="63"/>
      <c r="RUO8" s="34"/>
      <c r="RUP8" s="64"/>
      <c r="RUQ8" s="4"/>
      <c r="RUR8" s="65"/>
      <c r="RUS8" s="4"/>
      <c r="RUT8" s="4"/>
      <c r="RUU8" s="4"/>
      <c r="RUX8" s="34"/>
      <c r="RUY8" s="34"/>
      <c r="RVA8" s="34"/>
      <c r="RVB8" s="72"/>
      <c r="RVC8" s="63"/>
      <c r="RVD8" s="34"/>
      <c r="RVE8" s="64"/>
      <c r="RVF8" s="4"/>
      <c r="RVG8" s="65"/>
      <c r="RVH8" s="4"/>
      <c r="RVI8" s="4"/>
      <c r="RVJ8" s="4"/>
      <c r="RVM8" s="34"/>
      <c r="RVN8" s="34"/>
      <c r="RVP8" s="34"/>
      <c r="RVQ8" s="72"/>
      <c r="RVR8" s="63"/>
      <c r="RVS8" s="34"/>
      <c r="RVT8" s="64"/>
      <c r="RVU8" s="4"/>
      <c r="RVV8" s="65"/>
      <c r="RVW8" s="4"/>
      <c r="RVX8" s="4"/>
      <c r="RVY8" s="4"/>
      <c r="RWB8" s="34"/>
      <c r="RWC8" s="34"/>
      <c r="RWE8" s="34"/>
      <c r="RWF8" s="72"/>
      <c r="RWG8" s="63"/>
      <c r="RWH8" s="34"/>
      <c r="RWI8" s="64"/>
      <c r="RWJ8" s="4"/>
      <c r="RWK8" s="65"/>
      <c r="RWL8" s="4"/>
      <c r="RWM8" s="4"/>
      <c r="RWN8" s="4"/>
      <c r="RWQ8" s="34"/>
      <c r="RWR8" s="34"/>
      <c r="RWT8" s="34"/>
      <c r="RWU8" s="72"/>
      <c r="RWV8" s="63"/>
      <c r="RWW8" s="34"/>
      <c r="RWX8" s="64"/>
      <c r="RWY8" s="4"/>
      <c r="RWZ8" s="65"/>
      <c r="RXA8" s="4"/>
      <c r="RXB8" s="4"/>
      <c r="RXC8" s="4"/>
      <c r="RXF8" s="34"/>
      <c r="RXG8" s="34"/>
      <c r="RXI8" s="34"/>
      <c r="RXJ8" s="72"/>
      <c r="RXK8" s="63"/>
      <c r="RXL8" s="34"/>
      <c r="RXM8" s="64"/>
      <c r="RXN8" s="4"/>
      <c r="RXO8" s="65"/>
      <c r="RXP8" s="4"/>
      <c r="RXQ8" s="4"/>
      <c r="RXR8" s="4"/>
      <c r="RXU8" s="34"/>
      <c r="RXV8" s="34"/>
      <c r="RXX8" s="34"/>
      <c r="RXY8" s="72"/>
      <c r="RXZ8" s="63"/>
      <c r="RYA8" s="34"/>
      <c r="RYB8" s="64"/>
      <c r="RYC8" s="4"/>
      <c r="RYD8" s="65"/>
      <c r="RYE8" s="4"/>
      <c r="RYF8" s="4"/>
      <c r="RYG8" s="4"/>
      <c r="RYJ8" s="34"/>
      <c r="RYK8" s="34"/>
      <c r="RYM8" s="34"/>
      <c r="RYN8" s="72"/>
      <c r="RYO8" s="63"/>
      <c r="RYP8" s="34"/>
      <c r="RYQ8" s="64"/>
      <c r="RYR8" s="4"/>
      <c r="RYS8" s="65"/>
      <c r="RYT8" s="4"/>
      <c r="RYU8" s="4"/>
      <c r="RYV8" s="4"/>
      <c r="RYY8" s="34"/>
      <c r="RYZ8" s="34"/>
      <c r="RZB8" s="34"/>
      <c r="RZC8" s="72"/>
      <c r="RZD8" s="63"/>
      <c r="RZE8" s="34"/>
      <c r="RZF8" s="64"/>
      <c r="RZG8" s="4"/>
      <c r="RZH8" s="65"/>
      <c r="RZI8" s="4"/>
      <c r="RZJ8" s="4"/>
      <c r="RZK8" s="4"/>
      <c r="RZN8" s="34"/>
      <c r="RZO8" s="34"/>
      <c r="RZQ8" s="34"/>
      <c r="RZR8" s="72"/>
      <c r="RZS8" s="63"/>
      <c r="RZT8" s="34"/>
      <c r="RZU8" s="64"/>
      <c r="RZV8" s="4"/>
      <c r="RZW8" s="65"/>
      <c r="RZX8" s="4"/>
      <c r="RZY8" s="4"/>
      <c r="RZZ8" s="4"/>
      <c r="SAC8" s="34"/>
      <c r="SAD8" s="34"/>
      <c r="SAF8" s="34"/>
      <c r="SAG8" s="72"/>
      <c r="SAH8" s="63"/>
      <c r="SAI8" s="34"/>
      <c r="SAJ8" s="64"/>
      <c r="SAK8" s="4"/>
      <c r="SAL8" s="65"/>
      <c r="SAM8" s="4"/>
      <c r="SAN8" s="4"/>
      <c r="SAO8" s="4"/>
      <c r="SAR8" s="34"/>
      <c r="SAS8" s="34"/>
      <c r="SAU8" s="34"/>
      <c r="SAV8" s="72"/>
      <c r="SAW8" s="63"/>
      <c r="SAX8" s="34"/>
      <c r="SAY8" s="64"/>
      <c r="SAZ8" s="4"/>
      <c r="SBA8" s="65"/>
      <c r="SBB8" s="4"/>
      <c r="SBC8" s="4"/>
      <c r="SBD8" s="4"/>
      <c r="SBG8" s="34"/>
      <c r="SBH8" s="34"/>
      <c r="SBJ8" s="34"/>
      <c r="SBK8" s="72"/>
      <c r="SBL8" s="63"/>
      <c r="SBM8" s="34"/>
      <c r="SBN8" s="64"/>
      <c r="SBO8" s="4"/>
      <c r="SBP8" s="65"/>
      <c r="SBQ8" s="4"/>
      <c r="SBR8" s="4"/>
      <c r="SBS8" s="4"/>
      <c r="SBV8" s="34"/>
      <c r="SBW8" s="34"/>
      <c r="SBY8" s="34"/>
      <c r="SBZ8" s="72"/>
      <c r="SCA8" s="63"/>
      <c r="SCB8" s="34"/>
      <c r="SCC8" s="64"/>
      <c r="SCD8" s="4"/>
      <c r="SCE8" s="65"/>
      <c r="SCF8" s="4"/>
      <c r="SCG8" s="4"/>
      <c r="SCH8" s="4"/>
      <c r="SCK8" s="34"/>
      <c r="SCL8" s="34"/>
      <c r="SCN8" s="34"/>
      <c r="SCO8" s="72"/>
      <c r="SCP8" s="63"/>
      <c r="SCQ8" s="34"/>
      <c r="SCR8" s="64"/>
      <c r="SCS8" s="4"/>
      <c r="SCT8" s="65"/>
      <c r="SCU8" s="4"/>
      <c r="SCV8" s="4"/>
      <c r="SCW8" s="4"/>
      <c r="SCZ8" s="34"/>
      <c r="SDA8" s="34"/>
      <c r="SDC8" s="34"/>
      <c r="SDD8" s="72"/>
      <c r="SDE8" s="63"/>
      <c r="SDF8" s="34"/>
      <c r="SDG8" s="64"/>
      <c r="SDH8" s="4"/>
      <c r="SDI8" s="65"/>
      <c r="SDJ8" s="4"/>
      <c r="SDK8" s="4"/>
      <c r="SDL8" s="4"/>
      <c r="SDO8" s="34"/>
      <c r="SDP8" s="34"/>
      <c r="SDR8" s="34"/>
      <c r="SDS8" s="72"/>
      <c r="SDT8" s="63"/>
      <c r="SDU8" s="34"/>
      <c r="SDV8" s="64"/>
      <c r="SDW8" s="4"/>
      <c r="SDX8" s="65"/>
      <c r="SDY8" s="4"/>
      <c r="SDZ8" s="4"/>
      <c r="SEA8" s="4"/>
      <c r="SED8" s="34"/>
      <c r="SEE8" s="34"/>
      <c r="SEG8" s="34"/>
      <c r="SEH8" s="72"/>
      <c r="SEI8" s="63"/>
      <c r="SEJ8" s="34"/>
      <c r="SEK8" s="64"/>
      <c r="SEL8" s="4"/>
      <c r="SEM8" s="65"/>
      <c r="SEN8" s="4"/>
      <c r="SEO8" s="4"/>
      <c r="SEP8" s="4"/>
      <c r="SES8" s="34"/>
      <c r="SET8" s="34"/>
      <c r="SEV8" s="34"/>
      <c r="SEW8" s="72"/>
      <c r="SEX8" s="63"/>
      <c r="SEY8" s="34"/>
      <c r="SEZ8" s="64"/>
      <c r="SFA8" s="4"/>
      <c r="SFB8" s="65"/>
      <c r="SFC8" s="4"/>
      <c r="SFD8" s="4"/>
      <c r="SFE8" s="4"/>
      <c r="SFH8" s="34"/>
      <c r="SFI8" s="34"/>
      <c r="SFK8" s="34"/>
      <c r="SFL8" s="72"/>
      <c r="SFM8" s="63"/>
      <c r="SFN8" s="34"/>
      <c r="SFO8" s="64"/>
      <c r="SFP8" s="4"/>
      <c r="SFQ8" s="65"/>
      <c r="SFR8" s="4"/>
      <c r="SFS8" s="4"/>
      <c r="SFT8" s="4"/>
      <c r="SFW8" s="34"/>
      <c r="SFX8" s="34"/>
      <c r="SFZ8" s="34"/>
      <c r="SGA8" s="72"/>
      <c r="SGB8" s="63"/>
      <c r="SGC8" s="34"/>
      <c r="SGD8" s="64"/>
      <c r="SGE8" s="4"/>
      <c r="SGF8" s="65"/>
      <c r="SGG8" s="4"/>
      <c r="SGH8" s="4"/>
      <c r="SGI8" s="4"/>
      <c r="SGL8" s="34"/>
      <c r="SGM8" s="34"/>
      <c r="SGO8" s="34"/>
      <c r="SGP8" s="72"/>
      <c r="SGQ8" s="63"/>
      <c r="SGR8" s="34"/>
      <c r="SGS8" s="64"/>
      <c r="SGT8" s="4"/>
      <c r="SGU8" s="65"/>
      <c r="SGV8" s="4"/>
      <c r="SGW8" s="4"/>
      <c r="SGX8" s="4"/>
      <c r="SHA8" s="34"/>
      <c r="SHB8" s="34"/>
      <c r="SHD8" s="34"/>
      <c r="SHE8" s="72"/>
      <c r="SHF8" s="63"/>
      <c r="SHG8" s="34"/>
      <c r="SHH8" s="64"/>
      <c r="SHI8" s="4"/>
      <c r="SHJ8" s="65"/>
      <c r="SHK8" s="4"/>
      <c r="SHL8" s="4"/>
      <c r="SHM8" s="4"/>
      <c r="SHP8" s="34"/>
      <c r="SHQ8" s="34"/>
      <c r="SHS8" s="34"/>
      <c r="SHT8" s="72"/>
      <c r="SHU8" s="63"/>
      <c r="SHV8" s="34"/>
      <c r="SHW8" s="64"/>
      <c r="SHX8" s="4"/>
      <c r="SHY8" s="65"/>
      <c r="SHZ8" s="4"/>
      <c r="SIA8" s="4"/>
      <c r="SIB8" s="4"/>
      <c r="SIE8" s="34"/>
      <c r="SIF8" s="34"/>
      <c r="SIH8" s="34"/>
      <c r="SII8" s="72"/>
      <c r="SIJ8" s="63"/>
      <c r="SIK8" s="34"/>
      <c r="SIL8" s="64"/>
      <c r="SIM8" s="4"/>
      <c r="SIN8" s="65"/>
      <c r="SIO8" s="4"/>
      <c r="SIP8" s="4"/>
      <c r="SIQ8" s="4"/>
      <c r="SIT8" s="34"/>
      <c r="SIU8" s="34"/>
      <c r="SIW8" s="34"/>
      <c r="SIX8" s="72"/>
      <c r="SIY8" s="63"/>
      <c r="SIZ8" s="34"/>
      <c r="SJA8" s="64"/>
      <c r="SJB8" s="4"/>
      <c r="SJC8" s="65"/>
      <c r="SJD8" s="4"/>
      <c r="SJE8" s="4"/>
      <c r="SJF8" s="4"/>
      <c r="SJI8" s="34"/>
      <c r="SJJ8" s="34"/>
      <c r="SJL8" s="34"/>
      <c r="SJM8" s="72"/>
      <c r="SJN8" s="63"/>
      <c r="SJO8" s="34"/>
      <c r="SJP8" s="64"/>
      <c r="SJQ8" s="4"/>
      <c r="SJR8" s="65"/>
      <c r="SJS8" s="4"/>
      <c r="SJT8" s="4"/>
      <c r="SJU8" s="4"/>
      <c r="SJX8" s="34"/>
      <c r="SJY8" s="34"/>
      <c r="SKA8" s="34"/>
      <c r="SKB8" s="72"/>
      <c r="SKC8" s="63"/>
      <c r="SKD8" s="34"/>
      <c r="SKE8" s="64"/>
      <c r="SKF8" s="4"/>
      <c r="SKG8" s="65"/>
      <c r="SKH8" s="4"/>
      <c r="SKI8" s="4"/>
      <c r="SKJ8" s="4"/>
      <c r="SKM8" s="34"/>
      <c r="SKN8" s="34"/>
      <c r="SKP8" s="34"/>
      <c r="SKQ8" s="72"/>
      <c r="SKR8" s="63"/>
      <c r="SKS8" s="34"/>
      <c r="SKT8" s="64"/>
      <c r="SKU8" s="4"/>
      <c r="SKV8" s="65"/>
      <c r="SKW8" s="4"/>
      <c r="SKX8" s="4"/>
      <c r="SKY8" s="4"/>
      <c r="SLB8" s="34"/>
      <c r="SLC8" s="34"/>
      <c r="SLE8" s="34"/>
      <c r="SLF8" s="72"/>
      <c r="SLG8" s="63"/>
      <c r="SLH8" s="34"/>
      <c r="SLI8" s="64"/>
      <c r="SLJ8" s="4"/>
      <c r="SLK8" s="65"/>
      <c r="SLL8" s="4"/>
      <c r="SLM8" s="4"/>
      <c r="SLN8" s="4"/>
      <c r="SLQ8" s="34"/>
      <c r="SLR8" s="34"/>
      <c r="SLT8" s="34"/>
      <c r="SLU8" s="72"/>
      <c r="SLV8" s="63"/>
      <c r="SLW8" s="34"/>
      <c r="SLX8" s="64"/>
      <c r="SLY8" s="4"/>
      <c r="SLZ8" s="65"/>
      <c r="SMA8" s="4"/>
      <c r="SMB8" s="4"/>
      <c r="SMC8" s="4"/>
      <c r="SMF8" s="34"/>
      <c r="SMG8" s="34"/>
      <c r="SMI8" s="34"/>
      <c r="SMJ8" s="72"/>
      <c r="SMK8" s="63"/>
      <c r="SML8" s="34"/>
      <c r="SMM8" s="64"/>
      <c r="SMN8" s="4"/>
      <c r="SMO8" s="65"/>
      <c r="SMP8" s="4"/>
      <c r="SMQ8" s="4"/>
      <c r="SMR8" s="4"/>
      <c r="SMU8" s="34"/>
      <c r="SMV8" s="34"/>
      <c r="SMX8" s="34"/>
      <c r="SMY8" s="72"/>
      <c r="SMZ8" s="63"/>
      <c r="SNA8" s="34"/>
      <c r="SNB8" s="64"/>
      <c r="SNC8" s="4"/>
      <c r="SND8" s="65"/>
      <c r="SNE8" s="4"/>
      <c r="SNF8" s="4"/>
      <c r="SNG8" s="4"/>
      <c r="SNJ8" s="34"/>
      <c r="SNK8" s="34"/>
      <c r="SNM8" s="34"/>
      <c r="SNN8" s="72"/>
      <c r="SNO8" s="63"/>
      <c r="SNP8" s="34"/>
      <c r="SNQ8" s="64"/>
      <c r="SNR8" s="4"/>
      <c r="SNS8" s="65"/>
      <c r="SNT8" s="4"/>
      <c r="SNU8" s="4"/>
      <c r="SNV8" s="4"/>
      <c r="SNY8" s="34"/>
      <c r="SNZ8" s="34"/>
      <c r="SOB8" s="34"/>
      <c r="SOC8" s="72"/>
      <c r="SOD8" s="63"/>
      <c r="SOE8" s="34"/>
      <c r="SOF8" s="64"/>
      <c r="SOG8" s="4"/>
      <c r="SOH8" s="65"/>
      <c r="SOI8" s="4"/>
      <c r="SOJ8" s="4"/>
      <c r="SOK8" s="4"/>
      <c r="SON8" s="34"/>
      <c r="SOO8" s="34"/>
      <c r="SOQ8" s="34"/>
      <c r="SOR8" s="72"/>
      <c r="SOS8" s="63"/>
      <c r="SOT8" s="34"/>
      <c r="SOU8" s="64"/>
      <c r="SOV8" s="4"/>
      <c r="SOW8" s="65"/>
      <c r="SOX8" s="4"/>
      <c r="SOY8" s="4"/>
      <c r="SOZ8" s="4"/>
      <c r="SPC8" s="34"/>
      <c r="SPD8" s="34"/>
      <c r="SPF8" s="34"/>
      <c r="SPG8" s="72"/>
      <c r="SPH8" s="63"/>
      <c r="SPI8" s="34"/>
      <c r="SPJ8" s="64"/>
      <c r="SPK8" s="4"/>
      <c r="SPL8" s="65"/>
      <c r="SPM8" s="4"/>
      <c r="SPN8" s="4"/>
      <c r="SPO8" s="4"/>
      <c r="SPR8" s="34"/>
      <c r="SPS8" s="34"/>
      <c r="SPU8" s="34"/>
      <c r="SPV8" s="72"/>
      <c r="SPW8" s="63"/>
      <c r="SPX8" s="34"/>
      <c r="SPY8" s="64"/>
      <c r="SPZ8" s="4"/>
      <c r="SQA8" s="65"/>
      <c r="SQB8" s="4"/>
      <c r="SQC8" s="4"/>
      <c r="SQD8" s="4"/>
      <c r="SQG8" s="34"/>
      <c r="SQH8" s="34"/>
      <c r="SQJ8" s="34"/>
      <c r="SQK8" s="72"/>
      <c r="SQL8" s="63"/>
      <c r="SQM8" s="34"/>
      <c r="SQN8" s="64"/>
      <c r="SQO8" s="4"/>
      <c r="SQP8" s="65"/>
      <c r="SQQ8" s="4"/>
      <c r="SQR8" s="4"/>
      <c r="SQS8" s="4"/>
      <c r="SQV8" s="34"/>
      <c r="SQW8" s="34"/>
      <c r="SQY8" s="34"/>
      <c r="SQZ8" s="72"/>
      <c r="SRA8" s="63"/>
      <c r="SRB8" s="34"/>
      <c r="SRC8" s="64"/>
      <c r="SRD8" s="4"/>
      <c r="SRE8" s="65"/>
      <c r="SRF8" s="4"/>
      <c r="SRG8" s="4"/>
      <c r="SRH8" s="4"/>
      <c r="SRK8" s="34"/>
      <c r="SRL8" s="34"/>
      <c r="SRN8" s="34"/>
      <c r="SRO8" s="72"/>
      <c r="SRP8" s="63"/>
      <c r="SRQ8" s="34"/>
      <c r="SRR8" s="64"/>
      <c r="SRS8" s="4"/>
      <c r="SRT8" s="65"/>
      <c r="SRU8" s="4"/>
      <c r="SRV8" s="4"/>
      <c r="SRW8" s="4"/>
      <c r="SRZ8" s="34"/>
      <c r="SSA8" s="34"/>
      <c r="SSC8" s="34"/>
      <c r="SSD8" s="72"/>
      <c r="SSE8" s="63"/>
      <c r="SSF8" s="34"/>
      <c r="SSG8" s="64"/>
      <c r="SSH8" s="4"/>
      <c r="SSI8" s="65"/>
      <c r="SSJ8" s="4"/>
      <c r="SSK8" s="4"/>
      <c r="SSL8" s="4"/>
      <c r="SSO8" s="34"/>
      <c r="SSP8" s="34"/>
      <c r="SSR8" s="34"/>
      <c r="SSS8" s="72"/>
      <c r="SST8" s="63"/>
      <c r="SSU8" s="34"/>
      <c r="SSV8" s="64"/>
      <c r="SSW8" s="4"/>
      <c r="SSX8" s="65"/>
      <c r="SSY8" s="4"/>
      <c r="SSZ8" s="4"/>
      <c r="STA8" s="4"/>
      <c r="STD8" s="34"/>
      <c r="STE8" s="34"/>
      <c r="STG8" s="34"/>
      <c r="STH8" s="72"/>
      <c r="STI8" s="63"/>
      <c r="STJ8" s="34"/>
      <c r="STK8" s="64"/>
      <c r="STL8" s="4"/>
      <c r="STM8" s="65"/>
      <c r="STN8" s="4"/>
      <c r="STO8" s="4"/>
      <c r="STP8" s="4"/>
      <c r="STS8" s="34"/>
      <c r="STT8" s="34"/>
      <c r="STV8" s="34"/>
      <c r="STW8" s="72"/>
      <c r="STX8" s="63"/>
      <c r="STY8" s="34"/>
      <c r="STZ8" s="64"/>
      <c r="SUA8" s="4"/>
      <c r="SUB8" s="65"/>
      <c r="SUC8" s="4"/>
      <c r="SUD8" s="4"/>
      <c r="SUE8" s="4"/>
      <c r="SUH8" s="34"/>
      <c r="SUI8" s="34"/>
      <c r="SUK8" s="34"/>
      <c r="SUL8" s="72"/>
      <c r="SUM8" s="63"/>
      <c r="SUN8" s="34"/>
      <c r="SUO8" s="64"/>
      <c r="SUP8" s="4"/>
      <c r="SUQ8" s="65"/>
      <c r="SUR8" s="4"/>
      <c r="SUS8" s="4"/>
      <c r="SUT8" s="4"/>
      <c r="SUW8" s="34"/>
      <c r="SUX8" s="34"/>
      <c r="SUZ8" s="34"/>
      <c r="SVA8" s="72"/>
      <c r="SVB8" s="63"/>
      <c r="SVC8" s="34"/>
      <c r="SVD8" s="64"/>
      <c r="SVE8" s="4"/>
      <c r="SVF8" s="65"/>
      <c r="SVG8" s="4"/>
      <c r="SVH8" s="4"/>
      <c r="SVI8" s="4"/>
      <c r="SVL8" s="34"/>
      <c r="SVM8" s="34"/>
      <c r="SVO8" s="34"/>
      <c r="SVP8" s="72"/>
      <c r="SVQ8" s="63"/>
      <c r="SVR8" s="34"/>
      <c r="SVS8" s="64"/>
      <c r="SVT8" s="4"/>
      <c r="SVU8" s="65"/>
      <c r="SVV8" s="4"/>
      <c r="SVW8" s="4"/>
      <c r="SVX8" s="4"/>
      <c r="SWA8" s="34"/>
      <c r="SWB8" s="34"/>
      <c r="SWD8" s="34"/>
      <c r="SWE8" s="72"/>
      <c r="SWF8" s="63"/>
      <c r="SWG8" s="34"/>
      <c r="SWH8" s="64"/>
      <c r="SWI8" s="4"/>
      <c r="SWJ8" s="65"/>
      <c r="SWK8" s="4"/>
      <c r="SWL8" s="4"/>
      <c r="SWM8" s="4"/>
      <c r="SWP8" s="34"/>
      <c r="SWQ8" s="34"/>
      <c r="SWS8" s="34"/>
      <c r="SWT8" s="72"/>
      <c r="SWU8" s="63"/>
      <c r="SWV8" s="34"/>
      <c r="SWW8" s="64"/>
      <c r="SWX8" s="4"/>
      <c r="SWY8" s="65"/>
      <c r="SWZ8" s="4"/>
      <c r="SXA8" s="4"/>
      <c r="SXB8" s="4"/>
      <c r="SXE8" s="34"/>
      <c r="SXF8" s="34"/>
      <c r="SXH8" s="34"/>
      <c r="SXI8" s="72"/>
      <c r="SXJ8" s="63"/>
      <c r="SXK8" s="34"/>
      <c r="SXL8" s="64"/>
      <c r="SXM8" s="4"/>
      <c r="SXN8" s="65"/>
      <c r="SXO8" s="4"/>
      <c r="SXP8" s="4"/>
      <c r="SXQ8" s="4"/>
      <c r="SXT8" s="34"/>
      <c r="SXU8" s="34"/>
      <c r="SXW8" s="34"/>
      <c r="SXX8" s="72"/>
      <c r="SXY8" s="63"/>
      <c r="SXZ8" s="34"/>
      <c r="SYA8" s="64"/>
      <c r="SYB8" s="4"/>
      <c r="SYC8" s="65"/>
      <c r="SYD8" s="4"/>
      <c r="SYE8" s="4"/>
      <c r="SYF8" s="4"/>
      <c r="SYI8" s="34"/>
      <c r="SYJ8" s="34"/>
      <c r="SYL8" s="34"/>
      <c r="SYM8" s="72"/>
      <c r="SYN8" s="63"/>
      <c r="SYO8" s="34"/>
      <c r="SYP8" s="64"/>
      <c r="SYQ8" s="4"/>
      <c r="SYR8" s="65"/>
      <c r="SYS8" s="4"/>
      <c r="SYT8" s="4"/>
      <c r="SYU8" s="4"/>
      <c r="SYX8" s="34"/>
      <c r="SYY8" s="34"/>
      <c r="SZA8" s="34"/>
      <c r="SZB8" s="72"/>
      <c r="SZC8" s="63"/>
      <c r="SZD8" s="34"/>
      <c r="SZE8" s="64"/>
      <c r="SZF8" s="4"/>
      <c r="SZG8" s="65"/>
      <c r="SZH8" s="4"/>
      <c r="SZI8" s="4"/>
      <c r="SZJ8" s="4"/>
      <c r="SZM8" s="34"/>
      <c r="SZN8" s="34"/>
      <c r="SZP8" s="34"/>
      <c r="SZQ8" s="72"/>
      <c r="SZR8" s="63"/>
      <c r="SZS8" s="34"/>
      <c r="SZT8" s="64"/>
      <c r="SZU8" s="4"/>
      <c r="SZV8" s="65"/>
      <c r="SZW8" s="4"/>
      <c r="SZX8" s="4"/>
      <c r="SZY8" s="4"/>
      <c r="TAB8" s="34"/>
      <c r="TAC8" s="34"/>
      <c r="TAE8" s="34"/>
      <c r="TAF8" s="72"/>
      <c r="TAG8" s="63"/>
      <c r="TAH8" s="34"/>
      <c r="TAI8" s="64"/>
      <c r="TAJ8" s="4"/>
      <c r="TAK8" s="65"/>
      <c r="TAL8" s="4"/>
      <c r="TAM8" s="4"/>
      <c r="TAN8" s="4"/>
      <c r="TAQ8" s="34"/>
      <c r="TAR8" s="34"/>
      <c r="TAT8" s="34"/>
      <c r="TAU8" s="72"/>
      <c r="TAV8" s="63"/>
      <c r="TAW8" s="34"/>
      <c r="TAX8" s="64"/>
      <c r="TAY8" s="4"/>
      <c r="TAZ8" s="65"/>
      <c r="TBA8" s="4"/>
      <c r="TBB8" s="4"/>
      <c r="TBC8" s="4"/>
      <c r="TBF8" s="34"/>
      <c r="TBG8" s="34"/>
      <c r="TBI8" s="34"/>
      <c r="TBJ8" s="72"/>
      <c r="TBK8" s="63"/>
      <c r="TBL8" s="34"/>
      <c r="TBM8" s="64"/>
      <c r="TBN8" s="4"/>
      <c r="TBO8" s="65"/>
      <c r="TBP8" s="4"/>
      <c r="TBQ8" s="4"/>
      <c r="TBR8" s="4"/>
      <c r="TBU8" s="34"/>
      <c r="TBV8" s="34"/>
      <c r="TBX8" s="34"/>
      <c r="TBY8" s="72"/>
      <c r="TBZ8" s="63"/>
      <c r="TCA8" s="34"/>
      <c r="TCB8" s="64"/>
      <c r="TCC8" s="4"/>
      <c r="TCD8" s="65"/>
      <c r="TCE8" s="4"/>
      <c r="TCF8" s="4"/>
      <c r="TCG8" s="4"/>
      <c r="TCJ8" s="34"/>
      <c r="TCK8" s="34"/>
      <c r="TCM8" s="34"/>
      <c r="TCN8" s="72"/>
      <c r="TCO8" s="63"/>
      <c r="TCP8" s="34"/>
      <c r="TCQ8" s="64"/>
      <c r="TCR8" s="4"/>
      <c r="TCS8" s="65"/>
      <c r="TCT8" s="4"/>
      <c r="TCU8" s="4"/>
      <c r="TCV8" s="4"/>
      <c r="TCY8" s="34"/>
      <c r="TCZ8" s="34"/>
      <c r="TDB8" s="34"/>
      <c r="TDC8" s="72"/>
      <c r="TDD8" s="63"/>
      <c r="TDE8" s="34"/>
      <c r="TDF8" s="64"/>
      <c r="TDG8" s="4"/>
      <c r="TDH8" s="65"/>
      <c r="TDI8" s="4"/>
      <c r="TDJ8" s="4"/>
      <c r="TDK8" s="4"/>
      <c r="TDN8" s="34"/>
      <c r="TDO8" s="34"/>
      <c r="TDQ8" s="34"/>
      <c r="TDR8" s="72"/>
      <c r="TDS8" s="63"/>
      <c r="TDT8" s="34"/>
      <c r="TDU8" s="64"/>
      <c r="TDV8" s="4"/>
      <c r="TDW8" s="65"/>
      <c r="TDX8" s="4"/>
      <c r="TDY8" s="4"/>
      <c r="TDZ8" s="4"/>
      <c r="TEC8" s="34"/>
      <c r="TED8" s="34"/>
      <c r="TEF8" s="34"/>
      <c r="TEG8" s="72"/>
      <c r="TEH8" s="63"/>
      <c r="TEI8" s="34"/>
      <c r="TEJ8" s="64"/>
      <c r="TEK8" s="4"/>
      <c r="TEL8" s="65"/>
      <c r="TEM8" s="4"/>
      <c r="TEN8" s="4"/>
      <c r="TEO8" s="4"/>
      <c r="TER8" s="34"/>
      <c r="TES8" s="34"/>
      <c r="TEU8" s="34"/>
      <c r="TEV8" s="72"/>
      <c r="TEW8" s="63"/>
      <c r="TEX8" s="34"/>
      <c r="TEY8" s="64"/>
      <c r="TEZ8" s="4"/>
      <c r="TFA8" s="65"/>
      <c r="TFB8" s="4"/>
      <c r="TFC8" s="4"/>
      <c r="TFD8" s="4"/>
      <c r="TFG8" s="34"/>
      <c r="TFH8" s="34"/>
      <c r="TFJ8" s="34"/>
      <c r="TFK8" s="72"/>
      <c r="TFL8" s="63"/>
      <c r="TFM8" s="34"/>
      <c r="TFN8" s="64"/>
      <c r="TFO8" s="4"/>
      <c r="TFP8" s="65"/>
      <c r="TFQ8" s="4"/>
      <c r="TFR8" s="4"/>
      <c r="TFS8" s="4"/>
      <c r="TFV8" s="34"/>
      <c r="TFW8" s="34"/>
      <c r="TFY8" s="34"/>
      <c r="TFZ8" s="72"/>
      <c r="TGA8" s="63"/>
      <c r="TGB8" s="34"/>
      <c r="TGC8" s="64"/>
      <c r="TGD8" s="4"/>
      <c r="TGE8" s="65"/>
      <c r="TGF8" s="4"/>
      <c r="TGG8" s="4"/>
      <c r="TGH8" s="4"/>
      <c r="TGK8" s="34"/>
      <c r="TGL8" s="34"/>
      <c r="TGN8" s="34"/>
      <c r="TGO8" s="72"/>
      <c r="TGP8" s="63"/>
      <c r="TGQ8" s="34"/>
      <c r="TGR8" s="64"/>
      <c r="TGS8" s="4"/>
      <c r="TGT8" s="65"/>
      <c r="TGU8" s="4"/>
      <c r="TGV8" s="4"/>
      <c r="TGW8" s="4"/>
      <c r="TGZ8" s="34"/>
      <c r="THA8" s="34"/>
      <c r="THC8" s="34"/>
      <c r="THD8" s="72"/>
      <c r="THE8" s="63"/>
      <c r="THF8" s="34"/>
      <c r="THG8" s="64"/>
      <c r="THH8" s="4"/>
      <c r="THI8" s="65"/>
      <c r="THJ8" s="4"/>
      <c r="THK8" s="4"/>
      <c r="THL8" s="4"/>
      <c r="THO8" s="34"/>
      <c r="THP8" s="34"/>
      <c r="THR8" s="34"/>
      <c r="THS8" s="72"/>
      <c r="THT8" s="63"/>
      <c r="THU8" s="34"/>
      <c r="THV8" s="64"/>
      <c r="THW8" s="4"/>
      <c r="THX8" s="65"/>
      <c r="THY8" s="4"/>
      <c r="THZ8" s="4"/>
      <c r="TIA8" s="4"/>
      <c r="TID8" s="34"/>
      <c r="TIE8" s="34"/>
      <c r="TIG8" s="34"/>
      <c r="TIH8" s="72"/>
      <c r="TII8" s="63"/>
      <c r="TIJ8" s="34"/>
      <c r="TIK8" s="64"/>
      <c r="TIL8" s="4"/>
      <c r="TIM8" s="65"/>
      <c r="TIN8" s="4"/>
      <c r="TIO8" s="4"/>
      <c r="TIP8" s="4"/>
      <c r="TIS8" s="34"/>
      <c r="TIT8" s="34"/>
      <c r="TIV8" s="34"/>
      <c r="TIW8" s="72"/>
      <c r="TIX8" s="63"/>
      <c r="TIY8" s="34"/>
      <c r="TIZ8" s="64"/>
      <c r="TJA8" s="4"/>
      <c r="TJB8" s="65"/>
      <c r="TJC8" s="4"/>
      <c r="TJD8" s="4"/>
      <c r="TJE8" s="4"/>
      <c r="TJH8" s="34"/>
      <c r="TJI8" s="34"/>
      <c r="TJK8" s="34"/>
      <c r="TJL8" s="72"/>
      <c r="TJM8" s="63"/>
      <c r="TJN8" s="34"/>
      <c r="TJO8" s="64"/>
      <c r="TJP8" s="4"/>
      <c r="TJQ8" s="65"/>
      <c r="TJR8" s="4"/>
      <c r="TJS8" s="4"/>
      <c r="TJT8" s="4"/>
      <c r="TJW8" s="34"/>
      <c r="TJX8" s="34"/>
      <c r="TJZ8" s="34"/>
      <c r="TKA8" s="72"/>
      <c r="TKB8" s="63"/>
      <c r="TKC8" s="34"/>
      <c r="TKD8" s="64"/>
      <c r="TKE8" s="4"/>
      <c r="TKF8" s="65"/>
      <c r="TKG8" s="4"/>
      <c r="TKH8" s="4"/>
      <c r="TKI8" s="4"/>
      <c r="TKL8" s="34"/>
      <c r="TKM8" s="34"/>
      <c r="TKO8" s="34"/>
      <c r="TKP8" s="72"/>
      <c r="TKQ8" s="63"/>
      <c r="TKR8" s="34"/>
      <c r="TKS8" s="64"/>
      <c r="TKT8" s="4"/>
      <c r="TKU8" s="65"/>
      <c r="TKV8" s="4"/>
      <c r="TKW8" s="4"/>
      <c r="TKX8" s="4"/>
      <c r="TLA8" s="34"/>
      <c r="TLB8" s="34"/>
      <c r="TLD8" s="34"/>
      <c r="TLE8" s="72"/>
      <c r="TLF8" s="63"/>
      <c r="TLG8" s="34"/>
      <c r="TLH8" s="64"/>
      <c r="TLI8" s="4"/>
      <c r="TLJ8" s="65"/>
      <c r="TLK8" s="4"/>
      <c r="TLL8" s="4"/>
      <c r="TLM8" s="4"/>
      <c r="TLP8" s="34"/>
      <c r="TLQ8" s="34"/>
      <c r="TLS8" s="34"/>
      <c r="TLT8" s="72"/>
      <c r="TLU8" s="63"/>
      <c r="TLV8" s="34"/>
      <c r="TLW8" s="64"/>
      <c r="TLX8" s="4"/>
      <c r="TLY8" s="65"/>
      <c r="TLZ8" s="4"/>
      <c r="TMA8" s="4"/>
      <c r="TMB8" s="4"/>
      <c r="TME8" s="34"/>
      <c r="TMF8" s="34"/>
      <c r="TMH8" s="34"/>
      <c r="TMI8" s="72"/>
      <c r="TMJ8" s="63"/>
      <c r="TMK8" s="34"/>
      <c r="TML8" s="64"/>
      <c r="TMM8" s="4"/>
      <c r="TMN8" s="65"/>
      <c r="TMO8" s="4"/>
      <c r="TMP8" s="4"/>
      <c r="TMQ8" s="4"/>
      <c r="TMT8" s="34"/>
      <c r="TMU8" s="34"/>
      <c r="TMW8" s="34"/>
      <c r="TMX8" s="72"/>
      <c r="TMY8" s="63"/>
      <c r="TMZ8" s="34"/>
      <c r="TNA8" s="64"/>
      <c r="TNB8" s="4"/>
      <c r="TNC8" s="65"/>
      <c r="TND8" s="4"/>
      <c r="TNE8" s="4"/>
      <c r="TNF8" s="4"/>
      <c r="TNI8" s="34"/>
      <c r="TNJ8" s="34"/>
      <c r="TNL8" s="34"/>
      <c r="TNM8" s="72"/>
      <c r="TNN8" s="63"/>
      <c r="TNO8" s="34"/>
      <c r="TNP8" s="64"/>
      <c r="TNQ8" s="4"/>
      <c r="TNR8" s="65"/>
      <c r="TNS8" s="4"/>
      <c r="TNT8" s="4"/>
      <c r="TNU8" s="4"/>
      <c r="TNX8" s="34"/>
      <c r="TNY8" s="34"/>
      <c r="TOA8" s="34"/>
      <c r="TOB8" s="72"/>
      <c r="TOC8" s="63"/>
      <c r="TOD8" s="34"/>
      <c r="TOE8" s="64"/>
      <c r="TOF8" s="4"/>
      <c r="TOG8" s="65"/>
      <c r="TOH8" s="4"/>
      <c r="TOI8" s="4"/>
      <c r="TOJ8" s="4"/>
      <c r="TOM8" s="34"/>
      <c r="TON8" s="34"/>
      <c r="TOP8" s="34"/>
      <c r="TOQ8" s="72"/>
      <c r="TOR8" s="63"/>
      <c r="TOS8" s="34"/>
      <c r="TOT8" s="64"/>
      <c r="TOU8" s="4"/>
      <c r="TOV8" s="65"/>
      <c r="TOW8" s="4"/>
      <c r="TOX8" s="4"/>
      <c r="TOY8" s="4"/>
      <c r="TPB8" s="34"/>
      <c r="TPC8" s="34"/>
      <c r="TPE8" s="34"/>
      <c r="TPF8" s="72"/>
      <c r="TPG8" s="63"/>
      <c r="TPH8" s="34"/>
      <c r="TPI8" s="64"/>
      <c r="TPJ8" s="4"/>
      <c r="TPK8" s="65"/>
      <c r="TPL8" s="4"/>
      <c r="TPM8" s="4"/>
      <c r="TPN8" s="4"/>
      <c r="TPQ8" s="34"/>
      <c r="TPR8" s="34"/>
      <c r="TPT8" s="34"/>
      <c r="TPU8" s="72"/>
      <c r="TPV8" s="63"/>
      <c r="TPW8" s="34"/>
      <c r="TPX8" s="64"/>
      <c r="TPY8" s="4"/>
      <c r="TPZ8" s="65"/>
      <c r="TQA8" s="4"/>
      <c r="TQB8" s="4"/>
      <c r="TQC8" s="4"/>
      <c r="TQF8" s="34"/>
      <c r="TQG8" s="34"/>
      <c r="TQI8" s="34"/>
      <c r="TQJ8" s="72"/>
      <c r="TQK8" s="63"/>
      <c r="TQL8" s="34"/>
      <c r="TQM8" s="64"/>
      <c r="TQN8" s="4"/>
      <c r="TQO8" s="65"/>
      <c r="TQP8" s="4"/>
      <c r="TQQ8" s="4"/>
      <c r="TQR8" s="4"/>
      <c r="TQU8" s="34"/>
      <c r="TQV8" s="34"/>
      <c r="TQX8" s="34"/>
      <c r="TQY8" s="72"/>
      <c r="TQZ8" s="63"/>
      <c r="TRA8" s="34"/>
      <c r="TRB8" s="64"/>
      <c r="TRC8" s="4"/>
      <c r="TRD8" s="65"/>
      <c r="TRE8" s="4"/>
      <c r="TRF8" s="4"/>
      <c r="TRG8" s="4"/>
      <c r="TRJ8" s="34"/>
      <c r="TRK8" s="34"/>
      <c r="TRM8" s="34"/>
      <c r="TRN8" s="72"/>
      <c r="TRO8" s="63"/>
      <c r="TRP8" s="34"/>
      <c r="TRQ8" s="64"/>
      <c r="TRR8" s="4"/>
      <c r="TRS8" s="65"/>
      <c r="TRT8" s="4"/>
      <c r="TRU8" s="4"/>
      <c r="TRV8" s="4"/>
      <c r="TRY8" s="34"/>
      <c r="TRZ8" s="34"/>
      <c r="TSB8" s="34"/>
      <c r="TSC8" s="72"/>
      <c r="TSD8" s="63"/>
      <c r="TSE8" s="34"/>
      <c r="TSF8" s="64"/>
      <c r="TSG8" s="4"/>
      <c r="TSH8" s="65"/>
      <c r="TSI8" s="4"/>
      <c r="TSJ8" s="4"/>
      <c r="TSK8" s="4"/>
      <c r="TSN8" s="34"/>
      <c r="TSO8" s="34"/>
      <c r="TSQ8" s="34"/>
      <c r="TSR8" s="72"/>
      <c r="TSS8" s="63"/>
      <c r="TST8" s="34"/>
      <c r="TSU8" s="64"/>
      <c r="TSV8" s="4"/>
      <c r="TSW8" s="65"/>
      <c r="TSX8" s="4"/>
      <c r="TSY8" s="4"/>
      <c r="TSZ8" s="4"/>
      <c r="TTC8" s="34"/>
      <c r="TTD8" s="34"/>
      <c r="TTF8" s="34"/>
      <c r="TTG8" s="72"/>
      <c r="TTH8" s="63"/>
      <c r="TTI8" s="34"/>
      <c r="TTJ8" s="64"/>
      <c r="TTK8" s="4"/>
      <c r="TTL8" s="65"/>
      <c r="TTM8" s="4"/>
      <c r="TTN8" s="4"/>
      <c r="TTO8" s="4"/>
      <c r="TTR8" s="34"/>
      <c r="TTS8" s="34"/>
      <c r="TTU8" s="34"/>
      <c r="TTV8" s="72"/>
      <c r="TTW8" s="63"/>
      <c r="TTX8" s="34"/>
      <c r="TTY8" s="64"/>
      <c r="TTZ8" s="4"/>
      <c r="TUA8" s="65"/>
      <c r="TUB8" s="4"/>
      <c r="TUC8" s="4"/>
      <c r="TUD8" s="4"/>
      <c r="TUG8" s="34"/>
      <c r="TUH8" s="34"/>
      <c r="TUJ8" s="34"/>
      <c r="TUK8" s="72"/>
      <c r="TUL8" s="63"/>
      <c r="TUM8" s="34"/>
      <c r="TUN8" s="64"/>
      <c r="TUO8" s="4"/>
      <c r="TUP8" s="65"/>
      <c r="TUQ8" s="4"/>
      <c r="TUR8" s="4"/>
      <c r="TUS8" s="4"/>
      <c r="TUV8" s="34"/>
      <c r="TUW8" s="34"/>
      <c r="TUY8" s="34"/>
      <c r="TUZ8" s="72"/>
      <c r="TVA8" s="63"/>
      <c r="TVB8" s="34"/>
      <c r="TVC8" s="64"/>
      <c r="TVD8" s="4"/>
      <c r="TVE8" s="65"/>
      <c r="TVF8" s="4"/>
      <c r="TVG8" s="4"/>
      <c r="TVH8" s="4"/>
      <c r="TVK8" s="34"/>
      <c r="TVL8" s="34"/>
      <c r="TVN8" s="34"/>
      <c r="TVO8" s="72"/>
      <c r="TVP8" s="63"/>
      <c r="TVQ8" s="34"/>
      <c r="TVR8" s="64"/>
      <c r="TVS8" s="4"/>
      <c r="TVT8" s="65"/>
      <c r="TVU8" s="4"/>
      <c r="TVV8" s="4"/>
      <c r="TVW8" s="4"/>
      <c r="TVZ8" s="34"/>
      <c r="TWA8" s="34"/>
      <c r="TWC8" s="34"/>
      <c r="TWD8" s="72"/>
      <c r="TWE8" s="63"/>
      <c r="TWF8" s="34"/>
      <c r="TWG8" s="64"/>
      <c r="TWH8" s="4"/>
      <c r="TWI8" s="65"/>
      <c r="TWJ8" s="4"/>
      <c r="TWK8" s="4"/>
      <c r="TWL8" s="4"/>
      <c r="TWO8" s="34"/>
      <c r="TWP8" s="34"/>
      <c r="TWR8" s="34"/>
      <c r="TWS8" s="72"/>
      <c r="TWT8" s="63"/>
      <c r="TWU8" s="34"/>
      <c r="TWV8" s="64"/>
      <c r="TWW8" s="4"/>
      <c r="TWX8" s="65"/>
      <c r="TWY8" s="4"/>
      <c r="TWZ8" s="4"/>
      <c r="TXA8" s="4"/>
      <c r="TXD8" s="34"/>
      <c r="TXE8" s="34"/>
      <c r="TXG8" s="34"/>
      <c r="TXH8" s="72"/>
      <c r="TXI8" s="63"/>
      <c r="TXJ8" s="34"/>
      <c r="TXK8" s="64"/>
      <c r="TXL8" s="4"/>
      <c r="TXM8" s="65"/>
      <c r="TXN8" s="4"/>
      <c r="TXO8" s="4"/>
      <c r="TXP8" s="4"/>
      <c r="TXS8" s="34"/>
      <c r="TXT8" s="34"/>
      <c r="TXV8" s="34"/>
      <c r="TXW8" s="72"/>
      <c r="TXX8" s="63"/>
      <c r="TXY8" s="34"/>
      <c r="TXZ8" s="64"/>
      <c r="TYA8" s="4"/>
      <c r="TYB8" s="65"/>
      <c r="TYC8" s="4"/>
      <c r="TYD8" s="4"/>
      <c r="TYE8" s="4"/>
      <c r="TYH8" s="34"/>
      <c r="TYI8" s="34"/>
      <c r="TYK8" s="34"/>
      <c r="TYL8" s="72"/>
      <c r="TYM8" s="63"/>
      <c r="TYN8" s="34"/>
      <c r="TYO8" s="64"/>
      <c r="TYP8" s="4"/>
      <c r="TYQ8" s="65"/>
      <c r="TYR8" s="4"/>
      <c r="TYS8" s="4"/>
      <c r="TYT8" s="4"/>
      <c r="TYW8" s="34"/>
      <c r="TYX8" s="34"/>
      <c r="TYZ8" s="34"/>
      <c r="TZA8" s="72"/>
      <c r="TZB8" s="63"/>
      <c r="TZC8" s="34"/>
      <c r="TZD8" s="64"/>
      <c r="TZE8" s="4"/>
      <c r="TZF8" s="65"/>
      <c r="TZG8" s="4"/>
      <c r="TZH8" s="4"/>
      <c r="TZI8" s="4"/>
      <c r="TZL8" s="34"/>
      <c r="TZM8" s="34"/>
      <c r="TZO8" s="34"/>
      <c r="TZP8" s="72"/>
      <c r="TZQ8" s="63"/>
      <c r="TZR8" s="34"/>
      <c r="TZS8" s="64"/>
      <c r="TZT8" s="4"/>
      <c r="TZU8" s="65"/>
      <c r="TZV8" s="4"/>
      <c r="TZW8" s="4"/>
      <c r="TZX8" s="4"/>
      <c r="UAA8" s="34"/>
      <c r="UAB8" s="34"/>
      <c r="UAD8" s="34"/>
      <c r="UAE8" s="72"/>
      <c r="UAF8" s="63"/>
      <c r="UAG8" s="34"/>
      <c r="UAH8" s="64"/>
      <c r="UAI8" s="4"/>
      <c r="UAJ8" s="65"/>
      <c r="UAK8" s="4"/>
      <c r="UAL8" s="4"/>
      <c r="UAM8" s="4"/>
      <c r="UAP8" s="34"/>
      <c r="UAQ8" s="34"/>
      <c r="UAS8" s="34"/>
      <c r="UAT8" s="72"/>
      <c r="UAU8" s="63"/>
      <c r="UAV8" s="34"/>
      <c r="UAW8" s="64"/>
      <c r="UAX8" s="4"/>
      <c r="UAY8" s="65"/>
      <c r="UAZ8" s="4"/>
      <c r="UBA8" s="4"/>
      <c r="UBB8" s="4"/>
      <c r="UBE8" s="34"/>
      <c r="UBF8" s="34"/>
      <c r="UBH8" s="34"/>
      <c r="UBI8" s="72"/>
      <c r="UBJ8" s="63"/>
      <c r="UBK8" s="34"/>
      <c r="UBL8" s="64"/>
      <c r="UBM8" s="4"/>
      <c r="UBN8" s="65"/>
      <c r="UBO8" s="4"/>
      <c r="UBP8" s="4"/>
      <c r="UBQ8" s="4"/>
      <c r="UBT8" s="34"/>
      <c r="UBU8" s="34"/>
      <c r="UBW8" s="34"/>
      <c r="UBX8" s="72"/>
      <c r="UBY8" s="63"/>
      <c r="UBZ8" s="34"/>
      <c r="UCA8" s="64"/>
      <c r="UCB8" s="4"/>
      <c r="UCC8" s="65"/>
      <c r="UCD8" s="4"/>
      <c r="UCE8" s="4"/>
      <c r="UCF8" s="4"/>
      <c r="UCI8" s="34"/>
      <c r="UCJ8" s="34"/>
      <c r="UCL8" s="34"/>
      <c r="UCM8" s="72"/>
      <c r="UCN8" s="63"/>
      <c r="UCO8" s="34"/>
      <c r="UCP8" s="64"/>
      <c r="UCQ8" s="4"/>
      <c r="UCR8" s="65"/>
      <c r="UCS8" s="4"/>
      <c r="UCT8" s="4"/>
      <c r="UCU8" s="4"/>
      <c r="UCX8" s="34"/>
      <c r="UCY8" s="34"/>
      <c r="UDA8" s="34"/>
      <c r="UDB8" s="72"/>
      <c r="UDC8" s="63"/>
      <c r="UDD8" s="34"/>
      <c r="UDE8" s="64"/>
      <c r="UDF8" s="4"/>
      <c r="UDG8" s="65"/>
      <c r="UDH8" s="4"/>
      <c r="UDI8" s="4"/>
      <c r="UDJ8" s="4"/>
      <c r="UDM8" s="34"/>
      <c r="UDN8" s="34"/>
      <c r="UDP8" s="34"/>
      <c r="UDQ8" s="72"/>
      <c r="UDR8" s="63"/>
      <c r="UDS8" s="34"/>
      <c r="UDT8" s="64"/>
      <c r="UDU8" s="4"/>
      <c r="UDV8" s="65"/>
      <c r="UDW8" s="4"/>
      <c r="UDX8" s="4"/>
      <c r="UDY8" s="4"/>
      <c r="UEB8" s="34"/>
      <c r="UEC8" s="34"/>
      <c r="UEE8" s="34"/>
      <c r="UEF8" s="72"/>
      <c r="UEG8" s="63"/>
      <c r="UEH8" s="34"/>
      <c r="UEI8" s="64"/>
      <c r="UEJ8" s="4"/>
      <c r="UEK8" s="65"/>
      <c r="UEL8" s="4"/>
      <c r="UEM8" s="4"/>
      <c r="UEN8" s="4"/>
      <c r="UEQ8" s="34"/>
      <c r="UER8" s="34"/>
      <c r="UET8" s="34"/>
      <c r="UEU8" s="72"/>
      <c r="UEV8" s="63"/>
      <c r="UEW8" s="34"/>
      <c r="UEX8" s="64"/>
      <c r="UEY8" s="4"/>
      <c r="UEZ8" s="65"/>
      <c r="UFA8" s="4"/>
      <c r="UFB8" s="4"/>
      <c r="UFC8" s="4"/>
      <c r="UFF8" s="34"/>
      <c r="UFG8" s="34"/>
      <c r="UFI8" s="34"/>
      <c r="UFJ8" s="72"/>
      <c r="UFK8" s="63"/>
      <c r="UFL8" s="34"/>
      <c r="UFM8" s="64"/>
      <c r="UFN8" s="4"/>
      <c r="UFO8" s="65"/>
      <c r="UFP8" s="4"/>
      <c r="UFQ8" s="4"/>
      <c r="UFR8" s="4"/>
      <c r="UFU8" s="34"/>
      <c r="UFV8" s="34"/>
      <c r="UFX8" s="34"/>
      <c r="UFY8" s="72"/>
      <c r="UFZ8" s="63"/>
      <c r="UGA8" s="34"/>
      <c r="UGB8" s="64"/>
      <c r="UGC8" s="4"/>
      <c r="UGD8" s="65"/>
      <c r="UGE8" s="4"/>
      <c r="UGF8" s="4"/>
      <c r="UGG8" s="4"/>
      <c r="UGJ8" s="34"/>
      <c r="UGK8" s="34"/>
      <c r="UGM8" s="34"/>
      <c r="UGN8" s="72"/>
      <c r="UGO8" s="63"/>
      <c r="UGP8" s="34"/>
      <c r="UGQ8" s="64"/>
      <c r="UGR8" s="4"/>
      <c r="UGS8" s="65"/>
      <c r="UGT8" s="4"/>
      <c r="UGU8" s="4"/>
      <c r="UGV8" s="4"/>
      <c r="UGY8" s="34"/>
      <c r="UGZ8" s="34"/>
      <c r="UHB8" s="34"/>
      <c r="UHC8" s="72"/>
      <c r="UHD8" s="63"/>
      <c r="UHE8" s="34"/>
      <c r="UHF8" s="64"/>
      <c r="UHG8" s="4"/>
      <c r="UHH8" s="65"/>
      <c r="UHI8" s="4"/>
      <c r="UHJ8" s="4"/>
      <c r="UHK8" s="4"/>
      <c r="UHN8" s="34"/>
      <c r="UHO8" s="34"/>
      <c r="UHQ8" s="34"/>
      <c r="UHR8" s="72"/>
      <c r="UHS8" s="63"/>
      <c r="UHT8" s="34"/>
      <c r="UHU8" s="64"/>
      <c r="UHV8" s="4"/>
      <c r="UHW8" s="65"/>
      <c r="UHX8" s="4"/>
      <c r="UHY8" s="4"/>
      <c r="UHZ8" s="4"/>
      <c r="UIC8" s="34"/>
      <c r="UID8" s="34"/>
      <c r="UIF8" s="34"/>
      <c r="UIG8" s="72"/>
      <c r="UIH8" s="63"/>
      <c r="UII8" s="34"/>
      <c r="UIJ8" s="64"/>
      <c r="UIK8" s="4"/>
      <c r="UIL8" s="65"/>
      <c r="UIM8" s="4"/>
      <c r="UIN8" s="4"/>
      <c r="UIO8" s="4"/>
      <c r="UIR8" s="34"/>
      <c r="UIS8" s="34"/>
      <c r="UIU8" s="34"/>
      <c r="UIV8" s="72"/>
      <c r="UIW8" s="63"/>
      <c r="UIX8" s="34"/>
      <c r="UIY8" s="64"/>
      <c r="UIZ8" s="4"/>
      <c r="UJA8" s="65"/>
      <c r="UJB8" s="4"/>
      <c r="UJC8" s="4"/>
      <c r="UJD8" s="4"/>
      <c r="UJG8" s="34"/>
      <c r="UJH8" s="34"/>
      <c r="UJJ8" s="34"/>
      <c r="UJK8" s="72"/>
      <c r="UJL8" s="63"/>
      <c r="UJM8" s="34"/>
      <c r="UJN8" s="64"/>
      <c r="UJO8" s="4"/>
      <c r="UJP8" s="65"/>
      <c r="UJQ8" s="4"/>
      <c r="UJR8" s="4"/>
      <c r="UJS8" s="4"/>
      <c r="UJV8" s="34"/>
      <c r="UJW8" s="34"/>
      <c r="UJY8" s="34"/>
      <c r="UJZ8" s="72"/>
      <c r="UKA8" s="63"/>
      <c r="UKB8" s="34"/>
      <c r="UKC8" s="64"/>
      <c r="UKD8" s="4"/>
      <c r="UKE8" s="65"/>
      <c r="UKF8" s="4"/>
      <c r="UKG8" s="4"/>
      <c r="UKH8" s="4"/>
      <c r="UKK8" s="34"/>
      <c r="UKL8" s="34"/>
      <c r="UKN8" s="34"/>
      <c r="UKO8" s="72"/>
      <c r="UKP8" s="63"/>
      <c r="UKQ8" s="34"/>
      <c r="UKR8" s="64"/>
      <c r="UKS8" s="4"/>
      <c r="UKT8" s="65"/>
      <c r="UKU8" s="4"/>
      <c r="UKV8" s="4"/>
      <c r="UKW8" s="4"/>
      <c r="UKZ8" s="34"/>
      <c r="ULA8" s="34"/>
      <c r="ULC8" s="34"/>
      <c r="ULD8" s="72"/>
      <c r="ULE8" s="63"/>
      <c r="ULF8" s="34"/>
      <c r="ULG8" s="64"/>
      <c r="ULH8" s="4"/>
      <c r="ULI8" s="65"/>
      <c r="ULJ8" s="4"/>
      <c r="ULK8" s="4"/>
      <c r="ULL8" s="4"/>
      <c r="ULO8" s="34"/>
      <c r="ULP8" s="34"/>
      <c r="ULR8" s="34"/>
      <c r="ULS8" s="72"/>
      <c r="ULT8" s="63"/>
      <c r="ULU8" s="34"/>
      <c r="ULV8" s="64"/>
      <c r="ULW8" s="4"/>
      <c r="ULX8" s="65"/>
      <c r="ULY8" s="4"/>
      <c r="ULZ8" s="4"/>
      <c r="UMA8" s="4"/>
      <c r="UMD8" s="34"/>
      <c r="UME8" s="34"/>
      <c r="UMG8" s="34"/>
      <c r="UMH8" s="72"/>
      <c r="UMI8" s="63"/>
      <c r="UMJ8" s="34"/>
      <c r="UMK8" s="64"/>
      <c r="UML8" s="4"/>
      <c r="UMM8" s="65"/>
      <c r="UMN8" s="4"/>
      <c r="UMO8" s="4"/>
      <c r="UMP8" s="4"/>
      <c r="UMS8" s="34"/>
      <c r="UMT8" s="34"/>
      <c r="UMV8" s="34"/>
      <c r="UMW8" s="72"/>
      <c r="UMX8" s="63"/>
      <c r="UMY8" s="34"/>
      <c r="UMZ8" s="64"/>
      <c r="UNA8" s="4"/>
      <c r="UNB8" s="65"/>
      <c r="UNC8" s="4"/>
      <c r="UND8" s="4"/>
      <c r="UNE8" s="4"/>
      <c r="UNH8" s="34"/>
      <c r="UNI8" s="34"/>
      <c r="UNK8" s="34"/>
      <c r="UNL8" s="72"/>
      <c r="UNM8" s="63"/>
      <c r="UNN8" s="34"/>
      <c r="UNO8" s="64"/>
      <c r="UNP8" s="4"/>
      <c r="UNQ8" s="65"/>
      <c r="UNR8" s="4"/>
      <c r="UNS8" s="4"/>
      <c r="UNT8" s="4"/>
      <c r="UNW8" s="34"/>
      <c r="UNX8" s="34"/>
      <c r="UNZ8" s="34"/>
      <c r="UOA8" s="72"/>
      <c r="UOB8" s="63"/>
      <c r="UOC8" s="34"/>
      <c r="UOD8" s="64"/>
      <c r="UOE8" s="4"/>
      <c r="UOF8" s="65"/>
      <c r="UOG8" s="4"/>
      <c r="UOH8" s="4"/>
      <c r="UOI8" s="4"/>
      <c r="UOL8" s="34"/>
      <c r="UOM8" s="34"/>
      <c r="UOO8" s="34"/>
      <c r="UOP8" s="72"/>
      <c r="UOQ8" s="63"/>
      <c r="UOR8" s="34"/>
      <c r="UOS8" s="64"/>
      <c r="UOT8" s="4"/>
      <c r="UOU8" s="65"/>
      <c r="UOV8" s="4"/>
      <c r="UOW8" s="4"/>
      <c r="UOX8" s="4"/>
      <c r="UPA8" s="34"/>
      <c r="UPB8" s="34"/>
      <c r="UPD8" s="34"/>
      <c r="UPE8" s="72"/>
      <c r="UPF8" s="63"/>
      <c r="UPG8" s="34"/>
      <c r="UPH8" s="64"/>
      <c r="UPI8" s="4"/>
      <c r="UPJ8" s="65"/>
      <c r="UPK8" s="4"/>
      <c r="UPL8" s="4"/>
      <c r="UPM8" s="4"/>
      <c r="UPP8" s="34"/>
      <c r="UPQ8" s="34"/>
      <c r="UPS8" s="34"/>
      <c r="UPT8" s="72"/>
      <c r="UPU8" s="63"/>
      <c r="UPV8" s="34"/>
      <c r="UPW8" s="64"/>
      <c r="UPX8" s="4"/>
      <c r="UPY8" s="65"/>
      <c r="UPZ8" s="4"/>
      <c r="UQA8" s="4"/>
      <c r="UQB8" s="4"/>
      <c r="UQE8" s="34"/>
      <c r="UQF8" s="34"/>
      <c r="UQH8" s="34"/>
      <c r="UQI8" s="72"/>
      <c r="UQJ8" s="63"/>
      <c r="UQK8" s="34"/>
      <c r="UQL8" s="64"/>
      <c r="UQM8" s="4"/>
      <c r="UQN8" s="65"/>
      <c r="UQO8" s="4"/>
      <c r="UQP8" s="4"/>
      <c r="UQQ8" s="4"/>
      <c r="UQT8" s="34"/>
      <c r="UQU8" s="34"/>
      <c r="UQW8" s="34"/>
      <c r="UQX8" s="72"/>
      <c r="UQY8" s="63"/>
      <c r="UQZ8" s="34"/>
      <c r="URA8" s="64"/>
      <c r="URB8" s="4"/>
      <c r="URC8" s="65"/>
      <c r="URD8" s="4"/>
      <c r="URE8" s="4"/>
      <c r="URF8" s="4"/>
      <c r="URI8" s="34"/>
      <c r="URJ8" s="34"/>
      <c r="URL8" s="34"/>
      <c r="URM8" s="72"/>
      <c r="URN8" s="63"/>
      <c r="URO8" s="34"/>
      <c r="URP8" s="64"/>
      <c r="URQ8" s="4"/>
      <c r="URR8" s="65"/>
      <c r="URS8" s="4"/>
      <c r="URT8" s="4"/>
      <c r="URU8" s="4"/>
      <c r="URX8" s="34"/>
      <c r="URY8" s="34"/>
      <c r="USA8" s="34"/>
      <c r="USB8" s="72"/>
      <c r="USC8" s="63"/>
      <c r="USD8" s="34"/>
      <c r="USE8" s="64"/>
      <c r="USF8" s="4"/>
      <c r="USG8" s="65"/>
      <c r="USH8" s="4"/>
      <c r="USI8" s="4"/>
      <c r="USJ8" s="4"/>
      <c r="USM8" s="34"/>
      <c r="USN8" s="34"/>
      <c r="USP8" s="34"/>
      <c r="USQ8" s="72"/>
      <c r="USR8" s="63"/>
      <c r="USS8" s="34"/>
      <c r="UST8" s="64"/>
      <c r="USU8" s="4"/>
      <c r="USV8" s="65"/>
      <c r="USW8" s="4"/>
      <c r="USX8" s="4"/>
      <c r="USY8" s="4"/>
      <c r="UTB8" s="34"/>
      <c r="UTC8" s="34"/>
      <c r="UTE8" s="34"/>
      <c r="UTF8" s="72"/>
      <c r="UTG8" s="63"/>
      <c r="UTH8" s="34"/>
      <c r="UTI8" s="64"/>
      <c r="UTJ8" s="4"/>
      <c r="UTK8" s="65"/>
      <c r="UTL8" s="4"/>
      <c r="UTM8" s="4"/>
      <c r="UTN8" s="4"/>
      <c r="UTQ8" s="34"/>
      <c r="UTR8" s="34"/>
      <c r="UTT8" s="34"/>
      <c r="UTU8" s="72"/>
      <c r="UTV8" s="63"/>
      <c r="UTW8" s="34"/>
      <c r="UTX8" s="64"/>
      <c r="UTY8" s="4"/>
      <c r="UTZ8" s="65"/>
      <c r="UUA8" s="4"/>
      <c r="UUB8" s="4"/>
      <c r="UUC8" s="4"/>
      <c r="UUF8" s="34"/>
      <c r="UUG8" s="34"/>
      <c r="UUI8" s="34"/>
      <c r="UUJ8" s="72"/>
      <c r="UUK8" s="63"/>
      <c r="UUL8" s="34"/>
      <c r="UUM8" s="64"/>
      <c r="UUN8" s="4"/>
      <c r="UUO8" s="65"/>
      <c r="UUP8" s="4"/>
      <c r="UUQ8" s="4"/>
      <c r="UUR8" s="4"/>
      <c r="UUU8" s="34"/>
      <c r="UUV8" s="34"/>
      <c r="UUX8" s="34"/>
      <c r="UUY8" s="72"/>
      <c r="UUZ8" s="63"/>
      <c r="UVA8" s="34"/>
      <c r="UVB8" s="64"/>
      <c r="UVC8" s="4"/>
      <c r="UVD8" s="65"/>
      <c r="UVE8" s="4"/>
      <c r="UVF8" s="4"/>
      <c r="UVG8" s="4"/>
      <c r="UVJ8" s="34"/>
      <c r="UVK8" s="34"/>
      <c r="UVM8" s="34"/>
      <c r="UVN8" s="72"/>
      <c r="UVO8" s="63"/>
      <c r="UVP8" s="34"/>
      <c r="UVQ8" s="64"/>
      <c r="UVR8" s="4"/>
      <c r="UVS8" s="65"/>
      <c r="UVT8" s="4"/>
      <c r="UVU8" s="4"/>
      <c r="UVV8" s="4"/>
      <c r="UVY8" s="34"/>
      <c r="UVZ8" s="34"/>
      <c r="UWB8" s="34"/>
      <c r="UWC8" s="72"/>
      <c r="UWD8" s="63"/>
      <c r="UWE8" s="34"/>
      <c r="UWF8" s="64"/>
      <c r="UWG8" s="4"/>
      <c r="UWH8" s="65"/>
      <c r="UWI8" s="4"/>
      <c r="UWJ8" s="4"/>
      <c r="UWK8" s="4"/>
      <c r="UWN8" s="34"/>
      <c r="UWO8" s="34"/>
      <c r="UWQ8" s="34"/>
      <c r="UWR8" s="72"/>
      <c r="UWS8" s="63"/>
      <c r="UWT8" s="34"/>
      <c r="UWU8" s="64"/>
      <c r="UWV8" s="4"/>
      <c r="UWW8" s="65"/>
      <c r="UWX8" s="4"/>
      <c r="UWY8" s="4"/>
      <c r="UWZ8" s="4"/>
      <c r="UXC8" s="34"/>
      <c r="UXD8" s="34"/>
      <c r="UXF8" s="34"/>
      <c r="UXG8" s="72"/>
      <c r="UXH8" s="63"/>
      <c r="UXI8" s="34"/>
      <c r="UXJ8" s="64"/>
      <c r="UXK8" s="4"/>
      <c r="UXL8" s="65"/>
      <c r="UXM8" s="4"/>
      <c r="UXN8" s="4"/>
      <c r="UXO8" s="4"/>
      <c r="UXR8" s="34"/>
      <c r="UXS8" s="34"/>
      <c r="UXU8" s="34"/>
      <c r="UXV8" s="72"/>
      <c r="UXW8" s="63"/>
      <c r="UXX8" s="34"/>
      <c r="UXY8" s="64"/>
      <c r="UXZ8" s="4"/>
      <c r="UYA8" s="65"/>
      <c r="UYB8" s="4"/>
      <c r="UYC8" s="4"/>
      <c r="UYD8" s="4"/>
      <c r="UYG8" s="34"/>
      <c r="UYH8" s="34"/>
      <c r="UYJ8" s="34"/>
      <c r="UYK8" s="72"/>
      <c r="UYL8" s="63"/>
      <c r="UYM8" s="34"/>
      <c r="UYN8" s="64"/>
      <c r="UYO8" s="4"/>
      <c r="UYP8" s="65"/>
      <c r="UYQ8" s="4"/>
      <c r="UYR8" s="4"/>
      <c r="UYS8" s="4"/>
      <c r="UYV8" s="34"/>
      <c r="UYW8" s="34"/>
      <c r="UYY8" s="34"/>
      <c r="UYZ8" s="72"/>
      <c r="UZA8" s="63"/>
      <c r="UZB8" s="34"/>
      <c r="UZC8" s="64"/>
      <c r="UZD8" s="4"/>
      <c r="UZE8" s="65"/>
      <c r="UZF8" s="4"/>
      <c r="UZG8" s="4"/>
      <c r="UZH8" s="4"/>
      <c r="UZK8" s="34"/>
      <c r="UZL8" s="34"/>
      <c r="UZN8" s="34"/>
      <c r="UZO8" s="72"/>
      <c r="UZP8" s="63"/>
      <c r="UZQ8" s="34"/>
      <c r="UZR8" s="64"/>
      <c r="UZS8" s="4"/>
      <c r="UZT8" s="65"/>
      <c r="UZU8" s="4"/>
      <c r="UZV8" s="4"/>
      <c r="UZW8" s="4"/>
      <c r="UZZ8" s="34"/>
      <c r="VAA8" s="34"/>
      <c r="VAC8" s="34"/>
      <c r="VAD8" s="72"/>
      <c r="VAE8" s="63"/>
      <c r="VAF8" s="34"/>
      <c r="VAG8" s="64"/>
      <c r="VAH8" s="4"/>
      <c r="VAI8" s="65"/>
      <c r="VAJ8" s="4"/>
      <c r="VAK8" s="4"/>
      <c r="VAL8" s="4"/>
      <c r="VAO8" s="34"/>
      <c r="VAP8" s="34"/>
      <c r="VAR8" s="34"/>
      <c r="VAS8" s="72"/>
      <c r="VAT8" s="63"/>
      <c r="VAU8" s="34"/>
      <c r="VAV8" s="64"/>
      <c r="VAW8" s="4"/>
      <c r="VAX8" s="65"/>
      <c r="VAY8" s="4"/>
      <c r="VAZ8" s="4"/>
      <c r="VBA8" s="4"/>
      <c r="VBD8" s="34"/>
      <c r="VBE8" s="34"/>
      <c r="VBG8" s="34"/>
      <c r="VBH8" s="72"/>
      <c r="VBI8" s="63"/>
      <c r="VBJ8" s="34"/>
      <c r="VBK8" s="64"/>
      <c r="VBL8" s="4"/>
      <c r="VBM8" s="65"/>
      <c r="VBN8" s="4"/>
      <c r="VBO8" s="4"/>
      <c r="VBP8" s="4"/>
      <c r="VBS8" s="34"/>
      <c r="VBT8" s="34"/>
      <c r="VBV8" s="34"/>
      <c r="VBW8" s="72"/>
      <c r="VBX8" s="63"/>
      <c r="VBY8" s="34"/>
      <c r="VBZ8" s="64"/>
      <c r="VCA8" s="4"/>
      <c r="VCB8" s="65"/>
      <c r="VCC8" s="4"/>
      <c r="VCD8" s="4"/>
      <c r="VCE8" s="4"/>
      <c r="VCH8" s="34"/>
      <c r="VCI8" s="34"/>
      <c r="VCK8" s="34"/>
      <c r="VCL8" s="72"/>
      <c r="VCM8" s="63"/>
      <c r="VCN8" s="34"/>
      <c r="VCO8" s="64"/>
      <c r="VCP8" s="4"/>
      <c r="VCQ8" s="65"/>
      <c r="VCR8" s="4"/>
      <c r="VCS8" s="4"/>
      <c r="VCT8" s="4"/>
      <c r="VCW8" s="34"/>
      <c r="VCX8" s="34"/>
      <c r="VCZ8" s="34"/>
      <c r="VDA8" s="72"/>
      <c r="VDB8" s="63"/>
      <c r="VDC8" s="34"/>
      <c r="VDD8" s="64"/>
      <c r="VDE8" s="4"/>
      <c r="VDF8" s="65"/>
      <c r="VDG8" s="4"/>
      <c r="VDH8" s="4"/>
      <c r="VDI8" s="4"/>
      <c r="VDL8" s="34"/>
      <c r="VDM8" s="34"/>
      <c r="VDO8" s="34"/>
      <c r="VDP8" s="72"/>
      <c r="VDQ8" s="63"/>
      <c r="VDR8" s="34"/>
      <c r="VDS8" s="64"/>
      <c r="VDT8" s="4"/>
      <c r="VDU8" s="65"/>
      <c r="VDV8" s="4"/>
      <c r="VDW8" s="4"/>
      <c r="VDX8" s="4"/>
      <c r="VEA8" s="34"/>
      <c r="VEB8" s="34"/>
      <c r="VED8" s="34"/>
      <c r="VEE8" s="72"/>
      <c r="VEF8" s="63"/>
      <c r="VEG8" s="34"/>
      <c r="VEH8" s="64"/>
      <c r="VEI8" s="4"/>
      <c r="VEJ8" s="65"/>
      <c r="VEK8" s="4"/>
      <c r="VEL8" s="4"/>
      <c r="VEM8" s="4"/>
      <c r="VEP8" s="34"/>
      <c r="VEQ8" s="34"/>
      <c r="VES8" s="34"/>
      <c r="VET8" s="72"/>
      <c r="VEU8" s="63"/>
      <c r="VEV8" s="34"/>
      <c r="VEW8" s="64"/>
      <c r="VEX8" s="4"/>
      <c r="VEY8" s="65"/>
      <c r="VEZ8" s="4"/>
      <c r="VFA8" s="4"/>
      <c r="VFB8" s="4"/>
      <c r="VFE8" s="34"/>
      <c r="VFF8" s="34"/>
      <c r="VFH8" s="34"/>
      <c r="VFI8" s="72"/>
      <c r="VFJ8" s="63"/>
      <c r="VFK8" s="34"/>
      <c r="VFL8" s="64"/>
      <c r="VFM8" s="4"/>
      <c r="VFN8" s="65"/>
      <c r="VFO8" s="4"/>
      <c r="VFP8" s="4"/>
      <c r="VFQ8" s="4"/>
      <c r="VFT8" s="34"/>
      <c r="VFU8" s="34"/>
      <c r="VFW8" s="34"/>
      <c r="VFX8" s="72"/>
      <c r="VFY8" s="63"/>
      <c r="VFZ8" s="34"/>
      <c r="VGA8" s="64"/>
      <c r="VGB8" s="4"/>
      <c r="VGC8" s="65"/>
      <c r="VGD8" s="4"/>
      <c r="VGE8" s="4"/>
      <c r="VGF8" s="4"/>
      <c r="VGI8" s="34"/>
      <c r="VGJ8" s="34"/>
      <c r="VGL8" s="34"/>
      <c r="VGM8" s="72"/>
      <c r="VGN8" s="63"/>
      <c r="VGO8" s="34"/>
      <c r="VGP8" s="64"/>
      <c r="VGQ8" s="4"/>
      <c r="VGR8" s="65"/>
      <c r="VGS8" s="4"/>
      <c r="VGT8" s="4"/>
      <c r="VGU8" s="4"/>
      <c r="VGX8" s="34"/>
      <c r="VGY8" s="34"/>
      <c r="VHA8" s="34"/>
      <c r="VHB8" s="72"/>
      <c r="VHC8" s="63"/>
      <c r="VHD8" s="34"/>
      <c r="VHE8" s="64"/>
      <c r="VHF8" s="4"/>
      <c r="VHG8" s="65"/>
      <c r="VHH8" s="4"/>
      <c r="VHI8" s="4"/>
      <c r="VHJ8" s="4"/>
      <c r="VHM8" s="34"/>
      <c r="VHN8" s="34"/>
      <c r="VHP8" s="34"/>
      <c r="VHQ8" s="72"/>
      <c r="VHR8" s="63"/>
      <c r="VHS8" s="34"/>
      <c r="VHT8" s="64"/>
      <c r="VHU8" s="4"/>
      <c r="VHV8" s="65"/>
      <c r="VHW8" s="4"/>
      <c r="VHX8" s="4"/>
      <c r="VHY8" s="4"/>
      <c r="VIB8" s="34"/>
      <c r="VIC8" s="34"/>
      <c r="VIE8" s="34"/>
      <c r="VIF8" s="72"/>
      <c r="VIG8" s="63"/>
      <c r="VIH8" s="34"/>
      <c r="VII8" s="64"/>
      <c r="VIJ8" s="4"/>
      <c r="VIK8" s="65"/>
      <c r="VIL8" s="4"/>
      <c r="VIM8" s="4"/>
      <c r="VIN8" s="4"/>
      <c r="VIQ8" s="34"/>
      <c r="VIR8" s="34"/>
      <c r="VIT8" s="34"/>
      <c r="VIU8" s="72"/>
      <c r="VIV8" s="63"/>
      <c r="VIW8" s="34"/>
      <c r="VIX8" s="64"/>
      <c r="VIY8" s="4"/>
      <c r="VIZ8" s="65"/>
      <c r="VJA8" s="4"/>
      <c r="VJB8" s="4"/>
      <c r="VJC8" s="4"/>
      <c r="VJF8" s="34"/>
      <c r="VJG8" s="34"/>
      <c r="VJI8" s="34"/>
      <c r="VJJ8" s="72"/>
      <c r="VJK8" s="63"/>
      <c r="VJL8" s="34"/>
      <c r="VJM8" s="64"/>
      <c r="VJN8" s="4"/>
      <c r="VJO8" s="65"/>
      <c r="VJP8" s="4"/>
      <c r="VJQ8" s="4"/>
      <c r="VJR8" s="4"/>
      <c r="VJU8" s="34"/>
      <c r="VJV8" s="34"/>
      <c r="VJX8" s="34"/>
      <c r="VJY8" s="72"/>
      <c r="VJZ8" s="63"/>
      <c r="VKA8" s="34"/>
      <c r="VKB8" s="64"/>
      <c r="VKC8" s="4"/>
      <c r="VKD8" s="65"/>
      <c r="VKE8" s="4"/>
      <c r="VKF8" s="4"/>
      <c r="VKG8" s="4"/>
      <c r="VKJ8" s="34"/>
      <c r="VKK8" s="34"/>
      <c r="VKM8" s="34"/>
      <c r="VKN8" s="72"/>
      <c r="VKO8" s="63"/>
      <c r="VKP8" s="34"/>
      <c r="VKQ8" s="64"/>
      <c r="VKR8" s="4"/>
      <c r="VKS8" s="65"/>
      <c r="VKT8" s="4"/>
      <c r="VKU8" s="4"/>
      <c r="VKV8" s="4"/>
      <c r="VKY8" s="34"/>
      <c r="VKZ8" s="34"/>
      <c r="VLB8" s="34"/>
      <c r="VLC8" s="72"/>
      <c r="VLD8" s="63"/>
      <c r="VLE8" s="34"/>
      <c r="VLF8" s="64"/>
      <c r="VLG8" s="4"/>
      <c r="VLH8" s="65"/>
      <c r="VLI8" s="4"/>
      <c r="VLJ8" s="4"/>
      <c r="VLK8" s="4"/>
      <c r="VLN8" s="34"/>
      <c r="VLO8" s="34"/>
      <c r="VLQ8" s="34"/>
      <c r="VLR8" s="72"/>
      <c r="VLS8" s="63"/>
      <c r="VLT8" s="34"/>
      <c r="VLU8" s="64"/>
      <c r="VLV8" s="4"/>
      <c r="VLW8" s="65"/>
      <c r="VLX8" s="4"/>
      <c r="VLY8" s="4"/>
      <c r="VLZ8" s="4"/>
      <c r="VMC8" s="34"/>
      <c r="VMD8" s="34"/>
      <c r="VMF8" s="34"/>
      <c r="VMG8" s="72"/>
      <c r="VMH8" s="63"/>
      <c r="VMI8" s="34"/>
      <c r="VMJ8" s="64"/>
      <c r="VMK8" s="4"/>
      <c r="VML8" s="65"/>
      <c r="VMM8" s="4"/>
      <c r="VMN8" s="4"/>
      <c r="VMO8" s="4"/>
      <c r="VMR8" s="34"/>
      <c r="VMS8" s="34"/>
      <c r="VMU8" s="34"/>
      <c r="VMV8" s="72"/>
      <c r="VMW8" s="63"/>
      <c r="VMX8" s="34"/>
      <c r="VMY8" s="64"/>
      <c r="VMZ8" s="4"/>
      <c r="VNA8" s="65"/>
      <c r="VNB8" s="4"/>
      <c r="VNC8" s="4"/>
      <c r="VND8" s="4"/>
      <c r="VNG8" s="34"/>
      <c r="VNH8" s="34"/>
      <c r="VNJ8" s="34"/>
      <c r="VNK8" s="72"/>
      <c r="VNL8" s="63"/>
      <c r="VNM8" s="34"/>
      <c r="VNN8" s="64"/>
      <c r="VNO8" s="4"/>
      <c r="VNP8" s="65"/>
      <c r="VNQ8" s="4"/>
      <c r="VNR8" s="4"/>
      <c r="VNS8" s="4"/>
      <c r="VNV8" s="34"/>
      <c r="VNW8" s="34"/>
      <c r="VNY8" s="34"/>
      <c r="VNZ8" s="72"/>
      <c r="VOA8" s="63"/>
      <c r="VOB8" s="34"/>
      <c r="VOC8" s="64"/>
      <c r="VOD8" s="4"/>
      <c r="VOE8" s="65"/>
      <c r="VOF8" s="4"/>
      <c r="VOG8" s="4"/>
      <c r="VOH8" s="4"/>
      <c r="VOK8" s="34"/>
      <c r="VOL8" s="34"/>
      <c r="VON8" s="34"/>
      <c r="VOO8" s="72"/>
      <c r="VOP8" s="63"/>
      <c r="VOQ8" s="34"/>
      <c r="VOR8" s="64"/>
      <c r="VOS8" s="4"/>
      <c r="VOT8" s="65"/>
      <c r="VOU8" s="4"/>
      <c r="VOV8" s="4"/>
      <c r="VOW8" s="4"/>
      <c r="VOZ8" s="34"/>
      <c r="VPA8" s="34"/>
      <c r="VPC8" s="34"/>
      <c r="VPD8" s="72"/>
      <c r="VPE8" s="63"/>
      <c r="VPF8" s="34"/>
      <c r="VPG8" s="64"/>
      <c r="VPH8" s="4"/>
      <c r="VPI8" s="65"/>
      <c r="VPJ8" s="4"/>
      <c r="VPK8" s="4"/>
      <c r="VPL8" s="4"/>
      <c r="VPO8" s="34"/>
      <c r="VPP8" s="34"/>
      <c r="VPR8" s="34"/>
      <c r="VPS8" s="72"/>
      <c r="VPT8" s="63"/>
      <c r="VPU8" s="34"/>
      <c r="VPV8" s="64"/>
      <c r="VPW8" s="4"/>
      <c r="VPX8" s="65"/>
      <c r="VPY8" s="4"/>
      <c r="VPZ8" s="4"/>
      <c r="VQA8" s="4"/>
      <c r="VQD8" s="34"/>
      <c r="VQE8" s="34"/>
      <c r="VQG8" s="34"/>
      <c r="VQH8" s="72"/>
      <c r="VQI8" s="63"/>
      <c r="VQJ8" s="34"/>
      <c r="VQK8" s="64"/>
      <c r="VQL8" s="4"/>
      <c r="VQM8" s="65"/>
      <c r="VQN8" s="4"/>
      <c r="VQO8" s="4"/>
      <c r="VQP8" s="4"/>
      <c r="VQS8" s="34"/>
      <c r="VQT8" s="34"/>
      <c r="VQV8" s="34"/>
      <c r="VQW8" s="72"/>
      <c r="VQX8" s="63"/>
      <c r="VQY8" s="34"/>
      <c r="VQZ8" s="64"/>
      <c r="VRA8" s="4"/>
      <c r="VRB8" s="65"/>
      <c r="VRC8" s="4"/>
      <c r="VRD8" s="4"/>
      <c r="VRE8" s="4"/>
      <c r="VRH8" s="34"/>
      <c r="VRI8" s="34"/>
      <c r="VRK8" s="34"/>
      <c r="VRL8" s="72"/>
      <c r="VRM8" s="63"/>
      <c r="VRN8" s="34"/>
      <c r="VRO8" s="64"/>
      <c r="VRP8" s="4"/>
      <c r="VRQ8" s="65"/>
      <c r="VRR8" s="4"/>
      <c r="VRS8" s="4"/>
      <c r="VRT8" s="4"/>
      <c r="VRW8" s="34"/>
      <c r="VRX8" s="34"/>
      <c r="VRZ8" s="34"/>
      <c r="VSA8" s="72"/>
      <c r="VSB8" s="63"/>
      <c r="VSC8" s="34"/>
      <c r="VSD8" s="64"/>
      <c r="VSE8" s="4"/>
      <c r="VSF8" s="65"/>
      <c r="VSG8" s="4"/>
      <c r="VSH8" s="4"/>
      <c r="VSI8" s="4"/>
      <c r="VSL8" s="34"/>
      <c r="VSM8" s="34"/>
      <c r="VSO8" s="34"/>
      <c r="VSP8" s="72"/>
      <c r="VSQ8" s="63"/>
      <c r="VSR8" s="34"/>
      <c r="VSS8" s="64"/>
      <c r="VST8" s="4"/>
      <c r="VSU8" s="65"/>
      <c r="VSV8" s="4"/>
      <c r="VSW8" s="4"/>
      <c r="VSX8" s="4"/>
      <c r="VTA8" s="34"/>
      <c r="VTB8" s="34"/>
      <c r="VTD8" s="34"/>
      <c r="VTE8" s="72"/>
      <c r="VTF8" s="63"/>
      <c r="VTG8" s="34"/>
      <c r="VTH8" s="64"/>
      <c r="VTI8" s="4"/>
      <c r="VTJ8" s="65"/>
      <c r="VTK8" s="4"/>
      <c r="VTL8" s="4"/>
      <c r="VTM8" s="4"/>
      <c r="VTP8" s="34"/>
      <c r="VTQ8" s="34"/>
      <c r="VTS8" s="34"/>
      <c r="VTT8" s="72"/>
      <c r="VTU8" s="63"/>
      <c r="VTV8" s="34"/>
      <c r="VTW8" s="64"/>
      <c r="VTX8" s="4"/>
      <c r="VTY8" s="65"/>
      <c r="VTZ8" s="4"/>
      <c r="VUA8" s="4"/>
      <c r="VUB8" s="4"/>
      <c r="VUE8" s="34"/>
      <c r="VUF8" s="34"/>
      <c r="VUH8" s="34"/>
      <c r="VUI8" s="72"/>
      <c r="VUJ8" s="63"/>
      <c r="VUK8" s="34"/>
      <c r="VUL8" s="64"/>
      <c r="VUM8" s="4"/>
      <c r="VUN8" s="65"/>
      <c r="VUO8" s="4"/>
      <c r="VUP8" s="4"/>
      <c r="VUQ8" s="4"/>
      <c r="VUT8" s="34"/>
      <c r="VUU8" s="34"/>
      <c r="VUW8" s="34"/>
      <c r="VUX8" s="72"/>
      <c r="VUY8" s="63"/>
      <c r="VUZ8" s="34"/>
      <c r="VVA8" s="64"/>
      <c r="VVB8" s="4"/>
      <c r="VVC8" s="65"/>
      <c r="VVD8" s="4"/>
      <c r="VVE8" s="4"/>
      <c r="VVF8" s="4"/>
      <c r="VVI8" s="34"/>
      <c r="VVJ8" s="34"/>
      <c r="VVL8" s="34"/>
      <c r="VVM8" s="72"/>
      <c r="VVN8" s="63"/>
      <c r="VVO8" s="34"/>
      <c r="VVP8" s="64"/>
      <c r="VVQ8" s="4"/>
      <c r="VVR8" s="65"/>
      <c r="VVS8" s="4"/>
      <c r="VVT8" s="4"/>
      <c r="VVU8" s="4"/>
      <c r="VVX8" s="34"/>
      <c r="VVY8" s="34"/>
      <c r="VWA8" s="34"/>
      <c r="VWB8" s="72"/>
      <c r="VWC8" s="63"/>
      <c r="VWD8" s="34"/>
      <c r="VWE8" s="64"/>
      <c r="VWF8" s="4"/>
      <c r="VWG8" s="65"/>
      <c r="VWH8" s="4"/>
      <c r="VWI8" s="4"/>
      <c r="VWJ8" s="4"/>
      <c r="VWM8" s="34"/>
      <c r="VWN8" s="34"/>
      <c r="VWP8" s="34"/>
      <c r="VWQ8" s="72"/>
      <c r="VWR8" s="63"/>
      <c r="VWS8" s="34"/>
      <c r="VWT8" s="64"/>
      <c r="VWU8" s="4"/>
      <c r="VWV8" s="65"/>
      <c r="VWW8" s="4"/>
      <c r="VWX8" s="4"/>
      <c r="VWY8" s="4"/>
      <c r="VXB8" s="34"/>
      <c r="VXC8" s="34"/>
      <c r="VXE8" s="34"/>
      <c r="VXF8" s="72"/>
      <c r="VXG8" s="63"/>
      <c r="VXH8" s="34"/>
      <c r="VXI8" s="64"/>
      <c r="VXJ8" s="4"/>
      <c r="VXK8" s="65"/>
      <c r="VXL8" s="4"/>
      <c r="VXM8" s="4"/>
      <c r="VXN8" s="4"/>
      <c r="VXQ8" s="34"/>
      <c r="VXR8" s="34"/>
      <c r="VXT8" s="34"/>
      <c r="VXU8" s="72"/>
      <c r="VXV8" s="63"/>
      <c r="VXW8" s="34"/>
      <c r="VXX8" s="64"/>
      <c r="VXY8" s="4"/>
      <c r="VXZ8" s="65"/>
      <c r="VYA8" s="4"/>
      <c r="VYB8" s="4"/>
      <c r="VYC8" s="4"/>
      <c r="VYF8" s="34"/>
      <c r="VYG8" s="34"/>
      <c r="VYI8" s="34"/>
      <c r="VYJ8" s="72"/>
      <c r="VYK8" s="63"/>
      <c r="VYL8" s="34"/>
      <c r="VYM8" s="64"/>
      <c r="VYN8" s="4"/>
      <c r="VYO8" s="65"/>
      <c r="VYP8" s="4"/>
      <c r="VYQ8" s="4"/>
      <c r="VYR8" s="4"/>
      <c r="VYU8" s="34"/>
      <c r="VYV8" s="34"/>
      <c r="VYX8" s="34"/>
      <c r="VYY8" s="72"/>
      <c r="VYZ8" s="63"/>
      <c r="VZA8" s="34"/>
      <c r="VZB8" s="64"/>
      <c r="VZC8" s="4"/>
      <c r="VZD8" s="65"/>
      <c r="VZE8" s="4"/>
      <c r="VZF8" s="4"/>
      <c r="VZG8" s="4"/>
      <c r="VZJ8" s="34"/>
      <c r="VZK8" s="34"/>
      <c r="VZM8" s="34"/>
      <c r="VZN8" s="72"/>
      <c r="VZO8" s="63"/>
      <c r="VZP8" s="34"/>
      <c r="VZQ8" s="64"/>
      <c r="VZR8" s="4"/>
      <c r="VZS8" s="65"/>
      <c r="VZT8" s="4"/>
      <c r="VZU8" s="4"/>
      <c r="VZV8" s="4"/>
      <c r="VZY8" s="34"/>
      <c r="VZZ8" s="34"/>
      <c r="WAB8" s="34"/>
      <c r="WAC8" s="72"/>
      <c r="WAD8" s="63"/>
      <c r="WAE8" s="34"/>
      <c r="WAF8" s="64"/>
      <c r="WAG8" s="4"/>
      <c r="WAH8" s="65"/>
      <c r="WAI8" s="4"/>
      <c r="WAJ8" s="4"/>
      <c r="WAK8" s="4"/>
      <c r="WAN8" s="34"/>
      <c r="WAO8" s="34"/>
      <c r="WAQ8" s="34"/>
      <c r="WAR8" s="72"/>
      <c r="WAS8" s="63"/>
      <c r="WAT8" s="34"/>
      <c r="WAU8" s="64"/>
      <c r="WAV8" s="4"/>
      <c r="WAW8" s="65"/>
      <c r="WAX8" s="4"/>
      <c r="WAY8" s="4"/>
      <c r="WAZ8" s="4"/>
      <c r="WBC8" s="34"/>
      <c r="WBD8" s="34"/>
      <c r="WBF8" s="34"/>
      <c r="WBG8" s="72"/>
      <c r="WBH8" s="63"/>
      <c r="WBI8" s="34"/>
      <c r="WBJ8" s="64"/>
      <c r="WBK8" s="4"/>
      <c r="WBL8" s="65"/>
      <c r="WBM8" s="4"/>
      <c r="WBN8" s="4"/>
      <c r="WBO8" s="4"/>
      <c r="WBR8" s="34"/>
      <c r="WBS8" s="34"/>
      <c r="WBU8" s="34"/>
      <c r="WBV8" s="72"/>
      <c r="WBW8" s="63"/>
      <c r="WBX8" s="34"/>
      <c r="WBY8" s="64"/>
      <c r="WBZ8" s="4"/>
      <c r="WCA8" s="65"/>
      <c r="WCB8" s="4"/>
      <c r="WCC8" s="4"/>
      <c r="WCD8" s="4"/>
      <c r="WCG8" s="34"/>
      <c r="WCH8" s="34"/>
      <c r="WCJ8" s="34"/>
      <c r="WCK8" s="72"/>
      <c r="WCL8" s="63"/>
      <c r="WCM8" s="34"/>
      <c r="WCN8" s="64"/>
      <c r="WCO8" s="4"/>
      <c r="WCP8" s="65"/>
      <c r="WCQ8" s="4"/>
      <c r="WCR8" s="4"/>
      <c r="WCS8" s="4"/>
      <c r="WCV8" s="34"/>
      <c r="WCW8" s="34"/>
      <c r="WCY8" s="34"/>
      <c r="WCZ8" s="72"/>
      <c r="WDA8" s="63"/>
      <c r="WDB8" s="34"/>
      <c r="WDC8" s="64"/>
      <c r="WDD8" s="4"/>
      <c r="WDE8" s="65"/>
      <c r="WDF8" s="4"/>
      <c r="WDG8" s="4"/>
      <c r="WDH8" s="4"/>
      <c r="WDK8" s="34"/>
      <c r="WDL8" s="34"/>
      <c r="WDN8" s="34"/>
      <c r="WDO8" s="72"/>
      <c r="WDP8" s="63"/>
      <c r="WDQ8" s="34"/>
      <c r="WDR8" s="64"/>
      <c r="WDS8" s="4"/>
      <c r="WDT8" s="65"/>
      <c r="WDU8" s="4"/>
      <c r="WDV8" s="4"/>
      <c r="WDW8" s="4"/>
      <c r="WDZ8" s="34"/>
      <c r="WEA8" s="34"/>
      <c r="WEC8" s="34"/>
      <c r="WED8" s="72"/>
      <c r="WEE8" s="63"/>
      <c r="WEF8" s="34"/>
      <c r="WEG8" s="64"/>
      <c r="WEH8" s="4"/>
      <c r="WEI8" s="65"/>
      <c r="WEJ8" s="4"/>
      <c r="WEK8" s="4"/>
      <c r="WEL8" s="4"/>
      <c r="WEO8" s="34"/>
      <c r="WEP8" s="34"/>
      <c r="WER8" s="34"/>
      <c r="WES8" s="72"/>
      <c r="WET8" s="63"/>
      <c r="WEU8" s="34"/>
      <c r="WEV8" s="64"/>
      <c r="WEW8" s="4"/>
      <c r="WEX8" s="65"/>
      <c r="WEY8" s="4"/>
      <c r="WEZ8" s="4"/>
      <c r="WFA8" s="4"/>
      <c r="WFD8" s="34"/>
      <c r="WFE8" s="34"/>
      <c r="WFG8" s="34"/>
      <c r="WFH8" s="72"/>
      <c r="WFI8" s="63"/>
      <c r="WFJ8" s="34"/>
      <c r="WFK8" s="64"/>
      <c r="WFL8" s="4"/>
      <c r="WFM8" s="65"/>
      <c r="WFN8" s="4"/>
      <c r="WFO8" s="4"/>
      <c r="WFP8" s="4"/>
      <c r="WFS8" s="34"/>
      <c r="WFT8" s="34"/>
      <c r="WFV8" s="34"/>
      <c r="WFW8" s="72"/>
      <c r="WFX8" s="63"/>
      <c r="WFY8" s="34"/>
      <c r="WFZ8" s="64"/>
      <c r="WGA8" s="4"/>
      <c r="WGB8" s="65"/>
      <c r="WGC8" s="4"/>
      <c r="WGD8" s="4"/>
      <c r="WGE8" s="4"/>
      <c r="WGH8" s="34"/>
      <c r="WGI8" s="34"/>
      <c r="WGK8" s="34"/>
      <c r="WGL8" s="72"/>
      <c r="WGM8" s="63"/>
      <c r="WGN8" s="34"/>
      <c r="WGO8" s="64"/>
      <c r="WGP8" s="4"/>
      <c r="WGQ8" s="65"/>
      <c r="WGR8" s="4"/>
      <c r="WGS8" s="4"/>
      <c r="WGT8" s="4"/>
      <c r="WGW8" s="34"/>
      <c r="WGX8" s="34"/>
      <c r="WGZ8" s="34"/>
      <c r="WHA8" s="72"/>
      <c r="WHB8" s="63"/>
      <c r="WHC8" s="34"/>
      <c r="WHD8" s="64"/>
      <c r="WHE8" s="4"/>
      <c r="WHF8" s="65"/>
      <c r="WHG8" s="4"/>
      <c r="WHH8" s="4"/>
      <c r="WHI8" s="4"/>
      <c r="WHL8" s="34"/>
      <c r="WHM8" s="34"/>
      <c r="WHO8" s="34"/>
      <c r="WHP8" s="72"/>
      <c r="WHQ8" s="63"/>
      <c r="WHR8" s="34"/>
      <c r="WHS8" s="64"/>
      <c r="WHT8" s="4"/>
      <c r="WHU8" s="65"/>
      <c r="WHV8" s="4"/>
      <c r="WHW8" s="4"/>
      <c r="WHX8" s="4"/>
      <c r="WIA8" s="34"/>
      <c r="WIB8" s="34"/>
      <c r="WID8" s="34"/>
      <c r="WIE8" s="72"/>
      <c r="WIF8" s="63"/>
      <c r="WIG8" s="34"/>
      <c r="WIH8" s="64"/>
      <c r="WII8" s="4"/>
      <c r="WIJ8" s="65"/>
      <c r="WIK8" s="4"/>
      <c r="WIL8" s="4"/>
      <c r="WIM8" s="4"/>
      <c r="WIP8" s="34"/>
      <c r="WIQ8" s="34"/>
      <c r="WIS8" s="34"/>
      <c r="WIT8" s="72"/>
      <c r="WIU8" s="63"/>
      <c r="WIV8" s="34"/>
      <c r="WIW8" s="64"/>
      <c r="WIX8" s="4"/>
      <c r="WIY8" s="65"/>
      <c r="WIZ8" s="4"/>
      <c r="WJA8" s="4"/>
      <c r="WJB8" s="4"/>
      <c r="WJE8" s="34"/>
      <c r="WJF8" s="34"/>
      <c r="WJH8" s="34"/>
      <c r="WJI8" s="72"/>
      <c r="WJJ8" s="63"/>
      <c r="WJK8" s="34"/>
      <c r="WJL8" s="64"/>
      <c r="WJM8" s="4"/>
      <c r="WJN8" s="65"/>
      <c r="WJO8" s="4"/>
      <c r="WJP8" s="4"/>
      <c r="WJQ8" s="4"/>
      <c r="WJT8" s="34"/>
      <c r="WJU8" s="34"/>
      <c r="WJW8" s="34"/>
      <c r="WJX8" s="72"/>
      <c r="WJY8" s="63"/>
      <c r="WJZ8" s="34"/>
      <c r="WKA8" s="64"/>
      <c r="WKB8" s="4"/>
      <c r="WKC8" s="65"/>
      <c r="WKD8" s="4"/>
      <c r="WKE8" s="4"/>
      <c r="WKF8" s="4"/>
      <c r="WKI8" s="34"/>
      <c r="WKJ8" s="34"/>
      <c r="WKL8" s="34"/>
      <c r="WKM8" s="72"/>
      <c r="WKN8" s="63"/>
      <c r="WKO8" s="34"/>
      <c r="WKP8" s="64"/>
      <c r="WKQ8" s="4"/>
      <c r="WKR8" s="65"/>
      <c r="WKS8" s="4"/>
      <c r="WKT8" s="4"/>
      <c r="WKU8" s="4"/>
      <c r="WKX8" s="34"/>
      <c r="WKY8" s="34"/>
      <c r="WLA8" s="34"/>
      <c r="WLB8" s="72"/>
      <c r="WLC8" s="63"/>
      <c r="WLD8" s="34"/>
      <c r="WLE8" s="64"/>
      <c r="WLF8" s="4"/>
      <c r="WLG8" s="65"/>
      <c r="WLH8" s="4"/>
      <c r="WLI8" s="4"/>
      <c r="WLJ8" s="4"/>
      <c r="WLM8" s="34"/>
      <c r="WLN8" s="34"/>
      <c r="WLP8" s="34"/>
      <c r="WLQ8" s="72"/>
      <c r="WLR8" s="63"/>
      <c r="WLS8" s="34"/>
      <c r="WLT8" s="64"/>
      <c r="WLU8" s="4"/>
      <c r="WLV8" s="65"/>
      <c r="WLW8" s="4"/>
      <c r="WLX8" s="4"/>
      <c r="WLY8" s="4"/>
      <c r="WMB8" s="34"/>
      <c r="WMC8" s="34"/>
      <c r="WME8" s="34"/>
      <c r="WMF8" s="72"/>
      <c r="WMG8" s="63"/>
      <c r="WMH8" s="34"/>
      <c r="WMI8" s="64"/>
      <c r="WMJ8" s="4"/>
      <c r="WMK8" s="65"/>
      <c r="WML8" s="4"/>
      <c r="WMM8" s="4"/>
      <c r="WMN8" s="4"/>
      <c r="WMQ8" s="34"/>
      <c r="WMR8" s="34"/>
      <c r="WMT8" s="34"/>
      <c r="WMU8" s="72"/>
      <c r="WMV8" s="63"/>
      <c r="WMW8" s="34"/>
      <c r="WMX8" s="64"/>
      <c r="WMY8" s="4"/>
      <c r="WMZ8" s="65"/>
      <c r="WNA8" s="4"/>
      <c r="WNB8" s="4"/>
      <c r="WNC8" s="4"/>
      <c r="WNF8" s="34"/>
      <c r="WNG8" s="34"/>
      <c r="WNI8" s="34"/>
      <c r="WNJ8" s="72"/>
      <c r="WNK8" s="63"/>
      <c r="WNL8" s="34"/>
      <c r="WNM8" s="64"/>
      <c r="WNN8" s="4"/>
      <c r="WNO8" s="65"/>
      <c r="WNP8" s="4"/>
      <c r="WNQ8" s="4"/>
      <c r="WNR8" s="4"/>
      <c r="WNU8" s="34"/>
      <c r="WNV8" s="34"/>
      <c r="WNX8" s="34"/>
      <c r="WNY8" s="72"/>
      <c r="WNZ8" s="63"/>
      <c r="WOA8" s="34"/>
      <c r="WOB8" s="64"/>
      <c r="WOC8" s="4"/>
      <c r="WOD8" s="65"/>
      <c r="WOE8" s="4"/>
      <c r="WOF8" s="4"/>
      <c r="WOG8" s="4"/>
      <c r="WOJ8" s="34"/>
      <c r="WOK8" s="34"/>
      <c r="WOM8" s="34"/>
      <c r="WON8" s="72"/>
      <c r="WOO8" s="63"/>
      <c r="WOP8" s="34"/>
      <c r="WOQ8" s="64"/>
      <c r="WOR8" s="4"/>
      <c r="WOS8" s="65"/>
      <c r="WOT8" s="4"/>
      <c r="WOU8" s="4"/>
      <c r="WOV8" s="4"/>
      <c r="WOY8" s="34"/>
      <c r="WOZ8" s="34"/>
      <c r="WPB8" s="34"/>
      <c r="WPC8" s="72"/>
      <c r="WPD8" s="63"/>
      <c r="WPE8" s="34"/>
      <c r="WPF8" s="64"/>
      <c r="WPG8" s="4"/>
      <c r="WPH8" s="65"/>
      <c r="WPI8" s="4"/>
      <c r="WPJ8" s="4"/>
      <c r="WPK8" s="4"/>
      <c r="WPN8" s="34"/>
      <c r="WPO8" s="34"/>
      <c r="WPQ8" s="34"/>
      <c r="WPR8" s="72"/>
      <c r="WPS8" s="63"/>
      <c r="WPT8" s="34"/>
      <c r="WPU8" s="64"/>
      <c r="WPV8" s="4"/>
      <c r="WPW8" s="65"/>
      <c r="WPX8" s="4"/>
      <c r="WPY8" s="4"/>
      <c r="WPZ8" s="4"/>
      <c r="WQC8" s="34"/>
      <c r="WQD8" s="34"/>
      <c r="WQF8" s="34"/>
      <c r="WQG8" s="72"/>
      <c r="WQH8" s="63"/>
      <c r="WQI8" s="34"/>
      <c r="WQJ8" s="64"/>
      <c r="WQK8" s="4"/>
      <c r="WQL8" s="65"/>
      <c r="WQM8" s="4"/>
      <c r="WQN8" s="4"/>
      <c r="WQO8" s="4"/>
      <c r="WQR8" s="34"/>
      <c r="WQS8" s="34"/>
      <c r="WQU8" s="34"/>
      <c r="WQV8" s="72"/>
      <c r="WQW8" s="63"/>
      <c r="WQX8" s="34"/>
      <c r="WQY8" s="64"/>
      <c r="WQZ8" s="4"/>
      <c r="WRA8" s="65"/>
      <c r="WRB8" s="4"/>
      <c r="WRC8" s="4"/>
      <c r="WRD8" s="4"/>
      <c r="WRG8" s="34"/>
      <c r="WRH8" s="34"/>
      <c r="WRJ8" s="34"/>
      <c r="WRK8" s="72"/>
      <c r="WRL8" s="63"/>
      <c r="WRM8" s="34"/>
      <c r="WRN8" s="64"/>
      <c r="WRO8" s="4"/>
      <c r="WRP8" s="65"/>
      <c r="WRQ8" s="4"/>
      <c r="WRR8" s="4"/>
      <c r="WRS8" s="4"/>
      <c r="WRV8" s="34"/>
      <c r="WRW8" s="34"/>
      <c r="WRY8" s="34"/>
      <c r="WRZ8" s="72"/>
      <c r="WSA8" s="63"/>
      <c r="WSB8" s="34"/>
      <c r="WSC8" s="64"/>
      <c r="WSD8" s="4"/>
      <c r="WSE8" s="65"/>
      <c r="WSF8" s="4"/>
      <c r="WSG8" s="4"/>
      <c r="WSH8" s="4"/>
      <c r="WSK8" s="34"/>
      <c r="WSL8" s="34"/>
      <c r="WSN8" s="34"/>
      <c r="WSO8" s="72"/>
      <c r="WSP8" s="63"/>
      <c r="WSQ8" s="34"/>
      <c r="WSR8" s="64"/>
      <c r="WSS8" s="4"/>
      <c r="WST8" s="65"/>
      <c r="WSU8" s="4"/>
      <c r="WSV8" s="4"/>
      <c r="WSW8" s="4"/>
      <c r="WSZ8" s="34"/>
      <c r="WTA8" s="34"/>
      <c r="WTC8" s="34"/>
      <c r="WTD8" s="72"/>
      <c r="WTE8" s="63"/>
      <c r="WTF8" s="34"/>
      <c r="WTG8" s="64"/>
      <c r="WTH8" s="4"/>
      <c r="WTI8" s="65"/>
      <c r="WTJ8" s="4"/>
      <c r="WTK8" s="4"/>
      <c r="WTL8" s="4"/>
      <c r="WTO8" s="34"/>
      <c r="WTP8" s="34"/>
      <c r="WTR8" s="34"/>
      <c r="WTS8" s="72"/>
      <c r="WTT8" s="63"/>
      <c r="WTU8" s="34"/>
      <c r="WTV8" s="64"/>
      <c r="WTW8" s="4"/>
      <c r="WTX8" s="65"/>
      <c r="WTY8" s="4"/>
      <c r="WTZ8" s="4"/>
      <c r="WUA8" s="4"/>
      <c r="WUD8" s="34"/>
      <c r="WUE8" s="34"/>
      <c r="WUG8" s="34"/>
      <c r="WUH8" s="72"/>
      <c r="WUI8" s="63"/>
      <c r="WUJ8" s="34"/>
      <c r="WUK8" s="64"/>
      <c r="WUL8" s="4"/>
      <c r="WUM8" s="65"/>
      <c r="WUN8" s="4"/>
      <c r="WUO8" s="4"/>
      <c r="WUP8" s="4"/>
      <c r="WUS8" s="34"/>
      <c r="WUT8" s="34"/>
      <c r="WUV8" s="34"/>
      <c r="WUW8" s="72"/>
      <c r="WUX8" s="63"/>
      <c r="WUY8" s="34"/>
      <c r="WUZ8" s="64"/>
      <c r="WVA8" s="4"/>
      <c r="WVB8" s="65"/>
      <c r="WVC8" s="4"/>
      <c r="WVD8" s="4"/>
      <c r="WVE8" s="4"/>
      <c r="WVH8" s="34"/>
      <c r="WVI8" s="34"/>
      <c r="WVK8" s="34"/>
      <c r="WVL8" s="72"/>
      <c r="WVM8" s="63"/>
      <c r="WVN8" s="34"/>
      <c r="WVO8" s="64"/>
      <c r="WVP8" s="4"/>
      <c r="WVQ8" s="65"/>
      <c r="WVR8" s="4"/>
      <c r="WVS8" s="4"/>
      <c r="WVT8" s="4"/>
      <c r="WVW8" s="34"/>
      <c r="WVX8" s="34"/>
      <c r="WVZ8" s="34"/>
      <c r="WWA8" s="72"/>
      <c r="WWB8" s="63"/>
      <c r="WWC8" s="34"/>
      <c r="WWD8" s="64"/>
      <c r="WWE8" s="4"/>
      <c r="WWF8" s="65"/>
      <c r="WWG8" s="4"/>
      <c r="WWH8" s="4"/>
      <c r="WWI8" s="4"/>
      <c r="WWL8" s="34"/>
      <c r="WWM8" s="34"/>
      <c r="WWO8" s="34"/>
      <c r="WWP8" s="72"/>
      <c r="WWQ8" s="63"/>
      <c r="WWR8" s="34"/>
      <c r="WWS8" s="64"/>
      <c r="WWT8" s="4"/>
      <c r="WWU8" s="65"/>
      <c r="WWV8" s="4"/>
      <c r="WWW8" s="4"/>
      <c r="WWX8" s="4"/>
      <c r="WXA8" s="34"/>
      <c r="WXB8" s="34"/>
      <c r="WXD8" s="34"/>
      <c r="WXE8" s="72"/>
      <c r="WXF8" s="63"/>
      <c r="WXG8" s="34"/>
      <c r="WXH8" s="64"/>
      <c r="WXI8" s="4"/>
      <c r="WXJ8" s="65"/>
      <c r="WXK8" s="4"/>
      <c r="WXL8" s="4"/>
      <c r="WXM8" s="4"/>
      <c r="WXP8" s="34"/>
      <c r="WXQ8" s="34"/>
      <c r="WXS8" s="34"/>
      <c r="WXT8" s="72"/>
      <c r="WXU8" s="63"/>
      <c r="WXV8" s="34"/>
      <c r="WXW8" s="64"/>
      <c r="WXX8" s="4"/>
      <c r="WXY8" s="65"/>
      <c r="WXZ8" s="4"/>
      <c r="WYA8" s="4"/>
      <c r="WYB8" s="4"/>
      <c r="WYE8" s="34"/>
      <c r="WYF8" s="34"/>
      <c r="WYH8" s="34"/>
      <c r="WYI8" s="72"/>
      <c r="WYJ8" s="63"/>
      <c r="WYK8" s="34"/>
      <c r="WYL8" s="64"/>
      <c r="WYM8" s="4"/>
      <c r="WYN8" s="65"/>
      <c r="WYO8" s="4"/>
      <c r="WYP8" s="4"/>
      <c r="WYQ8" s="4"/>
      <c r="WYT8" s="34"/>
      <c r="WYU8" s="34"/>
      <c r="WYW8" s="34"/>
      <c r="WYX8" s="72"/>
      <c r="WYY8" s="63"/>
      <c r="WYZ8" s="34"/>
      <c r="WZA8" s="64"/>
      <c r="WZB8" s="4"/>
      <c r="WZC8" s="65"/>
      <c r="WZD8" s="4"/>
      <c r="WZE8" s="4"/>
      <c r="WZF8" s="4"/>
      <c r="WZI8" s="34"/>
      <c r="WZJ8" s="34"/>
      <c r="WZL8" s="34"/>
      <c r="WZM8" s="72"/>
      <c r="WZN8" s="63"/>
      <c r="WZO8" s="34"/>
      <c r="WZP8" s="64"/>
      <c r="WZQ8" s="4"/>
      <c r="WZR8" s="65"/>
      <c r="WZS8" s="4"/>
      <c r="WZT8" s="4"/>
      <c r="WZU8" s="4"/>
      <c r="WZX8" s="34"/>
      <c r="WZY8" s="34"/>
      <c r="XAA8" s="34"/>
      <c r="XAB8" s="72"/>
      <c r="XAC8" s="63"/>
      <c r="XAD8" s="34"/>
      <c r="XAE8" s="64"/>
      <c r="XAF8" s="4"/>
      <c r="XAG8" s="65"/>
      <c r="XAH8" s="4"/>
      <c r="XAI8" s="4"/>
      <c r="XAJ8" s="4"/>
      <c r="XAM8" s="34"/>
      <c r="XAN8" s="34"/>
      <c r="XAP8" s="34"/>
      <c r="XAQ8" s="72"/>
      <c r="XAR8" s="63"/>
      <c r="XAS8" s="34"/>
      <c r="XAT8" s="64"/>
      <c r="XAU8" s="4"/>
      <c r="XAV8" s="65"/>
      <c r="XAW8" s="4"/>
      <c r="XAX8" s="4"/>
      <c r="XAY8" s="4"/>
      <c r="XBB8" s="34"/>
      <c r="XBC8" s="34"/>
      <c r="XBE8" s="34"/>
      <c r="XBF8" s="72"/>
      <c r="XBG8" s="63"/>
      <c r="XBH8" s="34"/>
      <c r="XBI8" s="64"/>
      <c r="XBJ8" s="4"/>
      <c r="XBK8" s="65"/>
      <c r="XBL8" s="4"/>
      <c r="XBM8" s="4"/>
      <c r="XBN8" s="4"/>
      <c r="XBQ8" s="34"/>
      <c r="XBR8" s="34"/>
      <c r="XBT8" s="34"/>
      <c r="XBU8" s="72"/>
      <c r="XBV8" s="63"/>
      <c r="XBW8" s="34"/>
      <c r="XBX8" s="64"/>
      <c r="XBY8" s="4"/>
      <c r="XBZ8" s="65"/>
      <c r="XCA8" s="4"/>
      <c r="XCB8" s="4"/>
      <c r="XCC8" s="4"/>
      <c r="XCF8" s="34"/>
      <c r="XCG8" s="34"/>
      <c r="XCI8" s="34"/>
      <c r="XCJ8" s="72"/>
      <c r="XCK8" s="63"/>
      <c r="XCL8" s="34"/>
      <c r="XCM8" s="64"/>
      <c r="XCN8" s="4"/>
      <c r="XCO8" s="65"/>
      <c r="XCP8" s="4"/>
      <c r="XCQ8" s="4"/>
      <c r="XCR8" s="4"/>
      <c r="XCU8" s="34"/>
      <c r="XCV8" s="34"/>
      <c r="XCX8" s="34"/>
      <c r="XCY8" s="72"/>
      <c r="XCZ8" s="63"/>
      <c r="XDA8" s="34"/>
      <c r="XDB8" s="64"/>
      <c r="XDC8" s="4"/>
      <c r="XDD8" s="65"/>
      <c r="XDE8" s="4"/>
      <c r="XDF8" s="4"/>
      <c r="XDG8" s="4"/>
      <c r="XDJ8" s="34"/>
      <c r="XDK8" s="34"/>
      <c r="XDM8" s="34"/>
      <c r="XDN8" s="72"/>
      <c r="XDO8" s="63"/>
      <c r="XDP8" s="34"/>
      <c r="XDQ8" s="64"/>
      <c r="XDR8" s="4"/>
      <c r="XDS8" s="65"/>
      <c r="XDT8" s="4"/>
      <c r="XDU8" s="4"/>
      <c r="XDV8" s="4"/>
      <c r="XDY8" s="34"/>
      <c r="XDZ8" s="34"/>
      <c r="XEB8" s="34"/>
      <c r="XEC8" s="72"/>
      <c r="XED8" s="63"/>
      <c r="XEE8" s="34"/>
      <c r="XEF8" s="64"/>
      <c r="XEG8" s="4"/>
      <c r="XEH8" s="65"/>
      <c r="XEI8" s="4"/>
      <c r="XEJ8" s="4"/>
      <c r="XEK8" s="4"/>
      <c r="XEN8" s="34"/>
      <c r="XEO8" s="34"/>
      <c r="XEQ8" s="34"/>
      <c r="XER8" s="72"/>
      <c r="XES8" s="63"/>
      <c r="XET8" s="34"/>
      <c r="XEU8" s="64"/>
      <c r="XEV8" s="4"/>
      <c r="XEW8" s="65"/>
      <c r="XEX8" s="4"/>
      <c r="XEY8" s="4"/>
      <c r="XEZ8" s="4"/>
      <c r="XFC8" s="34"/>
      <c r="XFD8" s="34"/>
    </row>
    <row r="9" spans="1:1024 1026:4095 4098:5119 5121:8190 8193:15360 15363:16384" x14ac:dyDescent="0.3">
      <c r="A9">
        <v>0</v>
      </c>
      <c r="B9">
        <v>0</v>
      </c>
      <c r="C9" s="34">
        <v>3.4864161147198029E-2</v>
      </c>
      <c r="D9" s="34">
        <v>2.1486548783113832E-2</v>
      </c>
      <c r="E9">
        <v>6</v>
      </c>
      <c r="F9" s="63">
        <v>1.9300000000000001E-3</v>
      </c>
      <c r="G9" s="88">
        <v>-0.29547583885280243</v>
      </c>
      <c r="H9" s="34">
        <v>-0.26738960120865013</v>
      </c>
      <c r="I9" s="34">
        <v>0.47904191616766467</v>
      </c>
      <c r="J9" s="64">
        <v>0.48936170212765956</v>
      </c>
      <c r="K9" s="4">
        <v>0.54117647058823526</v>
      </c>
      <c r="L9" s="65">
        <v>0.51396648044692739</v>
      </c>
      <c r="M9" s="4">
        <v>0.46575342465753422</v>
      </c>
      <c r="N9" s="4">
        <v>0.41463414634146339</v>
      </c>
      <c r="O9" s="4">
        <v>0.43870967741935479</v>
      </c>
      <c r="R9" s="34"/>
      <c r="S9" s="34"/>
      <c r="U9" s="34"/>
      <c r="V9" s="72"/>
      <c r="W9" s="63"/>
      <c r="X9" s="34"/>
      <c r="Y9" s="64"/>
      <c r="Z9" s="4"/>
      <c r="AA9" s="65"/>
      <c r="AB9" s="4"/>
      <c r="AC9" s="4"/>
      <c r="AD9" s="4"/>
      <c r="AG9" s="34"/>
      <c r="AH9" s="34"/>
      <c r="AJ9" s="34"/>
      <c r="AK9" s="72"/>
      <c r="AL9" s="63"/>
      <c r="AM9" s="34"/>
      <c r="AN9" s="64"/>
      <c r="AO9" s="4"/>
      <c r="AP9" s="65"/>
      <c r="AQ9" s="4"/>
      <c r="AR9" s="4"/>
      <c r="AS9" s="4"/>
      <c r="AV9" s="34"/>
      <c r="AW9" s="34"/>
      <c r="AY9" s="34"/>
      <c r="AZ9" s="72"/>
      <c r="BA9" s="63"/>
      <c r="BB9" s="34"/>
      <c r="BC9" s="64"/>
      <c r="BD9" s="4"/>
      <c r="BE9" s="65"/>
      <c r="BF9" s="4"/>
      <c r="BG9" s="4"/>
      <c r="BH9" s="4"/>
      <c r="BK9" s="34"/>
      <c r="BL9" s="34"/>
      <c r="BN9" s="34"/>
      <c r="BO9" s="72"/>
      <c r="BP9" s="63"/>
      <c r="BQ9" s="34"/>
      <c r="BR9" s="64"/>
      <c r="BS9" s="4"/>
      <c r="BT9" s="65"/>
      <c r="BU9" s="4"/>
      <c r="BV9" s="4"/>
      <c r="BW9" s="4"/>
      <c r="BZ9" s="34"/>
      <c r="CA9" s="34"/>
      <c r="CC9" s="34"/>
      <c r="CD9" s="72"/>
      <c r="CE9" s="63"/>
      <c r="CF9" s="34"/>
      <c r="CG9" s="64"/>
      <c r="CH9" s="4"/>
      <c r="CI9" s="65"/>
      <c r="CJ9" s="4"/>
      <c r="CK9" s="4"/>
      <c r="CL9" s="4"/>
      <c r="CO9" s="34"/>
      <c r="CP9" s="34"/>
      <c r="CR9" s="34"/>
      <c r="CS9" s="72"/>
      <c r="CT9" s="63"/>
      <c r="CU9" s="34"/>
      <c r="CV9" s="64"/>
      <c r="CW9" s="4"/>
      <c r="CX9" s="65"/>
      <c r="CY9" s="4"/>
      <c r="CZ9" s="4"/>
      <c r="DA9" s="4"/>
      <c r="DD9" s="34"/>
      <c r="DE9" s="34"/>
      <c r="DG9" s="34"/>
      <c r="DH9" s="72"/>
      <c r="DI9" s="63"/>
      <c r="DJ9" s="34"/>
      <c r="DK9" s="64"/>
      <c r="DL9" s="4"/>
      <c r="DM9" s="65"/>
      <c r="DN9" s="4"/>
      <c r="DO9" s="4"/>
      <c r="DP9" s="4"/>
      <c r="DS9" s="34"/>
      <c r="DT9" s="34"/>
      <c r="DV9" s="34"/>
      <c r="DW9" s="72"/>
      <c r="DX9" s="63"/>
      <c r="DY9" s="34"/>
      <c r="DZ9" s="64"/>
      <c r="EA9" s="4"/>
      <c r="EB9" s="65"/>
      <c r="EC9" s="4"/>
      <c r="ED9" s="4"/>
      <c r="EE9" s="4"/>
      <c r="EH9" s="34"/>
      <c r="EI9" s="34"/>
      <c r="EK9" s="34"/>
      <c r="EL9" s="72"/>
      <c r="EM9" s="63"/>
      <c r="EN9" s="34"/>
      <c r="EO9" s="64"/>
      <c r="EP9" s="4"/>
      <c r="EQ9" s="65"/>
      <c r="ER9" s="4"/>
      <c r="ES9" s="4"/>
      <c r="ET9" s="4"/>
      <c r="EW9" s="34"/>
      <c r="EX9" s="34"/>
      <c r="EZ9" s="34"/>
      <c r="FA9" s="72"/>
      <c r="FB9" s="63"/>
      <c r="FC9" s="34"/>
      <c r="FD9" s="64"/>
      <c r="FE9" s="4"/>
      <c r="FF9" s="65"/>
      <c r="FG9" s="4"/>
      <c r="FH9" s="4"/>
      <c r="FI9" s="4"/>
      <c r="FL9" s="34"/>
      <c r="FM9" s="34"/>
      <c r="FO9" s="34"/>
      <c r="FP9" s="72"/>
      <c r="FQ9" s="63"/>
      <c r="FR9" s="34"/>
      <c r="FS9" s="64"/>
      <c r="FT9" s="4"/>
      <c r="FU9" s="65"/>
      <c r="FV9" s="4"/>
      <c r="FW9" s="4"/>
      <c r="FX9" s="4"/>
      <c r="GA9" s="34"/>
      <c r="GB9" s="34"/>
      <c r="GD9" s="34"/>
      <c r="GE9" s="72"/>
      <c r="GF9" s="63"/>
      <c r="GG9" s="34"/>
      <c r="GH9" s="64"/>
      <c r="GI9" s="4"/>
      <c r="GJ9" s="65"/>
      <c r="GK9" s="4"/>
      <c r="GL9" s="4"/>
      <c r="GM9" s="4"/>
      <c r="GP9" s="34"/>
      <c r="GQ9" s="34"/>
      <c r="GS9" s="34"/>
      <c r="GT9" s="72"/>
      <c r="GU9" s="63"/>
      <c r="GV9" s="34"/>
      <c r="GW9" s="64"/>
      <c r="GX9" s="4"/>
      <c r="GY9" s="65"/>
      <c r="GZ9" s="4"/>
      <c r="HA9" s="4"/>
      <c r="HB9" s="4"/>
      <c r="HE9" s="34"/>
      <c r="HF9" s="34"/>
      <c r="HH9" s="34"/>
      <c r="HI9" s="72"/>
      <c r="HJ9" s="63"/>
      <c r="HK9" s="34"/>
      <c r="HL9" s="64"/>
      <c r="HM9" s="4"/>
      <c r="HN9" s="65"/>
      <c r="HO9" s="4"/>
      <c r="HP9" s="4"/>
      <c r="HQ9" s="4"/>
      <c r="HT9" s="34"/>
      <c r="HU9" s="34"/>
      <c r="HW9" s="34"/>
      <c r="HX9" s="72"/>
      <c r="HY9" s="63"/>
      <c r="HZ9" s="34"/>
      <c r="IA9" s="64"/>
      <c r="IB9" s="4"/>
      <c r="IC9" s="65"/>
      <c r="ID9" s="4"/>
      <c r="IE9" s="4"/>
      <c r="IF9" s="4"/>
      <c r="II9" s="34"/>
      <c r="IJ9" s="34"/>
      <c r="IL9" s="34"/>
      <c r="IM9" s="72"/>
      <c r="IN9" s="63"/>
      <c r="IO9" s="34"/>
      <c r="IP9" s="64"/>
      <c r="IQ9" s="4"/>
      <c r="IR9" s="65"/>
      <c r="IS9" s="4"/>
      <c r="IT9" s="4"/>
      <c r="IU9" s="4"/>
      <c r="IX9" s="34"/>
      <c r="IY9" s="34"/>
      <c r="JA9" s="34"/>
      <c r="JB9" s="72"/>
      <c r="JC9" s="63"/>
      <c r="JD9" s="34"/>
      <c r="JE9" s="64"/>
      <c r="JF9" s="4"/>
      <c r="JG9" s="65"/>
      <c r="JH9" s="4"/>
      <c r="JI9" s="4"/>
      <c r="JJ9" s="4"/>
      <c r="JM9" s="34"/>
      <c r="JN9" s="34"/>
      <c r="JP9" s="34"/>
      <c r="JQ9" s="72"/>
      <c r="JR9" s="63"/>
      <c r="JS9" s="34"/>
      <c r="JT9" s="64"/>
      <c r="JU9" s="4"/>
      <c r="JV9" s="65"/>
      <c r="JW9" s="4"/>
      <c r="JX9" s="4"/>
      <c r="JY9" s="4"/>
      <c r="KB9" s="34"/>
      <c r="KC9" s="34"/>
      <c r="KE9" s="34"/>
      <c r="KF9" s="72"/>
      <c r="KG9" s="63"/>
      <c r="KH9" s="34"/>
      <c r="KI9" s="64"/>
      <c r="KJ9" s="4"/>
      <c r="KK9" s="65"/>
      <c r="KL9" s="4"/>
      <c r="KM9" s="4"/>
      <c r="KN9" s="4"/>
      <c r="KQ9" s="34"/>
      <c r="KR9" s="34"/>
      <c r="KT9" s="34"/>
      <c r="KU9" s="72"/>
      <c r="KV9" s="63"/>
      <c r="KW9" s="34"/>
      <c r="KX9" s="64"/>
      <c r="KY9" s="4"/>
      <c r="KZ9" s="65"/>
      <c r="LA9" s="4"/>
      <c r="LB9" s="4"/>
      <c r="LC9" s="4"/>
      <c r="LF9" s="34"/>
      <c r="LG9" s="34"/>
      <c r="LI9" s="34"/>
      <c r="LJ9" s="72"/>
      <c r="LK9" s="63"/>
      <c r="LL9" s="34"/>
      <c r="LM9" s="64"/>
      <c r="LN9" s="4"/>
      <c r="LO9" s="65"/>
      <c r="LP9" s="4"/>
      <c r="LQ9" s="4"/>
      <c r="LR9" s="4"/>
      <c r="LU9" s="34"/>
      <c r="LV9" s="34"/>
      <c r="LX9" s="34"/>
      <c r="LY9" s="72"/>
      <c r="LZ9" s="63"/>
      <c r="MA9" s="34"/>
      <c r="MB9" s="64"/>
      <c r="MC9" s="4"/>
      <c r="MD9" s="65"/>
      <c r="ME9" s="4"/>
      <c r="MF9" s="4"/>
      <c r="MG9" s="4"/>
      <c r="MJ9" s="34"/>
      <c r="MK9" s="34"/>
      <c r="MM9" s="34"/>
      <c r="MN9" s="72"/>
      <c r="MO9" s="63"/>
      <c r="MP9" s="34"/>
      <c r="MQ9" s="64"/>
      <c r="MR9" s="4"/>
      <c r="MS9" s="65"/>
      <c r="MT9" s="4"/>
      <c r="MU9" s="4"/>
      <c r="MV9" s="4"/>
      <c r="MY9" s="34"/>
      <c r="MZ9" s="34"/>
      <c r="NB9" s="34"/>
      <c r="NC9" s="72"/>
      <c r="ND9" s="63"/>
      <c r="NE9" s="34"/>
      <c r="NF9" s="64"/>
      <c r="NG9" s="4"/>
      <c r="NH9" s="65"/>
      <c r="NI9" s="4"/>
      <c r="NJ9" s="4"/>
      <c r="NK9" s="4"/>
      <c r="NN9" s="34"/>
      <c r="NO9" s="34"/>
      <c r="NQ9" s="34"/>
      <c r="NR9" s="72"/>
      <c r="NS9" s="63"/>
      <c r="NT9" s="34"/>
      <c r="NU9" s="64"/>
      <c r="NV9" s="4"/>
      <c r="NW9" s="65"/>
      <c r="NX9" s="4"/>
      <c r="NY9" s="4"/>
      <c r="NZ9" s="4"/>
      <c r="OC9" s="34"/>
      <c r="OD9" s="34"/>
      <c r="OF9" s="34"/>
      <c r="OG9" s="72"/>
      <c r="OH9" s="63"/>
      <c r="OI9" s="34"/>
      <c r="OJ9" s="64"/>
      <c r="OK9" s="4"/>
      <c r="OL9" s="65"/>
      <c r="OM9" s="4"/>
      <c r="ON9" s="4"/>
      <c r="OO9" s="4"/>
      <c r="OR9" s="34"/>
      <c r="OS9" s="34"/>
      <c r="OU9" s="34"/>
      <c r="OV9" s="72"/>
      <c r="OW9" s="63"/>
      <c r="OX9" s="34"/>
      <c r="OY9" s="64"/>
      <c r="OZ9" s="4"/>
      <c r="PA9" s="65"/>
      <c r="PB9" s="4"/>
      <c r="PC9" s="4"/>
      <c r="PD9" s="4"/>
      <c r="PG9" s="34"/>
      <c r="PH9" s="34"/>
      <c r="PJ9" s="34"/>
      <c r="PK9" s="72"/>
      <c r="PL9" s="63"/>
      <c r="PM9" s="34"/>
      <c r="PN9" s="64"/>
      <c r="PO9" s="4"/>
      <c r="PP9" s="65"/>
      <c r="PQ9" s="4"/>
      <c r="PR9" s="4"/>
      <c r="PS9" s="4"/>
      <c r="PV9" s="34"/>
      <c r="PW9" s="34"/>
      <c r="PY9" s="34"/>
      <c r="PZ9" s="72"/>
      <c r="QA9" s="63"/>
      <c r="QB9" s="34"/>
      <c r="QC9" s="64"/>
      <c r="QD9" s="4"/>
      <c r="QE9" s="65"/>
      <c r="QF9" s="4"/>
      <c r="QG9" s="4"/>
      <c r="QH9" s="4"/>
      <c r="QK9" s="34"/>
      <c r="QL9" s="34"/>
      <c r="QN9" s="34"/>
      <c r="QO9" s="72"/>
      <c r="QP9" s="63"/>
      <c r="QQ9" s="34"/>
      <c r="QR9" s="64"/>
      <c r="QS9" s="4"/>
      <c r="QT9" s="65"/>
      <c r="QU9" s="4"/>
      <c r="QV9" s="4"/>
      <c r="QW9" s="4"/>
      <c r="QZ9" s="34"/>
      <c r="RA9" s="34"/>
      <c r="RC9" s="34"/>
      <c r="RD9" s="72"/>
      <c r="RE9" s="63"/>
      <c r="RF9" s="34"/>
      <c r="RG9" s="64"/>
      <c r="RH9" s="4"/>
      <c r="RI9" s="65"/>
      <c r="RJ9" s="4"/>
      <c r="RK9" s="4"/>
      <c r="RL9" s="4"/>
      <c r="RO9" s="34"/>
      <c r="RP9" s="34"/>
      <c r="RR9" s="34"/>
      <c r="RS9" s="72"/>
      <c r="RT9" s="63"/>
      <c r="RU9" s="34"/>
      <c r="RV9" s="64"/>
      <c r="RW9" s="4"/>
      <c r="RX9" s="65"/>
      <c r="RY9" s="4"/>
      <c r="RZ9" s="4"/>
      <c r="SA9" s="4"/>
      <c r="SD9" s="34"/>
      <c r="SE9" s="34"/>
      <c r="SG9" s="34"/>
      <c r="SH9" s="72"/>
      <c r="SI9" s="63"/>
      <c r="SJ9" s="34"/>
      <c r="SK9" s="64"/>
      <c r="SL9" s="4"/>
      <c r="SM9" s="65"/>
      <c r="SN9" s="4"/>
      <c r="SO9" s="4"/>
      <c r="SP9" s="4"/>
      <c r="SS9" s="34"/>
      <c r="ST9" s="34"/>
      <c r="SV9" s="34"/>
      <c r="SW9" s="72"/>
      <c r="SX9" s="63"/>
      <c r="SY9" s="34"/>
      <c r="SZ9" s="64"/>
      <c r="TA9" s="4"/>
      <c r="TB9" s="65"/>
      <c r="TC9" s="4"/>
      <c r="TD9" s="4"/>
      <c r="TE9" s="4"/>
      <c r="TH9" s="34"/>
      <c r="TI9" s="34"/>
      <c r="TK9" s="34"/>
      <c r="TL9" s="72"/>
      <c r="TM9" s="63"/>
      <c r="TN9" s="34"/>
      <c r="TO9" s="64"/>
      <c r="TP9" s="4"/>
      <c r="TQ9" s="65"/>
      <c r="TR9" s="4"/>
      <c r="TS9" s="4"/>
      <c r="TT9" s="4"/>
      <c r="TW9" s="34"/>
      <c r="TX9" s="34"/>
      <c r="TZ9" s="34"/>
      <c r="UA9" s="72"/>
      <c r="UB9" s="63"/>
      <c r="UC9" s="34"/>
      <c r="UD9" s="64"/>
      <c r="UE9" s="4"/>
      <c r="UF9" s="65"/>
      <c r="UG9" s="4"/>
      <c r="UH9" s="4"/>
      <c r="UI9" s="4"/>
      <c r="UL9" s="34"/>
      <c r="UM9" s="34"/>
      <c r="UO9" s="34"/>
      <c r="UP9" s="72"/>
      <c r="UQ9" s="63"/>
      <c r="UR9" s="34"/>
      <c r="US9" s="64"/>
      <c r="UT9" s="4"/>
      <c r="UU9" s="65"/>
      <c r="UV9" s="4"/>
      <c r="UW9" s="4"/>
      <c r="UX9" s="4"/>
      <c r="VA9" s="34"/>
      <c r="VB9" s="34"/>
      <c r="VD9" s="34"/>
      <c r="VE9" s="72"/>
      <c r="VF9" s="63"/>
      <c r="VG9" s="34"/>
      <c r="VH9" s="64"/>
      <c r="VI9" s="4"/>
      <c r="VJ9" s="65"/>
      <c r="VK9" s="4"/>
      <c r="VL9" s="4"/>
      <c r="VM9" s="4"/>
      <c r="VP9" s="34"/>
      <c r="VQ9" s="34"/>
      <c r="VS9" s="34"/>
      <c r="VT9" s="72"/>
      <c r="VU9" s="63"/>
      <c r="VV9" s="34"/>
      <c r="VW9" s="64"/>
      <c r="VX9" s="4"/>
      <c r="VY9" s="65"/>
      <c r="VZ9" s="4"/>
      <c r="WA9" s="4"/>
      <c r="WB9" s="4"/>
      <c r="WE9" s="34"/>
      <c r="WF9" s="34"/>
      <c r="WH9" s="34"/>
      <c r="WI9" s="72"/>
      <c r="WJ9" s="63"/>
      <c r="WK9" s="34"/>
      <c r="WL9" s="64"/>
      <c r="WM9" s="4"/>
      <c r="WN9" s="65"/>
      <c r="WO9" s="4"/>
      <c r="WP9" s="4"/>
      <c r="WQ9" s="4"/>
      <c r="WT9" s="34"/>
      <c r="WU9" s="34"/>
      <c r="WW9" s="34"/>
      <c r="WX9" s="72"/>
      <c r="WY9" s="63"/>
      <c r="WZ9" s="34"/>
      <c r="XA9" s="64"/>
      <c r="XB9" s="4"/>
      <c r="XC9" s="65"/>
      <c r="XD9" s="4"/>
      <c r="XE9" s="4"/>
      <c r="XF9" s="4"/>
      <c r="XI9" s="34"/>
      <c r="XJ9" s="34"/>
      <c r="XL9" s="34"/>
      <c r="XM9" s="72"/>
      <c r="XN9" s="63"/>
      <c r="XO9" s="34"/>
      <c r="XP9" s="64"/>
      <c r="XQ9" s="4"/>
      <c r="XR9" s="65"/>
      <c r="XS9" s="4"/>
      <c r="XT9" s="4"/>
      <c r="XU9" s="4"/>
      <c r="XX9" s="34"/>
      <c r="XY9" s="34"/>
      <c r="YA9" s="34"/>
      <c r="YB9" s="72"/>
      <c r="YC9" s="63"/>
      <c r="YD9" s="34"/>
      <c r="YE9" s="64"/>
      <c r="YF9" s="4"/>
      <c r="YG9" s="65"/>
      <c r="YH9" s="4"/>
      <c r="YI9" s="4"/>
      <c r="YJ9" s="4"/>
      <c r="YM9" s="34"/>
      <c r="YN9" s="34"/>
      <c r="YP9" s="34"/>
      <c r="YQ9" s="72"/>
      <c r="YR9" s="63"/>
      <c r="YS9" s="34"/>
      <c r="YT9" s="64"/>
      <c r="YU9" s="4"/>
      <c r="YV9" s="65"/>
      <c r="YW9" s="4"/>
      <c r="YX9" s="4"/>
      <c r="YY9" s="4"/>
      <c r="ZB9" s="34"/>
      <c r="ZC9" s="34"/>
      <c r="ZE9" s="34"/>
      <c r="ZF9" s="72"/>
      <c r="ZG9" s="63"/>
      <c r="ZH9" s="34"/>
      <c r="ZI9" s="64"/>
      <c r="ZJ9" s="4"/>
      <c r="ZK9" s="65"/>
      <c r="ZL9" s="4"/>
      <c r="ZM9" s="4"/>
      <c r="ZN9" s="4"/>
      <c r="ZQ9" s="34"/>
      <c r="ZR9" s="34"/>
      <c r="ZT9" s="34"/>
      <c r="ZU9" s="72"/>
      <c r="ZV9" s="63"/>
      <c r="ZW9" s="34"/>
      <c r="ZX9" s="64"/>
      <c r="ZY9" s="4"/>
      <c r="ZZ9" s="65"/>
      <c r="AAA9" s="4"/>
      <c r="AAB9" s="4"/>
      <c r="AAC9" s="4"/>
      <c r="AAF9" s="34"/>
      <c r="AAG9" s="34"/>
      <c r="AAI9" s="34"/>
      <c r="AAJ9" s="72"/>
      <c r="AAK9" s="63"/>
      <c r="AAL9" s="34"/>
      <c r="AAM9" s="64"/>
      <c r="AAN9" s="4"/>
      <c r="AAO9" s="65"/>
      <c r="AAP9" s="4"/>
      <c r="AAQ9" s="4"/>
      <c r="AAR9" s="4"/>
      <c r="AAU9" s="34"/>
      <c r="AAV9" s="34"/>
      <c r="AAX9" s="34"/>
      <c r="AAY9" s="72"/>
      <c r="AAZ9" s="63"/>
      <c r="ABA9" s="34"/>
      <c r="ABB9" s="64"/>
      <c r="ABC9" s="4"/>
      <c r="ABD9" s="65"/>
      <c r="ABE9" s="4"/>
      <c r="ABF9" s="4"/>
      <c r="ABG9" s="4"/>
      <c r="ABJ9" s="34"/>
      <c r="ABK9" s="34"/>
      <c r="ABM9" s="34"/>
      <c r="ABN9" s="72"/>
      <c r="ABO9" s="63"/>
      <c r="ABP9" s="34"/>
      <c r="ABQ9" s="64"/>
      <c r="ABR9" s="4"/>
      <c r="ABS9" s="65"/>
      <c r="ABT9" s="4"/>
      <c r="ABU9" s="4"/>
      <c r="ABV9" s="4"/>
      <c r="ABY9" s="34"/>
      <c r="ABZ9" s="34"/>
      <c r="ACB9" s="34"/>
      <c r="ACC9" s="72"/>
      <c r="ACD9" s="63"/>
      <c r="ACE9" s="34"/>
      <c r="ACF9" s="64"/>
      <c r="ACG9" s="4"/>
      <c r="ACH9" s="65"/>
      <c r="ACI9" s="4"/>
      <c r="ACJ9" s="4"/>
      <c r="ACK9" s="4"/>
      <c r="ACN9" s="34"/>
      <c r="ACO9" s="34"/>
      <c r="ACQ9" s="34"/>
      <c r="ACR9" s="72"/>
      <c r="ACS9" s="63"/>
      <c r="ACT9" s="34"/>
      <c r="ACU9" s="64"/>
      <c r="ACV9" s="4"/>
      <c r="ACW9" s="65"/>
      <c r="ACX9" s="4"/>
      <c r="ACY9" s="4"/>
      <c r="ACZ9" s="4"/>
      <c r="ADC9" s="34"/>
      <c r="ADD9" s="34"/>
      <c r="ADF9" s="34"/>
      <c r="ADG9" s="72"/>
      <c r="ADH9" s="63"/>
      <c r="ADI9" s="34"/>
      <c r="ADJ9" s="64"/>
      <c r="ADK9" s="4"/>
      <c r="ADL9" s="65"/>
      <c r="ADM9" s="4"/>
      <c r="ADN9" s="4"/>
      <c r="ADO9" s="4"/>
      <c r="ADR9" s="34"/>
      <c r="ADS9" s="34"/>
      <c r="ADU9" s="34"/>
      <c r="ADV9" s="72"/>
      <c r="ADW9" s="63"/>
      <c r="ADX9" s="34"/>
      <c r="ADY9" s="64"/>
      <c r="ADZ9" s="4"/>
      <c r="AEA9" s="65"/>
      <c r="AEB9" s="4"/>
      <c r="AEC9" s="4"/>
      <c r="AED9" s="4"/>
      <c r="AEG9" s="34"/>
      <c r="AEH9" s="34"/>
      <c r="AEJ9" s="34"/>
      <c r="AEK9" s="72"/>
      <c r="AEL9" s="63"/>
      <c r="AEM9" s="34"/>
      <c r="AEN9" s="64"/>
      <c r="AEO9" s="4"/>
      <c r="AEP9" s="65"/>
      <c r="AEQ9" s="4"/>
      <c r="AER9" s="4"/>
      <c r="AES9" s="4"/>
      <c r="AEV9" s="34"/>
      <c r="AEW9" s="34"/>
      <c r="AEY9" s="34"/>
      <c r="AEZ9" s="72"/>
      <c r="AFA9" s="63"/>
      <c r="AFB9" s="34"/>
      <c r="AFC9" s="64"/>
      <c r="AFD9" s="4"/>
      <c r="AFE9" s="65"/>
      <c r="AFF9" s="4"/>
      <c r="AFG9" s="4"/>
      <c r="AFH9" s="4"/>
      <c r="AFK9" s="34"/>
      <c r="AFL9" s="34"/>
      <c r="AFN9" s="34"/>
      <c r="AFO9" s="72"/>
      <c r="AFP9" s="63"/>
      <c r="AFQ9" s="34"/>
      <c r="AFR9" s="64"/>
      <c r="AFS9" s="4"/>
      <c r="AFT9" s="65"/>
      <c r="AFU9" s="4"/>
      <c r="AFV9" s="4"/>
      <c r="AFW9" s="4"/>
      <c r="AFZ9" s="34"/>
      <c r="AGA9" s="34"/>
      <c r="AGC9" s="34"/>
      <c r="AGD9" s="72"/>
      <c r="AGE9" s="63"/>
      <c r="AGF9" s="34"/>
      <c r="AGG9" s="64"/>
      <c r="AGH9" s="4"/>
      <c r="AGI9" s="65"/>
      <c r="AGJ9" s="4"/>
      <c r="AGK9" s="4"/>
      <c r="AGL9" s="4"/>
      <c r="AGO9" s="34"/>
      <c r="AGP9" s="34"/>
      <c r="AGR9" s="34"/>
      <c r="AGS9" s="72"/>
      <c r="AGT9" s="63"/>
      <c r="AGU9" s="34"/>
      <c r="AGV9" s="64"/>
      <c r="AGW9" s="4"/>
      <c r="AGX9" s="65"/>
      <c r="AGY9" s="4"/>
      <c r="AGZ9" s="4"/>
      <c r="AHA9" s="4"/>
      <c r="AHD9" s="34"/>
      <c r="AHE9" s="34"/>
      <c r="AHG9" s="34"/>
      <c r="AHH9" s="72"/>
      <c r="AHI9" s="63"/>
      <c r="AHJ9" s="34"/>
      <c r="AHK9" s="64"/>
      <c r="AHL9" s="4"/>
      <c r="AHM9" s="65"/>
      <c r="AHN9" s="4"/>
      <c r="AHO9" s="4"/>
      <c r="AHP9" s="4"/>
      <c r="AHS9" s="34"/>
      <c r="AHT9" s="34"/>
      <c r="AHV9" s="34"/>
      <c r="AHW9" s="72"/>
      <c r="AHX9" s="63"/>
      <c r="AHY9" s="34"/>
      <c r="AHZ9" s="64"/>
      <c r="AIA9" s="4"/>
      <c r="AIB9" s="65"/>
      <c r="AIC9" s="4"/>
      <c r="AID9" s="4"/>
      <c r="AIE9" s="4"/>
      <c r="AIH9" s="34"/>
      <c r="AII9" s="34"/>
      <c r="AIK9" s="34"/>
      <c r="AIL9" s="72"/>
      <c r="AIM9" s="63"/>
      <c r="AIN9" s="34"/>
      <c r="AIO9" s="64"/>
      <c r="AIP9" s="4"/>
      <c r="AIQ9" s="65"/>
      <c r="AIR9" s="4"/>
      <c r="AIS9" s="4"/>
      <c r="AIT9" s="4"/>
      <c r="AIW9" s="34"/>
      <c r="AIX9" s="34"/>
      <c r="AIZ9" s="34"/>
      <c r="AJA9" s="72"/>
      <c r="AJB9" s="63"/>
      <c r="AJC9" s="34"/>
      <c r="AJD9" s="64"/>
      <c r="AJE9" s="4"/>
      <c r="AJF9" s="65"/>
      <c r="AJG9" s="4"/>
      <c r="AJH9" s="4"/>
      <c r="AJI9" s="4"/>
      <c r="AJL9" s="34"/>
      <c r="AJM9" s="34"/>
      <c r="AJO9" s="34"/>
      <c r="AJP9" s="72"/>
      <c r="AJQ9" s="63"/>
      <c r="AJR9" s="34"/>
      <c r="AJS9" s="64"/>
      <c r="AJT9" s="4"/>
      <c r="AJU9" s="65"/>
      <c r="AJV9" s="4"/>
      <c r="AJW9" s="4"/>
      <c r="AJX9" s="4"/>
      <c r="AKA9" s="34"/>
      <c r="AKB9" s="34"/>
      <c r="AKD9" s="34"/>
      <c r="AKE9" s="72"/>
      <c r="AKF9" s="63"/>
      <c r="AKG9" s="34"/>
      <c r="AKH9" s="64"/>
      <c r="AKI9" s="4"/>
      <c r="AKJ9" s="65"/>
      <c r="AKK9" s="4"/>
      <c r="AKL9" s="4"/>
      <c r="AKM9" s="4"/>
      <c r="AKP9" s="34"/>
      <c r="AKQ9" s="34"/>
      <c r="AKS9" s="34"/>
      <c r="AKT9" s="72"/>
      <c r="AKU9" s="63"/>
      <c r="AKV9" s="34"/>
      <c r="AKW9" s="64"/>
      <c r="AKX9" s="4"/>
      <c r="AKY9" s="65"/>
      <c r="AKZ9" s="4"/>
      <c r="ALA9" s="4"/>
      <c r="ALB9" s="4"/>
      <c r="ALE9" s="34"/>
      <c r="ALF9" s="34"/>
      <c r="ALH9" s="34"/>
      <c r="ALI9" s="72"/>
      <c r="ALJ9" s="63"/>
      <c r="ALK9" s="34"/>
      <c r="ALL9" s="64"/>
      <c r="ALM9" s="4"/>
      <c r="ALN9" s="65"/>
      <c r="ALO9" s="4"/>
      <c r="ALP9" s="4"/>
      <c r="ALQ9" s="4"/>
      <c r="ALT9" s="34"/>
      <c r="ALU9" s="34"/>
      <c r="ALW9" s="34"/>
      <c r="ALX9" s="72"/>
      <c r="ALY9" s="63"/>
      <c r="ALZ9" s="34"/>
      <c r="AMA9" s="64"/>
      <c r="AMB9" s="4"/>
      <c r="AMC9" s="65"/>
      <c r="AMD9" s="4"/>
      <c r="AME9" s="4"/>
      <c r="AMF9" s="4"/>
      <c r="AMI9" s="34"/>
      <c r="AMJ9" s="34"/>
      <c r="AML9" s="34"/>
      <c r="AMM9" s="72"/>
      <c r="AMN9" s="63"/>
      <c r="AMO9" s="34"/>
      <c r="AMP9" s="64"/>
      <c r="AMQ9" s="4"/>
      <c r="AMR9" s="65"/>
      <c r="AMS9" s="4"/>
      <c r="AMT9" s="4"/>
      <c r="AMU9" s="4"/>
      <c r="AMX9" s="34"/>
      <c r="AMY9" s="34"/>
      <c r="ANA9" s="34"/>
      <c r="ANB9" s="72"/>
      <c r="ANC9" s="63"/>
      <c r="AND9" s="34"/>
      <c r="ANE9" s="64"/>
      <c r="ANF9" s="4"/>
      <c r="ANG9" s="65"/>
      <c r="ANH9" s="4"/>
      <c r="ANI9" s="4"/>
      <c r="ANJ9" s="4"/>
      <c r="ANM9" s="34"/>
      <c r="ANN9" s="34"/>
      <c r="ANP9" s="34"/>
      <c r="ANQ9" s="72"/>
      <c r="ANR9" s="63"/>
      <c r="ANS9" s="34"/>
      <c r="ANT9" s="64"/>
      <c r="ANU9" s="4"/>
      <c r="ANV9" s="65"/>
      <c r="ANW9" s="4"/>
      <c r="ANX9" s="4"/>
      <c r="ANY9" s="4"/>
      <c r="AOB9" s="34"/>
      <c r="AOC9" s="34"/>
      <c r="AOE9" s="34"/>
      <c r="AOF9" s="72"/>
      <c r="AOG9" s="63"/>
      <c r="AOH9" s="34"/>
      <c r="AOI9" s="64"/>
      <c r="AOJ9" s="4"/>
      <c r="AOK9" s="65"/>
      <c r="AOL9" s="4"/>
      <c r="AOM9" s="4"/>
      <c r="AON9" s="4"/>
      <c r="AOQ9" s="34"/>
      <c r="AOR9" s="34"/>
      <c r="AOT9" s="34"/>
      <c r="AOU9" s="72"/>
      <c r="AOV9" s="63"/>
      <c r="AOW9" s="34"/>
      <c r="AOX9" s="64"/>
      <c r="AOY9" s="4"/>
      <c r="AOZ9" s="65"/>
      <c r="APA9" s="4"/>
      <c r="APB9" s="4"/>
      <c r="APC9" s="4"/>
      <c r="APF9" s="34"/>
      <c r="APG9" s="34"/>
      <c r="API9" s="34"/>
      <c r="APJ9" s="72"/>
      <c r="APK9" s="63"/>
      <c r="APL9" s="34"/>
      <c r="APM9" s="64"/>
      <c r="APN9" s="4"/>
      <c r="APO9" s="65"/>
      <c r="APP9" s="4"/>
      <c r="APQ9" s="4"/>
      <c r="APR9" s="4"/>
      <c r="APU9" s="34"/>
      <c r="APV9" s="34"/>
      <c r="APX9" s="34"/>
      <c r="APY9" s="72"/>
      <c r="APZ9" s="63"/>
      <c r="AQA9" s="34"/>
      <c r="AQB9" s="64"/>
      <c r="AQC9" s="4"/>
      <c r="AQD9" s="65"/>
      <c r="AQE9" s="4"/>
      <c r="AQF9" s="4"/>
      <c r="AQG9" s="4"/>
      <c r="AQJ9" s="34"/>
      <c r="AQK9" s="34"/>
      <c r="AQM9" s="34"/>
      <c r="AQN9" s="72"/>
      <c r="AQO9" s="63"/>
      <c r="AQP9" s="34"/>
      <c r="AQQ9" s="64"/>
      <c r="AQR9" s="4"/>
      <c r="AQS9" s="65"/>
      <c r="AQT9" s="4"/>
      <c r="AQU9" s="4"/>
      <c r="AQV9" s="4"/>
      <c r="AQY9" s="34"/>
      <c r="AQZ9" s="34"/>
      <c r="ARB9" s="34"/>
      <c r="ARC9" s="72"/>
      <c r="ARD9" s="63"/>
      <c r="ARE9" s="34"/>
      <c r="ARF9" s="64"/>
      <c r="ARG9" s="4"/>
      <c r="ARH9" s="65"/>
      <c r="ARI9" s="4"/>
      <c r="ARJ9" s="4"/>
      <c r="ARK9" s="4"/>
      <c r="ARN9" s="34"/>
      <c r="ARO9" s="34"/>
      <c r="ARQ9" s="34"/>
      <c r="ARR9" s="72"/>
      <c r="ARS9" s="63"/>
      <c r="ART9" s="34"/>
      <c r="ARU9" s="64"/>
      <c r="ARV9" s="4"/>
      <c r="ARW9" s="65"/>
      <c r="ARX9" s="4"/>
      <c r="ARY9" s="4"/>
      <c r="ARZ9" s="4"/>
      <c r="ASC9" s="34"/>
      <c r="ASD9" s="34"/>
      <c r="ASF9" s="34"/>
      <c r="ASG9" s="72"/>
      <c r="ASH9" s="63"/>
      <c r="ASI9" s="34"/>
      <c r="ASJ9" s="64"/>
      <c r="ASK9" s="4"/>
      <c r="ASL9" s="65"/>
      <c r="ASM9" s="4"/>
      <c r="ASN9" s="4"/>
      <c r="ASO9" s="4"/>
      <c r="ASR9" s="34"/>
      <c r="ASS9" s="34"/>
      <c r="ASU9" s="34"/>
      <c r="ASV9" s="72"/>
      <c r="ASW9" s="63"/>
      <c r="ASX9" s="34"/>
      <c r="ASY9" s="64"/>
      <c r="ASZ9" s="4"/>
      <c r="ATA9" s="65"/>
      <c r="ATB9" s="4"/>
      <c r="ATC9" s="4"/>
      <c r="ATD9" s="4"/>
      <c r="ATG9" s="34"/>
      <c r="ATH9" s="34"/>
      <c r="ATJ9" s="34"/>
      <c r="ATK9" s="72"/>
      <c r="ATL9" s="63"/>
      <c r="ATM9" s="34"/>
      <c r="ATN9" s="64"/>
      <c r="ATO9" s="4"/>
      <c r="ATP9" s="65"/>
      <c r="ATQ9" s="4"/>
      <c r="ATR9" s="4"/>
      <c r="ATS9" s="4"/>
      <c r="ATV9" s="34"/>
      <c r="ATW9" s="34"/>
      <c r="ATY9" s="34"/>
      <c r="ATZ9" s="72"/>
      <c r="AUA9" s="63"/>
      <c r="AUB9" s="34"/>
      <c r="AUC9" s="64"/>
      <c r="AUD9" s="4"/>
      <c r="AUE9" s="65"/>
      <c r="AUF9" s="4"/>
      <c r="AUG9" s="4"/>
      <c r="AUH9" s="4"/>
      <c r="AUK9" s="34"/>
      <c r="AUL9" s="34"/>
      <c r="AUN9" s="34"/>
      <c r="AUO9" s="72"/>
      <c r="AUP9" s="63"/>
      <c r="AUQ9" s="34"/>
      <c r="AUR9" s="64"/>
      <c r="AUS9" s="4"/>
      <c r="AUT9" s="65"/>
      <c r="AUU9" s="4"/>
      <c r="AUV9" s="4"/>
      <c r="AUW9" s="4"/>
      <c r="AUZ9" s="34"/>
      <c r="AVA9" s="34"/>
      <c r="AVC9" s="34"/>
      <c r="AVD9" s="72"/>
      <c r="AVE9" s="63"/>
      <c r="AVF9" s="34"/>
      <c r="AVG9" s="64"/>
      <c r="AVH9" s="4"/>
      <c r="AVI9" s="65"/>
      <c r="AVJ9" s="4"/>
      <c r="AVK9" s="4"/>
      <c r="AVL9" s="4"/>
      <c r="AVO9" s="34"/>
      <c r="AVP9" s="34"/>
      <c r="AVR9" s="34"/>
      <c r="AVS9" s="72"/>
      <c r="AVT9" s="63"/>
      <c r="AVU9" s="34"/>
      <c r="AVV9" s="64"/>
      <c r="AVW9" s="4"/>
      <c r="AVX9" s="65"/>
      <c r="AVY9" s="4"/>
      <c r="AVZ9" s="4"/>
      <c r="AWA9" s="4"/>
      <c r="AWD9" s="34"/>
      <c r="AWE9" s="34"/>
      <c r="AWG9" s="34"/>
      <c r="AWH9" s="72"/>
      <c r="AWI9" s="63"/>
      <c r="AWJ9" s="34"/>
      <c r="AWK9" s="64"/>
      <c r="AWL9" s="4"/>
      <c r="AWM9" s="65"/>
      <c r="AWN9" s="4"/>
      <c r="AWO9" s="4"/>
      <c r="AWP9" s="4"/>
      <c r="AWS9" s="34"/>
      <c r="AWT9" s="34"/>
      <c r="AWV9" s="34"/>
      <c r="AWW9" s="72"/>
      <c r="AWX9" s="63"/>
      <c r="AWY9" s="34"/>
      <c r="AWZ9" s="64"/>
      <c r="AXA9" s="4"/>
      <c r="AXB9" s="65"/>
      <c r="AXC9" s="4"/>
      <c r="AXD9" s="4"/>
      <c r="AXE9" s="4"/>
      <c r="AXH9" s="34"/>
      <c r="AXI9" s="34"/>
      <c r="AXK9" s="34"/>
      <c r="AXL9" s="72"/>
      <c r="AXM9" s="63"/>
      <c r="AXN9" s="34"/>
      <c r="AXO9" s="64"/>
      <c r="AXP9" s="4"/>
      <c r="AXQ9" s="65"/>
      <c r="AXR9" s="4"/>
      <c r="AXS9" s="4"/>
      <c r="AXT9" s="4"/>
      <c r="AXW9" s="34"/>
      <c r="AXX9" s="34"/>
      <c r="AXZ9" s="34"/>
      <c r="AYA9" s="72"/>
      <c r="AYB9" s="63"/>
      <c r="AYC9" s="34"/>
      <c r="AYD9" s="64"/>
      <c r="AYE9" s="4"/>
      <c r="AYF9" s="65"/>
      <c r="AYG9" s="4"/>
      <c r="AYH9" s="4"/>
      <c r="AYI9" s="4"/>
      <c r="AYL9" s="34"/>
      <c r="AYM9" s="34"/>
      <c r="AYO9" s="34"/>
      <c r="AYP9" s="72"/>
      <c r="AYQ9" s="63"/>
      <c r="AYR9" s="34"/>
      <c r="AYS9" s="64"/>
      <c r="AYT9" s="4"/>
      <c r="AYU9" s="65"/>
      <c r="AYV9" s="4"/>
      <c r="AYW9" s="4"/>
      <c r="AYX9" s="4"/>
      <c r="AZA9" s="34"/>
      <c r="AZB9" s="34"/>
      <c r="AZD9" s="34"/>
      <c r="AZE9" s="72"/>
      <c r="AZF9" s="63"/>
      <c r="AZG9" s="34"/>
      <c r="AZH9" s="64"/>
      <c r="AZI9" s="4"/>
      <c r="AZJ9" s="65"/>
      <c r="AZK9" s="4"/>
      <c r="AZL9" s="4"/>
      <c r="AZM9" s="4"/>
      <c r="AZP9" s="34"/>
      <c r="AZQ9" s="34"/>
      <c r="AZS9" s="34"/>
      <c r="AZT9" s="72"/>
      <c r="AZU9" s="63"/>
      <c r="AZV9" s="34"/>
      <c r="AZW9" s="64"/>
      <c r="AZX9" s="4"/>
      <c r="AZY9" s="65"/>
      <c r="AZZ9" s="4"/>
      <c r="BAA9" s="4"/>
      <c r="BAB9" s="4"/>
      <c r="BAE9" s="34"/>
      <c r="BAF9" s="34"/>
      <c r="BAH9" s="34"/>
      <c r="BAI9" s="72"/>
      <c r="BAJ9" s="63"/>
      <c r="BAK9" s="34"/>
      <c r="BAL9" s="64"/>
      <c r="BAM9" s="4"/>
      <c r="BAN9" s="65"/>
      <c r="BAO9" s="4"/>
      <c r="BAP9" s="4"/>
      <c r="BAQ9" s="4"/>
      <c r="BAT9" s="34"/>
      <c r="BAU9" s="34"/>
      <c r="BAW9" s="34"/>
      <c r="BAX9" s="72"/>
      <c r="BAY9" s="63"/>
      <c r="BAZ9" s="34"/>
      <c r="BBA9" s="64"/>
      <c r="BBB9" s="4"/>
      <c r="BBC9" s="65"/>
      <c r="BBD9" s="4"/>
      <c r="BBE9" s="4"/>
      <c r="BBF9" s="4"/>
      <c r="BBI9" s="34"/>
      <c r="BBJ9" s="34"/>
      <c r="BBL9" s="34"/>
      <c r="BBM9" s="72"/>
      <c r="BBN9" s="63"/>
      <c r="BBO9" s="34"/>
      <c r="BBP9" s="64"/>
      <c r="BBQ9" s="4"/>
      <c r="BBR9" s="65"/>
      <c r="BBS9" s="4"/>
      <c r="BBT9" s="4"/>
      <c r="BBU9" s="4"/>
      <c r="BBX9" s="34"/>
      <c r="BBY9" s="34"/>
      <c r="BCA9" s="34"/>
      <c r="BCB9" s="72"/>
      <c r="BCC9" s="63"/>
      <c r="BCD9" s="34"/>
      <c r="BCE9" s="64"/>
      <c r="BCF9" s="4"/>
      <c r="BCG9" s="65"/>
      <c r="BCH9" s="4"/>
      <c r="BCI9" s="4"/>
      <c r="BCJ9" s="4"/>
      <c r="BCM9" s="34"/>
      <c r="BCN9" s="34"/>
      <c r="BCP9" s="34"/>
      <c r="BCQ9" s="72"/>
      <c r="BCR9" s="63"/>
      <c r="BCS9" s="34"/>
      <c r="BCT9" s="64"/>
      <c r="BCU9" s="4"/>
      <c r="BCV9" s="65"/>
      <c r="BCW9" s="4"/>
      <c r="BCX9" s="4"/>
      <c r="BCY9" s="4"/>
      <c r="BDB9" s="34"/>
      <c r="BDC9" s="34"/>
      <c r="BDE9" s="34"/>
      <c r="BDF9" s="72"/>
      <c r="BDG9" s="63"/>
      <c r="BDH9" s="34"/>
      <c r="BDI9" s="64"/>
      <c r="BDJ9" s="4"/>
      <c r="BDK9" s="65"/>
      <c r="BDL9" s="4"/>
      <c r="BDM9" s="4"/>
      <c r="BDN9" s="4"/>
      <c r="BDQ9" s="34"/>
      <c r="BDR9" s="34"/>
      <c r="BDT9" s="34"/>
      <c r="BDU9" s="72"/>
      <c r="BDV9" s="63"/>
      <c r="BDW9" s="34"/>
      <c r="BDX9" s="64"/>
      <c r="BDY9" s="4"/>
      <c r="BDZ9" s="65"/>
      <c r="BEA9" s="4"/>
      <c r="BEB9" s="4"/>
      <c r="BEC9" s="4"/>
      <c r="BEF9" s="34"/>
      <c r="BEG9" s="34"/>
      <c r="BEI9" s="34"/>
      <c r="BEJ9" s="72"/>
      <c r="BEK9" s="63"/>
      <c r="BEL9" s="34"/>
      <c r="BEM9" s="64"/>
      <c r="BEN9" s="4"/>
      <c r="BEO9" s="65"/>
      <c r="BEP9" s="4"/>
      <c r="BEQ9" s="4"/>
      <c r="BER9" s="4"/>
      <c r="BEU9" s="34"/>
      <c r="BEV9" s="34"/>
      <c r="BEX9" s="34"/>
      <c r="BEY9" s="72"/>
      <c r="BEZ9" s="63"/>
      <c r="BFA9" s="34"/>
      <c r="BFB9" s="64"/>
      <c r="BFC9" s="4"/>
      <c r="BFD9" s="65"/>
      <c r="BFE9" s="4"/>
      <c r="BFF9" s="4"/>
      <c r="BFG9" s="4"/>
      <c r="BFJ9" s="34"/>
      <c r="BFK9" s="34"/>
      <c r="BFM9" s="34"/>
      <c r="BFN9" s="72"/>
      <c r="BFO9" s="63"/>
      <c r="BFP9" s="34"/>
      <c r="BFQ9" s="64"/>
      <c r="BFR9" s="4"/>
      <c r="BFS9" s="65"/>
      <c r="BFT9" s="4"/>
      <c r="BFU9" s="4"/>
      <c r="BFV9" s="4"/>
      <c r="BFY9" s="34"/>
      <c r="BFZ9" s="34"/>
      <c r="BGB9" s="34"/>
      <c r="BGC9" s="72"/>
      <c r="BGD9" s="63"/>
      <c r="BGE9" s="34"/>
      <c r="BGF9" s="64"/>
      <c r="BGG9" s="4"/>
      <c r="BGH9" s="65"/>
      <c r="BGI9" s="4"/>
      <c r="BGJ9" s="4"/>
      <c r="BGK9" s="4"/>
      <c r="BGN9" s="34"/>
      <c r="BGO9" s="34"/>
      <c r="BGQ9" s="34"/>
      <c r="BGR9" s="72"/>
      <c r="BGS9" s="63"/>
      <c r="BGT9" s="34"/>
      <c r="BGU9" s="64"/>
      <c r="BGV9" s="4"/>
      <c r="BGW9" s="65"/>
      <c r="BGX9" s="4"/>
      <c r="BGY9" s="4"/>
      <c r="BGZ9" s="4"/>
      <c r="BHC9" s="34"/>
      <c r="BHD9" s="34"/>
      <c r="BHF9" s="34"/>
      <c r="BHG9" s="72"/>
      <c r="BHH9" s="63"/>
      <c r="BHI9" s="34"/>
      <c r="BHJ9" s="64"/>
      <c r="BHK9" s="4"/>
      <c r="BHL9" s="65"/>
      <c r="BHM9" s="4"/>
      <c r="BHN9" s="4"/>
      <c r="BHO9" s="4"/>
      <c r="BHR9" s="34"/>
      <c r="BHS9" s="34"/>
      <c r="BHU9" s="34"/>
      <c r="BHV9" s="72"/>
      <c r="BHW9" s="63"/>
      <c r="BHX9" s="34"/>
      <c r="BHY9" s="64"/>
      <c r="BHZ9" s="4"/>
      <c r="BIA9" s="65"/>
      <c r="BIB9" s="4"/>
      <c r="BIC9" s="4"/>
      <c r="BID9" s="4"/>
      <c r="BIG9" s="34"/>
      <c r="BIH9" s="34"/>
      <c r="BIJ9" s="34"/>
      <c r="BIK9" s="72"/>
      <c r="BIL9" s="63"/>
      <c r="BIM9" s="34"/>
      <c r="BIN9" s="64"/>
      <c r="BIO9" s="4"/>
      <c r="BIP9" s="65"/>
      <c r="BIQ9" s="4"/>
      <c r="BIR9" s="4"/>
      <c r="BIS9" s="4"/>
      <c r="BIV9" s="34"/>
      <c r="BIW9" s="34"/>
      <c r="BIY9" s="34"/>
      <c r="BIZ9" s="72"/>
      <c r="BJA9" s="63"/>
      <c r="BJB9" s="34"/>
      <c r="BJC9" s="64"/>
      <c r="BJD9" s="4"/>
      <c r="BJE9" s="65"/>
      <c r="BJF9" s="4"/>
      <c r="BJG9" s="4"/>
      <c r="BJH9" s="4"/>
      <c r="BJK9" s="34"/>
      <c r="BJL9" s="34"/>
      <c r="BJN9" s="34"/>
      <c r="BJO9" s="72"/>
      <c r="BJP9" s="63"/>
      <c r="BJQ9" s="34"/>
      <c r="BJR9" s="64"/>
      <c r="BJS9" s="4"/>
      <c r="BJT9" s="65"/>
      <c r="BJU9" s="4"/>
      <c r="BJV9" s="4"/>
      <c r="BJW9" s="4"/>
      <c r="BJZ9" s="34"/>
      <c r="BKA9" s="34"/>
      <c r="BKC9" s="34"/>
      <c r="BKD9" s="72"/>
      <c r="BKE9" s="63"/>
      <c r="BKF9" s="34"/>
      <c r="BKG9" s="64"/>
      <c r="BKH9" s="4"/>
      <c r="BKI9" s="65"/>
      <c r="BKJ9" s="4"/>
      <c r="BKK9" s="4"/>
      <c r="BKL9" s="4"/>
      <c r="BKO9" s="34"/>
      <c r="BKP9" s="34"/>
      <c r="BKR9" s="34"/>
      <c r="BKS9" s="72"/>
      <c r="BKT9" s="63"/>
      <c r="BKU9" s="34"/>
      <c r="BKV9" s="64"/>
      <c r="BKW9" s="4"/>
      <c r="BKX9" s="65"/>
      <c r="BKY9" s="4"/>
      <c r="BKZ9" s="4"/>
      <c r="BLA9" s="4"/>
      <c r="BLD9" s="34"/>
      <c r="BLE9" s="34"/>
      <c r="BLG9" s="34"/>
      <c r="BLH9" s="72"/>
      <c r="BLI9" s="63"/>
      <c r="BLJ9" s="34"/>
      <c r="BLK9" s="64"/>
      <c r="BLL9" s="4"/>
      <c r="BLM9" s="65"/>
      <c r="BLN9" s="4"/>
      <c r="BLO9" s="4"/>
      <c r="BLP9" s="4"/>
      <c r="BLS9" s="34"/>
      <c r="BLT9" s="34"/>
      <c r="BLV9" s="34"/>
      <c r="BLW9" s="72"/>
      <c r="BLX9" s="63"/>
      <c r="BLY9" s="34"/>
      <c r="BLZ9" s="64"/>
      <c r="BMA9" s="4"/>
      <c r="BMB9" s="65"/>
      <c r="BMC9" s="4"/>
      <c r="BMD9" s="4"/>
      <c r="BME9" s="4"/>
      <c r="BMH9" s="34"/>
      <c r="BMI9" s="34"/>
      <c r="BMK9" s="34"/>
      <c r="BML9" s="72"/>
      <c r="BMM9" s="63"/>
      <c r="BMN9" s="34"/>
      <c r="BMO9" s="64"/>
      <c r="BMP9" s="4"/>
      <c r="BMQ9" s="65"/>
      <c r="BMR9" s="4"/>
      <c r="BMS9" s="4"/>
      <c r="BMT9" s="4"/>
      <c r="BMW9" s="34"/>
      <c r="BMX9" s="34"/>
      <c r="BMZ9" s="34"/>
      <c r="BNA9" s="72"/>
      <c r="BNB9" s="63"/>
      <c r="BNC9" s="34"/>
      <c r="BND9" s="64"/>
      <c r="BNE9" s="4"/>
      <c r="BNF9" s="65"/>
      <c r="BNG9" s="4"/>
      <c r="BNH9" s="4"/>
      <c r="BNI9" s="4"/>
      <c r="BNL9" s="34"/>
      <c r="BNM9" s="34"/>
      <c r="BNO9" s="34"/>
      <c r="BNP9" s="72"/>
      <c r="BNQ9" s="63"/>
      <c r="BNR9" s="34"/>
      <c r="BNS9" s="64"/>
      <c r="BNT9" s="4"/>
      <c r="BNU9" s="65"/>
      <c r="BNV9" s="4"/>
      <c r="BNW9" s="4"/>
      <c r="BNX9" s="4"/>
      <c r="BOA9" s="34"/>
      <c r="BOB9" s="34"/>
      <c r="BOD9" s="34"/>
      <c r="BOE9" s="72"/>
      <c r="BOF9" s="63"/>
      <c r="BOG9" s="34"/>
      <c r="BOH9" s="64"/>
      <c r="BOI9" s="4"/>
      <c r="BOJ9" s="65"/>
      <c r="BOK9" s="4"/>
      <c r="BOL9" s="4"/>
      <c r="BOM9" s="4"/>
      <c r="BOP9" s="34"/>
      <c r="BOQ9" s="34"/>
      <c r="BOS9" s="34"/>
      <c r="BOT9" s="72"/>
      <c r="BOU9" s="63"/>
      <c r="BOV9" s="34"/>
      <c r="BOW9" s="64"/>
      <c r="BOX9" s="4"/>
      <c r="BOY9" s="65"/>
      <c r="BOZ9" s="4"/>
      <c r="BPA9" s="4"/>
      <c r="BPB9" s="4"/>
      <c r="BPE9" s="34"/>
      <c r="BPF9" s="34"/>
      <c r="BPH9" s="34"/>
      <c r="BPI9" s="72"/>
      <c r="BPJ9" s="63"/>
      <c r="BPK9" s="34"/>
      <c r="BPL9" s="64"/>
      <c r="BPM9" s="4"/>
      <c r="BPN9" s="65"/>
      <c r="BPO9" s="4"/>
      <c r="BPP9" s="4"/>
      <c r="BPQ9" s="4"/>
      <c r="BPT9" s="34"/>
      <c r="BPU9" s="34"/>
      <c r="BPW9" s="34"/>
      <c r="BPX9" s="72"/>
      <c r="BPY9" s="63"/>
      <c r="BPZ9" s="34"/>
      <c r="BQA9" s="64"/>
      <c r="BQB9" s="4"/>
      <c r="BQC9" s="65"/>
      <c r="BQD9" s="4"/>
      <c r="BQE9" s="4"/>
      <c r="BQF9" s="4"/>
      <c r="BQI9" s="34"/>
      <c r="BQJ9" s="34"/>
      <c r="BQL9" s="34"/>
      <c r="BQM9" s="72"/>
      <c r="BQN9" s="63"/>
      <c r="BQO9" s="34"/>
      <c r="BQP9" s="64"/>
      <c r="BQQ9" s="4"/>
      <c r="BQR9" s="65"/>
      <c r="BQS9" s="4"/>
      <c r="BQT9" s="4"/>
      <c r="BQU9" s="4"/>
      <c r="BQX9" s="34"/>
      <c r="BQY9" s="34"/>
      <c r="BRA9" s="34"/>
      <c r="BRB9" s="72"/>
      <c r="BRC9" s="63"/>
      <c r="BRD9" s="34"/>
      <c r="BRE9" s="64"/>
      <c r="BRF9" s="4"/>
      <c r="BRG9" s="65"/>
      <c r="BRH9" s="4"/>
      <c r="BRI9" s="4"/>
      <c r="BRJ9" s="4"/>
      <c r="BRM9" s="34"/>
      <c r="BRN9" s="34"/>
      <c r="BRP9" s="34"/>
      <c r="BRQ9" s="72"/>
      <c r="BRR9" s="63"/>
      <c r="BRS9" s="34"/>
      <c r="BRT9" s="64"/>
      <c r="BRU9" s="4"/>
      <c r="BRV9" s="65"/>
      <c r="BRW9" s="4"/>
      <c r="BRX9" s="4"/>
      <c r="BRY9" s="4"/>
      <c r="BSB9" s="34"/>
      <c r="BSC9" s="34"/>
      <c r="BSE9" s="34"/>
      <c r="BSF9" s="72"/>
      <c r="BSG9" s="63"/>
      <c r="BSH9" s="34"/>
      <c r="BSI9" s="64"/>
      <c r="BSJ9" s="4"/>
      <c r="BSK9" s="65"/>
      <c r="BSL9" s="4"/>
      <c r="BSM9" s="4"/>
      <c r="BSN9" s="4"/>
      <c r="BSQ9" s="34"/>
      <c r="BSR9" s="34"/>
      <c r="BST9" s="34"/>
      <c r="BSU9" s="72"/>
      <c r="BSV9" s="63"/>
      <c r="BSW9" s="34"/>
      <c r="BSX9" s="64"/>
      <c r="BSY9" s="4"/>
      <c r="BSZ9" s="65"/>
      <c r="BTA9" s="4"/>
      <c r="BTB9" s="4"/>
      <c r="BTC9" s="4"/>
      <c r="BTF9" s="34"/>
      <c r="BTG9" s="34"/>
      <c r="BTI9" s="34"/>
      <c r="BTJ9" s="72"/>
      <c r="BTK9" s="63"/>
      <c r="BTL9" s="34"/>
      <c r="BTM9" s="64"/>
      <c r="BTN9" s="4"/>
      <c r="BTO9" s="65"/>
      <c r="BTP9" s="4"/>
      <c r="BTQ9" s="4"/>
      <c r="BTR9" s="4"/>
      <c r="BTU9" s="34"/>
      <c r="BTV9" s="34"/>
      <c r="BTX9" s="34"/>
      <c r="BTY9" s="72"/>
      <c r="BTZ9" s="63"/>
      <c r="BUA9" s="34"/>
      <c r="BUB9" s="64"/>
      <c r="BUC9" s="4"/>
      <c r="BUD9" s="65"/>
      <c r="BUE9" s="4"/>
      <c r="BUF9" s="4"/>
      <c r="BUG9" s="4"/>
      <c r="BUJ9" s="34"/>
      <c r="BUK9" s="34"/>
      <c r="BUM9" s="34"/>
      <c r="BUN9" s="72"/>
      <c r="BUO9" s="63"/>
      <c r="BUP9" s="34"/>
      <c r="BUQ9" s="64"/>
      <c r="BUR9" s="4"/>
      <c r="BUS9" s="65"/>
      <c r="BUT9" s="4"/>
      <c r="BUU9" s="4"/>
      <c r="BUV9" s="4"/>
      <c r="BUY9" s="34"/>
      <c r="BUZ9" s="34"/>
      <c r="BVB9" s="34"/>
      <c r="BVC9" s="72"/>
      <c r="BVD9" s="63"/>
      <c r="BVE9" s="34"/>
      <c r="BVF9" s="64"/>
      <c r="BVG9" s="4"/>
      <c r="BVH9" s="65"/>
      <c r="BVI9" s="4"/>
      <c r="BVJ9" s="4"/>
      <c r="BVK9" s="4"/>
      <c r="BVN9" s="34"/>
      <c r="BVO9" s="34"/>
      <c r="BVQ9" s="34"/>
      <c r="BVR9" s="72"/>
      <c r="BVS9" s="63"/>
      <c r="BVT9" s="34"/>
      <c r="BVU9" s="64"/>
      <c r="BVV9" s="4"/>
      <c r="BVW9" s="65"/>
      <c r="BVX9" s="4"/>
      <c r="BVY9" s="4"/>
      <c r="BVZ9" s="4"/>
      <c r="BWC9" s="34"/>
      <c r="BWD9" s="34"/>
      <c r="BWF9" s="34"/>
      <c r="BWG9" s="72"/>
      <c r="BWH9" s="63"/>
      <c r="BWI9" s="34"/>
      <c r="BWJ9" s="64"/>
      <c r="BWK9" s="4"/>
      <c r="BWL9" s="65"/>
      <c r="BWM9" s="4"/>
      <c r="BWN9" s="4"/>
      <c r="BWO9" s="4"/>
      <c r="BWR9" s="34"/>
      <c r="BWS9" s="34"/>
      <c r="BWU9" s="34"/>
      <c r="BWV9" s="72"/>
      <c r="BWW9" s="63"/>
      <c r="BWX9" s="34"/>
      <c r="BWY9" s="64"/>
      <c r="BWZ9" s="4"/>
      <c r="BXA9" s="65"/>
      <c r="BXB9" s="4"/>
      <c r="BXC9" s="4"/>
      <c r="BXD9" s="4"/>
      <c r="BXG9" s="34"/>
      <c r="BXH9" s="34"/>
      <c r="BXJ9" s="34"/>
      <c r="BXK9" s="72"/>
      <c r="BXL9" s="63"/>
      <c r="BXM9" s="34"/>
      <c r="BXN9" s="64"/>
      <c r="BXO9" s="4"/>
      <c r="BXP9" s="65"/>
      <c r="BXQ9" s="4"/>
      <c r="BXR9" s="4"/>
      <c r="BXS9" s="4"/>
      <c r="BXV9" s="34"/>
      <c r="BXW9" s="34"/>
      <c r="BXY9" s="34"/>
      <c r="BXZ9" s="72"/>
      <c r="BYA9" s="63"/>
      <c r="BYB9" s="34"/>
      <c r="BYC9" s="64"/>
      <c r="BYD9" s="4"/>
      <c r="BYE9" s="65"/>
      <c r="BYF9" s="4"/>
      <c r="BYG9" s="4"/>
      <c r="BYH9" s="4"/>
      <c r="BYK9" s="34"/>
      <c r="BYL9" s="34"/>
      <c r="BYN9" s="34"/>
      <c r="BYO9" s="72"/>
      <c r="BYP9" s="63"/>
      <c r="BYQ9" s="34"/>
      <c r="BYR9" s="64"/>
      <c r="BYS9" s="4"/>
      <c r="BYT9" s="65"/>
      <c r="BYU9" s="4"/>
      <c r="BYV9" s="4"/>
      <c r="BYW9" s="4"/>
      <c r="BYZ9" s="34"/>
      <c r="BZA9" s="34"/>
      <c r="BZC9" s="34"/>
      <c r="BZD9" s="72"/>
      <c r="BZE9" s="63"/>
      <c r="BZF9" s="34"/>
      <c r="BZG9" s="64"/>
      <c r="BZH9" s="4"/>
      <c r="BZI9" s="65"/>
      <c r="BZJ9" s="4"/>
      <c r="BZK9" s="4"/>
      <c r="BZL9" s="4"/>
      <c r="BZO9" s="34"/>
      <c r="BZP9" s="34"/>
      <c r="BZR9" s="34"/>
      <c r="BZS9" s="72"/>
      <c r="BZT9" s="63"/>
      <c r="BZU9" s="34"/>
      <c r="BZV9" s="64"/>
      <c r="BZW9" s="4"/>
      <c r="BZX9" s="65"/>
      <c r="BZY9" s="4"/>
      <c r="BZZ9" s="4"/>
      <c r="CAA9" s="4"/>
      <c r="CAD9" s="34"/>
      <c r="CAE9" s="34"/>
      <c r="CAG9" s="34"/>
      <c r="CAH9" s="72"/>
      <c r="CAI9" s="63"/>
      <c r="CAJ9" s="34"/>
      <c r="CAK9" s="64"/>
      <c r="CAL9" s="4"/>
      <c r="CAM9" s="65"/>
      <c r="CAN9" s="4"/>
      <c r="CAO9" s="4"/>
      <c r="CAP9" s="4"/>
      <c r="CAS9" s="34"/>
      <c r="CAT9" s="34"/>
      <c r="CAV9" s="34"/>
      <c r="CAW9" s="72"/>
      <c r="CAX9" s="63"/>
      <c r="CAY9" s="34"/>
      <c r="CAZ9" s="64"/>
      <c r="CBA9" s="4"/>
      <c r="CBB9" s="65"/>
      <c r="CBC9" s="4"/>
      <c r="CBD9" s="4"/>
      <c r="CBE9" s="4"/>
      <c r="CBH9" s="34"/>
      <c r="CBI9" s="34"/>
      <c r="CBK9" s="34"/>
      <c r="CBL9" s="72"/>
      <c r="CBM9" s="63"/>
      <c r="CBN9" s="34"/>
      <c r="CBO9" s="64"/>
      <c r="CBP9" s="4"/>
      <c r="CBQ9" s="65"/>
      <c r="CBR9" s="4"/>
      <c r="CBS9" s="4"/>
      <c r="CBT9" s="4"/>
      <c r="CBW9" s="34"/>
      <c r="CBX9" s="34"/>
      <c r="CBZ9" s="34"/>
      <c r="CCA9" s="72"/>
      <c r="CCB9" s="63"/>
      <c r="CCC9" s="34"/>
      <c r="CCD9" s="64"/>
      <c r="CCE9" s="4"/>
      <c r="CCF9" s="65"/>
      <c r="CCG9" s="4"/>
      <c r="CCH9" s="4"/>
      <c r="CCI9" s="4"/>
      <c r="CCL9" s="34"/>
      <c r="CCM9" s="34"/>
      <c r="CCO9" s="34"/>
      <c r="CCP9" s="72"/>
      <c r="CCQ9" s="63"/>
      <c r="CCR9" s="34"/>
      <c r="CCS9" s="64"/>
      <c r="CCT9" s="4"/>
      <c r="CCU9" s="65"/>
      <c r="CCV9" s="4"/>
      <c r="CCW9" s="4"/>
      <c r="CCX9" s="4"/>
      <c r="CDA9" s="34"/>
      <c r="CDB9" s="34"/>
      <c r="CDD9" s="34"/>
      <c r="CDE9" s="72"/>
      <c r="CDF9" s="63"/>
      <c r="CDG9" s="34"/>
      <c r="CDH9" s="64"/>
      <c r="CDI9" s="4"/>
      <c r="CDJ9" s="65"/>
      <c r="CDK9" s="4"/>
      <c r="CDL9" s="4"/>
      <c r="CDM9" s="4"/>
      <c r="CDP9" s="34"/>
      <c r="CDQ9" s="34"/>
      <c r="CDS9" s="34"/>
      <c r="CDT9" s="72"/>
      <c r="CDU9" s="63"/>
      <c r="CDV9" s="34"/>
      <c r="CDW9" s="64"/>
      <c r="CDX9" s="4"/>
      <c r="CDY9" s="65"/>
      <c r="CDZ9" s="4"/>
      <c r="CEA9" s="4"/>
      <c r="CEB9" s="4"/>
      <c r="CEE9" s="34"/>
      <c r="CEF9" s="34"/>
      <c r="CEH9" s="34"/>
      <c r="CEI9" s="72"/>
      <c r="CEJ9" s="63"/>
      <c r="CEK9" s="34"/>
      <c r="CEL9" s="64"/>
      <c r="CEM9" s="4"/>
      <c r="CEN9" s="65"/>
      <c r="CEO9" s="4"/>
      <c r="CEP9" s="4"/>
      <c r="CEQ9" s="4"/>
      <c r="CET9" s="34"/>
      <c r="CEU9" s="34"/>
      <c r="CEW9" s="34"/>
      <c r="CEX9" s="72"/>
      <c r="CEY9" s="63"/>
      <c r="CEZ9" s="34"/>
      <c r="CFA9" s="64"/>
      <c r="CFB9" s="4"/>
      <c r="CFC9" s="65"/>
      <c r="CFD9" s="4"/>
      <c r="CFE9" s="4"/>
      <c r="CFF9" s="4"/>
      <c r="CFI9" s="34"/>
      <c r="CFJ9" s="34"/>
      <c r="CFL9" s="34"/>
      <c r="CFM9" s="72"/>
      <c r="CFN9" s="63"/>
      <c r="CFO9" s="34"/>
      <c r="CFP9" s="64"/>
      <c r="CFQ9" s="4"/>
      <c r="CFR9" s="65"/>
      <c r="CFS9" s="4"/>
      <c r="CFT9" s="4"/>
      <c r="CFU9" s="4"/>
      <c r="CFX9" s="34"/>
      <c r="CFY9" s="34"/>
      <c r="CGA9" s="34"/>
      <c r="CGB9" s="72"/>
      <c r="CGC9" s="63"/>
      <c r="CGD9" s="34"/>
      <c r="CGE9" s="64"/>
      <c r="CGF9" s="4"/>
      <c r="CGG9" s="65"/>
      <c r="CGH9" s="4"/>
      <c r="CGI9" s="4"/>
      <c r="CGJ9" s="4"/>
      <c r="CGM9" s="34"/>
      <c r="CGN9" s="34"/>
      <c r="CGP9" s="34"/>
      <c r="CGQ9" s="72"/>
      <c r="CGR9" s="63"/>
      <c r="CGS9" s="34"/>
      <c r="CGT9" s="64"/>
      <c r="CGU9" s="4"/>
      <c r="CGV9" s="65"/>
      <c r="CGW9" s="4"/>
      <c r="CGX9" s="4"/>
      <c r="CGY9" s="4"/>
      <c r="CHB9" s="34"/>
      <c r="CHC9" s="34"/>
      <c r="CHE9" s="34"/>
      <c r="CHF9" s="72"/>
      <c r="CHG9" s="63"/>
      <c r="CHH9" s="34"/>
      <c r="CHI9" s="64"/>
      <c r="CHJ9" s="4"/>
      <c r="CHK9" s="65"/>
      <c r="CHL9" s="4"/>
      <c r="CHM9" s="4"/>
      <c r="CHN9" s="4"/>
      <c r="CHQ9" s="34"/>
      <c r="CHR9" s="34"/>
      <c r="CHT9" s="34"/>
      <c r="CHU9" s="72"/>
      <c r="CHV9" s="63"/>
      <c r="CHW9" s="34"/>
      <c r="CHX9" s="64"/>
      <c r="CHY9" s="4"/>
      <c r="CHZ9" s="65"/>
      <c r="CIA9" s="4"/>
      <c r="CIB9" s="4"/>
      <c r="CIC9" s="4"/>
      <c r="CIF9" s="34"/>
      <c r="CIG9" s="34"/>
      <c r="CII9" s="34"/>
      <c r="CIJ9" s="72"/>
      <c r="CIK9" s="63"/>
      <c r="CIL9" s="34"/>
      <c r="CIM9" s="64"/>
      <c r="CIN9" s="4"/>
      <c r="CIO9" s="65"/>
      <c r="CIP9" s="4"/>
      <c r="CIQ9" s="4"/>
      <c r="CIR9" s="4"/>
      <c r="CIU9" s="34"/>
      <c r="CIV9" s="34"/>
      <c r="CIX9" s="34"/>
      <c r="CIY9" s="72"/>
      <c r="CIZ9" s="63"/>
      <c r="CJA9" s="34"/>
      <c r="CJB9" s="64"/>
      <c r="CJC9" s="4"/>
      <c r="CJD9" s="65"/>
      <c r="CJE9" s="4"/>
      <c r="CJF9" s="4"/>
      <c r="CJG9" s="4"/>
      <c r="CJJ9" s="34"/>
      <c r="CJK9" s="34"/>
      <c r="CJM9" s="34"/>
      <c r="CJN9" s="72"/>
      <c r="CJO9" s="63"/>
      <c r="CJP9" s="34"/>
      <c r="CJQ9" s="64"/>
      <c r="CJR9" s="4"/>
      <c r="CJS9" s="65"/>
      <c r="CJT9" s="4"/>
      <c r="CJU9" s="4"/>
      <c r="CJV9" s="4"/>
      <c r="CJY9" s="34"/>
      <c r="CJZ9" s="34"/>
      <c r="CKB9" s="34"/>
      <c r="CKC9" s="72"/>
      <c r="CKD9" s="63"/>
      <c r="CKE9" s="34"/>
      <c r="CKF9" s="64"/>
      <c r="CKG9" s="4"/>
      <c r="CKH9" s="65"/>
      <c r="CKI9" s="4"/>
      <c r="CKJ9" s="4"/>
      <c r="CKK9" s="4"/>
      <c r="CKN9" s="34"/>
      <c r="CKO9" s="34"/>
      <c r="CKQ9" s="34"/>
      <c r="CKR9" s="72"/>
      <c r="CKS9" s="63"/>
      <c r="CKT9" s="34"/>
      <c r="CKU9" s="64"/>
      <c r="CKV9" s="4"/>
      <c r="CKW9" s="65"/>
      <c r="CKX9" s="4"/>
      <c r="CKY9" s="4"/>
      <c r="CKZ9" s="4"/>
      <c r="CLC9" s="34"/>
      <c r="CLD9" s="34"/>
      <c r="CLF9" s="34"/>
      <c r="CLG9" s="72"/>
      <c r="CLH9" s="63"/>
      <c r="CLI9" s="34"/>
      <c r="CLJ9" s="64"/>
      <c r="CLK9" s="4"/>
      <c r="CLL9" s="65"/>
      <c r="CLM9" s="4"/>
      <c r="CLN9" s="4"/>
      <c r="CLO9" s="4"/>
      <c r="CLR9" s="34"/>
      <c r="CLS9" s="34"/>
      <c r="CLU9" s="34"/>
      <c r="CLV9" s="72"/>
      <c r="CLW9" s="63"/>
      <c r="CLX9" s="34"/>
      <c r="CLY9" s="64"/>
      <c r="CLZ9" s="4"/>
      <c r="CMA9" s="65"/>
      <c r="CMB9" s="4"/>
      <c r="CMC9" s="4"/>
      <c r="CMD9" s="4"/>
      <c r="CMG9" s="34"/>
      <c r="CMH9" s="34"/>
      <c r="CMJ9" s="34"/>
      <c r="CMK9" s="72"/>
      <c r="CML9" s="63"/>
      <c r="CMM9" s="34"/>
      <c r="CMN9" s="64"/>
      <c r="CMO9" s="4"/>
      <c r="CMP9" s="65"/>
      <c r="CMQ9" s="4"/>
      <c r="CMR9" s="4"/>
      <c r="CMS9" s="4"/>
      <c r="CMV9" s="34"/>
      <c r="CMW9" s="34"/>
      <c r="CMY9" s="34"/>
      <c r="CMZ9" s="72"/>
      <c r="CNA9" s="63"/>
      <c r="CNB9" s="34"/>
      <c r="CNC9" s="64"/>
      <c r="CND9" s="4"/>
      <c r="CNE9" s="65"/>
      <c r="CNF9" s="4"/>
      <c r="CNG9" s="4"/>
      <c r="CNH9" s="4"/>
      <c r="CNK9" s="34"/>
      <c r="CNL9" s="34"/>
      <c r="CNN9" s="34"/>
      <c r="CNO9" s="72"/>
      <c r="CNP9" s="63"/>
      <c r="CNQ9" s="34"/>
      <c r="CNR9" s="64"/>
      <c r="CNS9" s="4"/>
      <c r="CNT9" s="65"/>
      <c r="CNU9" s="4"/>
      <c r="CNV9" s="4"/>
      <c r="CNW9" s="4"/>
      <c r="CNZ9" s="34"/>
      <c r="COA9" s="34"/>
      <c r="COC9" s="34"/>
      <c r="COD9" s="72"/>
      <c r="COE9" s="63"/>
      <c r="COF9" s="34"/>
      <c r="COG9" s="64"/>
      <c r="COH9" s="4"/>
      <c r="COI9" s="65"/>
      <c r="COJ9" s="4"/>
      <c r="COK9" s="4"/>
      <c r="COL9" s="4"/>
      <c r="COO9" s="34"/>
      <c r="COP9" s="34"/>
      <c r="COR9" s="34"/>
      <c r="COS9" s="72"/>
      <c r="COT9" s="63"/>
      <c r="COU9" s="34"/>
      <c r="COV9" s="64"/>
      <c r="COW9" s="4"/>
      <c r="COX9" s="65"/>
      <c r="COY9" s="4"/>
      <c r="COZ9" s="4"/>
      <c r="CPA9" s="4"/>
      <c r="CPD9" s="34"/>
      <c r="CPE9" s="34"/>
      <c r="CPG9" s="34"/>
      <c r="CPH9" s="72"/>
      <c r="CPI9" s="63"/>
      <c r="CPJ9" s="34"/>
      <c r="CPK9" s="64"/>
      <c r="CPL9" s="4"/>
      <c r="CPM9" s="65"/>
      <c r="CPN9" s="4"/>
      <c r="CPO9" s="4"/>
      <c r="CPP9" s="4"/>
      <c r="CPS9" s="34"/>
      <c r="CPT9" s="34"/>
      <c r="CPV9" s="34"/>
      <c r="CPW9" s="72"/>
      <c r="CPX9" s="63"/>
      <c r="CPY9" s="34"/>
      <c r="CPZ9" s="64"/>
      <c r="CQA9" s="4"/>
      <c r="CQB9" s="65"/>
      <c r="CQC9" s="4"/>
      <c r="CQD9" s="4"/>
      <c r="CQE9" s="4"/>
      <c r="CQH9" s="34"/>
      <c r="CQI9" s="34"/>
      <c r="CQK9" s="34"/>
      <c r="CQL9" s="72"/>
      <c r="CQM9" s="63"/>
      <c r="CQN9" s="34"/>
      <c r="CQO9" s="64"/>
      <c r="CQP9" s="4"/>
      <c r="CQQ9" s="65"/>
      <c r="CQR9" s="4"/>
      <c r="CQS9" s="4"/>
      <c r="CQT9" s="4"/>
      <c r="CQW9" s="34"/>
      <c r="CQX9" s="34"/>
      <c r="CQZ9" s="34"/>
      <c r="CRA9" s="72"/>
      <c r="CRB9" s="63"/>
      <c r="CRC9" s="34"/>
      <c r="CRD9" s="64"/>
      <c r="CRE9" s="4"/>
      <c r="CRF9" s="65"/>
      <c r="CRG9" s="4"/>
      <c r="CRH9" s="4"/>
      <c r="CRI9" s="4"/>
      <c r="CRL9" s="34"/>
      <c r="CRM9" s="34"/>
      <c r="CRO9" s="34"/>
      <c r="CRP9" s="72"/>
      <c r="CRQ9" s="63"/>
      <c r="CRR9" s="34"/>
      <c r="CRS9" s="64"/>
      <c r="CRT9" s="4"/>
      <c r="CRU9" s="65"/>
      <c r="CRV9" s="4"/>
      <c r="CRW9" s="4"/>
      <c r="CRX9" s="4"/>
      <c r="CSA9" s="34"/>
      <c r="CSB9" s="34"/>
      <c r="CSD9" s="34"/>
      <c r="CSE9" s="72"/>
      <c r="CSF9" s="63"/>
      <c r="CSG9" s="34"/>
      <c r="CSH9" s="64"/>
      <c r="CSI9" s="4"/>
      <c r="CSJ9" s="65"/>
      <c r="CSK9" s="4"/>
      <c r="CSL9" s="4"/>
      <c r="CSM9" s="4"/>
      <c r="CSP9" s="34"/>
      <c r="CSQ9" s="34"/>
      <c r="CSS9" s="34"/>
      <c r="CST9" s="72"/>
      <c r="CSU9" s="63"/>
      <c r="CSV9" s="34"/>
      <c r="CSW9" s="64"/>
      <c r="CSX9" s="4"/>
      <c r="CSY9" s="65"/>
      <c r="CSZ9" s="4"/>
      <c r="CTA9" s="4"/>
      <c r="CTB9" s="4"/>
      <c r="CTE9" s="34"/>
      <c r="CTF9" s="34"/>
      <c r="CTH9" s="34"/>
      <c r="CTI9" s="72"/>
      <c r="CTJ9" s="63"/>
      <c r="CTK9" s="34"/>
      <c r="CTL9" s="64"/>
      <c r="CTM9" s="4"/>
      <c r="CTN9" s="65"/>
      <c r="CTO9" s="4"/>
      <c r="CTP9" s="4"/>
      <c r="CTQ9" s="4"/>
      <c r="CTT9" s="34"/>
      <c r="CTU9" s="34"/>
      <c r="CTW9" s="34"/>
      <c r="CTX9" s="72"/>
      <c r="CTY9" s="63"/>
      <c r="CTZ9" s="34"/>
      <c r="CUA9" s="64"/>
      <c r="CUB9" s="4"/>
      <c r="CUC9" s="65"/>
      <c r="CUD9" s="4"/>
      <c r="CUE9" s="4"/>
      <c r="CUF9" s="4"/>
      <c r="CUI9" s="34"/>
      <c r="CUJ9" s="34"/>
      <c r="CUL9" s="34"/>
      <c r="CUM9" s="72"/>
      <c r="CUN9" s="63"/>
      <c r="CUO9" s="34"/>
      <c r="CUP9" s="64"/>
      <c r="CUQ9" s="4"/>
      <c r="CUR9" s="65"/>
      <c r="CUS9" s="4"/>
      <c r="CUT9" s="4"/>
      <c r="CUU9" s="4"/>
      <c r="CUX9" s="34"/>
      <c r="CUY9" s="34"/>
      <c r="CVA9" s="34"/>
      <c r="CVB9" s="72"/>
      <c r="CVC9" s="63"/>
      <c r="CVD9" s="34"/>
      <c r="CVE9" s="64"/>
      <c r="CVF9" s="4"/>
      <c r="CVG9" s="65"/>
      <c r="CVH9" s="4"/>
      <c r="CVI9" s="4"/>
      <c r="CVJ9" s="4"/>
      <c r="CVM9" s="34"/>
      <c r="CVN9" s="34"/>
      <c r="CVP9" s="34"/>
      <c r="CVQ9" s="72"/>
      <c r="CVR9" s="63"/>
      <c r="CVS9" s="34"/>
      <c r="CVT9" s="64"/>
      <c r="CVU9" s="4"/>
      <c r="CVV9" s="65"/>
      <c r="CVW9" s="4"/>
      <c r="CVX9" s="4"/>
      <c r="CVY9" s="4"/>
      <c r="CWB9" s="34"/>
      <c r="CWC9" s="34"/>
      <c r="CWE9" s="34"/>
      <c r="CWF9" s="72"/>
      <c r="CWG9" s="63"/>
      <c r="CWH9" s="34"/>
      <c r="CWI9" s="64"/>
      <c r="CWJ9" s="4"/>
      <c r="CWK9" s="65"/>
      <c r="CWL9" s="4"/>
      <c r="CWM9" s="4"/>
      <c r="CWN9" s="4"/>
      <c r="CWQ9" s="34"/>
      <c r="CWR9" s="34"/>
      <c r="CWT9" s="34"/>
      <c r="CWU9" s="72"/>
      <c r="CWV9" s="63"/>
      <c r="CWW9" s="34"/>
      <c r="CWX9" s="64"/>
      <c r="CWY9" s="4"/>
      <c r="CWZ9" s="65"/>
      <c r="CXA9" s="4"/>
      <c r="CXB9" s="4"/>
      <c r="CXC9" s="4"/>
      <c r="CXF9" s="34"/>
      <c r="CXG9" s="34"/>
      <c r="CXI9" s="34"/>
      <c r="CXJ9" s="72"/>
      <c r="CXK9" s="63"/>
      <c r="CXL9" s="34"/>
      <c r="CXM9" s="64"/>
      <c r="CXN9" s="4"/>
      <c r="CXO9" s="65"/>
      <c r="CXP9" s="4"/>
      <c r="CXQ9" s="4"/>
      <c r="CXR9" s="4"/>
      <c r="CXU9" s="34"/>
      <c r="CXV9" s="34"/>
      <c r="CXX9" s="34"/>
      <c r="CXY9" s="72"/>
      <c r="CXZ9" s="63"/>
      <c r="CYA9" s="34"/>
      <c r="CYB9" s="64"/>
      <c r="CYC9" s="4"/>
      <c r="CYD9" s="65"/>
      <c r="CYE9" s="4"/>
      <c r="CYF9" s="4"/>
      <c r="CYG9" s="4"/>
      <c r="CYJ9" s="34"/>
      <c r="CYK9" s="34"/>
      <c r="CYM9" s="34"/>
      <c r="CYN9" s="72"/>
      <c r="CYO9" s="63"/>
      <c r="CYP9" s="34"/>
      <c r="CYQ9" s="64"/>
      <c r="CYR9" s="4"/>
      <c r="CYS9" s="65"/>
      <c r="CYT9" s="4"/>
      <c r="CYU9" s="4"/>
      <c r="CYV9" s="4"/>
      <c r="CYY9" s="34"/>
      <c r="CYZ9" s="34"/>
      <c r="CZB9" s="34"/>
      <c r="CZC9" s="72"/>
      <c r="CZD9" s="63"/>
      <c r="CZE9" s="34"/>
      <c r="CZF9" s="64"/>
      <c r="CZG9" s="4"/>
      <c r="CZH9" s="65"/>
      <c r="CZI9" s="4"/>
      <c r="CZJ9" s="4"/>
      <c r="CZK9" s="4"/>
      <c r="CZN9" s="34"/>
      <c r="CZO9" s="34"/>
      <c r="CZQ9" s="34"/>
      <c r="CZR9" s="72"/>
      <c r="CZS9" s="63"/>
      <c r="CZT9" s="34"/>
      <c r="CZU9" s="64"/>
      <c r="CZV9" s="4"/>
      <c r="CZW9" s="65"/>
      <c r="CZX9" s="4"/>
      <c r="CZY9" s="4"/>
      <c r="CZZ9" s="4"/>
      <c r="DAC9" s="34"/>
      <c r="DAD9" s="34"/>
      <c r="DAF9" s="34"/>
      <c r="DAG9" s="72"/>
      <c r="DAH9" s="63"/>
      <c r="DAI9" s="34"/>
      <c r="DAJ9" s="64"/>
      <c r="DAK9" s="4"/>
      <c r="DAL9" s="65"/>
      <c r="DAM9" s="4"/>
      <c r="DAN9" s="4"/>
      <c r="DAO9" s="4"/>
      <c r="DAR9" s="34"/>
      <c r="DAS9" s="34"/>
      <c r="DAU9" s="34"/>
      <c r="DAV9" s="72"/>
      <c r="DAW9" s="63"/>
      <c r="DAX9" s="34"/>
      <c r="DAY9" s="64"/>
      <c r="DAZ9" s="4"/>
      <c r="DBA9" s="65"/>
      <c r="DBB9" s="4"/>
      <c r="DBC9" s="4"/>
      <c r="DBD9" s="4"/>
      <c r="DBG9" s="34"/>
      <c r="DBH9" s="34"/>
      <c r="DBJ9" s="34"/>
      <c r="DBK9" s="72"/>
      <c r="DBL9" s="63"/>
      <c r="DBM9" s="34"/>
      <c r="DBN9" s="64"/>
      <c r="DBO9" s="4"/>
      <c r="DBP9" s="65"/>
      <c r="DBQ9" s="4"/>
      <c r="DBR9" s="4"/>
      <c r="DBS9" s="4"/>
      <c r="DBV9" s="34"/>
      <c r="DBW9" s="34"/>
      <c r="DBY9" s="34"/>
      <c r="DBZ9" s="72"/>
      <c r="DCA9" s="63"/>
      <c r="DCB9" s="34"/>
      <c r="DCC9" s="64"/>
      <c r="DCD9" s="4"/>
      <c r="DCE9" s="65"/>
      <c r="DCF9" s="4"/>
      <c r="DCG9" s="4"/>
      <c r="DCH9" s="4"/>
      <c r="DCK9" s="34"/>
      <c r="DCL9" s="34"/>
      <c r="DCN9" s="34"/>
      <c r="DCO9" s="72"/>
      <c r="DCP9" s="63"/>
      <c r="DCQ9" s="34"/>
      <c r="DCR9" s="64"/>
      <c r="DCS9" s="4"/>
      <c r="DCT9" s="65"/>
      <c r="DCU9" s="4"/>
      <c r="DCV9" s="4"/>
      <c r="DCW9" s="4"/>
      <c r="DCZ9" s="34"/>
      <c r="DDA9" s="34"/>
      <c r="DDC9" s="34"/>
      <c r="DDD9" s="72"/>
      <c r="DDE9" s="63"/>
      <c r="DDF9" s="34"/>
      <c r="DDG9" s="64"/>
      <c r="DDH9" s="4"/>
      <c r="DDI9" s="65"/>
      <c r="DDJ9" s="4"/>
      <c r="DDK9" s="4"/>
      <c r="DDL9" s="4"/>
      <c r="DDO9" s="34"/>
      <c r="DDP9" s="34"/>
      <c r="DDR9" s="34"/>
      <c r="DDS9" s="72"/>
      <c r="DDT9" s="63"/>
      <c r="DDU9" s="34"/>
      <c r="DDV9" s="64"/>
      <c r="DDW9" s="4"/>
      <c r="DDX9" s="65"/>
      <c r="DDY9" s="4"/>
      <c r="DDZ9" s="4"/>
      <c r="DEA9" s="4"/>
      <c r="DED9" s="34"/>
      <c r="DEE9" s="34"/>
      <c r="DEG9" s="34"/>
      <c r="DEH9" s="72"/>
      <c r="DEI9" s="63"/>
      <c r="DEJ9" s="34"/>
      <c r="DEK9" s="64"/>
      <c r="DEL9" s="4"/>
      <c r="DEM9" s="65"/>
      <c r="DEN9" s="4"/>
      <c r="DEO9" s="4"/>
      <c r="DEP9" s="4"/>
      <c r="DES9" s="34"/>
      <c r="DET9" s="34"/>
      <c r="DEV9" s="34"/>
      <c r="DEW9" s="72"/>
      <c r="DEX9" s="63"/>
      <c r="DEY9" s="34"/>
      <c r="DEZ9" s="64"/>
      <c r="DFA9" s="4"/>
      <c r="DFB9" s="65"/>
      <c r="DFC9" s="4"/>
      <c r="DFD9" s="4"/>
      <c r="DFE9" s="4"/>
      <c r="DFH9" s="34"/>
      <c r="DFI9" s="34"/>
      <c r="DFK9" s="34"/>
      <c r="DFL9" s="72"/>
      <c r="DFM9" s="63"/>
      <c r="DFN9" s="34"/>
      <c r="DFO9" s="64"/>
      <c r="DFP9" s="4"/>
      <c r="DFQ9" s="65"/>
      <c r="DFR9" s="4"/>
      <c r="DFS9" s="4"/>
      <c r="DFT9" s="4"/>
      <c r="DFW9" s="34"/>
      <c r="DFX9" s="34"/>
      <c r="DFZ9" s="34"/>
      <c r="DGA9" s="72"/>
      <c r="DGB9" s="63"/>
      <c r="DGC9" s="34"/>
      <c r="DGD9" s="64"/>
      <c r="DGE9" s="4"/>
      <c r="DGF9" s="65"/>
      <c r="DGG9" s="4"/>
      <c r="DGH9" s="4"/>
      <c r="DGI9" s="4"/>
      <c r="DGL9" s="34"/>
      <c r="DGM9" s="34"/>
      <c r="DGO9" s="34"/>
      <c r="DGP9" s="72"/>
      <c r="DGQ9" s="63"/>
      <c r="DGR9" s="34"/>
      <c r="DGS9" s="64"/>
      <c r="DGT9" s="4"/>
      <c r="DGU9" s="65"/>
      <c r="DGV9" s="4"/>
      <c r="DGW9" s="4"/>
      <c r="DGX9" s="4"/>
      <c r="DHA9" s="34"/>
      <c r="DHB9" s="34"/>
      <c r="DHD9" s="34"/>
      <c r="DHE9" s="72"/>
      <c r="DHF9" s="63"/>
      <c r="DHG9" s="34"/>
      <c r="DHH9" s="64"/>
      <c r="DHI9" s="4"/>
      <c r="DHJ9" s="65"/>
      <c r="DHK9" s="4"/>
      <c r="DHL9" s="4"/>
      <c r="DHM9" s="4"/>
      <c r="DHP9" s="34"/>
      <c r="DHQ9" s="34"/>
      <c r="DHS9" s="34"/>
      <c r="DHT9" s="72"/>
      <c r="DHU9" s="63"/>
      <c r="DHV9" s="34"/>
      <c r="DHW9" s="64"/>
      <c r="DHX9" s="4"/>
      <c r="DHY9" s="65"/>
      <c r="DHZ9" s="4"/>
      <c r="DIA9" s="4"/>
      <c r="DIB9" s="4"/>
      <c r="DIE9" s="34"/>
      <c r="DIF9" s="34"/>
      <c r="DIH9" s="34"/>
      <c r="DII9" s="72"/>
      <c r="DIJ9" s="63"/>
      <c r="DIK9" s="34"/>
      <c r="DIL9" s="64"/>
      <c r="DIM9" s="4"/>
      <c r="DIN9" s="65"/>
      <c r="DIO9" s="4"/>
      <c r="DIP9" s="4"/>
      <c r="DIQ9" s="4"/>
      <c r="DIT9" s="34"/>
      <c r="DIU9" s="34"/>
      <c r="DIW9" s="34"/>
      <c r="DIX9" s="72"/>
      <c r="DIY9" s="63"/>
      <c r="DIZ9" s="34"/>
      <c r="DJA9" s="64"/>
      <c r="DJB9" s="4"/>
      <c r="DJC9" s="65"/>
      <c r="DJD9" s="4"/>
      <c r="DJE9" s="4"/>
      <c r="DJF9" s="4"/>
      <c r="DJI9" s="34"/>
      <c r="DJJ9" s="34"/>
      <c r="DJL9" s="34"/>
      <c r="DJM9" s="72"/>
      <c r="DJN9" s="63"/>
      <c r="DJO9" s="34"/>
      <c r="DJP9" s="64"/>
      <c r="DJQ9" s="4"/>
      <c r="DJR9" s="65"/>
      <c r="DJS9" s="4"/>
      <c r="DJT9" s="4"/>
      <c r="DJU9" s="4"/>
      <c r="DJX9" s="34"/>
      <c r="DJY9" s="34"/>
      <c r="DKA9" s="34"/>
      <c r="DKB9" s="72"/>
      <c r="DKC9" s="63"/>
      <c r="DKD9" s="34"/>
      <c r="DKE9" s="64"/>
      <c r="DKF9" s="4"/>
      <c r="DKG9" s="65"/>
      <c r="DKH9" s="4"/>
      <c r="DKI9" s="4"/>
      <c r="DKJ9" s="4"/>
      <c r="DKM9" s="34"/>
      <c r="DKN9" s="34"/>
      <c r="DKP9" s="34"/>
      <c r="DKQ9" s="72"/>
      <c r="DKR9" s="63"/>
      <c r="DKS9" s="34"/>
      <c r="DKT9" s="64"/>
      <c r="DKU9" s="4"/>
      <c r="DKV9" s="65"/>
      <c r="DKW9" s="4"/>
      <c r="DKX9" s="4"/>
      <c r="DKY9" s="4"/>
      <c r="DLB9" s="34"/>
      <c r="DLC9" s="34"/>
      <c r="DLE9" s="34"/>
      <c r="DLF9" s="72"/>
      <c r="DLG9" s="63"/>
      <c r="DLH9" s="34"/>
      <c r="DLI9" s="64"/>
      <c r="DLJ9" s="4"/>
      <c r="DLK9" s="65"/>
      <c r="DLL9" s="4"/>
      <c r="DLM9" s="4"/>
      <c r="DLN9" s="4"/>
      <c r="DLQ9" s="34"/>
      <c r="DLR9" s="34"/>
      <c r="DLT9" s="34"/>
      <c r="DLU9" s="72"/>
      <c r="DLV9" s="63"/>
      <c r="DLW9" s="34"/>
      <c r="DLX9" s="64"/>
      <c r="DLY9" s="4"/>
      <c r="DLZ9" s="65"/>
      <c r="DMA9" s="4"/>
      <c r="DMB9" s="4"/>
      <c r="DMC9" s="4"/>
      <c r="DMF9" s="34"/>
      <c r="DMG9" s="34"/>
      <c r="DMI9" s="34"/>
      <c r="DMJ9" s="72"/>
      <c r="DMK9" s="63"/>
      <c r="DML9" s="34"/>
      <c r="DMM9" s="64"/>
      <c r="DMN9" s="4"/>
      <c r="DMO9" s="65"/>
      <c r="DMP9" s="4"/>
      <c r="DMQ9" s="4"/>
      <c r="DMR9" s="4"/>
      <c r="DMU9" s="34"/>
      <c r="DMV9" s="34"/>
      <c r="DMX9" s="34"/>
      <c r="DMY9" s="72"/>
      <c r="DMZ9" s="63"/>
      <c r="DNA9" s="34"/>
      <c r="DNB9" s="64"/>
      <c r="DNC9" s="4"/>
      <c r="DND9" s="65"/>
      <c r="DNE9" s="4"/>
      <c r="DNF9" s="4"/>
      <c r="DNG9" s="4"/>
      <c r="DNJ9" s="34"/>
      <c r="DNK9" s="34"/>
      <c r="DNM9" s="34"/>
      <c r="DNN9" s="72"/>
      <c r="DNO9" s="63"/>
      <c r="DNP9" s="34"/>
      <c r="DNQ9" s="64"/>
      <c r="DNR9" s="4"/>
      <c r="DNS9" s="65"/>
      <c r="DNT9" s="4"/>
      <c r="DNU9" s="4"/>
      <c r="DNV9" s="4"/>
      <c r="DNY9" s="34"/>
      <c r="DNZ9" s="34"/>
      <c r="DOB9" s="34"/>
      <c r="DOC9" s="72"/>
      <c r="DOD9" s="63"/>
      <c r="DOE9" s="34"/>
      <c r="DOF9" s="64"/>
      <c r="DOG9" s="4"/>
      <c r="DOH9" s="65"/>
      <c r="DOI9" s="4"/>
      <c r="DOJ9" s="4"/>
      <c r="DOK9" s="4"/>
      <c r="DON9" s="34"/>
      <c r="DOO9" s="34"/>
      <c r="DOQ9" s="34"/>
      <c r="DOR9" s="72"/>
      <c r="DOS9" s="63"/>
      <c r="DOT9" s="34"/>
      <c r="DOU9" s="64"/>
      <c r="DOV9" s="4"/>
      <c r="DOW9" s="65"/>
      <c r="DOX9" s="4"/>
      <c r="DOY9" s="4"/>
      <c r="DOZ9" s="4"/>
      <c r="DPC9" s="34"/>
      <c r="DPD9" s="34"/>
      <c r="DPF9" s="34"/>
      <c r="DPG9" s="72"/>
      <c r="DPH9" s="63"/>
      <c r="DPI9" s="34"/>
      <c r="DPJ9" s="64"/>
      <c r="DPK9" s="4"/>
      <c r="DPL9" s="65"/>
      <c r="DPM9" s="4"/>
      <c r="DPN9" s="4"/>
      <c r="DPO9" s="4"/>
      <c r="DPR9" s="34"/>
      <c r="DPS9" s="34"/>
      <c r="DPU9" s="34"/>
      <c r="DPV9" s="72"/>
      <c r="DPW9" s="63"/>
      <c r="DPX9" s="34"/>
      <c r="DPY9" s="64"/>
      <c r="DPZ9" s="4"/>
      <c r="DQA9" s="65"/>
      <c r="DQB9" s="4"/>
      <c r="DQC9" s="4"/>
      <c r="DQD9" s="4"/>
      <c r="DQG9" s="34"/>
      <c r="DQH9" s="34"/>
      <c r="DQJ9" s="34"/>
      <c r="DQK9" s="72"/>
      <c r="DQL9" s="63"/>
      <c r="DQM9" s="34"/>
      <c r="DQN9" s="64"/>
      <c r="DQO9" s="4"/>
      <c r="DQP9" s="65"/>
      <c r="DQQ9" s="4"/>
      <c r="DQR9" s="4"/>
      <c r="DQS9" s="4"/>
      <c r="DQV9" s="34"/>
      <c r="DQW9" s="34"/>
      <c r="DQY9" s="34"/>
      <c r="DQZ9" s="72"/>
      <c r="DRA9" s="63"/>
      <c r="DRB9" s="34"/>
      <c r="DRC9" s="64"/>
      <c r="DRD9" s="4"/>
      <c r="DRE9" s="65"/>
      <c r="DRF9" s="4"/>
      <c r="DRG9" s="4"/>
      <c r="DRH9" s="4"/>
      <c r="DRK9" s="34"/>
      <c r="DRL9" s="34"/>
      <c r="DRN9" s="34"/>
      <c r="DRO9" s="72"/>
      <c r="DRP9" s="63"/>
      <c r="DRQ9" s="34"/>
      <c r="DRR9" s="64"/>
      <c r="DRS9" s="4"/>
      <c r="DRT9" s="65"/>
      <c r="DRU9" s="4"/>
      <c r="DRV9" s="4"/>
      <c r="DRW9" s="4"/>
      <c r="DRZ9" s="34"/>
      <c r="DSA9" s="34"/>
      <c r="DSC9" s="34"/>
      <c r="DSD9" s="72"/>
      <c r="DSE9" s="63"/>
      <c r="DSF9" s="34"/>
      <c r="DSG9" s="64"/>
      <c r="DSH9" s="4"/>
      <c r="DSI9" s="65"/>
      <c r="DSJ9" s="4"/>
      <c r="DSK9" s="4"/>
      <c r="DSL9" s="4"/>
      <c r="DSO9" s="34"/>
      <c r="DSP9" s="34"/>
      <c r="DSR9" s="34"/>
      <c r="DSS9" s="72"/>
      <c r="DST9" s="63"/>
      <c r="DSU9" s="34"/>
      <c r="DSV9" s="64"/>
      <c r="DSW9" s="4"/>
      <c r="DSX9" s="65"/>
      <c r="DSY9" s="4"/>
      <c r="DSZ9" s="4"/>
      <c r="DTA9" s="4"/>
      <c r="DTD9" s="34"/>
      <c r="DTE9" s="34"/>
      <c r="DTG9" s="34"/>
      <c r="DTH9" s="72"/>
      <c r="DTI9" s="63"/>
      <c r="DTJ9" s="34"/>
      <c r="DTK9" s="64"/>
      <c r="DTL9" s="4"/>
      <c r="DTM9" s="65"/>
      <c r="DTN9" s="4"/>
      <c r="DTO9" s="4"/>
      <c r="DTP9" s="4"/>
      <c r="DTS9" s="34"/>
      <c r="DTT9" s="34"/>
      <c r="DTV9" s="34"/>
      <c r="DTW9" s="72"/>
      <c r="DTX9" s="63"/>
      <c r="DTY9" s="34"/>
      <c r="DTZ9" s="64"/>
      <c r="DUA9" s="4"/>
      <c r="DUB9" s="65"/>
      <c r="DUC9" s="4"/>
      <c r="DUD9" s="4"/>
      <c r="DUE9" s="4"/>
      <c r="DUH9" s="34"/>
      <c r="DUI9" s="34"/>
      <c r="DUK9" s="34"/>
      <c r="DUL9" s="72"/>
      <c r="DUM9" s="63"/>
      <c r="DUN9" s="34"/>
      <c r="DUO9" s="64"/>
      <c r="DUP9" s="4"/>
      <c r="DUQ9" s="65"/>
      <c r="DUR9" s="4"/>
      <c r="DUS9" s="4"/>
      <c r="DUT9" s="4"/>
      <c r="DUW9" s="34"/>
      <c r="DUX9" s="34"/>
      <c r="DUZ9" s="34"/>
      <c r="DVA9" s="72"/>
      <c r="DVB9" s="63"/>
      <c r="DVC9" s="34"/>
      <c r="DVD9" s="64"/>
      <c r="DVE9" s="4"/>
      <c r="DVF9" s="65"/>
      <c r="DVG9" s="4"/>
      <c r="DVH9" s="4"/>
      <c r="DVI9" s="4"/>
      <c r="DVL9" s="34"/>
      <c r="DVM9" s="34"/>
      <c r="DVO9" s="34"/>
      <c r="DVP9" s="72"/>
      <c r="DVQ9" s="63"/>
      <c r="DVR9" s="34"/>
      <c r="DVS9" s="64"/>
      <c r="DVT9" s="4"/>
      <c r="DVU9" s="65"/>
      <c r="DVV9" s="4"/>
      <c r="DVW9" s="4"/>
      <c r="DVX9" s="4"/>
      <c r="DWA9" s="34"/>
      <c r="DWB9" s="34"/>
      <c r="DWD9" s="34"/>
      <c r="DWE9" s="72"/>
      <c r="DWF9" s="63"/>
      <c r="DWG9" s="34"/>
      <c r="DWH9" s="64"/>
      <c r="DWI9" s="4"/>
      <c r="DWJ9" s="65"/>
      <c r="DWK9" s="4"/>
      <c r="DWL9" s="4"/>
      <c r="DWM9" s="4"/>
      <c r="DWP9" s="34"/>
      <c r="DWQ9" s="34"/>
      <c r="DWS9" s="34"/>
      <c r="DWT9" s="72"/>
      <c r="DWU9" s="63"/>
      <c r="DWV9" s="34"/>
      <c r="DWW9" s="64"/>
      <c r="DWX9" s="4"/>
      <c r="DWY9" s="65"/>
      <c r="DWZ9" s="4"/>
      <c r="DXA9" s="4"/>
      <c r="DXB9" s="4"/>
      <c r="DXE9" s="34"/>
      <c r="DXF9" s="34"/>
      <c r="DXH9" s="34"/>
      <c r="DXI9" s="72"/>
      <c r="DXJ9" s="63"/>
      <c r="DXK9" s="34"/>
      <c r="DXL9" s="64"/>
      <c r="DXM9" s="4"/>
      <c r="DXN9" s="65"/>
      <c r="DXO9" s="4"/>
      <c r="DXP9" s="4"/>
      <c r="DXQ9" s="4"/>
      <c r="DXT9" s="34"/>
      <c r="DXU9" s="34"/>
      <c r="DXW9" s="34"/>
      <c r="DXX9" s="72"/>
      <c r="DXY9" s="63"/>
      <c r="DXZ9" s="34"/>
      <c r="DYA9" s="64"/>
      <c r="DYB9" s="4"/>
      <c r="DYC9" s="65"/>
      <c r="DYD9" s="4"/>
      <c r="DYE9" s="4"/>
      <c r="DYF9" s="4"/>
      <c r="DYI9" s="34"/>
      <c r="DYJ9" s="34"/>
      <c r="DYL9" s="34"/>
      <c r="DYM9" s="72"/>
      <c r="DYN9" s="63"/>
      <c r="DYO9" s="34"/>
      <c r="DYP9" s="64"/>
      <c r="DYQ9" s="4"/>
      <c r="DYR9" s="65"/>
      <c r="DYS9" s="4"/>
      <c r="DYT9" s="4"/>
      <c r="DYU9" s="4"/>
      <c r="DYX9" s="34"/>
      <c r="DYY9" s="34"/>
      <c r="DZA9" s="34"/>
      <c r="DZB9" s="72"/>
      <c r="DZC9" s="63"/>
      <c r="DZD9" s="34"/>
      <c r="DZE9" s="64"/>
      <c r="DZF9" s="4"/>
      <c r="DZG9" s="65"/>
      <c r="DZH9" s="4"/>
      <c r="DZI9" s="4"/>
      <c r="DZJ9" s="4"/>
      <c r="DZM9" s="34"/>
      <c r="DZN9" s="34"/>
      <c r="DZP9" s="34"/>
      <c r="DZQ9" s="72"/>
      <c r="DZR9" s="63"/>
      <c r="DZS9" s="34"/>
      <c r="DZT9" s="64"/>
      <c r="DZU9" s="4"/>
      <c r="DZV9" s="65"/>
      <c r="DZW9" s="4"/>
      <c r="DZX9" s="4"/>
      <c r="DZY9" s="4"/>
      <c r="EAB9" s="34"/>
      <c r="EAC9" s="34"/>
      <c r="EAE9" s="34"/>
      <c r="EAF9" s="72"/>
      <c r="EAG9" s="63"/>
      <c r="EAH9" s="34"/>
      <c r="EAI9" s="64"/>
      <c r="EAJ9" s="4"/>
      <c r="EAK9" s="65"/>
      <c r="EAL9" s="4"/>
      <c r="EAM9" s="4"/>
      <c r="EAN9" s="4"/>
      <c r="EAQ9" s="34"/>
      <c r="EAR9" s="34"/>
      <c r="EAT9" s="34"/>
      <c r="EAU9" s="72"/>
      <c r="EAV9" s="63"/>
      <c r="EAW9" s="34"/>
      <c r="EAX9" s="64"/>
      <c r="EAY9" s="4"/>
      <c r="EAZ9" s="65"/>
      <c r="EBA9" s="4"/>
      <c r="EBB9" s="4"/>
      <c r="EBC9" s="4"/>
      <c r="EBF9" s="34"/>
      <c r="EBG9" s="34"/>
      <c r="EBI9" s="34"/>
      <c r="EBJ9" s="72"/>
      <c r="EBK9" s="63"/>
      <c r="EBL9" s="34"/>
      <c r="EBM9" s="64"/>
      <c r="EBN9" s="4"/>
      <c r="EBO9" s="65"/>
      <c r="EBP9" s="4"/>
      <c r="EBQ9" s="4"/>
      <c r="EBR9" s="4"/>
      <c r="EBU9" s="34"/>
      <c r="EBV9" s="34"/>
      <c r="EBX9" s="34"/>
      <c r="EBY9" s="72"/>
      <c r="EBZ9" s="63"/>
      <c r="ECA9" s="34"/>
      <c r="ECB9" s="64"/>
      <c r="ECC9" s="4"/>
      <c r="ECD9" s="65"/>
      <c r="ECE9" s="4"/>
      <c r="ECF9" s="4"/>
      <c r="ECG9" s="4"/>
      <c r="ECJ9" s="34"/>
      <c r="ECK9" s="34"/>
      <c r="ECM9" s="34"/>
      <c r="ECN9" s="72"/>
      <c r="ECO9" s="63"/>
      <c r="ECP9" s="34"/>
      <c r="ECQ9" s="64"/>
      <c r="ECR9" s="4"/>
      <c r="ECS9" s="65"/>
      <c r="ECT9" s="4"/>
      <c r="ECU9" s="4"/>
      <c r="ECV9" s="4"/>
      <c r="ECY9" s="34"/>
      <c r="ECZ9" s="34"/>
      <c r="EDB9" s="34"/>
      <c r="EDC9" s="72"/>
      <c r="EDD9" s="63"/>
      <c r="EDE9" s="34"/>
      <c r="EDF9" s="64"/>
      <c r="EDG9" s="4"/>
      <c r="EDH9" s="65"/>
      <c r="EDI9" s="4"/>
      <c r="EDJ9" s="4"/>
      <c r="EDK9" s="4"/>
      <c r="EDN9" s="34"/>
      <c r="EDO9" s="34"/>
      <c r="EDQ9" s="34"/>
      <c r="EDR9" s="72"/>
      <c r="EDS9" s="63"/>
      <c r="EDT9" s="34"/>
      <c r="EDU9" s="64"/>
      <c r="EDV9" s="4"/>
      <c r="EDW9" s="65"/>
      <c r="EDX9" s="4"/>
      <c r="EDY9" s="4"/>
      <c r="EDZ9" s="4"/>
      <c r="EEC9" s="34"/>
      <c r="EED9" s="34"/>
      <c r="EEF9" s="34"/>
      <c r="EEG9" s="72"/>
      <c r="EEH9" s="63"/>
      <c r="EEI9" s="34"/>
      <c r="EEJ9" s="64"/>
      <c r="EEK9" s="4"/>
      <c r="EEL9" s="65"/>
      <c r="EEM9" s="4"/>
      <c r="EEN9" s="4"/>
      <c r="EEO9" s="4"/>
      <c r="EER9" s="34"/>
      <c r="EES9" s="34"/>
      <c r="EEU9" s="34"/>
      <c r="EEV9" s="72"/>
      <c r="EEW9" s="63"/>
      <c r="EEX9" s="34"/>
      <c r="EEY9" s="64"/>
      <c r="EEZ9" s="4"/>
      <c r="EFA9" s="65"/>
      <c r="EFB9" s="4"/>
      <c r="EFC9" s="4"/>
      <c r="EFD9" s="4"/>
      <c r="EFG9" s="34"/>
      <c r="EFH9" s="34"/>
      <c r="EFJ9" s="34"/>
      <c r="EFK9" s="72"/>
      <c r="EFL9" s="63"/>
      <c r="EFM9" s="34"/>
      <c r="EFN9" s="64"/>
      <c r="EFO9" s="4"/>
      <c r="EFP9" s="65"/>
      <c r="EFQ9" s="4"/>
      <c r="EFR9" s="4"/>
      <c r="EFS9" s="4"/>
      <c r="EFV9" s="34"/>
      <c r="EFW9" s="34"/>
      <c r="EFY9" s="34"/>
      <c r="EFZ9" s="72"/>
      <c r="EGA9" s="63"/>
      <c r="EGB9" s="34"/>
      <c r="EGC9" s="64"/>
      <c r="EGD9" s="4"/>
      <c r="EGE9" s="65"/>
      <c r="EGF9" s="4"/>
      <c r="EGG9" s="4"/>
      <c r="EGH9" s="4"/>
      <c r="EGK9" s="34"/>
      <c r="EGL9" s="34"/>
      <c r="EGN9" s="34"/>
      <c r="EGO9" s="72"/>
      <c r="EGP9" s="63"/>
      <c r="EGQ9" s="34"/>
      <c r="EGR9" s="64"/>
      <c r="EGS9" s="4"/>
      <c r="EGT9" s="65"/>
      <c r="EGU9" s="4"/>
      <c r="EGV9" s="4"/>
      <c r="EGW9" s="4"/>
      <c r="EGZ9" s="34"/>
      <c r="EHA9" s="34"/>
      <c r="EHC9" s="34"/>
      <c r="EHD9" s="72"/>
      <c r="EHE9" s="63"/>
      <c r="EHF9" s="34"/>
      <c r="EHG9" s="64"/>
      <c r="EHH9" s="4"/>
      <c r="EHI9" s="65"/>
      <c r="EHJ9" s="4"/>
      <c r="EHK9" s="4"/>
      <c r="EHL9" s="4"/>
      <c r="EHO9" s="34"/>
      <c r="EHP9" s="34"/>
      <c r="EHR9" s="34"/>
      <c r="EHS9" s="72"/>
      <c r="EHT9" s="63"/>
      <c r="EHU9" s="34"/>
      <c r="EHV9" s="64"/>
      <c r="EHW9" s="4"/>
      <c r="EHX9" s="65"/>
      <c r="EHY9" s="4"/>
      <c r="EHZ9" s="4"/>
      <c r="EIA9" s="4"/>
      <c r="EID9" s="34"/>
      <c r="EIE9" s="34"/>
      <c r="EIG9" s="34"/>
      <c r="EIH9" s="72"/>
      <c r="EII9" s="63"/>
      <c r="EIJ9" s="34"/>
      <c r="EIK9" s="64"/>
      <c r="EIL9" s="4"/>
      <c r="EIM9" s="65"/>
      <c r="EIN9" s="4"/>
      <c r="EIO9" s="4"/>
      <c r="EIP9" s="4"/>
      <c r="EIS9" s="34"/>
      <c r="EIT9" s="34"/>
      <c r="EIV9" s="34"/>
      <c r="EIW9" s="72"/>
      <c r="EIX9" s="63"/>
      <c r="EIY9" s="34"/>
      <c r="EIZ9" s="64"/>
      <c r="EJA9" s="4"/>
      <c r="EJB9" s="65"/>
      <c r="EJC9" s="4"/>
      <c r="EJD9" s="4"/>
      <c r="EJE9" s="4"/>
      <c r="EJH9" s="34"/>
      <c r="EJI9" s="34"/>
      <c r="EJK9" s="34"/>
      <c r="EJL9" s="72"/>
      <c r="EJM9" s="63"/>
      <c r="EJN9" s="34"/>
      <c r="EJO9" s="64"/>
      <c r="EJP9" s="4"/>
      <c r="EJQ9" s="65"/>
      <c r="EJR9" s="4"/>
      <c r="EJS9" s="4"/>
      <c r="EJT9" s="4"/>
      <c r="EJW9" s="34"/>
      <c r="EJX9" s="34"/>
      <c r="EJZ9" s="34"/>
      <c r="EKA9" s="72"/>
      <c r="EKB9" s="63"/>
      <c r="EKC9" s="34"/>
      <c r="EKD9" s="64"/>
      <c r="EKE9" s="4"/>
      <c r="EKF9" s="65"/>
      <c r="EKG9" s="4"/>
      <c r="EKH9" s="4"/>
      <c r="EKI9" s="4"/>
      <c r="EKL9" s="34"/>
      <c r="EKM9" s="34"/>
      <c r="EKO9" s="34"/>
      <c r="EKP9" s="72"/>
      <c r="EKQ9" s="63"/>
      <c r="EKR9" s="34"/>
      <c r="EKS9" s="64"/>
      <c r="EKT9" s="4"/>
      <c r="EKU9" s="65"/>
      <c r="EKV9" s="4"/>
      <c r="EKW9" s="4"/>
      <c r="EKX9" s="4"/>
      <c r="ELA9" s="34"/>
      <c r="ELB9" s="34"/>
      <c r="ELD9" s="34"/>
      <c r="ELE9" s="72"/>
      <c r="ELF9" s="63"/>
      <c r="ELG9" s="34"/>
      <c r="ELH9" s="64"/>
      <c r="ELI9" s="4"/>
      <c r="ELJ9" s="65"/>
      <c r="ELK9" s="4"/>
      <c r="ELL9" s="4"/>
      <c r="ELM9" s="4"/>
      <c r="ELP9" s="34"/>
      <c r="ELQ9" s="34"/>
      <c r="ELS9" s="34"/>
      <c r="ELT9" s="72"/>
      <c r="ELU9" s="63"/>
      <c r="ELV9" s="34"/>
      <c r="ELW9" s="64"/>
      <c r="ELX9" s="4"/>
      <c r="ELY9" s="65"/>
      <c r="ELZ9" s="4"/>
      <c r="EMA9" s="4"/>
      <c r="EMB9" s="4"/>
      <c r="EME9" s="34"/>
      <c r="EMF9" s="34"/>
      <c r="EMH9" s="34"/>
      <c r="EMI9" s="72"/>
      <c r="EMJ9" s="63"/>
      <c r="EMK9" s="34"/>
      <c r="EML9" s="64"/>
      <c r="EMM9" s="4"/>
      <c r="EMN9" s="65"/>
      <c r="EMO9" s="4"/>
      <c r="EMP9" s="4"/>
      <c r="EMQ9" s="4"/>
      <c r="EMT9" s="34"/>
      <c r="EMU9" s="34"/>
      <c r="EMW9" s="34"/>
      <c r="EMX9" s="72"/>
      <c r="EMY9" s="63"/>
      <c r="EMZ9" s="34"/>
      <c r="ENA9" s="64"/>
      <c r="ENB9" s="4"/>
      <c r="ENC9" s="65"/>
      <c r="END9" s="4"/>
      <c r="ENE9" s="4"/>
      <c r="ENF9" s="4"/>
      <c r="ENI9" s="34"/>
      <c r="ENJ9" s="34"/>
      <c r="ENL9" s="34"/>
      <c r="ENM9" s="72"/>
      <c r="ENN9" s="63"/>
      <c r="ENO9" s="34"/>
      <c r="ENP9" s="64"/>
      <c r="ENQ9" s="4"/>
      <c r="ENR9" s="65"/>
      <c r="ENS9" s="4"/>
      <c r="ENT9" s="4"/>
      <c r="ENU9" s="4"/>
      <c r="ENX9" s="34"/>
      <c r="ENY9" s="34"/>
      <c r="EOA9" s="34"/>
      <c r="EOB9" s="72"/>
      <c r="EOC9" s="63"/>
      <c r="EOD9" s="34"/>
      <c r="EOE9" s="64"/>
      <c r="EOF9" s="4"/>
      <c r="EOG9" s="65"/>
      <c r="EOH9" s="4"/>
      <c r="EOI9" s="4"/>
      <c r="EOJ9" s="4"/>
      <c r="EOM9" s="34"/>
      <c r="EON9" s="34"/>
      <c r="EOP9" s="34"/>
      <c r="EOQ9" s="72"/>
      <c r="EOR9" s="63"/>
      <c r="EOS9" s="34"/>
      <c r="EOT9" s="64"/>
      <c r="EOU9" s="4"/>
      <c r="EOV9" s="65"/>
      <c r="EOW9" s="4"/>
      <c r="EOX9" s="4"/>
      <c r="EOY9" s="4"/>
      <c r="EPB9" s="34"/>
      <c r="EPC9" s="34"/>
      <c r="EPE9" s="34"/>
      <c r="EPF9" s="72"/>
      <c r="EPG9" s="63"/>
      <c r="EPH9" s="34"/>
      <c r="EPI9" s="64"/>
      <c r="EPJ9" s="4"/>
      <c r="EPK9" s="65"/>
      <c r="EPL9" s="4"/>
      <c r="EPM9" s="4"/>
      <c r="EPN9" s="4"/>
      <c r="EPQ9" s="34"/>
      <c r="EPR9" s="34"/>
      <c r="EPT9" s="34"/>
      <c r="EPU9" s="72"/>
      <c r="EPV9" s="63"/>
      <c r="EPW9" s="34"/>
      <c r="EPX9" s="64"/>
      <c r="EPY9" s="4"/>
      <c r="EPZ9" s="65"/>
      <c r="EQA9" s="4"/>
      <c r="EQB9" s="4"/>
      <c r="EQC9" s="4"/>
      <c r="EQF9" s="34"/>
      <c r="EQG9" s="34"/>
      <c r="EQI9" s="34"/>
      <c r="EQJ9" s="72"/>
      <c r="EQK9" s="63"/>
      <c r="EQL9" s="34"/>
      <c r="EQM9" s="64"/>
      <c r="EQN9" s="4"/>
      <c r="EQO9" s="65"/>
      <c r="EQP9" s="4"/>
      <c r="EQQ9" s="4"/>
      <c r="EQR9" s="4"/>
      <c r="EQU9" s="34"/>
      <c r="EQV9" s="34"/>
      <c r="EQX9" s="34"/>
      <c r="EQY9" s="72"/>
      <c r="EQZ9" s="63"/>
      <c r="ERA9" s="34"/>
      <c r="ERB9" s="64"/>
      <c r="ERC9" s="4"/>
      <c r="ERD9" s="65"/>
      <c r="ERE9" s="4"/>
      <c r="ERF9" s="4"/>
      <c r="ERG9" s="4"/>
      <c r="ERJ9" s="34"/>
      <c r="ERK9" s="34"/>
      <c r="ERM9" s="34"/>
      <c r="ERN9" s="72"/>
      <c r="ERO9" s="63"/>
      <c r="ERP9" s="34"/>
      <c r="ERQ9" s="64"/>
      <c r="ERR9" s="4"/>
      <c r="ERS9" s="65"/>
      <c r="ERT9" s="4"/>
      <c r="ERU9" s="4"/>
      <c r="ERV9" s="4"/>
      <c r="ERY9" s="34"/>
      <c r="ERZ9" s="34"/>
      <c r="ESB9" s="34"/>
      <c r="ESC9" s="72"/>
      <c r="ESD9" s="63"/>
      <c r="ESE9" s="34"/>
      <c r="ESF9" s="64"/>
      <c r="ESG9" s="4"/>
      <c r="ESH9" s="65"/>
      <c r="ESI9" s="4"/>
      <c r="ESJ9" s="4"/>
      <c r="ESK9" s="4"/>
      <c r="ESN9" s="34"/>
      <c r="ESO9" s="34"/>
      <c r="ESQ9" s="34"/>
      <c r="ESR9" s="72"/>
      <c r="ESS9" s="63"/>
      <c r="EST9" s="34"/>
      <c r="ESU9" s="64"/>
      <c r="ESV9" s="4"/>
      <c r="ESW9" s="65"/>
      <c r="ESX9" s="4"/>
      <c r="ESY9" s="4"/>
      <c r="ESZ9" s="4"/>
      <c r="ETC9" s="34"/>
      <c r="ETD9" s="34"/>
      <c r="ETF9" s="34"/>
      <c r="ETG9" s="72"/>
      <c r="ETH9" s="63"/>
      <c r="ETI9" s="34"/>
      <c r="ETJ9" s="64"/>
      <c r="ETK9" s="4"/>
      <c r="ETL9" s="65"/>
      <c r="ETM9" s="4"/>
      <c r="ETN9" s="4"/>
      <c r="ETO9" s="4"/>
      <c r="ETR9" s="34"/>
      <c r="ETS9" s="34"/>
      <c r="ETU9" s="34"/>
      <c r="ETV9" s="72"/>
      <c r="ETW9" s="63"/>
      <c r="ETX9" s="34"/>
      <c r="ETY9" s="64"/>
      <c r="ETZ9" s="4"/>
      <c r="EUA9" s="65"/>
      <c r="EUB9" s="4"/>
      <c r="EUC9" s="4"/>
      <c r="EUD9" s="4"/>
      <c r="EUG9" s="34"/>
      <c r="EUH9" s="34"/>
      <c r="EUJ9" s="34"/>
      <c r="EUK9" s="72"/>
      <c r="EUL9" s="63"/>
      <c r="EUM9" s="34"/>
      <c r="EUN9" s="64"/>
      <c r="EUO9" s="4"/>
      <c r="EUP9" s="65"/>
      <c r="EUQ9" s="4"/>
      <c r="EUR9" s="4"/>
      <c r="EUS9" s="4"/>
      <c r="EUV9" s="34"/>
      <c r="EUW9" s="34"/>
      <c r="EUY9" s="34"/>
      <c r="EUZ9" s="72"/>
      <c r="EVA9" s="63"/>
      <c r="EVB9" s="34"/>
      <c r="EVC9" s="64"/>
      <c r="EVD9" s="4"/>
      <c r="EVE9" s="65"/>
      <c r="EVF9" s="4"/>
      <c r="EVG9" s="4"/>
      <c r="EVH9" s="4"/>
      <c r="EVK9" s="34"/>
      <c r="EVL9" s="34"/>
      <c r="EVN9" s="34"/>
      <c r="EVO9" s="72"/>
      <c r="EVP9" s="63"/>
      <c r="EVQ9" s="34"/>
      <c r="EVR9" s="64"/>
      <c r="EVS9" s="4"/>
      <c r="EVT9" s="65"/>
      <c r="EVU9" s="4"/>
      <c r="EVV9" s="4"/>
      <c r="EVW9" s="4"/>
      <c r="EVZ9" s="34"/>
      <c r="EWA9" s="34"/>
      <c r="EWC9" s="34"/>
      <c r="EWD9" s="72"/>
      <c r="EWE9" s="63"/>
      <c r="EWF9" s="34"/>
      <c r="EWG9" s="64"/>
      <c r="EWH9" s="4"/>
      <c r="EWI9" s="65"/>
      <c r="EWJ9" s="4"/>
      <c r="EWK9" s="4"/>
      <c r="EWL9" s="4"/>
      <c r="EWO9" s="34"/>
      <c r="EWP9" s="34"/>
      <c r="EWR9" s="34"/>
      <c r="EWS9" s="72"/>
      <c r="EWT9" s="63"/>
      <c r="EWU9" s="34"/>
      <c r="EWV9" s="64"/>
      <c r="EWW9" s="4"/>
      <c r="EWX9" s="65"/>
      <c r="EWY9" s="4"/>
      <c r="EWZ9" s="4"/>
      <c r="EXA9" s="4"/>
      <c r="EXD9" s="34"/>
      <c r="EXE9" s="34"/>
      <c r="EXG9" s="34"/>
      <c r="EXH9" s="72"/>
      <c r="EXI9" s="63"/>
      <c r="EXJ9" s="34"/>
      <c r="EXK9" s="64"/>
      <c r="EXL9" s="4"/>
      <c r="EXM9" s="65"/>
      <c r="EXN9" s="4"/>
      <c r="EXO9" s="4"/>
      <c r="EXP9" s="4"/>
      <c r="EXS9" s="34"/>
      <c r="EXT9" s="34"/>
      <c r="EXV9" s="34"/>
      <c r="EXW9" s="72"/>
      <c r="EXX9" s="63"/>
      <c r="EXY9" s="34"/>
      <c r="EXZ9" s="64"/>
      <c r="EYA9" s="4"/>
      <c r="EYB9" s="65"/>
      <c r="EYC9" s="4"/>
      <c r="EYD9" s="4"/>
      <c r="EYE9" s="4"/>
      <c r="EYH9" s="34"/>
      <c r="EYI9" s="34"/>
      <c r="EYK9" s="34"/>
      <c r="EYL9" s="72"/>
      <c r="EYM9" s="63"/>
      <c r="EYN9" s="34"/>
      <c r="EYO9" s="64"/>
      <c r="EYP9" s="4"/>
      <c r="EYQ9" s="65"/>
      <c r="EYR9" s="4"/>
      <c r="EYS9" s="4"/>
      <c r="EYT9" s="4"/>
      <c r="EYW9" s="34"/>
      <c r="EYX9" s="34"/>
      <c r="EYZ9" s="34"/>
      <c r="EZA9" s="72"/>
      <c r="EZB9" s="63"/>
      <c r="EZC9" s="34"/>
      <c r="EZD9" s="64"/>
      <c r="EZE9" s="4"/>
      <c r="EZF9" s="65"/>
      <c r="EZG9" s="4"/>
      <c r="EZH9" s="4"/>
      <c r="EZI9" s="4"/>
      <c r="EZL9" s="34"/>
      <c r="EZM9" s="34"/>
      <c r="EZO9" s="34"/>
      <c r="EZP9" s="72"/>
      <c r="EZQ9" s="63"/>
      <c r="EZR9" s="34"/>
      <c r="EZS9" s="64"/>
      <c r="EZT9" s="4"/>
      <c r="EZU9" s="65"/>
      <c r="EZV9" s="4"/>
      <c r="EZW9" s="4"/>
      <c r="EZX9" s="4"/>
      <c r="FAA9" s="34"/>
      <c r="FAB9" s="34"/>
      <c r="FAD9" s="34"/>
      <c r="FAE9" s="72"/>
      <c r="FAF9" s="63"/>
      <c r="FAG9" s="34"/>
      <c r="FAH9" s="64"/>
      <c r="FAI9" s="4"/>
      <c r="FAJ9" s="65"/>
      <c r="FAK9" s="4"/>
      <c r="FAL9" s="4"/>
      <c r="FAM9" s="4"/>
      <c r="FAP9" s="34"/>
      <c r="FAQ9" s="34"/>
      <c r="FAS9" s="34"/>
      <c r="FAT9" s="72"/>
      <c r="FAU9" s="63"/>
      <c r="FAV9" s="34"/>
      <c r="FAW9" s="64"/>
      <c r="FAX9" s="4"/>
      <c r="FAY9" s="65"/>
      <c r="FAZ9" s="4"/>
      <c r="FBA9" s="4"/>
      <c r="FBB9" s="4"/>
      <c r="FBE9" s="34"/>
      <c r="FBF9" s="34"/>
      <c r="FBH9" s="34"/>
      <c r="FBI9" s="72"/>
      <c r="FBJ9" s="63"/>
      <c r="FBK9" s="34"/>
      <c r="FBL9" s="64"/>
      <c r="FBM9" s="4"/>
      <c r="FBN9" s="65"/>
      <c r="FBO9" s="4"/>
      <c r="FBP9" s="4"/>
      <c r="FBQ9" s="4"/>
      <c r="FBT9" s="34"/>
      <c r="FBU9" s="34"/>
      <c r="FBW9" s="34"/>
      <c r="FBX9" s="72"/>
      <c r="FBY9" s="63"/>
      <c r="FBZ9" s="34"/>
      <c r="FCA9" s="64"/>
      <c r="FCB9" s="4"/>
      <c r="FCC9" s="65"/>
      <c r="FCD9" s="4"/>
      <c r="FCE9" s="4"/>
      <c r="FCF9" s="4"/>
      <c r="FCI9" s="34"/>
      <c r="FCJ9" s="34"/>
      <c r="FCL9" s="34"/>
      <c r="FCM9" s="72"/>
      <c r="FCN9" s="63"/>
      <c r="FCO9" s="34"/>
      <c r="FCP9" s="64"/>
      <c r="FCQ9" s="4"/>
      <c r="FCR9" s="65"/>
      <c r="FCS9" s="4"/>
      <c r="FCT9" s="4"/>
      <c r="FCU9" s="4"/>
      <c r="FCX9" s="34"/>
      <c r="FCY9" s="34"/>
      <c r="FDA9" s="34"/>
      <c r="FDB9" s="72"/>
      <c r="FDC9" s="63"/>
      <c r="FDD9" s="34"/>
      <c r="FDE9" s="64"/>
      <c r="FDF9" s="4"/>
      <c r="FDG9" s="65"/>
      <c r="FDH9" s="4"/>
      <c r="FDI9" s="4"/>
      <c r="FDJ9" s="4"/>
      <c r="FDM9" s="34"/>
      <c r="FDN9" s="34"/>
      <c r="FDP9" s="34"/>
      <c r="FDQ9" s="72"/>
      <c r="FDR9" s="63"/>
      <c r="FDS9" s="34"/>
      <c r="FDT9" s="64"/>
      <c r="FDU9" s="4"/>
      <c r="FDV9" s="65"/>
      <c r="FDW9" s="4"/>
      <c r="FDX9" s="4"/>
      <c r="FDY9" s="4"/>
      <c r="FEB9" s="34"/>
      <c r="FEC9" s="34"/>
      <c r="FEE9" s="34"/>
      <c r="FEF9" s="72"/>
      <c r="FEG9" s="63"/>
      <c r="FEH9" s="34"/>
      <c r="FEI9" s="64"/>
      <c r="FEJ9" s="4"/>
      <c r="FEK9" s="65"/>
      <c r="FEL9" s="4"/>
      <c r="FEM9" s="4"/>
      <c r="FEN9" s="4"/>
      <c r="FEQ9" s="34"/>
      <c r="FER9" s="34"/>
      <c r="FET9" s="34"/>
      <c r="FEU9" s="72"/>
      <c r="FEV9" s="63"/>
      <c r="FEW9" s="34"/>
      <c r="FEX9" s="64"/>
      <c r="FEY9" s="4"/>
      <c r="FEZ9" s="65"/>
      <c r="FFA9" s="4"/>
      <c r="FFB9" s="4"/>
      <c r="FFC9" s="4"/>
      <c r="FFF9" s="34"/>
      <c r="FFG9" s="34"/>
      <c r="FFI9" s="34"/>
      <c r="FFJ9" s="72"/>
      <c r="FFK9" s="63"/>
      <c r="FFL9" s="34"/>
      <c r="FFM9" s="64"/>
      <c r="FFN9" s="4"/>
      <c r="FFO9" s="65"/>
      <c r="FFP9" s="4"/>
      <c r="FFQ9" s="4"/>
      <c r="FFR9" s="4"/>
      <c r="FFU9" s="34"/>
      <c r="FFV9" s="34"/>
      <c r="FFX9" s="34"/>
      <c r="FFY9" s="72"/>
      <c r="FFZ9" s="63"/>
      <c r="FGA9" s="34"/>
      <c r="FGB9" s="64"/>
      <c r="FGC9" s="4"/>
      <c r="FGD9" s="65"/>
      <c r="FGE9" s="4"/>
      <c r="FGF9" s="4"/>
      <c r="FGG9" s="4"/>
      <c r="FGJ9" s="34"/>
      <c r="FGK9" s="34"/>
      <c r="FGM9" s="34"/>
      <c r="FGN9" s="72"/>
      <c r="FGO9" s="63"/>
      <c r="FGP9" s="34"/>
      <c r="FGQ9" s="64"/>
      <c r="FGR9" s="4"/>
      <c r="FGS9" s="65"/>
      <c r="FGT9" s="4"/>
      <c r="FGU9" s="4"/>
      <c r="FGV9" s="4"/>
      <c r="FGY9" s="34"/>
      <c r="FGZ9" s="34"/>
      <c r="FHB9" s="34"/>
      <c r="FHC9" s="72"/>
      <c r="FHD9" s="63"/>
      <c r="FHE9" s="34"/>
      <c r="FHF9" s="64"/>
      <c r="FHG9" s="4"/>
      <c r="FHH9" s="65"/>
      <c r="FHI9" s="4"/>
      <c r="FHJ9" s="4"/>
      <c r="FHK9" s="4"/>
      <c r="FHN9" s="34"/>
      <c r="FHO9" s="34"/>
      <c r="FHQ9" s="34"/>
      <c r="FHR9" s="72"/>
      <c r="FHS9" s="63"/>
      <c r="FHT9" s="34"/>
      <c r="FHU9" s="64"/>
      <c r="FHV9" s="4"/>
      <c r="FHW9" s="65"/>
      <c r="FHX9" s="4"/>
      <c r="FHY9" s="4"/>
      <c r="FHZ9" s="4"/>
      <c r="FIC9" s="34"/>
      <c r="FID9" s="34"/>
      <c r="FIF9" s="34"/>
      <c r="FIG9" s="72"/>
      <c r="FIH9" s="63"/>
      <c r="FII9" s="34"/>
      <c r="FIJ9" s="64"/>
      <c r="FIK9" s="4"/>
      <c r="FIL9" s="65"/>
      <c r="FIM9" s="4"/>
      <c r="FIN9" s="4"/>
      <c r="FIO9" s="4"/>
      <c r="FIR9" s="34"/>
      <c r="FIS9" s="34"/>
      <c r="FIU9" s="34"/>
      <c r="FIV9" s="72"/>
      <c r="FIW9" s="63"/>
      <c r="FIX9" s="34"/>
      <c r="FIY9" s="64"/>
      <c r="FIZ9" s="4"/>
      <c r="FJA9" s="65"/>
      <c r="FJB9" s="4"/>
      <c r="FJC9" s="4"/>
      <c r="FJD9" s="4"/>
      <c r="FJG9" s="34"/>
      <c r="FJH9" s="34"/>
      <c r="FJJ9" s="34"/>
      <c r="FJK9" s="72"/>
      <c r="FJL9" s="63"/>
      <c r="FJM9" s="34"/>
      <c r="FJN9" s="64"/>
      <c r="FJO9" s="4"/>
      <c r="FJP9" s="65"/>
      <c r="FJQ9" s="4"/>
      <c r="FJR9" s="4"/>
      <c r="FJS9" s="4"/>
      <c r="FJV9" s="34"/>
      <c r="FJW9" s="34"/>
      <c r="FJY9" s="34"/>
      <c r="FJZ9" s="72"/>
      <c r="FKA9" s="63"/>
      <c r="FKB9" s="34"/>
      <c r="FKC9" s="64"/>
      <c r="FKD9" s="4"/>
      <c r="FKE9" s="65"/>
      <c r="FKF9" s="4"/>
      <c r="FKG9" s="4"/>
      <c r="FKH9" s="4"/>
      <c r="FKK9" s="34"/>
      <c r="FKL9" s="34"/>
      <c r="FKN9" s="34"/>
      <c r="FKO9" s="72"/>
      <c r="FKP9" s="63"/>
      <c r="FKQ9" s="34"/>
      <c r="FKR9" s="64"/>
      <c r="FKS9" s="4"/>
      <c r="FKT9" s="65"/>
      <c r="FKU9" s="4"/>
      <c r="FKV9" s="4"/>
      <c r="FKW9" s="4"/>
      <c r="FKZ9" s="34"/>
      <c r="FLA9" s="34"/>
      <c r="FLC9" s="34"/>
      <c r="FLD9" s="72"/>
      <c r="FLE9" s="63"/>
      <c r="FLF9" s="34"/>
      <c r="FLG9" s="64"/>
      <c r="FLH9" s="4"/>
      <c r="FLI9" s="65"/>
      <c r="FLJ9" s="4"/>
      <c r="FLK9" s="4"/>
      <c r="FLL9" s="4"/>
      <c r="FLO9" s="34"/>
      <c r="FLP9" s="34"/>
      <c r="FLR9" s="34"/>
      <c r="FLS9" s="72"/>
      <c r="FLT9" s="63"/>
      <c r="FLU9" s="34"/>
      <c r="FLV9" s="64"/>
      <c r="FLW9" s="4"/>
      <c r="FLX9" s="65"/>
      <c r="FLY9" s="4"/>
      <c r="FLZ9" s="4"/>
      <c r="FMA9" s="4"/>
      <c r="FMD9" s="34"/>
      <c r="FME9" s="34"/>
      <c r="FMG9" s="34"/>
      <c r="FMH9" s="72"/>
      <c r="FMI9" s="63"/>
      <c r="FMJ9" s="34"/>
      <c r="FMK9" s="64"/>
      <c r="FML9" s="4"/>
      <c r="FMM9" s="65"/>
      <c r="FMN9" s="4"/>
      <c r="FMO9" s="4"/>
      <c r="FMP9" s="4"/>
      <c r="FMS9" s="34"/>
      <c r="FMT9" s="34"/>
      <c r="FMV9" s="34"/>
      <c r="FMW9" s="72"/>
      <c r="FMX9" s="63"/>
      <c r="FMY9" s="34"/>
      <c r="FMZ9" s="64"/>
      <c r="FNA9" s="4"/>
      <c r="FNB9" s="65"/>
      <c r="FNC9" s="4"/>
      <c r="FND9" s="4"/>
      <c r="FNE9" s="4"/>
      <c r="FNH9" s="34"/>
      <c r="FNI9" s="34"/>
      <c r="FNK9" s="34"/>
      <c r="FNL9" s="72"/>
      <c r="FNM9" s="63"/>
      <c r="FNN9" s="34"/>
      <c r="FNO9" s="64"/>
      <c r="FNP9" s="4"/>
      <c r="FNQ9" s="65"/>
      <c r="FNR9" s="4"/>
      <c r="FNS9" s="4"/>
      <c r="FNT9" s="4"/>
      <c r="FNW9" s="34"/>
      <c r="FNX9" s="34"/>
      <c r="FNZ9" s="34"/>
      <c r="FOA9" s="72"/>
      <c r="FOB9" s="63"/>
      <c r="FOC9" s="34"/>
      <c r="FOD9" s="64"/>
      <c r="FOE9" s="4"/>
      <c r="FOF9" s="65"/>
      <c r="FOG9" s="4"/>
      <c r="FOH9" s="4"/>
      <c r="FOI9" s="4"/>
      <c r="FOL9" s="34"/>
      <c r="FOM9" s="34"/>
      <c r="FOO9" s="34"/>
      <c r="FOP9" s="72"/>
      <c r="FOQ9" s="63"/>
      <c r="FOR9" s="34"/>
      <c r="FOS9" s="64"/>
      <c r="FOT9" s="4"/>
      <c r="FOU9" s="65"/>
      <c r="FOV9" s="4"/>
      <c r="FOW9" s="4"/>
      <c r="FOX9" s="4"/>
      <c r="FPA9" s="34"/>
      <c r="FPB9" s="34"/>
      <c r="FPD9" s="34"/>
      <c r="FPE9" s="72"/>
      <c r="FPF9" s="63"/>
      <c r="FPG9" s="34"/>
      <c r="FPH9" s="64"/>
      <c r="FPI9" s="4"/>
      <c r="FPJ9" s="65"/>
      <c r="FPK9" s="4"/>
      <c r="FPL9" s="4"/>
      <c r="FPM9" s="4"/>
      <c r="FPP9" s="34"/>
      <c r="FPQ9" s="34"/>
      <c r="FPS9" s="34"/>
      <c r="FPT9" s="72"/>
      <c r="FPU9" s="63"/>
      <c r="FPV9" s="34"/>
      <c r="FPW9" s="64"/>
      <c r="FPX9" s="4"/>
      <c r="FPY9" s="65"/>
      <c r="FPZ9" s="4"/>
      <c r="FQA9" s="4"/>
      <c r="FQB9" s="4"/>
      <c r="FQE9" s="34"/>
      <c r="FQF9" s="34"/>
      <c r="FQH9" s="34"/>
      <c r="FQI9" s="72"/>
      <c r="FQJ9" s="63"/>
      <c r="FQK9" s="34"/>
      <c r="FQL9" s="64"/>
      <c r="FQM9" s="4"/>
      <c r="FQN9" s="65"/>
      <c r="FQO9" s="4"/>
      <c r="FQP9" s="4"/>
      <c r="FQQ9" s="4"/>
      <c r="FQT9" s="34"/>
      <c r="FQU9" s="34"/>
      <c r="FQW9" s="34"/>
      <c r="FQX9" s="72"/>
      <c r="FQY9" s="63"/>
      <c r="FQZ9" s="34"/>
      <c r="FRA9" s="64"/>
      <c r="FRB9" s="4"/>
      <c r="FRC9" s="65"/>
      <c r="FRD9" s="4"/>
      <c r="FRE9" s="4"/>
      <c r="FRF9" s="4"/>
      <c r="FRI9" s="34"/>
      <c r="FRJ9" s="34"/>
      <c r="FRL9" s="34"/>
      <c r="FRM9" s="72"/>
      <c r="FRN9" s="63"/>
      <c r="FRO9" s="34"/>
      <c r="FRP9" s="64"/>
      <c r="FRQ9" s="4"/>
      <c r="FRR9" s="65"/>
      <c r="FRS9" s="4"/>
      <c r="FRT9" s="4"/>
      <c r="FRU9" s="4"/>
      <c r="FRX9" s="34"/>
      <c r="FRY9" s="34"/>
      <c r="FSA9" s="34"/>
      <c r="FSB9" s="72"/>
      <c r="FSC9" s="63"/>
      <c r="FSD9" s="34"/>
      <c r="FSE9" s="64"/>
      <c r="FSF9" s="4"/>
      <c r="FSG9" s="65"/>
      <c r="FSH9" s="4"/>
      <c r="FSI9" s="4"/>
      <c r="FSJ9" s="4"/>
      <c r="FSM9" s="34"/>
      <c r="FSN9" s="34"/>
      <c r="FSP9" s="34"/>
      <c r="FSQ9" s="72"/>
      <c r="FSR9" s="63"/>
      <c r="FSS9" s="34"/>
      <c r="FST9" s="64"/>
      <c r="FSU9" s="4"/>
      <c r="FSV9" s="65"/>
      <c r="FSW9" s="4"/>
      <c r="FSX9" s="4"/>
      <c r="FSY9" s="4"/>
      <c r="FTB9" s="34"/>
      <c r="FTC9" s="34"/>
      <c r="FTE9" s="34"/>
      <c r="FTF9" s="72"/>
      <c r="FTG9" s="63"/>
      <c r="FTH9" s="34"/>
      <c r="FTI9" s="64"/>
      <c r="FTJ9" s="4"/>
      <c r="FTK9" s="65"/>
      <c r="FTL9" s="4"/>
      <c r="FTM9" s="4"/>
      <c r="FTN9" s="4"/>
      <c r="FTQ9" s="34"/>
      <c r="FTR9" s="34"/>
      <c r="FTT9" s="34"/>
      <c r="FTU9" s="72"/>
      <c r="FTV9" s="63"/>
      <c r="FTW9" s="34"/>
      <c r="FTX9" s="64"/>
      <c r="FTY9" s="4"/>
      <c r="FTZ9" s="65"/>
      <c r="FUA9" s="4"/>
      <c r="FUB9" s="4"/>
      <c r="FUC9" s="4"/>
      <c r="FUF9" s="34"/>
      <c r="FUG9" s="34"/>
      <c r="FUI9" s="34"/>
      <c r="FUJ9" s="72"/>
      <c r="FUK9" s="63"/>
      <c r="FUL9" s="34"/>
      <c r="FUM9" s="64"/>
      <c r="FUN9" s="4"/>
      <c r="FUO9" s="65"/>
      <c r="FUP9" s="4"/>
      <c r="FUQ9" s="4"/>
      <c r="FUR9" s="4"/>
      <c r="FUU9" s="34"/>
      <c r="FUV9" s="34"/>
      <c r="FUX9" s="34"/>
      <c r="FUY9" s="72"/>
      <c r="FUZ9" s="63"/>
      <c r="FVA9" s="34"/>
      <c r="FVB9" s="64"/>
      <c r="FVC9" s="4"/>
      <c r="FVD9" s="65"/>
      <c r="FVE9" s="4"/>
      <c r="FVF9" s="4"/>
      <c r="FVG9" s="4"/>
      <c r="FVJ9" s="34"/>
      <c r="FVK9" s="34"/>
      <c r="FVM9" s="34"/>
      <c r="FVN9" s="72"/>
      <c r="FVO9" s="63"/>
      <c r="FVP9" s="34"/>
      <c r="FVQ9" s="64"/>
      <c r="FVR9" s="4"/>
      <c r="FVS9" s="65"/>
      <c r="FVT9" s="4"/>
      <c r="FVU9" s="4"/>
      <c r="FVV9" s="4"/>
      <c r="FVY9" s="34"/>
      <c r="FVZ9" s="34"/>
      <c r="FWB9" s="34"/>
      <c r="FWC9" s="72"/>
      <c r="FWD9" s="63"/>
      <c r="FWE9" s="34"/>
      <c r="FWF9" s="64"/>
      <c r="FWG9" s="4"/>
      <c r="FWH9" s="65"/>
      <c r="FWI9" s="4"/>
      <c r="FWJ9" s="4"/>
      <c r="FWK9" s="4"/>
      <c r="FWN9" s="34"/>
      <c r="FWO9" s="34"/>
      <c r="FWQ9" s="34"/>
      <c r="FWR9" s="72"/>
      <c r="FWS9" s="63"/>
      <c r="FWT9" s="34"/>
      <c r="FWU9" s="64"/>
      <c r="FWV9" s="4"/>
      <c r="FWW9" s="65"/>
      <c r="FWX9" s="4"/>
      <c r="FWY9" s="4"/>
      <c r="FWZ9" s="4"/>
      <c r="FXC9" s="34"/>
      <c r="FXD9" s="34"/>
      <c r="FXF9" s="34"/>
      <c r="FXG9" s="72"/>
      <c r="FXH9" s="63"/>
      <c r="FXI9" s="34"/>
      <c r="FXJ9" s="64"/>
      <c r="FXK9" s="4"/>
      <c r="FXL9" s="65"/>
      <c r="FXM9" s="4"/>
      <c r="FXN9" s="4"/>
      <c r="FXO9" s="4"/>
      <c r="FXR9" s="34"/>
      <c r="FXS9" s="34"/>
      <c r="FXU9" s="34"/>
      <c r="FXV9" s="72"/>
      <c r="FXW9" s="63"/>
      <c r="FXX9" s="34"/>
      <c r="FXY9" s="64"/>
      <c r="FXZ9" s="4"/>
      <c r="FYA9" s="65"/>
      <c r="FYB9" s="4"/>
      <c r="FYC9" s="4"/>
      <c r="FYD9" s="4"/>
      <c r="FYG9" s="34"/>
      <c r="FYH9" s="34"/>
      <c r="FYJ9" s="34"/>
      <c r="FYK9" s="72"/>
      <c r="FYL9" s="63"/>
      <c r="FYM9" s="34"/>
      <c r="FYN9" s="64"/>
      <c r="FYO9" s="4"/>
      <c r="FYP9" s="65"/>
      <c r="FYQ9" s="4"/>
      <c r="FYR9" s="4"/>
      <c r="FYS9" s="4"/>
      <c r="FYV9" s="34"/>
      <c r="FYW9" s="34"/>
      <c r="FYY9" s="34"/>
      <c r="FYZ9" s="72"/>
      <c r="FZA9" s="63"/>
      <c r="FZB9" s="34"/>
      <c r="FZC9" s="64"/>
      <c r="FZD9" s="4"/>
      <c r="FZE9" s="65"/>
      <c r="FZF9" s="4"/>
      <c r="FZG9" s="4"/>
      <c r="FZH9" s="4"/>
      <c r="FZK9" s="34"/>
      <c r="FZL9" s="34"/>
      <c r="FZN9" s="34"/>
      <c r="FZO9" s="72"/>
      <c r="FZP9" s="63"/>
      <c r="FZQ9" s="34"/>
      <c r="FZR9" s="64"/>
      <c r="FZS9" s="4"/>
      <c r="FZT9" s="65"/>
      <c r="FZU9" s="4"/>
      <c r="FZV9" s="4"/>
      <c r="FZW9" s="4"/>
      <c r="FZZ9" s="34"/>
      <c r="GAA9" s="34"/>
      <c r="GAC9" s="34"/>
      <c r="GAD9" s="72"/>
      <c r="GAE9" s="63"/>
      <c r="GAF9" s="34"/>
      <c r="GAG9" s="64"/>
      <c r="GAH9" s="4"/>
      <c r="GAI9" s="65"/>
      <c r="GAJ9" s="4"/>
      <c r="GAK9" s="4"/>
      <c r="GAL9" s="4"/>
      <c r="GAO9" s="34"/>
      <c r="GAP9" s="34"/>
      <c r="GAR9" s="34"/>
      <c r="GAS9" s="72"/>
      <c r="GAT9" s="63"/>
      <c r="GAU9" s="34"/>
      <c r="GAV9" s="64"/>
      <c r="GAW9" s="4"/>
      <c r="GAX9" s="65"/>
      <c r="GAY9" s="4"/>
      <c r="GAZ9" s="4"/>
      <c r="GBA9" s="4"/>
      <c r="GBD9" s="34"/>
      <c r="GBE9" s="34"/>
      <c r="GBG9" s="34"/>
      <c r="GBH9" s="72"/>
      <c r="GBI9" s="63"/>
      <c r="GBJ9" s="34"/>
      <c r="GBK9" s="64"/>
      <c r="GBL9" s="4"/>
      <c r="GBM9" s="65"/>
      <c r="GBN9" s="4"/>
      <c r="GBO9" s="4"/>
      <c r="GBP9" s="4"/>
      <c r="GBS9" s="34"/>
      <c r="GBT9" s="34"/>
      <c r="GBV9" s="34"/>
      <c r="GBW9" s="72"/>
      <c r="GBX9" s="63"/>
      <c r="GBY9" s="34"/>
      <c r="GBZ9" s="64"/>
      <c r="GCA9" s="4"/>
      <c r="GCB9" s="65"/>
      <c r="GCC9" s="4"/>
      <c r="GCD9" s="4"/>
      <c r="GCE9" s="4"/>
      <c r="GCH9" s="34"/>
      <c r="GCI9" s="34"/>
      <c r="GCK9" s="34"/>
      <c r="GCL9" s="72"/>
      <c r="GCM9" s="63"/>
      <c r="GCN9" s="34"/>
      <c r="GCO9" s="64"/>
      <c r="GCP9" s="4"/>
      <c r="GCQ9" s="65"/>
      <c r="GCR9" s="4"/>
      <c r="GCS9" s="4"/>
      <c r="GCT9" s="4"/>
      <c r="GCW9" s="34"/>
      <c r="GCX9" s="34"/>
      <c r="GCZ9" s="34"/>
      <c r="GDA9" s="72"/>
      <c r="GDB9" s="63"/>
      <c r="GDC9" s="34"/>
      <c r="GDD9" s="64"/>
      <c r="GDE9" s="4"/>
      <c r="GDF9" s="65"/>
      <c r="GDG9" s="4"/>
      <c r="GDH9" s="4"/>
      <c r="GDI9" s="4"/>
      <c r="GDL9" s="34"/>
      <c r="GDM9" s="34"/>
      <c r="GDO9" s="34"/>
      <c r="GDP9" s="72"/>
      <c r="GDQ9" s="63"/>
      <c r="GDR9" s="34"/>
      <c r="GDS9" s="64"/>
      <c r="GDT9" s="4"/>
      <c r="GDU9" s="65"/>
      <c r="GDV9" s="4"/>
      <c r="GDW9" s="4"/>
      <c r="GDX9" s="4"/>
      <c r="GEA9" s="34"/>
      <c r="GEB9" s="34"/>
      <c r="GED9" s="34"/>
      <c r="GEE9" s="72"/>
      <c r="GEF9" s="63"/>
      <c r="GEG9" s="34"/>
      <c r="GEH9" s="64"/>
      <c r="GEI9" s="4"/>
      <c r="GEJ9" s="65"/>
      <c r="GEK9" s="4"/>
      <c r="GEL9" s="4"/>
      <c r="GEM9" s="4"/>
      <c r="GEP9" s="34"/>
      <c r="GEQ9" s="34"/>
      <c r="GES9" s="34"/>
      <c r="GET9" s="72"/>
      <c r="GEU9" s="63"/>
      <c r="GEV9" s="34"/>
      <c r="GEW9" s="64"/>
      <c r="GEX9" s="4"/>
      <c r="GEY9" s="65"/>
      <c r="GEZ9" s="4"/>
      <c r="GFA9" s="4"/>
      <c r="GFB9" s="4"/>
      <c r="GFE9" s="34"/>
      <c r="GFF9" s="34"/>
      <c r="GFH9" s="34"/>
      <c r="GFI9" s="72"/>
      <c r="GFJ9" s="63"/>
      <c r="GFK9" s="34"/>
      <c r="GFL9" s="64"/>
      <c r="GFM9" s="4"/>
      <c r="GFN9" s="65"/>
      <c r="GFO9" s="4"/>
      <c r="GFP9" s="4"/>
      <c r="GFQ9" s="4"/>
      <c r="GFT9" s="34"/>
      <c r="GFU9" s="34"/>
      <c r="GFW9" s="34"/>
      <c r="GFX9" s="72"/>
      <c r="GFY9" s="63"/>
      <c r="GFZ9" s="34"/>
      <c r="GGA9" s="64"/>
      <c r="GGB9" s="4"/>
      <c r="GGC9" s="65"/>
      <c r="GGD9" s="4"/>
      <c r="GGE9" s="4"/>
      <c r="GGF9" s="4"/>
      <c r="GGI9" s="34"/>
      <c r="GGJ9" s="34"/>
      <c r="GGL9" s="34"/>
      <c r="GGM9" s="72"/>
      <c r="GGN9" s="63"/>
      <c r="GGO9" s="34"/>
      <c r="GGP9" s="64"/>
      <c r="GGQ9" s="4"/>
      <c r="GGR9" s="65"/>
      <c r="GGS9" s="4"/>
      <c r="GGT9" s="4"/>
      <c r="GGU9" s="4"/>
      <c r="GGX9" s="34"/>
      <c r="GGY9" s="34"/>
      <c r="GHA9" s="34"/>
      <c r="GHB9" s="72"/>
      <c r="GHC9" s="63"/>
      <c r="GHD9" s="34"/>
      <c r="GHE9" s="64"/>
      <c r="GHF9" s="4"/>
      <c r="GHG9" s="65"/>
      <c r="GHH9" s="4"/>
      <c r="GHI9" s="4"/>
      <c r="GHJ9" s="4"/>
      <c r="GHM9" s="34"/>
      <c r="GHN9" s="34"/>
      <c r="GHP9" s="34"/>
      <c r="GHQ9" s="72"/>
      <c r="GHR9" s="63"/>
      <c r="GHS9" s="34"/>
      <c r="GHT9" s="64"/>
      <c r="GHU9" s="4"/>
      <c r="GHV9" s="65"/>
      <c r="GHW9" s="4"/>
      <c r="GHX9" s="4"/>
      <c r="GHY9" s="4"/>
      <c r="GIB9" s="34"/>
      <c r="GIC9" s="34"/>
      <c r="GIE9" s="34"/>
      <c r="GIF9" s="72"/>
      <c r="GIG9" s="63"/>
      <c r="GIH9" s="34"/>
      <c r="GII9" s="64"/>
      <c r="GIJ9" s="4"/>
      <c r="GIK9" s="65"/>
      <c r="GIL9" s="4"/>
      <c r="GIM9" s="4"/>
      <c r="GIN9" s="4"/>
      <c r="GIQ9" s="34"/>
      <c r="GIR9" s="34"/>
      <c r="GIT9" s="34"/>
      <c r="GIU9" s="72"/>
      <c r="GIV9" s="63"/>
      <c r="GIW9" s="34"/>
      <c r="GIX9" s="64"/>
      <c r="GIY9" s="4"/>
      <c r="GIZ9" s="65"/>
      <c r="GJA9" s="4"/>
      <c r="GJB9" s="4"/>
      <c r="GJC9" s="4"/>
      <c r="GJF9" s="34"/>
      <c r="GJG9" s="34"/>
      <c r="GJI9" s="34"/>
      <c r="GJJ9" s="72"/>
      <c r="GJK9" s="63"/>
      <c r="GJL9" s="34"/>
      <c r="GJM9" s="64"/>
      <c r="GJN9" s="4"/>
      <c r="GJO9" s="65"/>
      <c r="GJP9" s="4"/>
      <c r="GJQ9" s="4"/>
      <c r="GJR9" s="4"/>
      <c r="GJU9" s="34"/>
      <c r="GJV9" s="34"/>
      <c r="GJX9" s="34"/>
      <c r="GJY9" s="72"/>
      <c r="GJZ9" s="63"/>
      <c r="GKA9" s="34"/>
      <c r="GKB9" s="64"/>
      <c r="GKC9" s="4"/>
      <c r="GKD9" s="65"/>
      <c r="GKE9" s="4"/>
      <c r="GKF9" s="4"/>
      <c r="GKG9" s="4"/>
      <c r="GKJ9" s="34"/>
      <c r="GKK9" s="34"/>
      <c r="GKM9" s="34"/>
      <c r="GKN9" s="72"/>
      <c r="GKO9" s="63"/>
      <c r="GKP9" s="34"/>
      <c r="GKQ9" s="64"/>
      <c r="GKR9" s="4"/>
      <c r="GKS9" s="65"/>
      <c r="GKT9" s="4"/>
      <c r="GKU9" s="4"/>
      <c r="GKV9" s="4"/>
      <c r="GKY9" s="34"/>
      <c r="GKZ9" s="34"/>
      <c r="GLB9" s="34"/>
      <c r="GLC9" s="72"/>
      <c r="GLD9" s="63"/>
      <c r="GLE9" s="34"/>
      <c r="GLF9" s="64"/>
      <c r="GLG9" s="4"/>
      <c r="GLH9" s="65"/>
      <c r="GLI9" s="4"/>
      <c r="GLJ9" s="4"/>
      <c r="GLK9" s="4"/>
      <c r="GLN9" s="34"/>
      <c r="GLO9" s="34"/>
      <c r="GLQ9" s="34"/>
      <c r="GLR9" s="72"/>
      <c r="GLS9" s="63"/>
      <c r="GLT9" s="34"/>
      <c r="GLU9" s="64"/>
      <c r="GLV9" s="4"/>
      <c r="GLW9" s="65"/>
      <c r="GLX9" s="4"/>
      <c r="GLY9" s="4"/>
      <c r="GLZ9" s="4"/>
      <c r="GMC9" s="34"/>
      <c r="GMD9" s="34"/>
      <c r="GMF9" s="34"/>
      <c r="GMG9" s="72"/>
      <c r="GMH9" s="63"/>
      <c r="GMI9" s="34"/>
      <c r="GMJ9" s="64"/>
      <c r="GMK9" s="4"/>
      <c r="GML9" s="65"/>
      <c r="GMM9" s="4"/>
      <c r="GMN9" s="4"/>
      <c r="GMO9" s="4"/>
      <c r="GMR9" s="34"/>
      <c r="GMS9" s="34"/>
      <c r="GMU9" s="34"/>
      <c r="GMV9" s="72"/>
      <c r="GMW9" s="63"/>
      <c r="GMX9" s="34"/>
      <c r="GMY9" s="64"/>
      <c r="GMZ9" s="4"/>
      <c r="GNA9" s="65"/>
      <c r="GNB9" s="4"/>
      <c r="GNC9" s="4"/>
      <c r="GND9" s="4"/>
      <c r="GNG9" s="34"/>
      <c r="GNH9" s="34"/>
      <c r="GNJ9" s="34"/>
      <c r="GNK9" s="72"/>
      <c r="GNL9" s="63"/>
      <c r="GNM9" s="34"/>
      <c r="GNN9" s="64"/>
      <c r="GNO9" s="4"/>
      <c r="GNP9" s="65"/>
      <c r="GNQ9" s="4"/>
      <c r="GNR9" s="4"/>
      <c r="GNS9" s="4"/>
      <c r="GNV9" s="34"/>
      <c r="GNW9" s="34"/>
      <c r="GNY9" s="34"/>
      <c r="GNZ9" s="72"/>
      <c r="GOA9" s="63"/>
      <c r="GOB9" s="34"/>
      <c r="GOC9" s="64"/>
      <c r="GOD9" s="4"/>
      <c r="GOE9" s="65"/>
      <c r="GOF9" s="4"/>
      <c r="GOG9" s="4"/>
      <c r="GOH9" s="4"/>
      <c r="GOK9" s="34"/>
      <c r="GOL9" s="34"/>
      <c r="GON9" s="34"/>
      <c r="GOO9" s="72"/>
      <c r="GOP9" s="63"/>
      <c r="GOQ9" s="34"/>
      <c r="GOR9" s="64"/>
      <c r="GOS9" s="4"/>
      <c r="GOT9" s="65"/>
      <c r="GOU9" s="4"/>
      <c r="GOV9" s="4"/>
      <c r="GOW9" s="4"/>
      <c r="GOZ9" s="34"/>
      <c r="GPA9" s="34"/>
      <c r="GPC9" s="34"/>
      <c r="GPD9" s="72"/>
      <c r="GPE9" s="63"/>
      <c r="GPF9" s="34"/>
      <c r="GPG9" s="64"/>
      <c r="GPH9" s="4"/>
      <c r="GPI9" s="65"/>
      <c r="GPJ9" s="4"/>
      <c r="GPK9" s="4"/>
      <c r="GPL9" s="4"/>
      <c r="GPO9" s="34"/>
      <c r="GPP9" s="34"/>
      <c r="GPR9" s="34"/>
      <c r="GPS9" s="72"/>
      <c r="GPT9" s="63"/>
      <c r="GPU9" s="34"/>
      <c r="GPV9" s="64"/>
      <c r="GPW9" s="4"/>
      <c r="GPX9" s="65"/>
      <c r="GPY9" s="4"/>
      <c r="GPZ9" s="4"/>
      <c r="GQA9" s="4"/>
      <c r="GQD9" s="34"/>
      <c r="GQE9" s="34"/>
      <c r="GQG9" s="34"/>
      <c r="GQH9" s="72"/>
      <c r="GQI9" s="63"/>
      <c r="GQJ9" s="34"/>
      <c r="GQK9" s="64"/>
      <c r="GQL9" s="4"/>
      <c r="GQM9" s="65"/>
      <c r="GQN9" s="4"/>
      <c r="GQO9" s="4"/>
      <c r="GQP9" s="4"/>
      <c r="GQS9" s="34"/>
      <c r="GQT9" s="34"/>
      <c r="GQV9" s="34"/>
      <c r="GQW9" s="72"/>
      <c r="GQX9" s="63"/>
      <c r="GQY9" s="34"/>
      <c r="GQZ9" s="64"/>
      <c r="GRA9" s="4"/>
      <c r="GRB9" s="65"/>
      <c r="GRC9" s="4"/>
      <c r="GRD9" s="4"/>
      <c r="GRE9" s="4"/>
      <c r="GRH9" s="34"/>
      <c r="GRI9" s="34"/>
      <c r="GRK9" s="34"/>
      <c r="GRL9" s="72"/>
      <c r="GRM9" s="63"/>
      <c r="GRN9" s="34"/>
      <c r="GRO9" s="64"/>
      <c r="GRP9" s="4"/>
      <c r="GRQ9" s="65"/>
      <c r="GRR9" s="4"/>
      <c r="GRS9" s="4"/>
      <c r="GRT9" s="4"/>
      <c r="GRW9" s="34"/>
      <c r="GRX9" s="34"/>
      <c r="GRZ9" s="34"/>
      <c r="GSA9" s="72"/>
      <c r="GSB9" s="63"/>
      <c r="GSC9" s="34"/>
      <c r="GSD9" s="64"/>
      <c r="GSE9" s="4"/>
      <c r="GSF9" s="65"/>
      <c r="GSG9" s="4"/>
      <c r="GSH9" s="4"/>
      <c r="GSI9" s="4"/>
      <c r="GSL9" s="34"/>
      <c r="GSM9" s="34"/>
      <c r="GSO9" s="34"/>
      <c r="GSP9" s="72"/>
      <c r="GSQ9" s="63"/>
      <c r="GSR9" s="34"/>
      <c r="GSS9" s="64"/>
      <c r="GST9" s="4"/>
      <c r="GSU9" s="65"/>
      <c r="GSV9" s="4"/>
      <c r="GSW9" s="4"/>
      <c r="GSX9" s="4"/>
      <c r="GTA9" s="34"/>
      <c r="GTB9" s="34"/>
      <c r="GTD9" s="34"/>
      <c r="GTE9" s="72"/>
      <c r="GTF9" s="63"/>
      <c r="GTG9" s="34"/>
      <c r="GTH9" s="64"/>
      <c r="GTI9" s="4"/>
      <c r="GTJ9" s="65"/>
      <c r="GTK9" s="4"/>
      <c r="GTL9" s="4"/>
      <c r="GTM9" s="4"/>
      <c r="GTP9" s="34"/>
      <c r="GTQ9" s="34"/>
      <c r="GTS9" s="34"/>
      <c r="GTT9" s="72"/>
      <c r="GTU9" s="63"/>
      <c r="GTV9" s="34"/>
      <c r="GTW9" s="64"/>
      <c r="GTX9" s="4"/>
      <c r="GTY9" s="65"/>
      <c r="GTZ9" s="4"/>
      <c r="GUA9" s="4"/>
      <c r="GUB9" s="4"/>
      <c r="GUE9" s="34"/>
      <c r="GUF9" s="34"/>
      <c r="GUH9" s="34"/>
      <c r="GUI9" s="72"/>
      <c r="GUJ9" s="63"/>
      <c r="GUK9" s="34"/>
      <c r="GUL9" s="64"/>
      <c r="GUM9" s="4"/>
      <c r="GUN9" s="65"/>
      <c r="GUO9" s="4"/>
      <c r="GUP9" s="4"/>
      <c r="GUQ9" s="4"/>
      <c r="GUT9" s="34"/>
      <c r="GUU9" s="34"/>
      <c r="GUW9" s="34"/>
      <c r="GUX9" s="72"/>
      <c r="GUY9" s="63"/>
      <c r="GUZ9" s="34"/>
      <c r="GVA9" s="64"/>
      <c r="GVB9" s="4"/>
      <c r="GVC9" s="65"/>
      <c r="GVD9" s="4"/>
      <c r="GVE9" s="4"/>
      <c r="GVF9" s="4"/>
      <c r="GVI9" s="34"/>
      <c r="GVJ9" s="34"/>
      <c r="GVL9" s="34"/>
      <c r="GVM9" s="72"/>
      <c r="GVN9" s="63"/>
      <c r="GVO9" s="34"/>
      <c r="GVP9" s="64"/>
      <c r="GVQ9" s="4"/>
      <c r="GVR9" s="65"/>
      <c r="GVS9" s="4"/>
      <c r="GVT9" s="4"/>
      <c r="GVU9" s="4"/>
      <c r="GVX9" s="34"/>
      <c r="GVY9" s="34"/>
      <c r="GWA9" s="34"/>
      <c r="GWB9" s="72"/>
      <c r="GWC9" s="63"/>
      <c r="GWD9" s="34"/>
      <c r="GWE9" s="64"/>
      <c r="GWF9" s="4"/>
      <c r="GWG9" s="65"/>
      <c r="GWH9" s="4"/>
      <c r="GWI9" s="4"/>
      <c r="GWJ9" s="4"/>
      <c r="GWM9" s="34"/>
      <c r="GWN9" s="34"/>
      <c r="GWP9" s="34"/>
      <c r="GWQ9" s="72"/>
      <c r="GWR9" s="63"/>
      <c r="GWS9" s="34"/>
      <c r="GWT9" s="64"/>
      <c r="GWU9" s="4"/>
      <c r="GWV9" s="65"/>
      <c r="GWW9" s="4"/>
      <c r="GWX9" s="4"/>
      <c r="GWY9" s="4"/>
      <c r="GXB9" s="34"/>
      <c r="GXC9" s="34"/>
      <c r="GXE9" s="34"/>
      <c r="GXF9" s="72"/>
      <c r="GXG9" s="63"/>
      <c r="GXH9" s="34"/>
      <c r="GXI9" s="64"/>
      <c r="GXJ9" s="4"/>
      <c r="GXK9" s="65"/>
      <c r="GXL9" s="4"/>
      <c r="GXM9" s="4"/>
      <c r="GXN9" s="4"/>
      <c r="GXQ9" s="34"/>
      <c r="GXR9" s="34"/>
      <c r="GXT9" s="34"/>
      <c r="GXU9" s="72"/>
      <c r="GXV9" s="63"/>
      <c r="GXW9" s="34"/>
      <c r="GXX9" s="64"/>
      <c r="GXY9" s="4"/>
      <c r="GXZ9" s="65"/>
      <c r="GYA9" s="4"/>
      <c r="GYB9" s="4"/>
      <c r="GYC9" s="4"/>
      <c r="GYF9" s="34"/>
      <c r="GYG9" s="34"/>
      <c r="GYI9" s="34"/>
      <c r="GYJ9" s="72"/>
      <c r="GYK9" s="63"/>
      <c r="GYL9" s="34"/>
      <c r="GYM9" s="64"/>
      <c r="GYN9" s="4"/>
      <c r="GYO9" s="65"/>
      <c r="GYP9" s="4"/>
      <c r="GYQ9" s="4"/>
      <c r="GYR9" s="4"/>
      <c r="GYU9" s="34"/>
      <c r="GYV9" s="34"/>
      <c r="GYX9" s="34"/>
      <c r="GYY9" s="72"/>
      <c r="GYZ9" s="63"/>
      <c r="GZA9" s="34"/>
      <c r="GZB9" s="64"/>
      <c r="GZC9" s="4"/>
      <c r="GZD9" s="65"/>
      <c r="GZE9" s="4"/>
      <c r="GZF9" s="4"/>
      <c r="GZG9" s="4"/>
      <c r="GZJ9" s="34"/>
      <c r="GZK9" s="34"/>
      <c r="GZM9" s="34"/>
      <c r="GZN9" s="72"/>
      <c r="GZO9" s="63"/>
      <c r="GZP9" s="34"/>
      <c r="GZQ9" s="64"/>
      <c r="GZR9" s="4"/>
      <c r="GZS9" s="65"/>
      <c r="GZT9" s="4"/>
      <c r="GZU9" s="4"/>
      <c r="GZV9" s="4"/>
      <c r="GZY9" s="34"/>
      <c r="GZZ9" s="34"/>
      <c r="HAB9" s="34"/>
      <c r="HAC9" s="72"/>
      <c r="HAD9" s="63"/>
      <c r="HAE9" s="34"/>
      <c r="HAF9" s="64"/>
      <c r="HAG9" s="4"/>
      <c r="HAH9" s="65"/>
      <c r="HAI9" s="4"/>
      <c r="HAJ9" s="4"/>
      <c r="HAK9" s="4"/>
      <c r="HAN9" s="34"/>
      <c r="HAO9" s="34"/>
      <c r="HAQ9" s="34"/>
      <c r="HAR9" s="72"/>
      <c r="HAS9" s="63"/>
      <c r="HAT9" s="34"/>
      <c r="HAU9" s="64"/>
      <c r="HAV9" s="4"/>
      <c r="HAW9" s="65"/>
      <c r="HAX9" s="4"/>
      <c r="HAY9" s="4"/>
      <c r="HAZ9" s="4"/>
      <c r="HBC9" s="34"/>
      <c r="HBD9" s="34"/>
      <c r="HBF9" s="34"/>
      <c r="HBG9" s="72"/>
      <c r="HBH9" s="63"/>
      <c r="HBI9" s="34"/>
      <c r="HBJ9" s="64"/>
      <c r="HBK9" s="4"/>
      <c r="HBL9" s="65"/>
      <c r="HBM9" s="4"/>
      <c r="HBN9" s="4"/>
      <c r="HBO9" s="4"/>
      <c r="HBR9" s="34"/>
      <c r="HBS9" s="34"/>
      <c r="HBU9" s="34"/>
      <c r="HBV9" s="72"/>
      <c r="HBW9" s="63"/>
      <c r="HBX9" s="34"/>
      <c r="HBY9" s="64"/>
      <c r="HBZ9" s="4"/>
      <c r="HCA9" s="65"/>
      <c r="HCB9" s="4"/>
      <c r="HCC9" s="4"/>
      <c r="HCD9" s="4"/>
      <c r="HCG9" s="34"/>
      <c r="HCH9" s="34"/>
      <c r="HCJ9" s="34"/>
      <c r="HCK9" s="72"/>
      <c r="HCL9" s="63"/>
      <c r="HCM9" s="34"/>
      <c r="HCN9" s="64"/>
      <c r="HCO9" s="4"/>
      <c r="HCP9" s="65"/>
      <c r="HCQ9" s="4"/>
      <c r="HCR9" s="4"/>
      <c r="HCS9" s="4"/>
      <c r="HCV9" s="34"/>
      <c r="HCW9" s="34"/>
      <c r="HCY9" s="34"/>
      <c r="HCZ9" s="72"/>
      <c r="HDA9" s="63"/>
      <c r="HDB9" s="34"/>
      <c r="HDC9" s="64"/>
      <c r="HDD9" s="4"/>
      <c r="HDE9" s="65"/>
      <c r="HDF9" s="4"/>
      <c r="HDG9" s="4"/>
      <c r="HDH9" s="4"/>
      <c r="HDK9" s="34"/>
      <c r="HDL9" s="34"/>
      <c r="HDN9" s="34"/>
      <c r="HDO9" s="72"/>
      <c r="HDP9" s="63"/>
      <c r="HDQ9" s="34"/>
      <c r="HDR9" s="64"/>
      <c r="HDS9" s="4"/>
      <c r="HDT9" s="65"/>
      <c r="HDU9" s="4"/>
      <c r="HDV9" s="4"/>
      <c r="HDW9" s="4"/>
      <c r="HDZ9" s="34"/>
      <c r="HEA9" s="34"/>
      <c r="HEC9" s="34"/>
      <c r="HED9" s="72"/>
      <c r="HEE9" s="63"/>
      <c r="HEF9" s="34"/>
      <c r="HEG9" s="64"/>
      <c r="HEH9" s="4"/>
      <c r="HEI9" s="65"/>
      <c r="HEJ9" s="4"/>
      <c r="HEK9" s="4"/>
      <c r="HEL9" s="4"/>
      <c r="HEO9" s="34"/>
      <c r="HEP9" s="34"/>
      <c r="HER9" s="34"/>
      <c r="HES9" s="72"/>
      <c r="HET9" s="63"/>
      <c r="HEU9" s="34"/>
      <c r="HEV9" s="64"/>
      <c r="HEW9" s="4"/>
      <c r="HEX9" s="65"/>
      <c r="HEY9" s="4"/>
      <c r="HEZ9" s="4"/>
      <c r="HFA9" s="4"/>
      <c r="HFD9" s="34"/>
      <c r="HFE9" s="34"/>
      <c r="HFG9" s="34"/>
      <c r="HFH9" s="72"/>
      <c r="HFI9" s="63"/>
      <c r="HFJ9" s="34"/>
      <c r="HFK9" s="64"/>
      <c r="HFL9" s="4"/>
      <c r="HFM9" s="65"/>
      <c r="HFN9" s="4"/>
      <c r="HFO9" s="4"/>
      <c r="HFP9" s="4"/>
      <c r="HFS9" s="34"/>
      <c r="HFT9" s="34"/>
      <c r="HFV9" s="34"/>
      <c r="HFW9" s="72"/>
      <c r="HFX9" s="63"/>
      <c r="HFY9" s="34"/>
      <c r="HFZ9" s="64"/>
      <c r="HGA9" s="4"/>
      <c r="HGB9" s="65"/>
      <c r="HGC9" s="4"/>
      <c r="HGD9" s="4"/>
      <c r="HGE9" s="4"/>
      <c r="HGH9" s="34"/>
      <c r="HGI9" s="34"/>
      <c r="HGK9" s="34"/>
      <c r="HGL9" s="72"/>
      <c r="HGM9" s="63"/>
      <c r="HGN9" s="34"/>
      <c r="HGO9" s="64"/>
      <c r="HGP9" s="4"/>
      <c r="HGQ9" s="65"/>
      <c r="HGR9" s="4"/>
      <c r="HGS9" s="4"/>
      <c r="HGT9" s="4"/>
      <c r="HGW9" s="34"/>
      <c r="HGX9" s="34"/>
      <c r="HGZ9" s="34"/>
      <c r="HHA9" s="72"/>
      <c r="HHB9" s="63"/>
      <c r="HHC9" s="34"/>
      <c r="HHD9" s="64"/>
      <c r="HHE9" s="4"/>
      <c r="HHF9" s="65"/>
      <c r="HHG9" s="4"/>
      <c r="HHH9" s="4"/>
      <c r="HHI9" s="4"/>
      <c r="HHL9" s="34"/>
      <c r="HHM9" s="34"/>
      <c r="HHO9" s="34"/>
      <c r="HHP9" s="72"/>
      <c r="HHQ9" s="63"/>
      <c r="HHR9" s="34"/>
      <c r="HHS9" s="64"/>
      <c r="HHT9" s="4"/>
      <c r="HHU9" s="65"/>
      <c r="HHV9" s="4"/>
      <c r="HHW9" s="4"/>
      <c r="HHX9" s="4"/>
      <c r="HIA9" s="34"/>
      <c r="HIB9" s="34"/>
      <c r="HID9" s="34"/>
      <c r="HIE9" s="72"/>
      <c r="HIF9" s="63"/>
      <c r="HIG9" s="34"/>
      <c r="HIH9" s="64"/>
      <c r="HII9" s="4"/>
      <c r="HIJ9" s="65"/>
      <c r="HIK9" s="4"/>
      <c r="HIL9" s="4"/>
      <c r="HIM9" s="4"/>
      <c r="HIP9" s="34"/>
      <c r="HIQ9" s="34"/>
      <c r="HIS9" s="34"/>
      <c r="HIT9" s="72"/>
      <c r="HIU9" s="63"/>
      <c r="HIV9" s="34"/>
      <c r="HIW9" s="64"/>
      <c r="HIX9" s="4"/>
      <c r="HIY9" s="65"/>
      <c r="HIZ9" s="4"/>
      <c r="HJA9" s="4"/>
      <c r="HJB9" s="4"/>
      <c r="HJE9" s="34"/>
      <c r="HJF9" s="34"/>
      <c r="HJH9" s="34"/>
      <c r="HJI9" s="72"/>
      <c r="HJJ9" s="63"/>
      <c r="HJK9" s="34"/>
      <c r="HJL9" s="64"/>
      <c r="HJM9" s="4"/>
      <c r="HJN9" s="65"/>
      <c r="HJO9" s="4"/>
      <c r="HJP9" s="4"/>
      <c r="HJQ9" s="4"/>
      <c r="HJT9" s="34"/>
      <c r="HJU9" s="34"/>
      <c r="HJW9" s="34"/>
      <c r="HJX9" s="72"/>
      <c r="HJY9" s="63"/>
      <c r="HJZ9" s="34"/>
      <c r="HKA9" s="64"/>
      <c r="HKB9" s="4"/>
      <c r="HKC9" s="65"/>
      <c r="HKD9" s="4"/>
      <c r="HKE9" s="4"/>
      <c r="HKF9" s="4"/>
      <c r="HKI9" s="34"/>
      <c r="HKJ9" s="34"/>
      <c r="HKL9" s="34"/>
      <c r="HKM9" s="72"/>
      <c r="HKN9" s="63"/>
      <c r="HKO9" s="34"/>
      <c r="HKP9" s="64"/>
      <c r="HKQ9" s="4"/>
      <c r="HKR9" s="65"/>
      <c r="HKS9" s="4"/>
      <c r="HKT9" s="4"/>
      <c r="HKU9" s="4"/>
      <c r="HKX9" s="34"/>
      <c r="HKY9" s="34"/>
      <c r="HLA9" s="34"/>
      <c r="HLB9" s="72"/>
      <c r="HLC9" s="63"/>
      <c r="HLD9" s="34"/>
      <c r="HLE9" s="64"/>
      <c r="HLF9" s="4"/>
      <c r="HLG9" s="65"/>
      <c r="HLH9" s="4"/>
      <c r="HLI9" s="4"/>
      <c r="HLJ9" s="4"/>
      <c r="HLM9" s="34"/>
      <c r="HLN9" s="34"/>
      <c r="HLP9" s="34"/>
      <c r="HLQ9" s="72"/>
      <c r="HLR9" s="63"/>
      <c r="HLS9" s="34"/>
      <c r="HLT9" s="64"/>
      <c r="HLU9" s="4"/>
      <c r="HLV9" s="65"/>
      <c r="HLW9" s="4"/>
      <c r="HLX9" s="4"/>
      <c r="HLY9" s="4"/>
      <c r="HMB9" s="34"/>
      <c r="HMC9" s="34"/>
      <c r="HME9" s="34"/>
      <c r="HMF9" s="72"/>
      <c r="HMG9" s="63"/>
      <c r="HMH9" s="34"/>
      <c r="HMI9" s="64"/>
      <c r="HMJ9" s="4"/>
      <c r="HMK9" s="65"/>
      <c r="HML9" s="4"/>
      <c r="HMM9" s="4"/>
      <c r="HMN9" s="4"/>
      <c r="HMQ9" s="34"/>
      <c r="HMR9" s="34"/>
      <c r="HMT9" s="34"/>
      <c r="HMU9" s="72"/>
      <c r="HMV9" s="63"/>
      <c r="HMW9" s="34"/>
      <c r="HMX9" s="64"/>
      <c r="HMY9" s="4"/>
      <c r="HMZ9" s="65"/>
      <c r="HNA9" s="4"/>
      <c r="HNB9" s="4"/>
      <c r="HNC9" s="4"/>
      <c r="HNF9" s="34"/>
      <c r="HNG9" s="34"/>
      <c r="HNI9" s="34"/>
      <c r="HNJ9" s="72"/>
      <c r="HNK9" s="63"/>
      <c r="HNL9" s="34"/>
      <c r="HNM9" s="64"/>
      <c r="HNN9" s="4"/>
      <c r="HNO9" s="65"/>
      <c r="HNP9" s="4"/>
      <c r="HNQ9" s="4"/>
      <c r="HNR9" s="4"/>
      <c r="HNU9" s="34"/>
      <c r="HNV9" s="34"/>
      <c r="HNX9" s="34"/>
      <c r="HNY9" s="72"/>
      <c r="HNZ9" s="63"/>
      <c r="HOA9" s="34"/>
      <c r="HOB9" s="64"/>
      <c r="HOC9" s="4"/>
      <c r="HOD9" s="65"/>
      <c r="HOE9" s="4"/>
      <c r="HOF9" s="4"/>
      <c r="HOG9" s="4"/>
      <c r="HOJ9" s="34"/>
      <c r="HOK9" s="34"/>
      <c r="HOM9" s="34"/>
      <c r="HON9" s="72"/>
      <c r="HOO9" s="63"/>
      <c r="HOP9" s="34"/>
      <c r="HOQ9" s="64"/>
      <c r="HOR9" s="4"/>
      <c r="HOS9" s="65"/>
      <c r="HOT9" s="4"/>
      <c r="HOU9" s="4"/>
      <c r="HOV9" s="4"/>
      <c r="HOY9" s="34"/>
      <c r="HOZ9" s="34"/>
      <c r="HPB9" s="34"/>
      <c r="HPC9" s="72"/>
      <c r="HPD9" s="63"/>
      <c r="HPE9" s="34"/>
      <c r="HPF9" s="64"/>
      <c r="HPG9" s="4"/>
      <c r="HPH9" s="65"/>
      <c r="HPI9" s="4"/>
      <c r="HPJ9" s="4"/>
      <c r="HPK9" s="4"/>
      <c r="HPN9" s="34"/>
      <c r="HPO9" s="34"/>
      <c r="HPQ9" s="34"/>
      <c r="HPR9" s="72"/>
      <c r="HPS9" s="63"/>
      <c r="HPT9" s="34"/>
      <c r="HPU9" s="64"/>
      <c r="HPV9" s="4"/>
      <c r="HPW9" s="65"/>
      <c r="HPX9" s="4"/>
      <c r="HPY9" s="4"/>
      <c r="HPZ9" s="4"/>
      <c r="HQC9" s="34"/>
      <c r="HQD9" s="34"/>
      <c r="HQF9" s="34"/>
      <c r="HQG9" s="72"/>
      <c r="HQH9" s="63"/>
      <c r="HQI9" s="34"/>
      <c r="HQJ9" s="64"/>
      <c r="HQK9" s="4"/>
      <c r="HQL9" s="65"/>
      <c r="HQM9" s="4"/>
      <c r="HQN9" s="4"/>
      <c r="HQO9" s="4"/>
      <c r="HQR9" s="34"/>
      <c r="HQS9" s="34"/>
      <c r="HQU9" s="34"/>
      <c r="HQV9" s="72"/>
      <c r="HQW9" s="63"/>
      <c r="HQX9" s="34"/>
      <c r="HQY9" s="64"/>
      <c r="HQZ9" s="4"/>
      <c r="HRA9" s="65"/>
      <c r="HRB9" s="4"/>
      <c r="HRC9" s="4"/>
      <c r="HRD9" s="4"/>
      <c r="HRG9" s="34"/>
      <c r="HRH9" s="34"/>
      <c r="HRJ9" s="34"/>
      <c r="HRK9" s="72"/>
      <c r="HRL9" s="63"/>
      <c r="HRM9" s="34"/>
      <c r="HRN9" s="64"/>
      <c r="HRO9" s="4"/>
      <c r="HRP9" s="65"/>
      <c r="HRQ9" s="4"/>
      <c r="HRR9" s="4"/>
      <c r="HRS9" s="4"/>
      <c r="HRV9" s="34"/>
      <c r="HRW9" s="34"/>
      <c r="HRY9" s="34"/>
      <c r="HRZ9" s="72"/>
      <c r="HSA9" s="63"/>
      <c r="HSB9" s="34"/>
      <c r="HSC9" s="64"/>
      <c r="HSD9" s="4"/>
      <c r="HSE9" s="65"/>
      <c r="HSF9" s="4"/>
      <c r="HSG9" s="4"/>
      <c r="HSH9" s="4"/>
      <c r="HSK9" s="34"/>
      <c r="HSL9" s="34"/>
      <c r="HSN9" s="34"/>
      <c r="HSO9" s="72"/>
      <c r="HSP9" s="63"/>
      <c r="HSQ9" s="34"/>
      <c r="HSR9" s="64"/>
      <c r="HSS9" s="4"/>
      <c r="HST9" s="65"/>
      <c r="HSU9" s="4"/>
      <c r="HSV9" s="4"/>
      <c r="HSW9" s="4"/>
      <c r="HSZ9" s="34"/>
      <c r="HTA9" s="34"/>
      <c r="HTC9" s="34"/>
      <c r="HTD9" s="72"/>
      <c r="HTE9" s="63"/>
      <c r="HTF9" s="34"/>
      <c r="HTG9" s="64"/>
      <c r="HTH9" s="4"/>
      <c r="HTI9" s="65"/>
      <c r="HTJ9" s="4"/>
      <c r="HTK9" s="4"/>
      <c r="HTL9" s="4"/>
      <c r="HTO9" s="34"/>
      <c r="HTP9" s="34"/>
      <c r="HTR9" s="34"/>
      <c r="HTS9" s="72"/>
      <c r="HTT9" s="63"/>
      <c r="HTU9" s="34"/>
      <c r="HTV9" s="64"/>
      <c r="HTW9" s="4"/>
      <c r="HTX9" s="65"/>
      <c r="HTY9" s="4"/>
      <c r="HTZ9" s="4"/>
      <c r="HUA9" s="4"/>
      <c r="HUD9" s="34"/>
      <c r="HUE9" s="34"/>
      <c r="HUG9" s="34"/>
      <c r="HUH9" s="72"/>
      <c r="HUI9" s="63"/>
      <c r="HUJ9" s="34"/>
      <c r="HUK9" s="64"/>
      <c r="HUL9" s="4"/>
      <c r="HUM9" s="65"/>
      <c r="HUN9" s="4"/>
      <c r="HUO9" s="4"/>
      <c r="HUP9" s="4"/>
      <c r="HUS9" s="34"/>
      <c r="HUT9" s="34"/>
      <c r="HUV9" s="34"/>
      <c r="HUW9" s="72"/>
      <c r="HUX9" s="63"/>
      <c r="HUY9" s="34"/>
      <c r="HUZ9" s="64"/>
      <c r="HVA9" s="4"/>
      <c r="HVB9" s="65"/>
      <c r="HVC9" s="4"/>
      <c r="HVD9" s="4"/>
      <c r="HVE9" s="4"/>
      <c r="HVH9" s="34"/>
      <c r="HVI9" s="34"/>
      <c r="HVK9" s="34"/>
      <c r="HVL9" s="72"/>
      <c r="HVM9" s="63"/>
      <c r="HVN9" s="34"/>
      <c r="HVO9" s="64"/>
      <c r="HVP9" s="4"/>
      <c r="HVQ9" s="65"/>
      <c r="HVR9" s="4"/>
      <c r="HVS9" s="4"/>
      <c r="HVT9" s="4"/>
      <c r="HVW9" s="34"/>
      <c r="HVX9" s="34"/>
      <c r="HVZ9" s="34"/>
      <c r="HWA9" s="72"/>
      <c r="HWB9" s="63"/>
      <c r="HWC9" s="34"/>
      <c r="HWD9" s="64"/>
      <c r="HWE9" s="4"/>
      <c r="HWF9" s="65"/>
      <c r="HWG9" s="4"/>
      <c r="HWH9" s="4"/>
      <c r="HWI9" s="4"/>
      <c r="HWL9" s="34"/>
      <c r="HWM9" s="34"/>
      <c r="HWO9" s="34"/>
      <c r="HWP9" s="72"/>
      <c r="HWQ9" s="63"/>
      <c r="HWR9" s="34"/>
      <c r="HWS9" s="64"/>
      <c r="HWT9" s="4"/>
      <c r="HWU9" s="65"/>
      <c r="HWV9" s="4"/>
      <c r="HWW9" s="4"/>
      <c r="HWX9" s="4"/>
      <c r="HXA9" s="34"/>
      <c r="HXB9" s="34"/>
      <c r="HXD9" s="34"/>
      <c r="HXE9" s="72"/>
      <c r="HXF9" s="63"/>
      <c r="HXG9" s="34"/>
      <c r="HXH9" s="64"/>
      <c r="HXI9" s="4"/>
      <c r="HXJ9" s="65"/>
      <c r="HXK9" s="4"/>
      <c r="HXL9" s="4"/>
      <c r="HXM9" s="4"/>
      <c r="HXP9" s="34"/>
      <c r="HXQ9" s="34"/>
      <c r="HXS9" s="34"/>
      <c r="HXT9" s="72"/>
      <c r="HXU9" s="63"/>
      <c r="HXV9" s="34"/>
      <c r="HXW9" s="64"/>
      <c r="HXX9" s="4"/>
      <c r="HXY9" s="65"/>
      <c r="HXZ9" s="4"/>
      <c r="HYA9" s="4"/>
      <c r="HYB9" s="4"/>
      <c r="HYE9" s="34"/>
      <c r="HYF9" s="34"/>
      <c r="HYH9" s="34"/>
      <c r="HYI9" s="72"/>
      <c r="HYJ9" s="63"/>
      <c r="HYK9" s="34"/>
      <c r="HYL9" s="64"/>
      <c r="HYM9" s="4"/>
      <c r="HYN9" s="65"/>
      <c r="HYO9" s="4"/>
      <c r="HYP9" s="4"/>
      <c r="HYQ9" s="4"/>
      <c r="HYT9" s="34"/>
      <c r="HYU9" s="34"/>
      <c r="HYW9" s="34"/>
      <c r="HYX9" s="72"/>
      <c r="HYY9" s="63"/>
      <c r="HYZ9" s="34"/>
      <c r="HZA9" s="64"/>
      <c r="HZB9" s="4"/>
      <c r="HZC9" s="65"/>
      <c r="HZD9" s="4"/>
      <c r="HZE9" s="4"/>
      <c r="HZF9" s="4"/>
      <c r="HZI9" s="34"/>
      <c r="HZJ9" s="34"/>
      <c r="HZL9" s="34"/>
      <c r="HZM9" s="72"/>
      <c r="HZN9" s="63"/>
      <c r="HZO9" s="34"/>
      <c r="HZP9" s="64"/>
      <c r="HZQ9" s="4"/>
      <c r="HZR9" s="65"/>
      <c r="HZS9" s="4"/>
      <c r="HZT9" s="4"/>
      <c r="HZU9" s="4"/>
      <c r="HZX9" s="34"/>
      <c r="HZY9" s="34"/>
      <c r="IAA9" s="34"/>
      <c r="IAB9" s="72"/>
      <c r="IAC9" s="63"/>
      <c r="IAD9" s="34"/>
      <c r="IAE9" s="64"/>
      <c r="IAF9" s="4"/>
      <c r="IAG9" s="65"/>
      <c r="IAH9" s="4"/>
      <c r="IAI9" s="4"/>
      <c r="IAJ9" s="4"/>
      <c r="IAM9" s="34"/>
      <c r="IAN9" s="34"/>
      <c r="IAP9" s="34"/>
      <c r="IAQ9" s="72"/>
      <c r="IAR9" s="63"/>
      <c r="IAS9" s="34"/>
      <c r="IAT9" s="64"/>
      <c r="IAU9" s="4"/>
      <c r="IAV9" s="65"/>
      <c r="IAW9" s="4"/>
      <c r="IAX9" s="4"/>
      <c r="IAY9" s="4"/>
      <c r="IBB9" s="34"/>
      <c r="IBC9" s="34"/>
      <c r="IBE9" s="34"/>
      <c r="IBF9" s="72"/>
      <c r="IBG9" s="63"/>
      <c r="IBH9" s="34"/>
      <c r="IBI9" s="64"/>
      <c r="IBJ9" s="4"/>
      <c r="IBK9" s="65"/>
      <c r="IBL9" s="4"/>
      <c r="IBM9" s="4"/>
      <c r="IBN9" s="4"/>
      <c r="IBQ9" s="34"/>
      <c r="IBR9" s="34"/>
      <c r="IBT9" s="34"/>
      <c r="IBU9" s="72"/>
      <c r="IBV9" s="63"/>
      <c r="IBW9" s="34"/>
      <c r="IBX9" s="64"/>
      <c r="IBY9" s="4"/>
      <c r="IBZ9" s="65"/>
      <c r="ICA9" s="4"/>
      <c r="ICB9" s="4"/>
      <c r="ICC9" s="4"/>
      <c r="ICF9" s="34"/>
      <c r="ICG9" s="34"/>
      <c r="ICI9" s="34"/>
      <c r="ICJ9" s="72"/>
      <c r="ICK9" s="63"/>
      <c r="ICL9" s="34"/>
      <c r="ICM9" s="64"/>
      <c r="ICN9" s="4"/>
      <c r="ICO9" s="65"/>
      <c r="ICP9" s="4"/>
      <c r="ICQ9" s="4"/>
      <c r="ICR9" s="4"/>
      <c r="ICU9" s="34"/>
      <c r="ICV9" s="34"/>
      <c r="ICX9" s="34"/>
      <c r="ICY9" s="72"/>
      <c r="ICZ9" s="63"/>
      <c r="IDA9" s="34"/>
      <c r="IDB9" s="64"/>
      <c r="IDC9" s="4"/>
      <c r="IDD9" s="65"/>
      <c r="IDE9" s="4"/>
      <c r="IDF9" s="4"/>
      <c r="IDG9" s="4"/>
      <c r="IDJ9" s="34"/>
      <c r="IDK9" s="34"/>
      <c r="IDM9" s="34"/>
      <c r="IDN9" s="72"/>
      <c r="IDO9" s="63"/>
      <c r="IDP9" s="34"/>
      <c r="IDQ9" s="64"/>
      <c r="IDR9" s="4"/>
      <c r="IDS9" s="65"/>
      <c r="IDT9" s="4"/>
      <c r="IDU9" s="4"/>
      <c r="IDV9" s="4"/>
      <c r="IDY9" s="34"/>
      <c r="IDZ9" s="34"/>
      <c r="IEB9" s="34"/>
      <c r="IEC9" s="72"/>
      <c r="IED9" s="63"/>
      <c r="IEE9" s="34"/>
      <c r="IEF9" s="64"/>
      <c r="IEG9" s="4"/>
      <c r="IEH9" s="65"/>
      <c r="IEI9" s="4"/>
      <c r="IEJ9" s="4"/>
      <c r="IEK9" s="4"/>
      <c r="IEN9" s="34"/>
      <c r="IEO9" s="34"/>
      <c r="IEQ9" s="34"/>
      <c r="IER9" s="72"/>
      <c r="IES9" s="63"/>
      <c r="IET9" s="34"/>
      <c r="IEU9" s="64"/>
      <c r="IEV9" s="4"/>
      <c r="IEW9" s="65"/>
      <c r="IEX9" s="4"/>
      <c r="IEY9" s="4"/>
      <c r="IEZ9" s="4"/>
      <c r="IFC9" s="34"/>
      <c r="IFD9" s="34"/>
      <c r="IFF9" s="34"/>
      <c r="IFG9" s="72"/>
      <c r="IFH9" s="63"/>
      <c r="IFI9" s="34"/>
      <c r="IFJ9" s="64"/>
      <c r="IFK9" s="4"/>
      <c r="IFL9" s="65"/>
      <c r="IFM9" s="4"/>
      <c r="IFN9" s="4"/>
      <c r="IFO9" s="4"/>
      <c r="IFR9" s="34"/>
      <c r="IFS9" s="34"/>
      <c r="IFU9" s="34"/>
      <c r="IFV9" s="72"/>
      <c r="IFW9" s="63"/>
      <c r="IFX9" s="34"/>
      <c r="IFY9" s="64"/>
      <c r="IFZ9" s="4"/>
      <c r="IGA9" s="65"/>
      <c r="IGB9" s="4"/>
      <c r="IGC9" s="4"/>
      <c r="IGD9" s="4"/>
      <c r="IGG9" s="34"/>
      <c r="IGH9" s="34"/>
      <c r="IGJ9" s="34"/>
      <c r="IGK9" s="72"/>
      <c r="IGL9" s="63"/>
      <c r="IGM9" s="34"/>
      <c r="IGN9" s="64"/>
      <c r="IGO9" s="4"/>
      <c r="IGP9" s="65"/>
      <c r="IGQ9" s="4"/>
      <c r="IGR9" s="4"/>
      <c r="IGS9" s="4"/>
      <c r="IGV9" s="34"/>
      <c r="IGW9" s="34"/>
      <c r="IGY9" s="34"/>
      <c r="IGZ9" s="72"/>
      <c r="IHA9" s="63"/>
      <c r="IHB9" s="34"/>
      <c r="IHC9" s="64"/>
      <c r="IHD9" s="4"/>
      <c r="IHE9" s="65"/>
      <c r="IHF9" s="4"/>
      <c r="IHG9" s="4"/>
      <c r="IHH9" s="4"/>
      <c r="IHK9" s="34"/>
      <c r="IHL9" s="34"/>
      <c r="IHN9" s="34"/>
      <c r="IHO9" s="72"/>
      <c r="IHP9" s="63"/>
      <c r="IHQ9" s="34"/>
      <c r="IHR9" s="64"/>
      <c r="IHS9" s="4"/>
      <c r="IHT9" s="65"/>
      <c r="IHU9" s="4"/>
      <c r="IHV9" s="4"/>
      <c r="IHW9" s="4"/>
      <c r="IHZ9" s="34"/>
      <c r="IIA9" s="34"/>
      <c r="IIC9" s="34"/>
      <c r="IID9" s="72"/>
      <c r="IIE9" s="63"/>
      <c r="IIF9" s="34"/>
      <c r="IIG9" s="64"/>
      <c r="IIH9" s="4"/>
      <c r="III9" s="65"/>
      <c r="IIJ9" s="4"/>
      <c r="IIK9" s="4"/>
      <c r="IIL9" s="4"/>
      <c r="IIO9" s="34"/>
      <c r="IIP9" s="34"/>
      <c r="IIR9" s="34"/>
      <c r="IIS9" s="72"/>
      <c r="IIT9" s="63"/>
      <c r="IIU9" s="34"/>
      <c r="IIV9" s="64"/>
      <c r="IIW9" s="4"/>
      <c r="IIX9" s="65"/>
      <c r="IIY9" s="4"/>
      <c r="IIZ9" s="4"/>
      <c r="IJA9" s="4"/>
      <c r="IJD9" s="34"/>
      <c r="IJE9" s="34"/>
      <c r="IJG9" s="34"/>
      <c r="IJH9" s="72"/>
      <c r="IJI9" s="63"/>
      <c r="IJJ9" s="34"/>
      <c r="IJK9" s="64"/>
      <c r="IJL9" s="4"/>
      <c r="IJM9" s="65"/>
      <c r="IJN9" s="4"/>
      <c r="IJO9" s="4"/>
      <c r="IJP9" s="4"/>
      <c r="IJS9" s="34"/>
      <c r="IJT9" s="34"/>
      <c r="IJV9" s="34"/>
      <c r="IJW9" s="72"/>
      <c r="IJX9" s="63"/>
      <c r="IJY9" s="34"/>
      <c r="IJZ9" s="64"/>
      <c r="IKA9" s="4"/>
      <c r="IKB9" s="65"/>
      <c r="IKC9" s="4"/>
      <c r="IKD9" s="4"/>
      <c r="IKE9" s="4"/>
      <c r="IKH9" s="34"/>
      <c r="IKI9" s="34"/>
      <c r="IKK9" s="34"/>
      <c r="IKL9" s="72"/>
      <c r="IKM9" s="63"/>
      <c r="IKN9" s="34"/>
      <c r="IKO9" s="64"/>
      <c r="IKP9" s="4"/>
      <c r="IKQ9" s="65"/>
      <c r="IKR9" s="4"/>
      <c r="IKS9" s="4"/>
      <c r="IKT9" s="4"/>
      <c r="IKW9" s="34"/>
      <c r="IKX9" s="34"/>
      <c r="IKZ9" s="34"/>
      <c r="ILA9" s="72"/>
      <c r="ILB9" s="63"/>
      <c r="ILC9" s="34"/>
      <c r="ILD9" s="64"/>
      <c r="ILE9" s="4"/>
      <c r="ILF9" s="65"/>
      <c r="ILG9" s="4"/>
      <c r="ILH9" s="4"/>
      <c r="ILI9" s="4"/>
      <c r="ILL9" s="34"/>
      <c r="ILM9" s="34"/>
      <c r="ILO9" s="34"/>
      <c r="ILP9" s="72"/>
      <c r="ILQ9" s="63"/>
      <c r="ILR9" s="34"/>
      <c r="ILS9" s="64"/>
      <c r="ILT9" s="4"/>
      <c r="ILU9" s="65"/>
      <c r="ILV9" s="4"/>
      <c r="ILW9" s="4"/>
      <c r="ILX9" s="4"/>
      <c r="IMA9" s="34"/>
      <c r="IMB9" s="34"/>
      <c r="IMD9" s="34"/>
      <c r="IME9" s="72"/>
      <c r="IMF9" s="63"/>
      <c r="IMG9" s="34"/>
      <c r="IMH9" s="64"/>
      <c r="IMI9" s="4"/>
      <c r="IMJ9" s="65"/>
      <c r="IMK9" s="4"/>
      <c r="IML9" s="4"/>
      <c r="IMM9" s="4"/>
      <c r="IMP9" s="34"/>
      <c r="IMQ9" s="34"/>
      <c r="IMS9" s="34"/>
      <c r="IMT9" s="72"/>
      <c r="IMU9" s="63"/>
      <c r="IMV9" s="34"/>
      <c r="IMW9" s="64"/>
      <c r="IMX9" s="4"/>
      <c r="IMY9" s="65"/>
      <c r="IMZ9" s="4"/>
      <c r="INA9" s="4"/>
      <c r="INB9" s="4"/>
      <c r="INE9" s="34"/>
      <c r="INF9" s="34"/>
      <c r="INH9" s="34"/>
      <c r="INI9" s="72"/>
      <c r="INJ9" s="63"/>
      <c r="INK9" s="34"/>
      <c r="INL9" s="64"/>
      <c r="INM9" s="4"/>
      <c r="INN9" s="65"/>
      <c r="INO9" s="4"/>
      <c r="INP9" s="4"/>
      <c r="INQ9" s="4"/>
      <c r="INT9" s="34"/>
      <c r="INU9" s="34"/>
      <c r="INW9" s="34"/>
      <c r="INX9" s="72"/>
      <c r="INY9" s="63"/>
      <c r="INZ9" s="34"/>
      <c r="IOA9" s="64"/>
      <c r="IOB9" s="4"/>
      <c r="IOC9" s="65"/>
      <c r="IOD9" s="4"/>
      <c r="IOE9" s="4"/>
      <c r="IOF9" s="4"/>
      <c r="IOI9" s="34"/>
      <c r="IOJ9" s="34"/>
      <c r="IOL9" s="34"/>
      <c r="IOM9" s="72"/>
      <c r="ION9" s="63"/>
      <c r="IOO9" s="34"/>
      <c r="IOP9" s="64"/>
      <c r="IOQ9" s="4"/>
      <c r="IOR9" s="65"/>
      <c r="IOS9" s="4"/>
      <c r="IOT9" s="4"/>
      <c r="IOU9" s="4"/>
      <c r="IOX9" s="34"/>
      <c r="IOY9" s="34"/>
      <c r="IPA9" s="34"/>
      <c r="IPB9" s="72"/>
      <c r="IPC9" s="63"/>
      <c r="IPD9" s="34"/>
      <c r="IPE9" s="64"/>
      <c r="IPF9" s="4"/>
      <c r="IPG9" s="65"/>
      <c r="IPH9" s="4"/>
      <c r="IPI9" s="4"/>
      <c r="IPJ9" s="4"/>
      <c r="IPM9" s="34"/>
      <c r="IPN9" s="34"/>
      <c r="IPP9" s="34"/>
      <c r="IPQ9" s="72"/>
      <c r="IPR9" s="63"/>
      <c r="IPS9" s="34"/>
      <c r="IPT9" s="64"/>
      <c r="IPU9" s="4"/>
      <c r="IPV9" s="65"/>
      <c r="IPW9" s="4"/>
      <c r="IPX9" s="4"/>
      <c r="IPY9" s="4"/>
      <c r="IQB9" s="34"/>
      <c r="IQC9" s="34"/>
      <c r="IQE9" s="34"/>
      <c r="IQF9" s="72"/>
      <c r="IQG9" s="63"/>
      <c r="IQH9" s="34"/>
      <c r="IQI9" s="64"/>
      <c r="IQJ9" s="4"/>
      <c r="IQK9" s="65"/>
      <c r="IQL9" s="4"/>
      <c r="IQM9" s="4"/>
      <c r="IQN9" s="4"/>
      <c r="IQQ9" s="34"/>
      <c r="IQR9" s="34"/>
      <c r="IQT9" s="34"/>
      <c r="IQU9" s="72"/>
      <c r="IQV9" s="63"/>
      <c r="IQW9" s="34"/>
      <c r="IQX9" s="64"/>
      <c r="IQY9" s="4"/>
      <c r="IQZ9" s="65"/>
      <c r="IRA9" s="4"/>
      <c r="IRB9" s="4"/>
      <c r="IRC9" s="4"/>
      <c r="IRF9" s="34"/>
      <c r="IRG9" s="34"/>
      <c r="IRI9" s="34"/>
      <c r="IRJ9" s="72"/>
      <c r="IRK9" s="63"/>
      <c r="IRL9" s="34"/>
      <c r="IRM9" s="64"/>
      <c r="IRN9" s="4"/>
      <c r="IRO9" s="65"/>
      <c r="IRP9" s="4"/>
      <c r="IRQ9" s="4"/>
      <c r="IRR9" s="4"/>
      <c r="IRU9" s="34"/>
      <c r="IRV9" s="34"/>
      <c r="IRX9" s="34"/>
      <c r="IRY9" s="72"/>
      <c r="IRZ9" s="63"/>
      <c r="ISA9" s="34"/>
      <c r="ISB9" s="64"/>
      <c r="ISC9" s="4"/>
      <c r="ISD9" s="65"/>
      <c r="ISE9" s="4"/>
      <c r="ISF9" s="4"/>
      <c r="ISG9" s="4"/>
      <c r="ISJ9" s="34"/>
      <c r="ISK9" s="34"/>
      <c r="ISM9" s="34"/>
      <c r="ISN9" s="72"/>
      <c r="ISO9" s="63"/>
      <c r="ISP9" s="34"/>
      <c r="ISQ9" s="64"/>
      <c r="ISR9" s="4"/>
      <c r="ISS9" s="65"/>
      <c r="IST9" s="4"/>
      <c r="ISU9" s="4"/>
      <c r="ISV9" s="4"/>
      <c r="ISY9" s="34"/>
      <c r="ISZ9" s="34"/>
      <c r="ITB9" s="34"/>
      <c r="ITC9" s="72"/>
      <c r="ITD9" s="63"/>
      <c r="ITE9" s="34"/>
      <c r="ITF9" s="64"/>
      <c r="ITG9" s="4"/>
      <c r="ITH9" s="65"/>
      <c r="ITI9" s="4"/>
      <c r="ITJ9" s="4"/>
      <c r="ITK9" s="4"/>
      <c r="ITN9" s="34"/>
      <c r="ITO9" s="34"/>
      <c r="ITQ9" s="34"/>
      <c r="ITR9" s="72"/>
      <c r="ITS9" s="63"/>
      <c r="ITT9" s="34"/>
      <c r="ITU9" s="64"/>
      <c r="ITV9" s="4"/>
      <c r="ITW9" s="65"/>
      <c r="ITX9" s="4"/>
      <c r="ITY9" s="4"/>
      <c r="ITZ9" s="4"/>
      <c r="IUC9" s="34"/>
      <c r="IUD9" s="34"/>
      <c r="IUF9" s="34"/>
      <c r="IUG9" s="72"/>
      <c r="IUH9" s="63"/>
      <c r="IUI9" s="34"/>
      <c r="IUJ9" s="64"/>
      <c r="IUK9" s="4"/>
      <c r="IUL9" s="65"/>
      <c r="IUM9" s="4"/>
      <c r="IUN9" s="4"/>
      <c r="IUO9" s="4"/>
      <c r="IUR9" s="34"/>
      <c r="IUS9" s="34"/>
      <c r="IUU9" s="34"/>
      <c r="IUV9" s="72"/>
      <c r="IUW9" s="63"/>
      <c r="IUX9" s="34"/>
      <c r="IUY9" s="64"/>
      <c r="IUZ9" s="4"/>
      <c r="IVA9" s="65"/>
      <c r="IVB9" s="4"/>
      <c r="IVC9" s="4"/>
      <c r="IVD9" s="4"/>
      <c r="IVG9" s="34"/>
      <c r="IVH9" s="34"/>
      <c r="IVJ9" s="34"/>
      <c r="IVK9" s="72"/>
      <c r="IVL9" s="63"/>
      <c r="IVM9" s="34"/>
      <c r="IVN9" s="64"/>
      <c r="IVO9" s="4"/>
      <c r="IVP9" s="65"/>
      <c r="IVQ9" s="4"/>
      <c r="IVR9" s="4"/>
      <c r="IVS9" s="4"/>
      <c r="IVV9" s="34"/>
      <c r="IVW9" s="34"/>
      <c r="IVY9" s="34"/>
      <c r="IVZ9" s="72"/>
      <c r="IWA9" s="63"/>
      <c r="IWB9" s="34"/>
      <c r="IWC9" s="64"/>
      <c r="IWD9" s="4"/>
      <c r="IWE9" s="65"/>
      <c r="IWF9" s="4"/>
      <c r="IWG9" s="4"/>
      <c r="IWH9" s="4"/>
      <c r="IWK9" s="34"/>
      <c r="IWL9" s="34"/>
      <c r="IWN9" s="34"/>
      <c r="IWO9" s="72"/>
      <c r="IWP9" s="63"/>
      <c r="IWQ9" s="34"/>
      <c r="IWR9" s="64"/>
      <c r="IWS9" s="4"/>
      <c r="IWT9" s="65"/>
      <c r="IWU9" s="4"/>
      <c r="IWV9" s="4"/>
      <c r="IWW9" s="4"/>
      <c r="IWZ9" s="34"/>
      <c r="IXA9" s="34"/>
      <c r="IXC9" s="34"/>
      <c r="IXD9" s="72"/>
      <c r="IXE9" s="63"/>
      <c r="IXF9" s="34"/>
      <c r="IXG9" s="64"/>
      <c r="IXH9" s="4"/>
      <c r="IXI9" s="65"/>
      <c r="IXJ9" s="4"/>
      <c r="IXK9" s="4"/>
      <c r="IXL9" s="4"/>
      <c r="IXO9" s="34"/>
      <c r="IXP9" s="34"/>
      <c r="IXR9" s="34"/>
      <c r="IXS9" s="72"/>
      <c r="IXT9" s="63"/>
      <c r="IXU9" s="34"/>
      <c r="IXV9" s="64"/>
      <c r="IXW9" s="4"/>
      <c r="IXX9" s="65"/>
      <c r="IXY9" s="4"/>
      <c r="IXZ9" s="4"/>
      <c r="IYA9" s="4"/>
      <c r="IYD9" s="34"/>
      <c r="IYE9" s="34"/>
      <c r="IYG9" s="34"/>
      <c r="IYH9" s="72"/>
      <c r="IYI9" s="63"/>
      <c r="IYJ9" s="34"/>
      <c r="IYK9" s="64"/>
      <c r="IYL9" s="4"/>
      <c r="IYM9" s="65"/>
      <c r="IYN9" s="4"/>
      <c r="IYO9" s="4"/>
      <c r="IYP9" s="4"/>
      <c r="IYS9" s="34"/>
      <c r="IYT9" s="34"/>
      <c r="IYV9" s="34"/>
      <c r="IYW9" s="72"/>
      <c r="IYX9" s="63"/>
      <c r="IYY9" s="34"/>
      <c r="IYZ9" s="64"/>
      <c r="IZA9" s="4"/>
      <c r="IZB9" s="65"/>
      <c r="IZC9" s="4"/>
      <c r="IZD9" s="4"/>
      <c r="IZE9" s="4"/>
      <c r="IZH9" s="34"/>
      <c r="IZI9" s="34"/>
      <c r="IZK9" s="34"/>
      <c r="IZL9" s="72"/>
      <c r="IZM9" s="63"/>
      <c r="IZN9" s="34"/>
      <c r="IZO9" s="64"/>
      <c r="IZP9" s="4"/>
      <c r="IZQ9" s="65"/>
      <c r="IZR9" s="4"/>
      <c r="IZS9" s="4"/>
      <c r="IZT9" s="4"/>
      <c r="IZW9" s="34"/>
      <c r="IZX9" s="34"/>
      <c r="IZZ9" s="34"/>
      <c r="JAA9" s="72"/>
      <c r="JAB9" s="63"/>
      <c r="JAC9" s="34"/>
      <c r="JAD9" s="64"/>
      <c r="JAE9" s="4"/>
      <c r="JAF9" s="65"/>
      <c r="JAG9" s="4"/>
      <c r="JAH9" s="4"/>
      <c r="JAI9" s="4"/>
      <c r="JAL9" s="34"/>
      <c r="JAM9" s="34"/>
      <c r="JAO9" s="34"/>
      <c r="JAP9" s="72"/>
      <c r="JAQ9" s="63"/>
      <c r="JAR9" s="34"/>
      <c r="JAS9" s="64"/>
      <c r="JAT9" s="4"/>
      <c r="JAU9" s="65"/>
      <c r="JAV9" s="4"/>
      <c r="JAW9" s="4"/>
      <c r="JAX9" s="4"/>
      <c r="JBA9" s="34"/>
      <c r="JBB9" s="34"/>
      <c r="JBD9" s="34"/>
      <c r="JBE9" s="72"/>
      <c r="JBF9" s="63"/>
      <c r="JBG9" s="34"/>
      <c r="JBH9" s="64"/>
      <c r="JBI9" s="4"/>
      <c r="JBJ9" s="65"/>
      <c r="JBK9" s="4"/>
      <c r="JBL9" s="4"/>
      <c r="JBM9" s="4"/>
      <c r="JBP9" s="34"/>
      <c r="JBQ9" s="34"/>
      <c r="JBS9" s="34"/>
      <c r="JBT9" s="72"/>
      <c r="JBU9" s="63"/>
      <c r="JBV9" s="34"/>
      <c r="JBW9" s="64"/>
      <c r="JBX9" s="4"/>
      <c r="JBY9" s="65"/>
      <c r="JBZ9" s="4"/>
      <c r="JCA9" s="4"/>
      <c r="JCB9" s="4"/>
      <c r="JCE9" s="34"/>
      <c r="JCF9" s="34"/>
      <c r="JCH9" s="34"/>
      <c r="JCI9" s="72"/>
      <c r="JCJ9" s="63"/>
      <c r="JCK9" s="34"/>
      <c r="JCL9" s="64"/>
      <c r="JCM9" s="4"/>
      <c r="JCN9" s="65"/>
      <c r="JCO9" s="4"/>
      <c r="JCP9" s="4"/>
      <c r="JCQ9" s="4"/>
      <c r="JCT9" s="34"/>
      <c r="JCU9" s="34"/>
      <c r="JCW9" s="34"/>
      <c r="JCX9" s="72"/>
      <c r="JCY9" s="63"/>
      <c r="JCZ9" s="34"/>
      <c r="JDA9" s="64"/>
      <c r="JDB9" s="4"/>
      <c r="JDC9" s="65"/>
      <c r="JDD9" s="4"/>
      <c r="JDE9" s="4"/>
      <c r="JDF9" s="4"/>
      <c r="JDI9" s="34"/>
      <c r="JDJ9" s="34"/>
      <c r="JDL9" s="34"/>
      <c r="JDM9" s="72"/>
      <c r="JDN9" s="63"/>
      <c r="JDO9" s="34"/>
      <c r="JDP9" s="64"/>
      <c r="JDQ9" s="4"/>
      <c r="JDR9" s="65"/>
      <c r="JDS9" s="4"/>
      <c r="JDT9" s="4"/>
      <c r="JDU9" s="4"/>
      <c r="JDX9" s="34"/>
      <c r="JDY9" s="34"/>
      <c r="JEA9" s="34"/>
      <c r="JEB9" s="72"/>
      <c r="JEC9" s="63"/>
      <c r="JED9" s="34"/>
      <c r="JEE9" s="64"/>
      <c r="JEF9" s="4"/>
      <c r="JEG9" s="65"/>
      <c r="JEH9" s="4"/>
      <c r="JEI9" s="4"/>
      <c r="JEJ9" s="4"/>
      <c r="JEM9" s="34"/>
      <c r="JEN9" s="34"/>
      <c r="JEP9" s="34"/>
      <c r="JEQ9" s="72"/>
      <c r="JER9" s="63"/>
      <c r="JES9" s="34"/>
      <c r="JET9" s="64"/>
      <c r="JEU9" s="4"/>
      <c r="JEV9" s="65"/>
      <c r="JEW9" s="4"/>
      <c r="JEX9" s="4"/>
      <c r="JEY9" s="4"/>
      <c r="JFB9" s="34"/>
      <c r="JFC9" s="34"/>
      <c r="JFE9" s="34"/>
      <c r="JFF9" s="72"/>
      <c r="JFG9" s="63"/>
      <c r="JFH9" s="34"/>
      <c r="JFI9" s="64"/>
      <c r="JFJ9" s="4"/>
      <c r="JFK9" s="65"/>
      <c r="JFL9" s="4"/>
      <c r="JFM9" s="4"/>
      <c r="JFN9" s="4"/>
      <c r="JFQ9" s="34"/>
      <c r="JFR9" s="34"/>
      <c r="JFT9" s="34"/>
      <c r="JFU9" s="72"/>
      <c r="JFV9" s="63"/>
      <c r="JFW9" s="34"/>
      <c r="JFX9" s="64"/>
      <c r="JFY9" s="4"/>
      <c r="JFZ9" s="65"/>
      <c r="JGA9" s="4"/>
      <c r="JGB9" s="4"/>
      <c r="JGC9" s="4"/>
      <c r="JGF9" s="34"/>
      <c r="JGG9" s="34"/>
      <c r="JGI9" s="34"/>
      <c r="JGJ9" s="72"/>
      <c r="JGK9" s="63"/>
      <c r="JGL9" s="34"/>
      <c r="JGM9" s="64"/>
      <c r="JGN9" s="4"/>
      <c r="JGO9" s="65"/>
      <c r="JGP9" s="4"/>
      <c r="JGQ9" s="4"/>
      <c r="JGR9" s="4"/>
      <c r="JGU9" s="34"/>
      <c r="JGV9" s="34"/>
      <c r="JGX9" s="34"/>
      <c r="JGY9" s="72"/>
      <c r="JGZ9" s="63"/>
      <c r="JHA9" s="34"/>
      <c r="JHB9" s="64"/>
      <c r="JHC9" s="4"/>
      <c r="JHD9" s="65"/>
      <c r="JHE9" s="4"/>
      <c r="JHF9" s="4"/>
      <c r="JHG9" s="4"/>
      <c r="JHJ9" s="34"/>
      <c r="JHK9" s="34"/>
      <c r="JHM9" s="34"/>
      <c r="JHN9" s="72"/>
      <c r="JHO9" s="63"/>
      <c r="JHP9" s="34"/>
      <c r="JHQ9" s="64"/>
      <c r="JHR9" s="4"/>
      <c r="JHS9" s="65"/>
      <c r="JHT9" s="4"/>
      <c r="JHU9" s="4"/>
      <c r="JHV9" s="4"/>
      <c r="JHY9" s="34"/>
      <c r="JHZ9" s="34"/>
      <c r="JIB9" s="34"/>
      <c r="JIC9" s="72"/>
      <c r="JID9" s="63"/>
      <c r="JIE9" s="34"/>
      <c r="JIF9" s="64"/>
      <c r="JIG9" s="4"/>
      <c r="JIH9" s="65"/>
      <c r="JII9" s="4"/>
      <c r="JIJ9" s="4"/>
      <c r="JIK9" s="4"/>
      <c r="JIN9" s="34"/>
      <c r="JIO9" s="34"/>
      <c r="JIQ9" s="34"/>
      <c r="JIR9" s="72"/>
      <c r="JIS9" s="63"/>
      <c r="JIT9" s="34"/>
      <c r="JIU9" s="64"/>
      <c r="JIV9" s="4"/>
      <c r="JIW9" s="65"/>
      <c r="JIX9" s="4"/>
      <c r="JIY9" s="4"/>
      <c r="JIZ9" s="4"/>
      <c r="JJC9" s="34"/>
      <c r="JJD9" s="34"/>
      <c r="JJF9" s="34"/>
      <c r="JJG9" s="72"/>
      <c r="JJH9" s="63"/>
      <c r="JJI9" s="34"/>
      <c r="JJJ9" s="64"/>
      <c r="JJK9" s="4"/>
      <c r="JJL9" s="65"/>
      <c r="JJM9" s="4"/>
      <c r="JJN9" s="4"/>
      <c r="JJO9" s="4"/>
      <c r="JJR9" s="34"/>
      <c r="JJS9" s="34"/>
      <c r="JJU9" s="34"/>
      <c r="JJV9" s="72"/>
      <c r="JJW9" s="63"/>
      <c r="JJX9" s="34"/>
      <c r="JJY9" s="64"/>
      <c r="JJZ9" s="4"/>
      <c r="JKA9" s="65"/>
      <c r="JKB9" s="4"/>
      <c r="JKC9" s="4"/>
      <c r="JKD9" s="4"/>
      <c r="JKG9" s="34"/>
      <c r="JKH9" s="34"/>
      <c r="JKJ9" s="34"/>
      <c r="JKK9" s="72"/>
      <c r="JKL9" s="63"/>
      <c r="JKM9" s="34"/>
      <c r="JKN9" s="64"/>
      <c r="JKO9" s="4"/>
      <c r="JKP9" s="65"/>
      <c r="JKQ9" s="4"/>
      <c r="JKR9" s="4"/>
      <c r="JKS9" s="4"/>
      <c r="JKV9" s="34"/>
      <c r="JKW9" s="34"/>
      <c r="JKY9" s="34"/>
      <c r="JKZ9" s="72"/>
      <c r="JLA9" s="63"/>
      <c r="JLB9" s="34"/>
      <c r="JLC9" s="64"/>
      <c r="JLD9" s="4"/>
      <c r="JLE9" s="65"/>
      <c r="JLF9" s="4"/>
      <c r="JLG9" s="4"/>
      <c r="JLH9" s="4"/>
      <c r="JLK9" s="34"/>
      <c r="JLL9" s="34"/>
      <c r="JLN9" s="34"/>
      <c r="JLO9" s="72"/>
      <c r="JLP9" s="63"/>
      <c r="JLQ9" s="34"/>
      <c r="JLR9" s="64"/>
      <c r="JLS9" s="4"/>
      <c r="JLT9" s="65"/>
      <c r="JLU9" s="4"/>
      <c r="JLV9" s="4"/>
      <c r="JLW9" s="4"/>
      <c r="JLZ9" s="34"/>
      <c r="JMA9" s="34"/>
      <c r="JMC9" s="34"/>
      <c r="JMD9" s="72"/>
      <c r="JME9" s="63"/>
      <c r="JMF9" s="34"/>
      <c r="JMG9" s="64"/>
      <c r="JMH9" s="4"/>
      <c r="JMI9" s="65"/>
      <c r="JMJ9" s="4"/>
      <c r="JMK9" s="4"/>
      <c r="JML9" s="4"/>
      <c r="JMO9" s="34"/>
      <c r="JMP9" s="34"/>
      <c r="JMR9" s="34"/>
      <c r="JMS9" s="72"/>
      <c r="JMT9" s="63"/>
      <c r="JMU9" s="34"/>
      <c r="JMV9" s="64"/>
      <c r="JMW9" s="4"/>
      <c r="JMX9" s="65"/>
      <c r="JMY9" s="4"/>
      <c r="JMZ9" s="4"/>
      <c r="JNA9" s="4"/>
      <c r="JND9" s="34"/>
      <c r="JNE9" s="34"/>
      <c r="JNG9" s="34"/>
      <c r="JNH9" s="72"/>
      <c r="JNI9" s="63"/>
      <c r="JNJ9" s="34"/>
      <c r="JNK9" s="64"/>
      <c r="JNL9" s="4"/>
      <c r="JNM9" s="65"/>
      <c r="JNN9" s="4"/>
      <c r="JNO9" s="4"/>
      <c r="JNP9" s="4"/>
      <c r="JNS9" s="34"/>
      <c r="JNT9" s="34"/>
      <c r="JNV9" s="34"/>
      <c r="JNW9" s="72"/>
      <c r="JNX9" s="63"/>
      <c r="JNY9" s="34"/>
      <c r="JNZ9" s="64"/>
      <c r="JOA9" s="4"/>
      <c r="JOB9" s="65"/>
      <c r="JOC9" s="4"/>
      <c r="JOD9" s="4"/>
      <c r="JOE9" s="4"/>
      <c r="JOH9" s="34"/>
      <c r="JOI9" s="34"/>
      <c r="JOK9" s="34"/>
      <c r="JOL9" s="72"/>
      <c r="JOM9" s="63"/>
      <c r="JON9" s="34"/>
      <c r="JOO9" s="64"/>
      <c r="JOP9" s="4"/>
      <c r="JOQ9" s="65"/>
      <c r="JOR9" s="4"/>
      <c r="JOS9" s="4"/>
      <c r="JOT9" s="4"/>
      <c r="JOW9" s="34"/>
      <c r="JOX9" s="34"/>
      <c r="JOZ9" s="34"/>
      <c r="JPA9" s="72"/>
      <c r="JPB9" s="63"/>
      <c r="JPC9" s="34"/>
      <c r="JPD9" s="64"/>
      <c r="JPE9" s="4"/>
      <c r="JPF9" s="65"/>
      <c r="JPG9" s="4"/>
      <c r="JPH9" s="4"/>
      <c r="JPI9" s="4"/>
      <c r="JPL9" s="34"/>
      <c r="JPM9" s="34"/>
      <c r="JPO9" s="34"/>
      <c r="JPP9" s="72"/>
      <c r="JPQ9" s="63"/>
      <c r="JPR9" s="34"/>
      <c r="JPS9" s="64"/>
      <c r="JPT9" s="4"/>
      <c r="JPU9" s="65"/>
      <c r="JPV9" s="4"/>
      <c r="JPW9" s="4"/>
      <c r="JPX9" s="4"/>
      <c r="JQA9" s="34"/>
      <c r="JQB9" s="34"/>
      <c r="JQD9" s="34"/>
      <c r="JQE9" s="72"/>
      <c r="JQF9" s="63"/>
      <c r="JQG9" s="34"/>
      <c r="JQH9" s="64"/>
      <c r="JQI9" s="4"/>
      <c r="JQJ9" s="65"/>
      <c r="JQK9" s="4"/>
      <c r="JQL9" s="4"/>
      <c r="JQM9" s="4"/>
      <c r="JQP9" s="34"/>
      <c r="JQQ9" s="34"/>
      <c r="JQS9" s="34"/>
      <c r="JQT9" s="72"/>
      <c r="JQU9" s="63"/>
      <c r="JQV9" s="34"/>
      <c r="JQW9" s="64"/>
      <c r="JQX9" s="4"/>
      <c r="JQY9" s="65"/>
      <c r="JQZ9" s="4"/>
      <c r="JRA9" s="4"/>
      <c r="JRB9" s="4"/>
      <c r="JRE9" s="34"/>
      <c r="JRF9" s="34"/>
      <c r="JRH9" s="34"/>
      <c r="JRI9" s="72"/>
      <c r="JRJ9" s="63"/>
      <c r="JRK9" s="34"/>
      <c r="JRL9" s="64"/>
      <c r="JRM9" s="4"/>
      <c r="JRN9" s="65"/>
      <c r="JRO9" s="4"/>
      <c r="JRP9" s="4"/>
      <c r="JRQ9" s="4"/>
      <c r="JRT9" s="34"/>
      <c r="JRU9" s="34"/>
      <c r="JRW9" s="34"/>
      <c r="JRX9" s="72"/>
      <c r="JRY9" s="63"/>
      <c r="JRZ9" s="34"/>
      <c r="JSA9" s="64"/>
      <c r="JSB9" s="4"/>
      <c r="JSC9" s="65"/>
      <c r="JSD9" s="4"/>
      <c r="JSE9" s="4"/>
      <c r="JSF9" s="4"/>
      <c r="JSI9" s="34"/>
      <c r="JSJ9" s="34"/>
      <c r="JSL9" s="34"/>
      <c r="JSM9" s="72"/>
      <c r="JSN9" s="63"/>
      <c r="JSO9" s="34"/>
      <c r="JSP9" s="64"/>
      <c r="JSQ9" s="4"/>
      <c r="JSR9" s="65"/>
      <c r="JSS9" s="4"/>
      <c r="JST9" s="4"/>
      <c r="JSU9" s="4"/>
      <c r="JSX9" s="34"/>
      <c r="JSY9" s="34"/>
      <c r="JTA9" s="34"/>
      <c r="JTB9" s="72"/>
      <c r="JTC9" s="63"/>
      <c r="JTD9" s="34"/>
      <c r="JTE9" s="64"/>
      <c r="JTF9" s="4"/>
      <c r="JTG9" s="65"/>
      <c r="JTH9" s="4"/>
      <c r="JTI9" s="4"/>
      <c r="JTJ9" s="4"/>
      <c r="JTM9" s="34"/>
      <c r="JTN9" s="34"/>
      <c r="JTP9" s="34"/>
      <c r="JTQ9" s="72"/>
      <c r="JTR9" s="63"/>
      <c r="JTS9" s="34"/>
      <c r="JTT9" s="64"/>
      <c r="JTU9" s="4"/>
      <c r="JTV9" s="65"/>
      <c r="JTW9" s="4"/>
      <c r="JTX9" s="4"/>
      <c r="JTY9" s="4"/>
      <c r="JUB9" s="34"/>
      <c r="JUC9" s="34"/>
      <c r="JUE9" s="34"/>
      <c r="JUF9" s="72"/>
      <c r="JUG9" s="63"/>
      <c r="JUH9" s="34"/>
      <c r="JUI9" s="64"/>
      <c r="JUJ9" s="4"/>
      <c r="JUK9" s="65"/>
      <c r="JUL9" s="4"/>
      <c r="JUM9" s="4"/>
      <c r="JUN9" s="4"/>
      <c r="JUQ9" s="34"/>
      <c r="JUR9" s="34"/>
      <c r="JUT9" s="34"/>
      <c r="JUU9" s="72"/>
      <c r="JUV9" s="63"/>
      <c r="JUW9" s="34"/>
      <c r="JUX9" s="64"/>
      <c r="JUY9" s="4"/>
      <c r="JUZ9" s="65"/>
      <c r="JVA9" s="4"/>
      <c r="JVB9" s="4"/>
      <c r="JVC9" s="4"/>
      <c r="JVF9" s="34"/>
      <c r="JVG9" s="34"/>
      <c r="JVI9" s="34"/>
      <c r="JVJ9" s="72"/>
      <c r="JVK9" s="63"/>
      <c r="JVL9" s="34"/>
      <c r="JVM9" s="64"/>
      <c r="JVN9" s="4"/>
      <c r="JVO9" s="65"/>
      <c r="JVP9" s="4"/>
      <c r="JVQ9" s="4"/>
      <c r="JVR9" s="4"/>
      <c r="JVU9" s="34"/>
      <c r="JVV9" s="34"/>
      <c r="JVX9" s="34"/>
      <c r="JVY9" s="72"/>
      <c r="JVZ9" s="63"/>
      <c r="JWA9" s="34"/>
      <c r="JWB9" s="64"/>
      <c r="JWC9" s="4"/>
      <c r="JWD9" s="65"/>
      <c r="JWE9" s="4"/>
      <c r="JWF9" s="4"/>
      <c r="JWG9" s="4"/>
      <c r="JWJ9" s="34"/>
      <c r="JWK9" s="34"/>
      <c r="JWM9" s="34"/>
      <c r="JWN9" s="72"/>
      <c r="JWO9" s="63"/>
      <c r="JWP9" s="34"/>
      <c r="JWQ9" s="64"/>
      <c r="JWR9" s="4"/>
      <c r="JWS9" s="65"/>
      <c r="JWT9" s="4"/>
      <c r="JWU9" s="4"/>
      <c r="JWV9" s="4"/>
      <c r="JWY9" s="34"/>
      <c r="JWZ9" s="34"/>
      <c r="JXB9" s="34"/>
      <c r="JXC9" s="72"/>
      <c r="JXD9" s="63"/>
      <c r="JXE9" s="34"/>
      <c r="JXF9" s="64"/>
      <c r="JXG9" s="4"/>
      <c r="JXH9" s="65"/>
      <c r="JXI9" s="4"/>
      <c r="JXJ9" s="4"/>
      <c r="JXK9" s="4"/>
      <c r="JXN9" s="34"/>
      <c r="JXO9" s="34"/>
      <c r="JXQ9" s="34"/>
      <c r="JXR9" s="72"/>
      <c r="JXS9" s="63"/>
      <c r="JXT9" s="34"/>
      <c r="JXU9" s="64"/>
      <c r="JXV9" s="4"/>
      <c r="JXW9" s="65"/>
      <c r="JXX9" s="4"/>
      <c r="JXY9" s="4"/>
      <c r="JXZ9" s="4"/>
      <c r="JYC9" s="34"/>
      <c r="JYD9" s="34"/>
      <c r="JYF9" s="34"/>
      <c r="JYG9" s="72"/>
      <c r="JYH9" s="63"/>
      <c r="JYI9" s="34"/>
      <c r="JYJ9" s="64"/>
      <c r="JYK9" s="4"/>
      <c r="JYL9" s="65"/>
      <c r="JYM9" s="4"/>
      <c r="JYN9" s="4"/>
      <c r="JYO9" s="4"/>
      <c r="JYR9" s="34"/>
      <c r="JYS9" s="34"/>
      <c r="JYU9" s="34"/>
      <c r="JYV9" s="72"/>
      <c r="JYW9" s="63"/>
      <c r="JYX9" s="34"/>
      <c r="JYY9" s="64"/>
      <c r="JYZ9" s="4"/>
      <c r="JZA9" s="65"/>
      <c r="JZB9" s="4"/>
      <c r="JZC9" s="4"/>
      <c r="JZD9" s="4"/>
      <c r="JZG9" s="34"/>
      <c r="JZH9" s="34"/>
      <c r="JZJ9" s="34"/>
      <c r="JZK9" s="72"/>
      <c r="JZL9" s="63"/>
      <c r="JZM9" s="34"/>
      <c r="JZN9" s="64"/>
      <c r="JZO9" s="4"/>
      <c r="JZP9" s="65"/>
      <c r="JZQ9" s="4"/>
      <c r="JZR9" s="4"/>
      <c r="JZS9" s="4"/>
      <c r="JZV9" s="34"/>
      <c r="JZW9" s="34"/>
      <c r="JZY9" s="34"/>
      <c r="JZZ9" s="72"/>
      <c r="KAA9" s="63"/>
      <c r="KAB9" s="34"/>
      <c r="KAC9" s="64"/>
      <c r="KAD9" s="4"/>
      <c r="KAE9" s="65"/>
      <c r="KAF9" s="4"/>
      <c r="KAG9" s="4"/>
      <c r="KAH9" s="4"/>
      <c r="KAK9" s="34"/>
      <c r="KAL9" s="34"/>
      <c r="KAN9" s="34"/>
      <c r="KAO9" s="72"/>
      <c r="KAP9" s="63"/>
      <c r="KAQ9" s="34"/>
      <c r="KAR9" s="64"/>
      <c r="KAS9" s="4"/>
      <c r="KAT9" s="65"/>
      <c r="KAU9" s="4"/>
      <c r="KAV9" s="4"/>
      <c r="KAW9" s="4"/>
      <c r="KAZ9" s="34"/>
      <c r="KBA9" s="34"/>
      <c r="KBC9" s="34"/>
      <c r="KBD9" s="72"/>
      <c r="KBE9" s="63"/>
      <c r="KBF9" s="34"/>
      <c r="KBG9" s="64"/>
      <c r="KBH9" s="4"/>
      <c r="KBI9" s="65"/>
      <c r="KBJ9" s="4"/>
      <c r="KBK9" s="4"/>
      <c r="KBL9" s="4"/>
      <c r="KBO9" s="34"/>
      <c r="KBP9" s="34"/>
      <c r="KBR9" s="34"/>
      <c r="KBS9" s="72"/>
      <c r="KBT9" s="63"/>
      <c r="KBU9" s="34"/>
      <c r="KBV9" s="64"/>
      <c r="KBW9" s="4"/>
      <c r="KBX9" s="65"/>
      <c r="KBY9" s="4"/>
      <c r="KBZ9" s="4"/>
      <c r="KCA9" s="4"/>
      <c r="KCD9" s="34"/>
      <c r="KCE9" s="34"/>
      <c r="KCG9" s="34"/>
      <c r="KCH9" s="72"/>
      <c r="KCI9" s="63"/>
      <c r="KCJ9" s="34"/>
      <c r="KCK9" s="64"/>
      <c r="KCL9" s="4"/>
      <c r="KCM9" s="65"/>
      <c r="KCN9" s="4"/>
      <c r="KCO9" s="4"/>
      <c r="KCP9" s="4"/>
      <c r="KCS9" s="34"/>
      <c r="KCT9" s="34"/>
      <c r="KCV9" s="34"/>
      <c r="KCW9" s="72"/>
      <c r="KCX9" s="63"/>
      <c r="KCY9" s="34"/>
      <c r="KCZ9" s="64"/>
      <c r="KDA9" s="4"/>
      <c r="KDB9" s="65"/>
      <c r="KDC9" s="4"/>
      <c r="KDD9" s="4"/>
      <c r="KDE9" s="4"/>
      <c r="KDH9" s="34"/>
      <c r="KDI9" s="34"/>
      <c r="KDK9" s="34"/>
      <c r="KDL9" s="72"/>
      <c r="KDM9" s="63"/>
      <c r="KDN9" s="34"/>
      <c r="KDO9" s="64"/>
      <c r="KDP9" s="4"/>
      <c r="KDQ9" s="65"/>
      <c r="KDR9" s="4"/>
      <c r="KDS9" s="4"/>
      <c r="KDT9" s="4"/>
      <c r="KDW9" s="34"/>
      <c r="KDX9" s="34"/>
      <c r="KDZ9" s="34"/>
      <c r="KEA9" s="72"/>
      <c r="KEB9" s="63"/>
      <c r="KEC9" s="34"/>
      <c r="KED9" s="64"/>
      <c r="KEE9" s="4"/>
      <c r="KEF9" s="65"/>
      <c r="KEG9" s="4"/>
      <c r="KEH9" s="4"/>
      <c r="KEI9" s="4"/>
      <c r="KEL9" s="34"/>
      <c r="KEM9" s="34"/>
      <c r="KEO9" s="34"/>
      <c r="KEP9" s="72"/>
      <c r="KEQ9" s="63"/>
      <c r="KER9" s="34"/>
      <c r="KES9" s="64"/>
      <c r="KET9" s="4"/>
      <c r="KEU9" s="65"/>
      <c r="KEV9" s="4"/>
      <c r="KEW9" s="4"/>
      <c r="KEX9" s="4"/>
      <c r="KFA9" s="34"/>
      <c r="KFB9" s="34"/>
      <c r="KFD9" s="34"/>
      <c r="KFE9" s="72"/>
      <c r="KFF9" s="63"/>
      <c r="KFG9" s="34"/>
      <c r="KFH9" s="64"/>
      <c r="KFI9" s="4"/>
      <c r="KFJ9" s="65"/>
      <c r="KFK9" s="4"/>
      <c r="KFL9" s="4"/>
      <c r="KFM9" s="4"/>
      <c r="KFP9" s="34"/>
      <c r="KFQ9" s="34"/>
      <c r="KFS9" s="34"/>
      <c r="KFT9" s="72"/>
      <c r="KFU9" s="63"/>
      <c r="KFV9" s="34"/>
      <c r="KFW9" s="64"/>
      <c r="KFX9" s="4"/>
      <c r="KFY9" s="65"/>
      <c r="KFZ9" s="4"/>
      <c r="KGA9" s="4"/>
      <c r="KGB9" s="4"/>
      <c r="KGE9" s="34"/>
      <c r="KGF9" s="34"/>
      <c r="KGH9" s="34"/>
      <c r="KGI9" s="72"/>
      <c r="KGJ9" s="63"/>
      <c r="KGK9" s="34"/>
      <c r="KGL9" s="64"/>
      <c r="KGM9" s="4"/>
      <c r="KGN9" s="65"/>
      <c r="KGO9" s="4"/>
      <c r="KGP9" s="4"/>
      <c r="KGQ9" s="4"/>
      <c r="KGT9" s="34"/>
      <c r="KGU9" s="34"/>
      <c r="KGW9" s="34"/>
      <c r="KGX9" s="72"/>
      <c r="KGY9" s="63"/>
      <c r="KGZ9" s="34"/>
      <c r="KHA9" s="64"/>
      <c r="KHB9" s="4"/>
      <c r="KHC9" s="65"/>
      <c r="KHD9" s="4"/>
      <c r="KHE9" s="4"/>
      <c r="KHF9" s="4"/>
      <c r="KHI9" s="34"/>
      <c r="KHJ9" s="34"/>
      <c r="KHL9" s="34"/>
      <c r="KHM9" s="72"/>
      <c r="KHN9" s="63"/>
      <c r="KHO9" s="34"/>
      <c r="KHP9" s="64"/>
      <c r="KHQ9" s="4"/>
      <c r="KHR9" s="65"/>
      <c r="KHS9" s="4"/>
      <c r="KHT9" s="4"/>
      <c r="KHU9" s="4"/>
      <c r="KHX9" s="34"/>
      <c r="KHY9" s="34"/>
      <c r="KIA9" s="34"/>
      <c r="KIB9" s="72"/>
      <c r="KIC9" s="63"/>
      <c r="KID9" s="34"/>
      <c r="KIE9" s="64"/>
      <c r="KIF9" s="4"/>
      <c r="KIG9" s="65"/>
      <c r="KIH9" s="4"/>
      <c r="KII9" s="4"/>
      <c r="KIJ9" s="4"/>
      <c r="KIM9" s="34"/>
      <c r="KIN9" s="34"/>
      <c r="KIP9" s="34"/>
      <c r="KIQ9" s="72"/>
      <c r="KIR9" s="63"/>
      <c r="KIS9" s="34"/>
      <c r="KIT9" s="64"/>
      <c r="KIU9" s="4"/>
      <c r="KIV9" s="65"/>
      <c r="KIW9" s="4"/>
      <c r="KIX9" s="4"/>
      <c r="KIY9" s="4"/>
      <c r="KJB9" s="34"/>
      <c r="KJC9" s="34"/>
      <c r="KJE9" s="34"/>
      <c r="KJF9" s="72"/>
      <c r="KJG9" s="63"/>
      <c r="KJH9" s="34"/>
      <c r="KJI9" s="64"/>
      <c r="KJJ9" s="4"/>
      <c r="KJK9" s="65"/>
      <c r="KJL9" s="4"/>
      <c r="KJM9" s="4"/>
      <c r="KJN9" s="4"/>
      <c r="KJQ9" s="34"/>
      <c r="KJR9" s="34"/>
      <c r="KJT9" s="34"/>
      <c r="KJU9" s="72"/>
      <c r="KJV9" s="63"/>
      <c r="KJW9" s="34"/>
      <c r="KJX9" s="64"/>
      <c r="KJY9" s="4"/>
      <c r="KJZ9" s="65"/>
      <c r="KKA9" s="4"/>
      <c r="KKB9" s="4"/>
      <c r="KKC9" s="4"/>
      <c r="KKF9" s="34"/>
      <c r="KKG9" s="34"/>
      <c r="KKI9" s="34"/>
      <c r="KKJ9" s="72"/>
      <c r="KKK9" s="63"/>
      <c r="KKL9" s="34"/>
      <c r="KKM9" s="64"/>
      <c r="KKN9" s="4"/>
      <c r="KKO9" s="65"/>
      <c r="KKP9" s="4"/>
      <c r="KKQ9" s="4"/>
      <c r="KKR9" s="4"/>
      <c r="KKU9" s="34"/>
      <c r="KKV9" s="34"/>
      <c r="KKX9" s="34"/>
      <c r="KKY9" s="72"/>
      <c r="KKZ9" s="63"/>
      <c r="KLA9" s="34"/>
      <c r="KLB9" s="64"/>
      <c r="KLC9" s="4"/>
      <c r="KLD9" s="65"/>
      <c r="KLE9" s="4"/>
      <c r="KLF9" s="4"/>
      <c r="KLG9" s="4"/>
      <c r="KLJ9" s="34"/>
      <c r="KLK9" s="34"/>
      <c r="KLM9" s="34"/>
      <c r="KLN9" s="72"/>
      <c r="KLO9" s="63"/>
      <c r="KLP9" s="34"/>
      <c r="KLQ9" s="64"/>
      <c r="KLR9" s="4"/>
      <c r="KLS9" s="65"/>
      <c r="KLT9" s="4"/>
      <c r="KLU9" s="4"/>
      <c r="KLV9" s="4"/>
      <c r="KLY9" s="34"/>
      <c r="KLZ9" s="34"/>
      <c r="KMB9" s="34"/>
      <c r="KMC9" s="72"/>
      <c r="KMD9" s="63"/>
      <c r="KME9" s="34"/>
      <c r="KMF9" s="64"/>
      <c r="KMG9" s="4"/>
      <c r="KMH9" s="65"/>
      <c r="KMI9" s="4"/>
      <c r="KMJ9" s="4"/>
      <c r="KMK9" s="4"/>
      <c r="KMN9" s="34"/>
      <c r="KMO9" s="34"/>
      <c r="KMQ9" s="34"/>
      <c r="KMR9" s="72"/>
      <c r="KMS9" s="63"/>
      <c r="KMT9" s="34"/>
      <c r="KMU9" s="64"/>
      <c r="KMV9" s="4"/>
      <c r="KMW9" s="65"/>
      <c r="KMX9" s="4"/>
      <c r="KMY9" s="4"/>
      <c r="KMZ9" s="4"/>
      <c r="KNC9" s="34"/>
      <c r="KND9" s="34"/>
      <c r="KNF9" s="34"/>
      <c r="KNG9" s="72"/>
      <c r="KNH9" s="63"/>
      <c r="KNI9" s="34"/>
      <c r="KNJ9" s="64"/>
      <c r="KNK9" s="4"/>
      <c r="KNL9" s="65"/>
      <c r="KNM9" s="4"/>
      <c r="KNN9" s="4"/>
      <c r="KNO9" s="4"/>
      <c r="KNR9" s="34"/>
      <c r="KNS9" s="34"/>
      <c r="KNU9" s="34"/>
      <c r="KNV9" s="72"/>
      <c r="KNW9" s="63"/>
      <c r="KNX9" s="34"/>
      <c r="KNY9" s="64"/>
      <c r="KNZ9" s="4"/>
      <c r="KOA9" s="65"/>
      <c r="KOB9" s="4"/>
      <c r="KOC9" s="4"/>
      <c r="KOD9" s="4"/>
      <c r="KOG9" s="34"/>
      <c r="KOH9" s="34"/>
      <c r="KOJ9" s="34"/>
      <c r="KOK9" s="72"/>
      <c r="KOL9" s="63"/>
      <c r="KOM9" s="34"/>
      <c r="KON9" s="64"/>
      <c r="KOO9" s="4"/>
      <c r="KOP9" s="65"/>
      <c r="KOQ9" s="4"/>
      <c r="KOR9" s="4"/>
      <c r="KOS9" s="4"/>
      <c r="KOV9" s="34"/>
      <c r="KOW9" s="34"/>
      <c r="KOY9" s="34"/>
      <c r="KOZ9" s="72"/>
      <c r="KPA9" s="63"/>
      <c r="KPB9" s="34"/>
      <c r="KPC9" s="64"/>
      <c r="KPD9" s="4"/>
      <c r="KPE9" s="65"/>
      <c r="KPF9" s="4"/>
      <c r="KPG9" s="4"/>
      <c r="KPH9" s="4"/>
      <c r="KPK9" s="34"/>
      <c r="KPL9" s="34"/>
      <c r="KPN9" s="34"/>
      <c r="KPO9" s="72"/>
      <c r="KPP9" s="63"/>
      <c r="KPQ9" s="34"/>
      <c r="KPR9" s="64"/>
      <c r="KPS9" s="4"/>
      <c r="KPT9" s="65"/>
      <c r="KPU9" s="4"/>
      <c r="KPV9" s="4"/>
      <c r="KPW9" s="4"/>
      <c r="KPZ9" s="34"/>
      <c r="KQA9" s="34"/>
      <c r="KQC9" s="34"/>
      <c r="KQD9" s="72"/>
      <c r="KQE9" s="63"/>
      <c r="KQF9" s="34"/>
      <c r="KQG9" s="64"/>
      <c r="KQH9" s="4"/>
      <c r="KQI9" s="65"/>
      <c r="KQJ9" s="4"/>
      <c r="KQK9" s="4"/>
      <c r="KQL9" s="4"/>
      <c r="KQO9" s="34"/>
      <c r="KQP9" s="34"/>
      <c r="KQR9" s="34"/>
      <c r="KQS9" s="72"/>
      <c r="KQT9" s="63"/>
      <c r="KQU9" s="34"/>
      <c r="KQV9" s="64"/>
      <c r="KQW9" s="4"/>
      <c r="KQX9" s="65"/>
      <c r="KQY9" s="4"/>
      <c r="KQZ9" s="4"/>
      <c r="KRA9" s="4"/>
      <c r="KRD9" s="34"/>
      <c r="KRE9" s="34"/>
      <c r="KRG9" s="34"/>
      <c r="KRH9" s="72"/>
      <c r="KRI9" s="63"/>
      <c r="KRJ9" s="34"/>
      <c r="KRK9" s="64"/>
      <c r="KRL9" s="4"/>
      <c r="KRM9" s="65"/>
      <c r="KRN9" s="4"/>
      <c r="KRO9" s="4"/>
      <c r="KRP9" s="4"/>
      <c r="KRS9" s="34"/>
      <c r="KRT9" s="34"/>
      <c r="KRV9" s="34"/>
      <c r="KRW9" s="72"/>
      <c r="KRX9" s="63"/>
      <c r="KRY9" s="34"/>
      <c r="KRZ9" s="64"/>
      <c r="KSA9" s="4"/>
      <c r="KSB9" s="65"/>
      <c r="KSC9" s="4"/>
      <c r="KSD9" s="4"/>
      <c r="KSE9" s="4"/>
      <c r="KSH9" s="34"/>
      <c r="KSI9" s="34"/>
      <c r="KSK9" s="34"/>
      <c r="KSL9" s="72"/>
      <c r="KSM9" s="63"/>
      <c r="KSN9" s="34"/>
      <c r="KSO9" s="64"/>
      <c r="KSP9" s="4"/>
      <c r="KSQ9" s="65"/>
      <c r="KSR9" s="4"/>
      <c r="KSS9" s="4"/>
      <c r="KST9" s="4"/>
      <c r="KSW9" s="34"/>
      <c r="KSX9" s="34"/>
      <c r="KSZ9" s="34"/>
      <c r="KTA9" s="72"/>
      <c r="KTB9" s="63"/>
      <c r="KTC9" s="34"/>
      <c r="KTD9" s="64"/>
      <c r="KTE9" s="4"/>
      <c r="KTF9" s="65"/>
      <c r="KTG9" s="4"/>
      <c r="KTH9" s="4"/>
      <c r="KTI9" s="4"/>
      <c r="KTL9" s="34"/>
      <c r="KTM9" s="34"/>
      <c r="KTO9" s="34"/>
      <c r="KTP9" s="72"/>
      <c r="KTQ9" s="63"/>
      <c r="KTR9" s="34"/>
      <c r="KTS9" s="64"/>
      <c r="KTT9" s="4"/>
      <c r="KTU9" s="65"/>
      <c r="KTV9" s="4"/>
      <c r="KTW9" s="4"/>
      <c r="KTX9" s="4"/>
      <c r="KUA9" s="34"/>
      <c r="KUB9" s="34"/>
      <c r="KUD9" s="34"/>
      <c r="KUE9" s="72"/>
      <c r="KUF9" s="63"/>
      <c r="KUG9" s="34"/>
      <c r="KUH9" s="64"/>
      <c r="KUI9" s="4"/>
      <c r="KUJ9" s="65"/>
      <c r="KUK9" s="4"/>
      <c r="KUL9" s="4"/>
      <c r="KUM9" s="4"/>
      <c r="KUP9" s="34"/>
      <c r="KUQ9" s="34"/>
      <c r="KUS9" s="34"/>
      <c r="KUT9" s="72"/>
      <c r="KUU9" s="63"/>
      <c r="KUV9" s="34"/>
      <c r="KUW9" s="64"/>
      <c r="KUX9" s="4"/>
      <c r="KUY9" s="65"/>
      <c r="KUZ9" s="4"/>
      <c r="KVA9" s="4"/>
      <c r="KVB9" s="4"/>
      <c r="KVE9" s="34"/>
      <c r="KVF9" s="34"/>
      <c r="KVH9" s="34"/>
      <c r="KVI9" s="72"/>
      <c r="KVJ9" s="63"/>
      <c r="KVK9" s="34"/>
      <c r="KVL9" s="64"/>
      <c r="KVM9" s="4"/>
      <c r="KVN9" s="65"/>
      <c r="KVO9" s="4"/>
      <c r="KVP9" s="4"/>
      <c r="KVQ9" s="4"/>
      <c r="KVT9" s="34"/>
      <c r="KVU9" s="34"/>
      <c r="KVW9" s="34"/>
      <c r="KVX9" s="72"/>
      <c r="KVY9" s="63"/>
      <c r="KVZ9" s="34"/>
      <c r="KWA9" s="64"/>
      <c r="KWB9" s="4"/>
      <c r="KWC9" s="65"/>
      <c r="KWD9" s="4"/>
      <c r="KWE9" s="4"/>
      <c r="KWF9" s="4"/>
      <c r="KWI9" s="34"/>
      <c r="KWJ9" s="34"/>
      <c r="KWL9" s="34"/>
      <c r="KWM9" s="72"/>
      <c r="KWN9" s="63"/>
      <c r="KWO9" s="34"/>
      <c r="KWP9" s="64"/>
      <c r="KWQ9" s="4"/>
      <c r="KWR9" s="65"/>
      <c r="KWS9" s="4"/>
      <c r="KWT9" s="4"/>
      <c r="KWU9" s="4"/>
      <c r="KWX9" s="34"/>
      <c r="KWY9" s="34"/>
      <c r="KXA9" s="34"/>
      <c r="KXB9" s="72"/>
      <c r="KXC9" s="63"/>
      <c r="KXD9" s="34"/>
      <c r="KXE9" s="64"/>
      <c r="KXF9" s="4"/>
      <c r="KXG9" s="65"/>
      <c r="KXH9" s="4"/>
      <c r="KXI9" s="4"/>
      <c r="KXJ9" s="4"/>
      <c r="KXM9" s="34"/>
      <c r="KXN9" s="34"/>
      <c r="KXP9" s="34"/>
      <c r="KXQ9" s="72"/>
      <c r="KXR9" s="63"/>
      <c r="KXS9" s="34"/>
      <c r="KXT9" s="64"/>
      <c r="KXU9" s="4"/>
      <c r="KXV9" s="65"/>
      <c r="KXW9" s="4"/>
      <c r="KXX9" s="4"/>
      <c r="KXY9" s="4"/>
      <c r="KYB9" s="34"/>
      <c r="KYC9" s="34"/>
      <c r="KYE9" s="34"/>
      <c r="KYF9" s="72"/>
      <c r="KYG9" s="63"/>
      <c r="KYH9" s="34"/>
      <c r="KYI9" s="64"/>
      <c r="KYJ9" s="4"/>
      <c r="KYK9" s="65"/>
      <c r="KYL9" s="4"/>
      <c r="KYM9" s="4"/>
      <c r="KYN9" s="4"/>
      <c r="KYQ9" s="34"/>
      <c r="KYR9" s="34"/>
      <c r="KYT9" s="34"/>
      <c r="KYU9" s="72"/>
      <c r="KYV9" s="63"/>
      <c r="KYW9" s="34"/>
      <c r="KYX9" s="64"/>
      <c r="KYY9" s="4"/>
      <c r="KYZ9" s="65"/>
      <c r="KZA9" s="4"/>
      <c r="KZB9" s="4"/>
      <c r="KZC9" s="4"/>
      <c r="KZF9" s="34"/>
      <c r="KZG9" s="34"/>
      <c r="KZI9" s="34"/>
      <c r="KZJ9" s="72"/>
      <c r="KZK9" s="63"/>
      <c r="KZL9" s="34"/>
      <c r="KZM9" s="64"/>
      <c r="KZN9" s="4"/>
      <c r="KZO9" s="65"/>
      <c r="KZP9" s="4"/>
      <c r="KZQ9" s="4"/>
      <c r="KZR9" s="4"/>
      <c r="KZU9" s="34"/>
      <c r="KZV9" s="34"/>
      <c r="KZX9" s="34"/>
      <c r="KZY9" s="72"/>
      <c r="KZZ9" s="63"/>
      <c r="LAA9" s="34"/>
      <c r="LAB9" s="64"/>
      <c r="LAC9" s="4"/>
      <c r="LAD9" s="65"/>
      <c r="LAE9" s="4"/>
      <c r="LAF9" s="4"/>
      <c r="LAG9" s="4"/>
      <c r="LAJ9" s="34"/>
      <c r="LAK9" s="34"/>
      <c r="LAM9" s="34"/>
      <c r="LAN9" s="72"/>
      <c r="LAO9" s="63"/>
      <c r="LAP9" s="34"/>
      <c r="LAQ9" s="64"/>
      <c r="LAR9" s="4"/>
      <c r="LAS9" s="65"/>
      <c r="LAT9" s="4"/>
      <c r="LAU9" s="4"/>
      <c r="LAV9" s="4"/>
      <c r="LAY9" s="34"/>
      <c r="LAZ9" s="34"/>
      <c r="LBB9" s="34"/>
      <c r="LBC9" s="72"/>
      <c r="LBD9" s="63"/>
      <c r="LBE9" s="34"/>
      <c r="LBF9" s="64"/>
      <c r="LBG9" s="4"/>
      <c r="LBH9" s="65"/>
      <c r="LBI9" s="4"/>
      <c r="LBJ9" s="4"/>
      <c r="LBK9" s="4"/>
      <c r="LBN9" s="34"/>
      <c r="LBO9" s="34"/>
      <c r="LBQ9" s="34"/>
      <c r="LBR9" s="72"/>
      <c r="LBS9" s="63"/>
      <c r="LBT9" s="34"/>
      <c r="LBU9" s="64"/>
      <c r="LBV9" s="4"/>
      <c r="LBW9" s="65"/>
      <c r="LBX9" s="4"/>
      <c r="LBY9" s="4"/>
      <c r="LBZ9" s="4"/>
      <c r="LCC9" s="34"/>
      <c r="LCD9" s="34"/>
      <c r="LCF9" s="34"/>
      <c r="LCG9" s="72"/>
      <c r="LCH9" s="63"/>
      <c r="LCI9" s="34"/>
      <c r="LCJ9" s="64"/>
      <c r="LCK9" s="4"/>
      <c r="LCL9" s="65"/>
      <c r="LCM9" s="4"/>
      <c r="LCN9" s="4"/>
      <c r="LCO9" s="4"/>
      <c r="LCR9" s="34"/>
      <c r="LCS9" s="34"/>
      <c r="LCU9" s="34"/>
      <c r="LCV9" s="72"/>
      <c r="LCW9" s="63"/>
      <c r="LCX9" s="34"/>
      <c r="LCY9" s="64"/>
      <c r="LCZ9" s="4"/>
      <c r="LDA9" s="65"/>
      <c r="LDB9" s="4"/>
      <c r="LDC9" s="4"/>
      <c r="LDD9" s="4"/>
      <c r="LDG9" s="34"/>
      <c r="LDH9" s="34"/>
      <c r="LDJ9" s="34"/>
      <c r="LDK9" s="72"/>
      <c r="LDL9" s="63"/>
      <c r="LDM9" s="34"/>
      <c r="LDN9" s="64"/>
      <c r="LDO9" s="4"/>
      <c r="LDP9" s="65"/>
      <c r="LDQ9" s="4"/>
      <c r="LDR9" s="4"/>
      <c r="LDS9" s="4"/>
      <c r="LDV9" s="34"/>
      <c r="LDW9" s="34"/>
      <c r="LDY9" s="34"/>
      <c r="LDZ9" s="72"/>
      <c r="LEA9" s="63"/>
      <c r="LEB9" s="34"/>
      <c r="LEC9" s="64"/>
      <c r="LED9" s="4"/>
      <c r="LEE9" s="65"/>
      <c r="LEF9" s="4"/>
      <c r="LEG9" s="4"/>
      <c r="LEH9" s="4"/>
      <c r="LEK9" s="34"/>
      <c r="LEL9" s="34"/>
      <c r="LEN9" s="34"/>
      <c r="LEO9" s="72"/>
      <c r="LEP9" s="63"/>
      <c r="LEQ9" s="34"/>
      <c r="LER9" s="64"/>
      <c r="LES9" s="4"/>
      <c r="LET9" s="65"/>
      <c r="LEU9" s="4"/>
      <c r="LEV9" s="4"/>
      <c r="LEW9" s="4"/>
      <c r="LEZ9" s="34"/>
      <c r="LFA9" s="34"/>
      <c r="LFC9" s="34"/>
      <c r="LFD9" s="72"/>
      <c r="LFE9" s="63"/>
      <c r="LFF9" s="34"/>
      <c r="LFG9" s="64"/>
      <c r="LFH9" s="4"/>
      <c r="LFI9" s="65"/>
      <c r="LFJ9" s="4"/>
      <c r="LFK9" s="4"/>
      <c r="LFL9" s="4"/>
      <c r="LFO9" s="34"/>
      <c r="LFP9" s="34"/>
      <c r="LFR9" s="34"/>
      <c r="LFS9" s="72"/>
      <c r="LFT9" s="63"/>
      <c r="LFU9" s="34"/>
      <c r="LFV9" s="64"/>
      <c r="LFW9" s="4"/>
      <c r="LFX9" s="65"/>
      <c r="LFY9" s="4"/>
      <c r="LFZ9" s="4"/>
      <c r="LGA9" s="4"/>
      <c r="LGD9" s="34"/>
      <c r="LGE9" s="34"/>
      <c r="LGG9" s="34"/>
      <c r="LGH9" s="72"/>
      <c r="LGI9" s="63"/>
      <c r="LGJ9" s="34"/>
      <c r="LGK9" s="64"/>
      <c r="LGL9" s="4"/>
      <c r="LGM9" s="65"/>
      <c r="LGN9" s="4"/>
      <c r="LGO9" s="4"/>
      <c r="LGP9" s="4"/>
      <c r="LGS9" s="34"/>
      <c r="LGT9" s="34"/>
      <c r="LGV9" s="34"/>
      <c r="LGW9" s="72"/>
      <c r="LGX9" s="63"/>
      <c r="LGY9" s="34"/>
      <c r="LGZ9" s="64"/>
      <c r="LHA9" s="4"/>
      <c r="LHB9" s="65"/>
      <c r="LHC9" s="4"/>
      <c r="LHD9" s="4"/>
      <c r="LHE9" s="4"/>
      <c r="LHH9" s="34"/>
      <c r="LHI9" s="34"/>
      <c r="LHK9" s="34"/>
      <c r="LHL9" s="72"/>
      <c r="LHM9" s="63"/>
      <c r="LHN9" s="34"/>
      <c r="LHO9" s="64"/>
      <c r="LHP9" s="4"/>
      <c r="LHQ9" s="65"/>
      <c r="LHR9" s="4"/>
      <c r="LHS9" s="4"/>
      <c r="LHT9" s="4"/>
      <c r="LHW9" s="34"/>
      <c r="LHX9" s="34"/>
      <c r="LHZ9" s="34"/>
      <c r="LIA9" s="72"/>
      <c r="LIB9" s="63"/>
      <c r="LIC9" s="34"/>
      <c r="LID9" s="64"/>
      <c r="LIE9" s="4"/>
      <c r="LIF9" s="65"/>
      <c r="LIG9" s="4"/>
      <c r="LIH9" s="4"/>
      <c r="LII9" s="4"/>
      <c r="LIL9" s="34"/>
      <c r="LIM9" s="34"/>
      <c r="LIO9" s="34"/>
      <c r="LIP9" s="72"/>
      <c r="LIQ9" s="63"/>
      <c r="LIR9" s="34"/>
      <c r="LIS9" s="64"/>
      <c r="LIT9" s="4"/>
      <c r="LIU9" s="65"/>
      <c r="LIV9" s="4"/>
      <c r="LIW9" s="4"/>
      <c r="LIX9" s="4"/>
      <c r="LJA9" s="34"/>
      <c r="LJB9" s="34"/>
      <c r="LJD9" s="34"/>
      <c r="LJE9" s="72"/>
      <c r="LJF9" s="63"/>
      <c r="LJG9" s="34"/>
      <c r="LJH9" s="64"/>
      <c r="LJI9" s="4"/>
      <c r="LJJ9" s="65"/>
      <c r="LJK9" s="4"/>
      <c r="LJL9" s="4"/>
      <c r="LJM9" s="4"/>
      <c r="LJP9" s="34"/>
      <c r="LJQ9" s="34"/>
      <c r="LJS9" s="34"/>
      <c r="LJT9" s="72"/>
      <c r="LJU9" s="63"/>
      <c r="LJV9" s="34"/>
      <c r="LJW9" s="64"/>
      <c r="LJX9" s="4"/>
      <c r="LJY9" s="65"/>
      <c r="LJZ9" s="4"/>
      <c r="LKA9" s="4"/>
      <c r="LKB9" s="4"/>
      <c r="LKE9" s="34"/>
      <c r="LKF9" s="34"/>
      <c r="LKH9" s="34"/>
      <c r="LKI9" s="72"/>
      <c r="LKJ9" s="63"/>
      <c r="LKK9" s="34"/>
      <c r="LKL9" s="64"/>
      <c r="LKM9" s="4"/>
      <c r="LKN9" s="65"/>
      <c r="LKO9" s="4"/>
      <c r="LKP9" s="4"/>
      <c r="LKQ9" s="4"/>
      <c r="LKT9" s="34"/>
      <c r="LKU9" s="34"/>
      <c r="LKW9" s="34"/>
      <c r="LKX9" s="72"/>
      <c r="LKY9" s="63"/>
      <c r="LKZ9" s="34"/>
      <c r="LLA9" s="64"/>
      <c r="LLB9" s="4"/>
      <c r="LLC9" s="65"/>
      <c r="LLD9" s="4"/>
      <c r="LLE9" s="4"/>
      <c r="LLF9" s="4"/>
      <c r="LLI9" s="34"/>
      <c r="LLJ9" s="34"/>
      <c r="LLL9" s="34"/>
      <c r="LLM9" s="72"/>
      <c r="LLN9" s="63"/>
      <c r="LLO9" s="34"/>
      <c r="LLP9" s="64"/>
      <c r="LLQ9" s="4"/>
      <c r="LLR9" s="65"/>
      <c r="LLS9" s="4"/>
      <c r="LLT9" s="4"/>
      <c r="LLU9" s="4"/>
      <c r="LLX9" s="34"/>
      <c r="LLY9" s="34"/>
      <c r="LMA9" s="34"/>
      <c r="LMB9" s="72"/>
      <c r="LMC9" s="63"/>
      <c r="LMD9" s="34"/>
      <c r="LME9" s="64"/>
      <c r="LMF9" s="4"/>
      <c r="LMG9" s="65"/>
      <c r="LMH9" s="4"/>
      <c r="LMI9" s="4"/>
      <c r="LMJ9" s="4"/>
      <c r="LMM9" s="34"/>
      <c r="LMN9" s="34"/>
      <c r="LMP9" s="34"/>
      <c r="LMQ9" s="72"/>
      <c r="LMR9" s="63"/>
      <c r="LMS9" s="34"/>
      <c r="LMT9" s="64"/>
      <c r="LMU9" s="4"/>
      <c r="LMV9" s="65"/>
      <c r="LMW9" s="4"/>
      <c r="LMX9" s="4"/>
      <c r="LMY9" s="4"/>
      <c r="LNB9" s="34"/>
      <c r="LNC9" s="34"/>
      <c r="LNE9" s="34"/>
      <c r="LNF9" s="72"/>
      <c r="LNG9" s="63"/>
      <c r="LNH9" s="34"/>
      <c r="LNI9" s="64"/>
      <c r="LNJ9" s="4"/>
      <c r="LNK9" s="65"/>
      <c r="LNL9" s="4"/>
      <c r="LNM9" s="4"/>
      <c r="LNN9" s="4"/>
      <c r="LNQ9" s="34"/>
      <c r="LNR9" s="34"/>
      <c r="LNT9" s="34"/>
      <c r="LNU9" s="72"/>
      <c r="LNV9" s="63"/>
      <c r="LNW9" s="34"/>
      <c r="LNX9" s="64"/>
      <c r="LNY9" s="4"/>
      <c r="LNZ9" s="65"/>
      <c r="LOA9" s="4"/>
      <c r="LOB9" s="4"/>
      <c r="LOC9" s="4"/>
      <c r="LOF9" s="34"/>
      <c r="LOG9" s="34"/>
      <c r="LOI9" s="34"/>
      <c r="LOJ9" s="72"/>
      <c r="LOK9" s="63"/>
      <c r="LOL9" s="34"/>
      <c r="LOM9" s="64"/>
      <c r="LON9" s="4"/>
      <c r="LOO9" s="65"/>
      <c r="LOP9" s="4"/>
      <c r="LOQ9" s="4"/>
      <c r="LOR9" s="4"/>
      <c r="LOU9" s="34"/>
      <c r="LOV9" s="34"/>
      <c r="LOX9" s="34"/>
      <c r="LOY9" s="72"/>
      <c r="LOZ9" s="63"/>
      <c r="LPA9" s="34"/>
      <c r="LPB9" s="64"/>
      <c r="LPC9" s="4"/>
      <c r="LPD9" s="65"/>
      <c r="LPE9" s="4"/>
      <c r="LPF9" s="4"/>
      <c r="LPG9" s="4"/>
      <c r="LPJ9" s="34"/>
      <c r="LPK9" s="34"/>
      <c r="LPM9" s="34"/>
      <c r="LPN9" s="72"/>
      <c r="LPO9" s="63"/>
      <c r="LPP9" s="34"/>
      <c r="LPQ9" s="64"/>
      <c r="LPR9" s="4"/>
      <c r="LPS9" s="65"/>
      <c r="LPT9" s="4"/>
      <c r="LPU9" s="4"/>
      <c r="LPV9" s="4"/>
      <c r="LPY9" s="34"/>
      <c r="LPZ9" s="34"/>
      <c r="LQB9" s="34"/>
      <c r="LQC9" s="72"/>
      <c r="LQD9" s="63"/>
      <c r="LQE9" s="34"/>
      <c r="LQF9" s="64"/>
      <c r="LQG9" s="4"/>
      <c r="LQH9" s="65"/>
      <c r="LQI9" s="4"/>
      <c r="LQJ9" s="4"/>
      <c r="LQK9" s="4"/>
      <c r="LQN9" s="34"/>
      <c r="LQO9" s="34"/>
      <c r="LQQ9" s="34"/>
      <c r="LQR9" s="72"/>
      <c r="LQS9" s="63"/>
      <c r="LQT9" s="34"/>
      <c r="LQU9" s="64"/>
      <c r="LQV9" s="4"/>
      <c r="LQW9" s="65"/>
      <c r="LQX9" s="4"/>
      <c r="LQY9" s="4"/>
      <c r="LQZ9" s="4"/>
      <c r="LRC9" s="34"/>
      <c r="LRD9" s="34"/>
      <c r="LRF9" s="34"/>
      <c r="LRG9" s="72"/>
      <c r="LRH9" s="63"/>
      <c r="LRI9" s="34"/>
      <c r="LRJ9" s="64"/>
      <c r="LRK9" s="4"/>
      <c r="LRL9" s="65"/>
      <c r="LRM9" s="4"/>
      <c r="LRN9" s="4"/>
      <c r="LRO9" s="4"/>
      <c r="LRR9" s="34"/>
      <c r="LRS9" s="34"/>
      <c r="LRU9" s="34"/>
      <c r="LRV9" s="72"/>
      <c r="LRW9" s="63"/>
      <c r="LRX9" s="34"/>
      <c r="LRY9" s="64"/>
      <c r="LRZ9" s="4"/>
      <c r="LSA9" s="65"/>
      <c r="LSB9" s="4"/>
      <c r="LSC9" s="4"/>
      <c r="LSD9" s="4"/>
      <c r="LSG9" s="34"/>
      <c r="LSH9" s="34"/>
      <c r="LSJ9" s="34"/>
      <c r="LSK9" s="72"/>
      <c r="LSL9" s="63"/>
      <c r="LSM9" s="34"/>
      <c r="LSN9" s="64"/>
      <c r="LSO9" s="4"/>
      <c r="LSP9" s="65"/>
      <c r="LSQ9" s="4"/>
      <c r="LSR9" s="4"/>
      <c r="LSS9" s="4"/>
      <c r="LSV9" s="34"/>
      <c r="LSW9" s="34"/>
      <c r="LSY9" s="34"/>
      <c r="LSZ9" s="72"/>
      <c r="LTA9" s="63"/>
      <c r="LTB9" s="34"/>
      <c r="LTC9" s="64"/>
      <c r="LTD9" s="4"/>
      <c r="LTE9" s="65"/>
      <c r="LTF9" s="4"/>
      <c r="LTG9" s="4"/>
      <c r="LTH9" s="4"/>
      <c r="LTK9" s="34"/>
      <c r="LTL9" s="34"/>
      <c r="LTN9" s="34"/>
      <c r="LTO9" s="72"/>
      <c r="LTP9" s="63"/>
      <c r="LTQ9" s="34"/>
      <c r="LTR9" s="64"/>
      <c r="LTS9" s="4"/>
      <c r="LTT9" s="65"/>
      <c r="LTU9" s="4"/>
      <c r="LTV9" s="4"/>
      <c r="LTW9" s="4"/>
      <c r="LTZ9" s="34"/>
      <c r="LUA9" s="34"/>
      <c r="LUC9" s="34"/>
      <c r="LUD9" s="72"/>
      <c r="LUE9" s="63"/>
      <c r="LUF9" s="34"/>
      <c r="LUG9" s="64"/>
      <c r="LUH9" s="4"/>
      <c r="LUI9" s="65"/>
      <c r="LUJ9" s="4"/>
      <c r="LUK9" s="4"/>
      <c r="LUL9" s="4"/>
      <c r="LUO9" s="34"/>
      <c r="LUP9" s="34"/>
      <c r="LUR9" s="34"/>
      <c r="LUS9" s="72"/>
      <c r="LUT9" s="63"/>
      <c r="LUU9" s="34"/>
      <c r="LUV9" s="64"/>
      <c r="LUW9" s="4"/>
      <c r="LUX9" s="65"/>
      <c r="LUY9" s="4"/>
      <c r="LUZ9" s="4"/>
      <c r="LVA9" s="4"/>
      <c r="LVD9" s="34"/>
      <c r="LVE9" s="34"/>
      <c r="LVG9" s="34"/>
      <c r="LVH9" s="72"/>
      <c r="LVI9" s="63"/>
      <c r="LVJ9" s="34"/>
      <c r="LVK9" s="64"/>
      <c r="LVL9" s="4"/>
      <c r="LVM9" s="65"/>
      <c r="LVN9" s="4"/>
      <c r="LVO9" s="4"/>
      <c r="LVP9" s="4"/>
      <c r="LVS9" s="34"/>
      <c r="LVT9" s="34"/>
      <c r="LVV9" s="34"/>
      <c r="LVW9" s="72"/>
      <c r="LVX9" s="63"/>
      <c r="LVY9" s="34"/>
      <c r="LVZ9" s="64"/>
      <c r="LWA9" s="4"/>
      <c r="LWB9" s="65"/>
      <c r="LWC9" s="4"/>
      <c r="LWD9" s="4"/>
      <c r="LWE9" s="4"/>
      <c r="LWH9" s="34"/>
      <c r="LWI9" s="34"/>
      <c r="LWK9" s="34"/>
      <c r="LWL9" s="72"/>
      <c r="LWM9" s="63"/>
      <c r="LWN9" s="34"/>
      <c r="LWO9" s="64"/>
      <c r="LWP9" s="4"/>
      <c r="LWQ9" s="65"/>
      <c r="LWR9" s="4"/>
      <c r="LWS9" s="4"/>
      <c r="LWT9" s="4"/>
      <c r="LWW9" s="34"/>
      <c r="LWX9" s="34"/>
      <c r="LWZ9" s="34"/>
      <c r="LXA9" s="72"/>
      <c r="LXB9" s="63"/>
      <c r="LXC9" s="34"/>
      <c r="LXD9" s="64"/>
      <c r="LXE9" s="4"/>
      <c r="LXF9" s="65"/>
      <c r="LXG9" s="4"/>
      <c r="LXH9" s="4"/>
      <c r="LXI9" s="4"/>
      <c r="LXL9" s="34"/>
      <c r="LXM9" s="34"/>
      <c r="LXO9" s="34"/>
      <c r="LXP9" s="72"/>
      <c r="LXQ9" s="63"/>
      <c r="LXR9" s="34"/>
      <c r="LXS9" s="64"/>
      <c r="LXT9" s="4"/>
      <c r="LXU9" s="65"/>
      <c r="LXV9" s="4"/>
      <c r="LXW9" s="4"/>
      <c r="LXX9" s="4"/>
      <c r="LYA9" s="34"/>
      <c r="LYB9" s="34"/>
      <c r="LYD9" s="34"/>
      <c r="LYE9" s="72"/>
      <c r="LYF9" s="63"/>
      <c r="LYG9" s="34"/>
      <c r="LYH9" s="64"/>
      <c r="LYI9" s="4"/>
      <c r="LYJ9" s="65"/>
      <c r="LYK9" s="4"/>
      <c r="LYL9" s="4"/>
      <c r="LYM9" s="4"/>
      <c r="LYP9" s="34"/>
      <c r="LYQ9" s="34"/>
      <c r="LYS9" s="34"/>
      <c r="LYT9" s="72"/>
      <c r="LYU9" s="63"/>
      <c r="LYV9" s="34"/>
      <c r="LYW9" s="64"/>
      <c r="LYX9" s="4"/>
      <c r="LYY9" s="65"/>
      <c r="LYZ9" s="4"/>
      <c r="LZA9" s="4"/>
      <c r="LZB9" s="4"/>
      <c r="LZE9" s="34"/>
      <c r="LZF9" s="34"/>
      <c r="LZH9" s="34"/>
      <c r="LZI9" s="72"/>
      <c r="LZJ9" s="63"/>
      <c r="LZK9" s="34"/>
      <c r="LZL9" s="64"/>
      <c r="LZM9" s="4"/>
      <c r="LZN9" s="65"/>
      <c r="LZO9" s="4"/>
      <c r="LZP9" s="4"/>
      <c r="LZQ9" s="4"/>
      <c r="LZT9" s="34"/>
      <c r="LZU9" s="34"/>
      <c r="LZW9" s="34"/>
      <c r="LZX9" s="72"/>
      <c r="LZY9" s="63"/>
      <c r="LZZ9" s="34"/>
      <c r="MAA9" s="64"/>
      <c r="MAB9" s="4"/>
      <c r="MAC9" s="65"/>
      <c r="MAD9" s="4"/>
      <c r="MAE9" s="4"/>
      <c r="MAF9" s="4"/>
      <c r="MAI9" s="34"/>
      <c r="MAJ9" s="34"/>
      <c r="MAL9" s="34"/>
      <c r="MAM9" s="72"/>
      <c r="MAN9" s="63"/>
      <c r="MAO9" s="34"/>
      <c r="MAP9" s="64"/>
      <c r="MAQ9" s="4"/>
      <c r="MAR9" s="65"/>
      <c r="MAS9" s="4"/>
      <c r="MAT9" s="4"/>
      <c r="MAU9" s="4"/>
      <c r="MAX9" s="34"/>
      <c r="MAY9" s="34"/>
      <c r="MBA9" s="34"/>
      <c r="MBB9" s="72"/>
      <c r="MBC9" s="63"/>
      <c r="MBD9" s="34"/>
      <c r="MBE9" s="64"/>
      <c r="MBF9" s="4"/>
      <c r="MBG9" s="65"/>
      <c r="MBH9" s="4"/>
      <c r="MBI9" s="4"/>
      <c r="MBJ9" s="4"/>
      <c r="MBM9" s="34"/>
      <c r="MBN9" s="34"/>
      <c r="MBP9" s="34"/>
      <c r="MBQ9" s="72"/>
      <c r="MBR9" s="63"/>
      <c r="MBS9" s="34"/>
      <c r="MBT9" s="64"/>
      <c r="MBU9" s="4"/>
      <c r="MBV9" s="65"/>
      <c r="MBW9" s="4"/>
      <c r="MBX9" s="4"/>
      <c r="MBY9" s="4"/>
      <c r="MCB9" s="34"/>
      <c r="MCC9" s="34"/>
      <c r="MCE9" s="34"/>
      <c r="MCF9" s="72"/>
      <c r="MCG9" s="63"/>
      <c r="MCH9" s="34"/>
      <c r="MCI9" s="64"/>
      <c r="MCJ9" s="4"/>
      <c r="MCK9" s="65"/>
      <c r="MCL9" s="4"/>
      <c r="MCM9" s="4"/>
      <c r="MCN9" s="4"/>
      <c r="MCQ9" s="34"/>
      <c r="MCR9" s="34"/>
      <c r="MCT9" s="34"/>
      <c r="MCU9" s="72"/>
      <c r="MCV9" s="63"/>
      <c r="MCW9" s="34"/>
      <c r="MCX9" s="64"/>
      <c r="MCY9" s="4"/>
      <c r="MCZ9" s="65"/>
      <c r="MDA9" s="4"/>
      <c r="MDB9" s="4"/>
      <c r="MDC9" s="4"/>
      <c r="MDF9" s="34"/>
      <c r="MDG9" s="34"/>
      <c r="MDI9" s="34"/>
      <c r="MDJ9" s="72"/>
      <c r="MDK9" s="63"/>
      <c r="MDL9" s="34"/>
      <c r="MDM9" s="64"/>
      <c r="MDN9" s="4"/>
      <c r="MDO9" s="65"/>
      <c r="MDP9" s="4"/>
      <c r="MDQ9" s="4"/>
      <c r="MDR9" s="4"/>
      <c r="MDU9" s="34"/>
      <c r="MDV9" s="34"/>
      <c r="MDX9" s="34"/>
      <c r="MDY9" s="72"/>
      <c r="MDZ9" s="63"/>
      <c r="MEA9" s="34"/>
      <c r="MEB9" s="64"/>
      <c r="MEC9" s="4"/>
      <c r="MED9" s="65"/>
      <c r="MEE9" s="4"/>
      <c r="MEF9" s="4"/>
      <c r="MEG9" s="4"/>
      <c r="MEJ9" s="34"/>
      <c r="MEK9" s="34"/>
      <c r="MEM9" s="34"/>
      <c r="MEN9" s="72"/>
      <c r="MEO9" s="63"/>
      <c r="MEP9" s="34"/>
      <c r="MEQ9" s="64"/>
      <c r="MER9" s="4"/>
      <c r="MES9" s="65"/>
      <c r="MET9" s="4"/>
      <c r="MEU9" s="4"/>
      <c r="MEV9" s="4"/>
      <c r="MEY9" s="34"/>
      <c r="MEZ9" s="34"/>
      <c r="MFB9" s="34"/>
      <c r="MFC9" s="72"/>
      <c r="MFD9" s="63"/>
      <c r="MFE9" s="34"/>
      <c r="MFF9" s="64"/>
      <c r="MFG9" s="4"/>
      <c r="MFH9" s="65"/>
      <c r="MFI9" s="4"/>
      <c r="MFJ9" s="4"/>
      <c r="MFK9" s="4"/>
      <c r="MFN9" s="34"/>
      <c r="MFO9" s="34"/>
      <c r="MFQ9" s="34"/>
      <c r="MFR9" s="72"/>
      <c r="MFS9" s="63"/>
      <c r="MFT9" s="34"/>
      <c r="MFU9" s="64"/>
      <c r="MFV9" s="4"/>
      <c r="MFW9" s="65"/>
      <c r="MFX9" s="4"/>
      <c r="MFY9" s="4"/>
      <c r="MFZ9" s="4"/>
      <c r="MGC9" s="34"/>
      <c r="MGD9" s="34"/>
      <c r="MGF9" s="34"/>
      <c r="MGG9" s="72"/>
      <c r="MGH9" s="63"/>
      <c r="MGI9" s="34"/>
      <c r="MGJ9" s="64"/>
      <c r="MGK9" s="4"/>
      <c r="MGL9" s="65"/>
      <c r="MGM9" s="4"/>
      <c r="MGN9" s="4"/>
      <c r="MGO9" s="4"/>
      <c r="MGR9" s="34"/>
      <c r="MGS9" s="34"/>
      <c r="MGU9" s="34"/>
      <c r="MGV9" s="72"/>
      <c r="MGW9" s="63"/>
      <c r="MGX9" s="34"/>
      <c r="MGY9" s="64"/>
      <c r="MGZ9" s="4"/>
      <c r="MHA9" s="65"/>
      <c r="MHB9" s="4"/>
      <c r="MHC9" s="4"/>
      <c r="MHD9" s="4"/>
      <c r="MHG9" s="34"/>
      <c r="MHH9" s="34"/>
      <c r="MHJ9" s="34"/>
      <c r="MHK9" s="72"/>
      <c r="MHL9" s="63"/>
      <c r="MHM9" s="34"/>
      <c r="MHN9" s="64"/>
      <c r="MHO9" s="4"/>
      <c r="MHP9" s="65"/>
      <c r="MHQ9" s="4"/>
      <c r="MHR9" s="4"/>
      <c r="MHS9" s="4"/>
      <c r="MHV9" s="34"/>
      <c r="MHW9" s="34"/>
      <c r="MHY9" s="34"/>
      <c r="MHZ9" s="72"/>
      <c r="MIA9" s="63"/>
      <c r="MIB9" s="34"/>
      <c r="MIC9" s="64"/>
      <c r="MID9" s="4"/>
      <c r="MIE9" s="65"/>
      <c r="MIF9" s="4"/>
      <c r="MIG9" s="4"/>
      <c r="MIH9" s="4"/>
      <c r="MIK9" s="34"/>
      <c r="MIL9" s="34"/>
      <c r="MIN9" s="34"/>
      <c r="MIO9" s="72"/>
      <c r="MIP9" s="63"/>
      <c r="MIQ9" s="34"/>
      <c r="MIR9" s="64"/>
      <c r="MIS9" s="4"/>
      <c r="MIT9" s="65"/>
      <c r="MIU9" s="4"/>
      <c r="MIV9" s="4"/>
      <c r="MIW9" s="4"/>
      <c r="MIZ9" s="34"/>
      <c r="MJA9" s="34"/>
      <c r="MJC9" s="34"/>
      <c r="MJD9" s="72"/>
      <c r="MJE9" s="63"/>
      <c r="MJF9" s="34"/>
      <c r="MJG9" s="64"/>
      <c r="MJH9" s="4"/>
      <c r="MJI9" s="65"/>
      <c r="MJJ9" s="4"/>
      <c r="MJK9" s="4"/>
      <c r="MJL9" s="4"/>
      <c r="MJO9" s="34"/>
      <c r="MJP9" s="34"/>
      <c r="MJR9" s="34"/>
      <c r="MJS9" s="72"/>
      <c r="MJT9" s="63"/>
      <c r="MJU9" s="34"/>
      <c r="MJV9" s="64"/>
      <c r="MJW9" s="4"/>
      <c r="MJX9" s="65"/>
      <c r="MJY9" s="4"/>
      <c r="MJZ9" s="4"/>
      <c r="MKA9" s="4"/>
      <c r="MKD9" s="34"/>
      <c r="MKE9" s="34"/>
      <c r="MKG9" s="34"/>
      <c r="MKH9" s="72"/>
      <c r="MKI9" s="63"/>
      <c r="MKJ9" s="34"/>
      <c r="MKK9" s="64"/>
      <c r="MKL9" s="4"/>
      <c r="MKM9" s="65"/>
      <c r="MKN9" s="4"/>
      <c r="MKO9" s="4"/>
      <c r="MKP9" s="4"/>
      <c r="MKS9" s="34"/>
      <c r="MKT9" s="34"/>
      <c r="MKV9" s="34"/>
      <c r="MKW9" s="72"/>
      <c r="MKX9" s="63"/>
      <c r="MKY9" s="34"/>
      <c r="MKZ9" s="64"/>
      <c r="MLA9" s="4"/>
      <c r="MLB9" s="65"/>
      <c r="MLC9" s="4"/>
      <c r="MLD9" s="4"/>
      <c r="MLE9" s="4"/>
      <c r="MLH9" s="34"/>
      <c r="MLI9" s="34"/>
      <c r="MLK9" s="34"/>
      <c r="MLL9" s="72"/>
      <c r="MLM9" s="63"/>
      <c r="MLN9" s="34"/>
      <c r="MLO9" s="64"/>
      <c r="MLP9" s="4"/>
      <c r="MLQ9" s="65"/>
      <c r="MLR9" s="4"/>
      <c r="MLS9" s="4"/>
      <c r="MLT9" s="4"/>
      <c r="MLW9" s="34"/>
      <c r="MLX9" s="34"/>
      <c r="MLZ9" s="34"/>
      <c r="MMA9" s="72"/>
      <c r="MMB9" s="63"/>
      <c r="MMC9" s="34"/>
      <c r="MMD9" s="64"/>
      <c r="MME9" s="4"/>
      <c r="MMF9" s="65"/>
      <c r="MMG9" s="4"/>
      <c r="MMH9" s="4"/>
      <c r="MMI9" s="4"/>
      <c r="MML9" s="34"/>
      <c r="MMM9" s="34"/>
      <c r="MMO9" s="34"/>
      <c r="MMP9" s="72"/>
      <c r="MMQ9" s="63"/>
      <c r="MMR9" s="34"/>
      <c r="MMS9" s="64"/>
      <c r="MMT9" s="4"/>
      <c r="MMU9" s="65"/>
      <c r="MMV9" s="4"/>
      <c r="MMW9" s="4"/>
      <c r="MMX9" s="4"/>
      <c r="MNA9" s="34"/>
      <c r="MNB9" s="34"/>
      <c r="MND9" s="34"/>
      <c r="MNE9" s="72"/>
      <c r="MNF9" s="63"/>
      <c r="MNG9" s="34"/>
      <c r="MNH9" s="64"/>
      <c r="MNI9" s="4"/>
      <c r="MNJ9" s="65"/>
      <c r="MNK9" s="4"/>
      <c r="MNL9" s="4"/>
      <c r="MNM9" s="4"/>
      <c r="MNP9" s="34"/>
      <c r="MNQ9" s="34"/>
      <c r="MNS9" s="34"/>
      <c r="MNT9" s="72"/>
      <c r="MNU9" s="63"/>
      <c r="MNV9" s="34"/>
      <c r="MNW9" s="64"/>
      <c r="MNX9" s="4"/>
      <c r="MNY9" s="65"/>
      <c r="MNZ9" s="4"/>
      <c r="MOA9" s="4"/>
      <c r="MOB9" s="4"/>
      <c r="MOE9" s="34"/>
      <c r="MOF9" s="34"/>
      <c r="MOH9" s="34"/>
      <c r="MOI9" s="72"/>
      <c r="MOJ9" s="63"/>
      <c r="MOK9" s="34"/>
      <c r="MOL9" s="64"/>
      <c r="MOM9" s="4"/>
      <c r="MON9" s="65"/>
      <c r="MOO9" s="4"/>
      <c r="MOP9" s="4"/>
      <c r="MOQ9" s="4"/>
      <c r="MOT9" s="34"/>
      <c r="MOU9" s="34"/>
      <c r="MOW9" s="34"/>
      <c r="MOX9" s="72"/>
      <c r="MOY9" s="63"/>
      <c r="MOZ9" s="34"/>
      <c r="MPA9" s="64"/>
      <c r="MPB9" s="4"/>
      <c r="MPC9" s="65"/>
      <c r="MPD9" s="4"/>
      <c r="MPE9" s="4"/>
      <c r="MPF9" s="4"/>
      <c r="MPI9" s="34"/>
      <c r="MPJ9" s="34"/>
      <c r="MPL9" s="34"/>
      <c r="MPM9" s="72"/>
      <c r="MPN9" s="63"/>
      <c r="MPO9" s="34"/>
      <c r="MPP9" s="64"/>
      <c r="MPQ9" s="4"/>
      <c r="MPR9" s="65"/>
      <c r="MPS9" s="4"/>
      <c r="MPT9" s="4"/>
      <c r="MPU9" s="4"/>
      <c r="MPX9" s="34"/>
      <c r="MPY9" s="34"/>
      <c r="MQA9" s="34"/>
      <c r="MQB9" s="72"/>
      <c r="MQC9" s="63"/>
      <c r="MQD9" s="34"/>
      <c r="MQE9" s="64"/>
      <c r="MQF9" s="4"/>
      <c r="MQG9" s="65"/>
      <c r="MQH9" s="4"/>
      <c r="MQI9" s="4"/>
      <c r="MQJ9" s="4"/>
      <c r="MQM9" s="34"/>
      <c r="MQN9" s="34"/>
      <c r="MQP9" s="34"/>
      <c r="MQQ9" s="72"/>
      <c r="MQR9" s="63"/>
      <c r="MQS9" s="34"/>
      <c r="MQT9" s="64"/>
      <c r="MQU9" s="4"/>
      <c r="MQV9" s="65"/>
      <c r="MQW9" s="4"/>
      <c r="MQX9" s="4"/>
      <c r="MQY9" s="4"/>
      <c r="MRB9" s="34"/>
      <c r="MRC9" s="34"/>
      <c r="MRE9" s="34"/>
      <c r="MRF9" s="72"/>
      <c r="MRG9" s="63"/>
      <c r="MRH9" s="34"/>
      <c r="MRI9" s="64"/>
      <c r="MRJ9" s="4"/>
      <c r="MRK9" s="65"/>
      <c r="MRL9" s="4"/>
      <c r="MRM9" s="4"/>
      <c r="MRN9" s="4"/>
      <c r="MRQ9" s="34"/>
      <c r="MRR9" s="34"/>
      <c r="MRT9" s="34"/>
      <c r="MRU9" s="72"/>
      <c r="MRV9" s="63"/>
      <c r="MRW9" s="34"/>
      <c r="MRX9" s="64"/>
      <c r="MRY9" s="4"/>
      <c r="MRZ9" s="65"/>
      <c r="MSA9" s="4"/>
      <c r="MSB9" s="4"/>
      <c r="MSC9" s="4"/>
      <c r="MSF9" s="34"/>
      <c r="MSG9" s="34"/>
      <c r="MSI9" s="34"/>
      <c r="MSJ9" s="72"/>
      <c r="MSK9" s="63"/>
      <c r="MSL9" s="34"/>
      <c r="MSM9" s="64"/>
      <c r="MSN9" s="4"/>
      <c r="MSO9" s="65"/>
      <c r="MSP9" s="4"/>
      <c r="MSQ9" s="4"/>
      <c r="MSR9" s="4"/>
      <c r="MSU9" s="34"/>
      <c r="MSV9" s="34"/>
      <c r="MSX9" s="34"/>
      <c r="MSY9" s="72"/>
      <c r="MSZ9" s="63"/>
      <c r="MTA9" s="34"/>
      <c r="MTB9" s="64"/>
      <c r="MTC9" s="4"/>
      <c r="MTD9" s="65"/>
      <c r="MTE9" s="4"/>
      <c r="MTF9" s="4"/>
      <c r="MTG9" s="4"/>
      <c r="MTJ9" s="34"/>
      <c r="MTK9" s="34"/>
      <c r="MTM9" s="34"/>
      <c r="MTN9" s="72"/>
      <c r="MTO9" s="63"/>
      <c r="MTP9" s="34"/>
      <c r="MTQ9" s="64"/>
      <c r="MTR9" s="4"/>
      <c r="MTS9" s="65"/>
      <c r="MTT9" s="4"/>
      <c r="MTU9" s="4"/>
      <c r="MTV9" s="4"/>
      <c r="MTY9" s="34"/>
      <c r="MTZ9" s="34"/>
      <c r="MUB9" s="34"/>
      <c r="MUC9" s="72"/>
      <c r="MUD9" s="63"/>
      <c r="MUE9" s="34"/>
      <c r="MUF9" s="64"/>
      <c r="MUG9" s="4"/>
      <c r="MUH9" s="65"/>
      <c r="MUI9" s="4"/>
      <c r="MUJ9" s="4"/>
      <c r="MUK9" s="4"/>
      <c r="MUN9" s="34"/>
      <c r="MUO9" s="34"/>
      <c r="MUQ9" s="34"/>
      <c r="MUR9" s="72"/>
      <c r="MUS9" s="63"/>
      <c r="MUT9" s="34"/>
      <c r="MUU9" s="64"/>
      <c r="MUV9" s="4"/>
      <c r="MUW9" s="65"/>
      <c r="MUX9" s="4"/>
      <c r="MUY9" s="4"/>
      <c r="MUZ9" s="4"/>
      <c r="MVC9" s="34"/>
      <c r="MVD9" s="34"/>
      <c r="MVF9" s="34"/>
      <c r="MVG9" s="72"/>
      <c r="MVH9" s="63"/>
      <c r="MVI9" s="34"/>
      <c r="MVJ9" s="64"/>
      <c r="MVK9" s="4"/>
      <c r="MVL9" s="65"/>
      <c r="MVM9" s="4"/>
      <c r="MVN9" s="4"/>
      <c r="MVO9" s="4"/>
      <c r="MVR9" s="34"/>
      <c r="MVS9" s="34"/>
      <c r="MVU9" s="34"/>
      <c r="MVV9" s="72"/>
      <c r="MVW9" s="63"/>
      <c r="MVX9" s="34"/>
      <c r="MVY9" s="64"/>
      <c r="MVZ9" s="4"/>
      <c r="MWA9" s="65"/>
      <c r="MWB9" s="4"/>
      <c r="MWC9" s="4"/>
      <c r="MWD9" s="4"/>
      <c r="MWG9" s="34"/>
      <c r="MWH9" s="34"/>
      <c r="MWJ9" s="34"/>
      <c r="MWK9" s="72"/>
      <c r="MWL9" s="63"/>
      <c r="MWM9" s="34"/>
      <c r="MWN9" s="64"/>
      <c r="MWO9" s="4"/>
      <c r="MWP9" s="65"/>
      <c r="MWQ9" s="4"/>
      <c r="MWR9" s="4"/>
      <c r="MWS9" s="4"/>
      <c r="MWV9" s="34"/>
      <c r="MWW9" s="34"/>
      <c r="MWY9" s="34"/>
      <c r="MWZ9" s="72"/>
      <c r="MXA9" s="63"/>
      <c r="MXB9" s="34"/>
      <c r="MXC9" s="64"/>
      <c r="MXD9" s="4"/>
      <c r="MXE9" s="65"/>
      <c r="MXF9" s="4"/>
      <c r="MXG9" s="4"/>
      <c r="MXH9" s="4"/>
      <c r="MXK9" s="34"/>
      <c r="MXL9" s="34"/>
      <c r="MXN9" s="34"/>
      <c r="MXO9" s="72"/>
      <c r="MXP9" s="63"/>
      <c r="MXQ9" s="34"/>
      <c r="MXR9" s="64"/>
      <c r="MXS9" s="4"/>
      <c r="MXT9" s="65"/>
      <c r="MXU9" s="4"/>
      <c r="MXV9" s="4"/>
      <c r="MXW9" s="4"/>
      <c r="MXZ9" s="34"/>
      <c r="MYA9" s="34"/>
      <c r="MYC9" s="34"/>
      <c r="MYD9" s="72"/>
      <c r="MYE9" s="63"/>
      <c r="MYF9" s="34"/>
      <c r="MYG9" s="64"/>
      <c r="MYH9" s="4"/>
      <c r="MYI9" s="65"/>
      <c r="MYJ9" s="4"/>
      <c r="MYK9" s="4"/>
      <c r="MYL9" s="4"/>
      <c r="MYO9" s="34"/>
      <c r="MYP9" s="34"/>
      <c r="MYR9" s="34"/>
      <c r="MYS9" s="72"/>
      <c r="MYT9" s="63"/>
      <c r="MYU9" s="34"/>
      <c r="MYV9" s="64"/>
      <c r="MYW9" s="4"/>
      <c r="MYX9" s="65"/>
      <c r="MYY9" s="4"/>
      <c r="MYZ9" s="4"/>
      <c r="MZA9" s="4"/>
      <c r="MZD9" s="34"/>
      <c r="MZE9" s="34"/>
      <c r="MZG9" s="34"/>
      <c r="MZH9" s="72"/>
      <c r="MZI9" s="63"/>
      <c r="MZJ9" s="34"/>
      <c r="MZK9" s="64"/>
      <c r="MZL9" s="4"/>
      <c r="MZM9" s="65"/>
      <c r="MZN9" s="4"/>
      <c r="MZO9" s="4"/>
      <c r="MZP9" s="4"/>
      <c r="MZS9" s="34"/>
      <c r="MZT9" s="34"/>
      <c r="MZV9" s="34"/>
      <c r="MZW9" s="72"/>
      <c r="MZX9" s="63"/>
      <c r="MZY9" s="34"/>
      <c r="MZZ9" s="64"/>
      <c r="NAA9" s="4"/>
      <c r="NAB9" s="65"/>
      <c r="NAC9" s="4"/>
      <c r="NAD9" s="4"/>
      <c r="NAE9" s="4"/>
      <c r="NAH9" s="34"/>
      <c r="NAI9" s="34"/>
      <c r="NAK9" s="34"/>
      <c r="NAL9" s="72"/>
      <c r="NAM9" s="63"/>
      <c r="NAN9" s="34"/>
      <c r="NAO9" s="64"/>
      <c r="NAP9" s="4"/>
      <c r="NAQ9" s="65"/>
      <c r="NAR9" s="4"/>
      <c r="NAS9" s="4"/>
      <c r="NAT9" s="4"/>
      <c r="NAW9" s="34"/>
      <c r="NAX9" s="34"/>
      <c r="NAZ9" s="34"/>
      <c r="NBA9" s="72"/>
      <c r="NBB9" s="63"/>
      <c r="NBC9" s="34"/>
      <c r="NBD9" s="64"/>
      <c r="NBE9" s="4"/>
      <c r="NBF9" s="65"/>
      <c r="NBG9" s="4"/>
      <c r="NBH9" s="4"/>
      <c r="NBI9" s="4"/>
      <c r="NBL9" s="34"/>
      <c r="NBM9" s="34"/>
      <c r="NBO9" s="34"/>
      <c r="NBP9" s="72"/>
      <c r="NBQ9" s="63"/>
      <c r="NBR9" s="34"/>
      <c r="NBS9" s="64"/>
      <c r="NBT9" s="4"/>
      <c r="NBU9" s="65"/>
      <c r="NBV9" s="4"/>
      <c r="NBW9" s="4"/>
      <c r="NBX9" s="4"/>
      <c r="NCA9" s="34"/>
      <c r="NCB9" s="34"/>
      <c r="NCD9" s="34"/>
      <c r="NCE9" s="72"/>
      <c r="NCF9" s="63"/>
      <c r="NCG9" s="34"/>
      <c r="NCH9" s="64"/>
      <c r="NCI9" s="4"/>
      <c r="NCJ9" s="65"/>
      <c r="NCK9" s="4"/>
      <c r="NCL9" s="4"/>
      <c r="NCM9" s="4"/>
      <c r="NCP9" s="34"/>
      <c r="NCQ9" s="34"/>
      <c r="NCS9" s="34"/>
      <c r="NCT9" s="72"/>
      <c r="NCU9" s="63"/>
      <c r="NCV9" s="34"/>
      <c r="NCW9" s="64"/>
      <c r="NCX9" s="4"/>
      <c r="NCY9" s="65"/>
      <c r="NCZ9" s="4"/>
      <c r="NDA9" s="4"/>
      <c r="NDB9" s="4"/>
      <c r="NDE9" s="34"/>
      <c r="NDF9" s="34"/>
      <c r="NDH9" s="34"/>
      <c r="NDI9" s="72"/>
      <c r="NDJ9" s="63"/>
      <c r="NDK9" s="34"/>
      <c r="NDL9" s="64"/>
      <c r="NDM9" s="4"/>
      <c r="NDN9" s="65"/>
      <c r="NDO9" s="4"/>
      <c r="NDP9" s="4"/>
      <c r="NDQ9" s="4"/>
      <c r="NDT9" s="34"/>
      <c r="NDU9" s="34"/>
      <c r="NDW9" s="34"/>
      <c r="NDX9" s="72"/>
      <c r="NDY9" s="63"/>
      <c r="NDZ9" s="34"/>
      <c r="NEA9" s="64"/>
      <c r="NEB9" s="4"/>
      <c r="NEC9" s="65"/>
      <c r="NED9" s="4"/>
      <c r="NEE9" s="4"/>
      <c r="NEF9" s="4"/>
      <c r="NEI9" s="34"/>
      <c r="NEJ9" s="34"/>
      <c r="NEL9" s="34"/>
      <c r="NEM9" s="72"/>
      <c r="NEN9" s="63"/>
      <c r="NEO9" s="34"/>
      <c r="NEP9" s="64"/>
      <c r="NEQ9" s="4"/>
      <c r="NER9" s="65"/>
      <c r="NES9" s="4"/>
      <c r="NET9" s="4"/>
      <c r="NEU9" s="4"/>
      <c r="NEX9" s="34"/>
      <c r="NEY9" s="34"/>
      <c r="NFA9" s="34"/>
      <c r="NFB9" s="72"/>
      <c r="NFC9" s="63"/>
      <c r="NFD9" s="34"/>
      <c r="NFE9" s="64"/>
      <c r="NFF9" s="4"/>
      <c r="NFG9" s="65"/>
      <c r="NFH9" s="4"/>
      <c r="NFI9" s="4"/>
      <c r="NFJ9" s="4"/>
      <c r="NFM9" s="34"/>
      <c r="NFN9" s="34"/>
      <c r="NFP9" s="34"/>
      <c r="NFQ9" s="72"/>
      <c r="NFR9" s="63"/>
      <c r="NFS9" s="34"/>
      <c r="NFT9" s="64"/>
      <c r="NFU9" s="4"/>
      <c r="NFV9" s="65"/>
      <c r="NFW9" s="4"/>
      <c r="NFX9" s="4"/>
      <c r="NFY9" s="4"/>
      <c r="NGB9" s="34"/>
      <c r="NGC9" s="34"/>
      <c r="NGE9" s="34"/>
      <c r="NGF9" s="72"/>
      <c r="NGG9" s="63"/>
      <c r="NGH9" s="34"/>
      <c r="NGI9" s="64"/>
      <c r="NGJ9" s="4"/>
      <c r="NGK9" s="65"/>
      <c r="NGL9" s="4"/>
      <c r="NGM9" s="4"/>
      <c r="NGN9" s="4"/>
      <c r="NGQ9" s="34"/>
      <c r="NGR9" s="34"/>
      <c r="NGT9" s="34"/>
      <c r="NGU9" s="72"/>
      <c r="NGV9" s="63"/>
      <c r="NGW9" s="34"/>
      <c r="NGX9" s="64"/>
      <c r="NGY9" s="4"/>
      <c r="NGZ9" s="65"/>
      <c r="NHA9" s="4"/>
      <c r="NHB9" s="4"/>
      <c r="NHC9" s="4"/>
      <c r="NHF9" s="34"/>
      <c r="NHG9" s="34"/>
      <c r="NHI9" s="34"/>
      <c r="NHJ9" s="72"/>
      <c r="NHK9" s="63"/>
      <c r="NHL9" s="34"/>
      <c r="NHM9" s="64"/>
      <c r="NHN9" s="4"/>
      <c r="NHO9" s="65"/>
      <c r="NHP9" s="4"/>
      <c r="NHQ9" s="4"/>
      <c r="NHR9" s="4"/>
      <c r="NHU9" s="34"/>
      <c r="NHV9" s="34"/>
      <c r="NHX9" s="34"/>
      <c r="NHY9" s="72"/>
      <c r="NHZ9" s="63"/>
      <c r="NIA9" s="34"/>
      <c r="NIB9" s="64"/>
      <c r="NIC9" s="4"/>
      <c r="NID9" s="65"/>
      <c r="NIE9" s="4"/>
      <c r="NIF9" s="4"/>
      <c r="NIG9" s="4"/>
      <c r="NIJ9" s="34"/>
      <c r="NIK9" s="34"/>
      <c r="NIM9" s="34"/>
      <c r="NIN9" s="72"/>
      <c r="NIO9" s="63"/>
      <c r="NIP9" s="34"/>
      <c r="NIQ9" s="64"/>
      <c r="NIR9" s="4"/>
      <c r="NIS9" s="65"/>
      <c r="NIT9" s="4"/>
      <c r="NIU9" s="4"/>
      <c r="NIV9" s="4"/>
      <c r="NIY9" s="34"/>
      <c r="NIZ9" s="34"/>
      <c r="NJB9" s="34"/>
      <c r="NJC9" s="72"/>
      <c r="NJD9" s="63"/>
      <c r="NJE9" s="34"/>
      <c r="NJF9" s="64"/>
      <c r="NJG9" s="4"/>
      <c r="NJH9" s="65"/>
      <c r="NJI9" s="4"/>
      <c r="NJJ9" s="4"/>
      <c r="NJK9" s="4"/>
      <c r="NJN9" s="34"/>
      <c r="NJO9" s="34"/>
      <c r="NJQ9" s="34"/>
      <c r="NJR9" s="72"/>
      <c r="NJS9" s="63"/>
      <c r="NJT9" s="34"/>
      <c r="NJU9" s="64"/>
      <c r="NJV9" s="4"/>
      <c r="NJW9" s="65"/>
      <c r="NJX9" s="4"/>
      <c r="NJY9" s="4"/>
      <c r="NJZ9" s="4"/>
      <c r="NKC9" s="34"/>
      <c r="NKD9" s="34"/>
      <c r="NKF9" s="34"/>
      <c r="NKG9" s="72"/>
      <c r="NKH9" s="63"/>
      <c r="NKI9" s="34"/>
      <c r="NKJ9" s="64"/>
      <c r="NKK9" s="4"/>
      <c r="NKL9" s="65"/>
      <c r="NKM9" s="4"/>
      <c r="NKN9" s="4"/>
      <c r="NKO9" s="4"/>
      <c r="NKR9" s="34"/>
      <c r="NKS9" s="34"/>
      <c r="NKU9" s="34"/>
      <c r="NKV9" s="72"/>
      <c r="NKW9" s="63"/>
      <c r="NKX9" s="34"/>
      <c r="NKY9" s="64"/>
      <c r="NKZ9" s="4"/>
      <c r="NLA9" s="65"/>
      <c r="NLB9" s="4"/>
      <c r="NLC9" s="4"/>
      <c r="NLD9" s="4"/>
      <c r="NLG9" s="34"/>
      <c r="NLH9" s="34"/>
      <c r="NLJ9" s="34"/>
      <c r="NLK9" s="72"/>
      <c r="NLL9" s="63"/>
      <c r="NLM9" s="34"/>
      <c r="NLN9" s="64"/>
      <c r="NLO9" s="4"/>
      <c r="NLP9" s="65"/>
      <c r="NLQ9" s="4"/>
      <c r="NLR9" s="4"/>
      <c r="NLS9" s="4"/>
      <c r="NLV9" s="34"/>
      <c r="NLW9" s="34"/>
      <c r="NLY9" s="34"/>
      <c r="NLZ9" s="72"/>
      <c r="NMA9" s="63"/>
      <c r="NMB9" s="34"/>
      <c r="NMC9" s="64"/>
      <c r="NMD9" s="4"/>
      <c r="NME9" s="65"/>
      <c r="NMF9" s="4"/>
      <c r="NMG9" s="4"/>
      <c r="NMH9" s="4"/>
      <c r="NMK9" s="34"/>
      <c r="NML9" s="34"/>
      <c r="NMN9" s="34"/>
      <c r="NMO9" s="72"/>
      <c r="NMP9" s="63"/>
      <c r="NMQ9" s="34"/>
      <c r="NMR9" s="64"/>
      <c r="NMS9" s="4"/>
      <c r="NMT9" s="65"/>
      <c r="NMU9" s="4"/>
      <c r="NMV9" s="4"/>
      <c r="NMW9" s="4"/>
      <c r="NMZ9" s="34"/>
      <c r="NNA9" s="34"/>
      <c r="NNC9" s="34"/>
      <c r="NND9" s="72"/>
      <c r="NNE9" s="63"/>
      <c r="NNF9" s="34"/>
      <c r="NNG9" s="64"/>
      <c r="NNH9" s="4"/>
      <c r="NNI9" s="65"/>
      <c r="NNJ9" s="4"/>
      <c r="NNK9" s="4"/>
      <c r="NNL9" s="4"/>
      <c r="NNO9" s="34"/>
      <c r="NNP9" s="34"/>
      <c r="NNR9" s="34"/>
      <c r="NNS9" s="72"/>
      <c r="NNT9" s="63"/>
      <c r="NNU9" s="34"/>
      <c r="NNV9" s="64"/>
      <c r="NNW9" s="4"/>
      <c r="NNX9" s="65"/>
      <c r="NNY9" s="4"/>
      <c r="NNZ9" s="4"/>
      <c r="NOA9" s="4"/>
      <c r="NOD9" s="34"/>
      <c r="NOE9" s="34"/>
      <c r="NOG9" s="34"/>
      <c r="NOH9" s="72"/>
      <c r="NOI9" s="63"/>
      <c r="NOJ9" s="34"/>
      <c r="NOK9" s="64"/>
      <c r="NOL9" s="4"/>
      <c r="NOM9" s="65"/>
      <c r="NON9" s="4"/>
      <c r="NOO9" s="4"/>
      <c r="NOP9" s="4"/>
      <c r="NOS9" s="34"/>
      <c r="NOT9" s="34"/>
      <c r="NOV9" s="34"/>
      <c r="NOW9" s="72"/>
      <c r="NOX9" s="63"/>
      <c r="NOY9" s="34"/>
      <c r="NOZ9" s="64"/>
      <c r="NPA9" s="4"/>
      <c r="NPB9" s="65"/>
      <c r="NPC9" s="4"/>
      <c r="NPD9" s="4"/>
      <c r="NPE9" s="4"/>
      <c r="NPH9" s="34"/>
      <c r="NPI9" s="34"/>
      <c r="NPK9" s="34"/>
      <c r="NPL9" s="72"/>
      <c r="NPM9" s="63"/>
      <c r="NPN9" s="34"/>
      <c r="NPO9" s="64"/>
      <c r="NPP9" s="4"/>
      <c r="NPQ9" s="65"/>
      <c r="NPR9" s="4"/>
      <c r="NPS9" s="4"/>
      <c r="NPT9" s="4"/>
      <c r="NPW9" s="34"/>
      <c r="NPX9" s="34"/>
      <c r="NPZ9" s="34"/>
      <c r="NQA9" s="72"/>
      <c r="NQB9" s="63"/>
      <c r="NQC9" s="34"/>
      <c r="NQD9" s="64"/>
      <c r="NQE9" s="4"/>
      <c r="NQF9" s="65"/>
      <c r="NQG9" s="4"/>
      <c r="NQH9" s="4"/>
      <c r="NQI9" s="4"/>
      <c r="NQL9" s="34"/>
      <c r="NQM9" s="34"/>
      <c r="NQO9" s="34"/>
      <c r="NQP9" s="72"/>
      <c r="NQQ9" s="63"/>
      <c r="NQR9" s="34"/>
      <c r="NQS9" s="64"/>
      <c r="NQT9" s="4"/>
      <c r="NQU9" s="65"/>
      <c r="NQV9" s="4"/>
      <c r="NQW9" s="4"/>
      <c r="NQX9" s="4"/>
      <c r="NRA9" s="34"/>
      <c r="NRB9" s="34"/>
      <c r="NRD9" s="34"/>
      <c r="NRE9" s="72"/>
      <c r="NRF9" s="63"/>
      <c r="NRG9" s="34"/>
      <c r="NRH9" s="64"/>
      <c r="NRI9" s="4"/>
      <c r="NRJ9" s="65"/>
      <c r="NRK9" s="4"/>
      <c r="NRL9" s="4"/>
      <c r="NRM9" s="4"/>
      <c r="NRP9" s="34"/>
      <c r="NRQ9" s="34"/>
      <c r="NRS9" s="34"/>
      <c r="NRT9" s="72"/>
      <c r="NRU9" s="63"/>
      <c r="NRV9" s="34"/>
      <c r="NRW9" s="64"/>
      <c r="NRX9" s="4"/>
      <c r="NRY9" s="65"/>
      <c r="NRZ9" s="4"/>
      <c r="NSA9" s="4"/>
      <c r="NSB9" s="4"/>
      <c r="NSE9" s="34"/>
      <c r="NSF9" s="34"/>
      <c r="NSH9" s="34"/>
      <c r="NSI9" s="72"/>
      <c r="NSJ9" s="63"/>
      <c r="NSK9" s="34"/>
      <c r="NSL9" s="64"/>
      <c r="NSM9" s="4"/>
      <c r="NSN9" s="65"/>
      <c r="NSO9" s="4"/>
      <c r="NSP9" s="4"/>
      <c r="NSQ9" s="4"/>
      <c r="NST9" s="34"/>
      <c r="NSU9" s="34"/>
      <c r="NSW9" s="34"/>
      <c r="NSX9" s="72"/>
      <c r="NSY9" s="63"/>
      <c r="NSZ9" s="34"/>
      <c r="NTA9" s="64"/>
      <c r="NTB9" s="4"/>
      <c r="NTC9" s="65"/>
      <c r="NTD9" s="4"/>
      <c r="NTE9" s="4"/>
      <c r="NTF9" s="4"/>
      <c r="NTI9" s="34"/>
      <c r="NTJ9" s="34"/>
      <c r="NTL9" s="34"/>
      <c r="NTM9" s="72"/>
      <c r="NTN9" s="63"/>
      <c r="NTO9" s="34"/>
      <c r="NTP9" s="64"/>
      <c r="NTQ9" s="4"/>
      <c r="NTR9" s="65"/>
      <c r="NTS9" s="4"/>
      <c r="NTT9" s="4"/>
      <c r="NTU9" s="4"/>
      <c r="NTX9" s="34"/>
      <c r="NTY9" s="34"/>
      <c r="NUA9" s="34"/>
      <c r="NUB9" s="72"/>
      <c r="NUC9" s="63"/>
      <c r="NUD9" s="34"/>
      <c r="NUE9" s="64"/>
      <c r="NUF9" s="4"/>
      <c r="NUG9" s="65"/>
      <c r="NUH9" s="4"/>
      <c r="NUI9" s="4"/>
      <c r="NUJ9" s="4"/>
      <c r="NUM9" s="34"/>
      <c r="NUN9" s="34"/>
      <c r="NUP9" s="34"/>
      <c r="NUQ9" s="72"/>
      <c r="NUR9" s="63"/>
      <c r="NUS9" s="34"/>
      <c r="NUT9" s="64"/>
      <c r="NUU9" s="4"/>
      <c r="NUV9" s="65"/>
      <c r="NUW9" s="4"/>
      <c r="NUX9" s="4"/>
      <c r="NUY9" s="4"/>
      <c r="NVB9" s="34"/>
      <c r="NVC9" s="34"/>
      <c r="NVE9" s="34"/>
      <c r="NVF9" s="72"/>
      <c r="NVG9" s="63"/>
      <c r="NVH9" s="34"/>
      <c r="NVI9" s="64"/>
      <c r="NVJ9" s="4"/>
      <c r="NVK9" s="65"/>
      <c r="NVL9" s="4"/>
      <c r="NVM9" s="4"/>
      <c r="NVN9" s="4"/>
      <c r="NVQ9" s="34"/>
      <c r="NVR9" s="34"/>
      <c r="NVT9" s="34"/>
      <c r="NVU9" s="72"/>
      <c r="NVV9" s="63"/>
      <c r="NVW9" s="34"/>
      <c r="NVX9" s="64"/>
      <c r="NVY9" s="4"/>
      <c r="NVZ9" s="65"/>
      <c r="NWA9" s="4"/>
      <c r="NWB9" s="4"/>
      <c r="NWC9" s="4"/>
      <c r="NWF9" s="34"/>
      <c r="NWG9" s="34"/>
      <c r="NWI9" s="34"/>
      <c r="NWJ9" s="72"/>
      <c r="NWK9" s="63"/>
      <c r="NWL9" s="34"/>
      <c r="NWM9" s="64"/>
      <c r="NWN9" s="4"/>
      <c r="NWO9" s="65"/>
      <c r="NWP9" s="4"/>
      <c r="NWQ9" s="4"/>
      <c r="NWR9" s="4"/>
      <c r="NWU9" s="34"/>
      <c r="NWV9" s="34"/>
      <c r="NWX9" s="34"/>
      <c r="NWY9" s="72"/>
      <c r="NWZ9" s="63"/>
      <c r="NXA9" s="34"/>
      <c r="NXB9" s="64"/>
      <c r="NXC9" s="4"/>
      <c r="NXD9" s="65"/>
      <c r="NXE9" s="4"/>
      <c r="NXF9" s="4"/>
      <c r="NXG9" s="4"/>
      <c r="NXJ9" s="34"/>
      <c r="NXK9" s="34"/>
      <c r="NXM9" s="34"/>
      <c r="NXN9" s="72"/>
      <c r="NXO9" s="63"/>
      <c r="NXP9" s="34"/>
      <c r="NXQ9" s="64"/>
      <c r="NXR9" s="4"/>
      <c r="NXS9" s="65"/>
      <c r="NXT9" s="4"/>
      <c r="NXU9" s="4"/>
      <c r="NXV9" s="4"/>
      <c r="NXY9" s="34"/>
      <c r="NXZ9" s="34"/>
      <c r="NYB9" s="34"/>
      <c r="NYC9" s="72"/>
      <c r="NYD9" s="63"/>
      <c r="NYE9" s="34"/>
      <c r="NYF9" s="64"/>
      <c r="NYG9" s="4"/>
      <c r="NYH9" s="65"/>
      <c r="NYI9" s="4"/>
      <c r="NYJ9" s="4"/>
      <c r="NYK9" s="4"/>
      <c r="NYN9" s="34"/>
      <c r="NYO9" s="34"/>
      <c r="NYQ9" s="34"/>
      <c r="NYR9" s="72"/>
      <c r="NYS9" s="63"/>
      <c r="NYT9" s="34"/>
      <c r="NYU9" s="64"/>
      <c r="NYV9" s="4"/>
      <c r="NYW9" s="65"/>
      <c r="NYX9" s="4"/>
      <c r="NYY9" s="4"/>
      <c r="NYZ9" s="4"/>
      <c r="NZC9" s="34"/>
      <c r="NZD9" s="34"/>
      <c r="NZF9" s="34"/>
      <c r="NZG9" s="72"/>
      <c r="NZH9" s="63"/>
      <c r="NZI9" s="34"/>
      <c r="NZJ9" s="64"/>
      <c r="NZK9" s="4"/>
      <c r="NZL9" s="65"/>
      <c r="NZM9" s="4"/>
      <c r="NZN9" s="4"/>
      <c r="NZO9" s="4"/>
      <c r="NZR9" s="34"/>
      <c r="NZS9" s="34"/>
      <c r="NZU9" s="34"/>
      <c r="NZV9" s="72"/>
      <c r="NZW9" s="63"/>
      <c r="NZX9" s="34"/>
      <c r="NZY9" s="64"/>
      <c r="NZZ9" s="4"/>
      <c r="OAA9" s="65"/>
      <c r="OAB9" s="4"/>
      <c r="OAC9" s="4"/>
      <c r="OAD9" s="4"/>
      <c r="OAG9" s="34"/>
      <c r="OAH9" s="34"/>
      <c r="OAJ9" s="34"/>
      <c r="OAK9" s="72"/>
      <c r="OAL9" s="63"/>
      <c r="OAM9" s="34"/>
      <c r="OAN9" s="64"/>
      <c r="OAO9" s="4"/>
      <c r="OAP9" s="65"/>
      <c r="OAQ9" s="4"/>
      <c r="OAR9" s="4"/>
      <c r="OAS9" s="4"/>
      <c r="OAV9" s="34"/>
      <c r="OAW9" s="34"/>
      <c r="OAY9" s="34"/>
      <c r="OAZ9" s="72"/>
      <c r="OBA9" s="63"/>
      <c r="OBB9" s="34"/>
      <c r="OBC9" s="64"/>
      <c r="OBD9" s="4"/>
      <c r="OBE9" s="65"/>
      <c r="OBF9" s="4"/>
      <c r="OBG9" s="4"/>
      <c r="OBH9" s="4"/>
      <c r="OBK9" s="34"/>
      <c r="OBL9" s="34"/>
      <c r="OBN9" s="34"/>
      <c r="OBO9" s="72"/>
      <c r="OBP9" s="63"/>
      <c r="OBQ9" s="34"/>
      <c r="OBR9" s="64"/>
      <c r="OBS9" s="4"/>
      <c r="OBT9" s="65"/>
      <c r="OBU9" s="4"/>
      <c r="OBV9" s="4"/>
      <c r="OBW9" s="4"/>
      <c r="OBZ9" s="34"/>
      <c r="OCA9" s="34"/>
      <c r="OCC9" s="34"/>
      <c r="OCD9" s="72"/>
      <c r="OCE9" s="63"/>
      <c r="OCF9" s="34"/>
      <c r="OCG9" s="64"/>
      <c r="OCH9" s="4"/>
      <c r="OCI9" s="65"/>
      <c r="OCJ9" s="4"/>
      <c r="OCK9" s="4"/>
      <c r="OCL9" s="4"/>
      <c r="OCO9" s="34"/>
      <c r="OCP9" s="34"/>
      <c r="OCR9" s="34"/>
      <c r="OCS9" s="72"/>
      <c r="OCT9" s="63"/>
      <c r="OCU9" s="34"/>
      <c r="OCV9" s="64"/>
      <c r="OCW9" s="4"/>
      <c r="OCX9" s="65"/>
      <c r="OCY9" s="4"/>
      <c r="OCZ9" s="4"/>
      <c r="ODA9" s="4"/>
      <c r="ODD9" s="34"/>
      <c r="ODE9" s="34"/>
      <c r="ODG9" s="34"/>
      <c r="ODH9" s="72"/>
      <c r="ODI9" s="63"/>
      <c r="ODJ9" s="34"/>
      <c r="ODK9" s="64"/>
      <c r="ODL9" s="4"/>
      <c r="ODM9" s="65"/>
      <c r="ODN9" s="4"/>
      <c r="ODO9" s="4"/>
      <c r="ODP9" s="4"/>
      <c r="ODS9" s="34"/>
      <c r="ODT9" s="34"/>
      <c r="ODV9" s="34"/>
      <c r="ODW9" s="72"/>
      <c r="ODX9" s="63"/>
      <c r="ODY9" s="34"/>
      <c r="ODZ9" s="64"/>
      <c r="OEA9" s="4"/>
      <c r="OEB9" s="65"/>
      <c r="OEC9" s="4"/>
      <c r="OED9" s="4"/>
      <c r="OEE9" s="4"/>
      <c r="OEH9" s="34"/>
      <c r="OEI9" s="34"/>
      <c r="OEK9" s="34"/>
      <c r="OEL9" s="72"/>
      <c r="OEM9" s="63"/>
      <c r="OEN9" s="34"/>
      <c r="OEO9" s="64"/>
      <c r="OEP9" s="4"/>
      <c r="OEQ9" s="65"/>
      <c r="OER9" s="4"/>
      <c r="OES9" s="4"/>
      <c r="OET9" s="4"/>
      <c r="OEW9" s="34"/>
      <c r="OEX9" s="34"/>
      <c r="OEZ9" s="34"/>
      <c r="OFA9" s="72"/>
      <c r="OFB9" s="63"/>
      <c r="OFC9" s="34"/>
      <c r="OFD9" s="64"/>
      <c r="OFE9" s="4"/>
      <c r="OFF9" s="65"/>
      <c r="OFG9" s="4"/>
      <c r="OFH9" s="4"/>
      <c r="OFI9" s="4"/>
      <c r="OFL9" s="34"/>
      <c r="OFM9" s="34"/>
      <c r="OFO9" s="34"/>
      <c r="OFP9" s="72"/>
      <c r="OFQ9" s="63"/>
      <c r="OFR9" s="34"/>
      <c r="OFS9" s="64"/>
      <c r="OFT9" s="4"/>
      <c r="OFU9" s="65"/>
      <c r="OFV9" s="4"/>
      <c r="OFW9" s="4"/>
      <c r="OFX9" s="4"/>
      <c r="OGA9" s="34"/>
      <c r="OGB9" s="34"/>
      <c r="OGD9" s="34"/>
      <c r="OGE9" s="72"/>
      <c r="OGF9" s="63"/>
      <c r="OGG9" s="34"/>
      <c r="OGH9" s="64"/>
      <c r="OGI9" s="4"/>
      <c r="OGJ9" s="65"/>
      <c r="OGK9" s="4"/>
      <c r="OGL9" s="4"/>
      <c r="OGM9" s="4"/>
      <c r="OGP9" s="34"/>
      <c r="OGQ9" s="34"/>
      <c r="OGS9" s="34"/>
      <c r="OGT9" s="72"/>
      <c r="OGU9" s="63"/>
      <c r="OGV9" s="34"/>
      <c r="OGW9" s="64"/>
      <c r="OGX9" s="4"/>
      <c r="OGY9" s="65"/>
      <c r="OGZ9" s="4"/>
      <c r="OHA9" s="4"/>
      <c r="OHB9" s="4"/>
      <c r="OHE9" s="34"/>
      <c r="OHF9" s="34"/>
      <c r="OHH9" s="34"/>
      <c r="OHI9" s="72"/>
      <c r="OHJ9" s="63"/>
      <c r="OHK9" s="34"/>
      <c r="OHL9" s="64"/>
      <c r="OHM9" s="4"/>
      <c r="OHN9" s="65"/>
      <c r="OHO9" s="4"/>
      <c r="OHP9" s="4"/>
      <c r="OHQ9" s="4"/>
      <c r="OHT9" s="34"/>
      <c r="OHU9" s="34"/>
      <c r="OHW9" s="34"/>
      <c r="OHX9" s="72"/>
      <c r="OHY9" s="63"/>
      <c r="OHZ9" s="34"/>
      <c r="OIA9" s="64"/>
      <c r="OIB9" s="4"/>
      <c r="OIC9" s="65"/>
      <c r="OID9" s="4"/>
      <c r="OIE9" s="4"/>
      <c r="OIF9" s="4"/>
      <c r="OII9" s="34"/>
      <c r="OIJ9" s="34"/>
      <c r="OIL9" s="34"/>
      <c r="OIM9" s="72"/>
      <c r="OIN9" s="63"/>
      <c r="OIO9" s="34"/>
      <c r="OIP9" s="64"/>
      <c r="OIQ9" s="4"/>
      <c r="OIR9" s="65"/>
      <c r="OIS9" s="4"/>
      <c r="OIT9" s="4"/>
      <c r="OIU9" s="4"/>
      <c r="OIX9" s="34"/>
      <c r="OIY9" s="34"/>
      <c r="OJA9" s="34"/>
      <c r="OJB9" s="72"/>
      <c r="OJC9" s="63"/>
      <c r="OJD9" s="34"/>
      <c r="OJE9" s="64"/>
      <c r="OJF9" s="4"/>
      <c r="OJG9" s="65"/>
      <c r="OJH9" s="4"/>
      <c r="OJI9" s="4"/>
      <c r="OJJ9" s="4"/>
      <c r="OJM9" s="34"/>
      <c r="OJN9" s="34"/>
      <c r="OJP9" s="34"/>
      <c r="OJQ9" s="72"/>
      <c r="OJR9" s="63"/>
      <c r="OJS9" s="34"/>
      <c r="OJT9" s="64"/>
      <c r="OJU9" s="4"/>
      <c r="OJV9" s="65"/>
      <c r="OJW9" s="4"/>
      <c r="OJX9" s="4"/>
      <c r="OJY9" s="4"/>
      <c r="OKB9" s="34"/>
      <c r="OKC9" s="34"/>
      <c r="OKE9" s="34"/>
      <c r="OKF9" s="72"/>
      <c r="OKG9" s="63"/>
      <c r="OKH9" s="34"/>
      <c r="OKI9" s="64"/>
      <c r="OKJ9" s="4"/>
      <c r="OKK9" s="65"/>
      <c r="OKL9" s="4"/>
      <c r="OKM9" s="4"/>
      <c r="OKN9" s="4"/>
      <c r="OKQ9" s="34"/>
      <c r="OKR9" s="34"/>
      <c r="OKT9" s="34"/>
      <c r="OKU9" s="72"/>
      <c r="OKV9" s="63"/>
      <c r="OKW9" s="34"/>
      <c r="OKX9" s="64"/>
      <c r="OKY9" s="4"/>
      <c r="OKZ9" s="65"/>
      <c r="OLA9" s="4"/>
      <c r="OLB9" s="4"/>
      <c r="OLC9" s="4"/>
      <c r="OLF9" s="34"/>
      <c r="OLG9" s="34"/>
      <c r="OLI9" s="34"/>
      <c r="OLJ9" s="72"/>
      <c r="OLK9" s="63"/>
      <c r="OLL9" s="34"/>
      <c r="OLM9" s="64"/>
      <c r="OLN9" s="4"/>
      <c r="OLO9" s="65"/>
      <c r="OLP9" s="4"/>
      <c r="OLQ9" s="4"/>
      <c r="OLR9" s="4"/>
      <c r="OLU9" s="34"/>
      <c r="OLV9" s="34"/>
      <c r="OLX9" s="34"/>
      <c r="OLY9" s="72"/>
      <c r="OLZ9" s="63"/>
      <c r="OMA9" s="34"/>
      <c r="OMB9" s="64"/>
      <c r="OMC9" s="4"/>
      <c r="OMD9" s="65"/>
      <c r="OME9" s="4"/>
      <c r="OMF9" s="4"/>
      <c r="OMG9" s="4"/>
      <c r="OMJ9" s="34"/>
      <c r="OMK9" s="34"/>
      <c r="OMM9" s="34"/>
      <c r="OMN9" s="72"/>
      <c r="OMO9" s="63"/>
      <c r="OMP9" s="34"/>
      <c r="OMQ9" s="64"/>
      <c r="OMR9" s="4"/>
      <c r="OMS9" s="65"/>
      <c r="OMT9" s="4"/>
      <c r="OMU9" s="4"/>
      <c r="OMV9" s="4"/>
      <c r="OMY9" s="34"/>
      <c r="OMZ9" s="34"/>
      <c r="ONB9" s="34"/>
      <c r="ONC9" s="72"/>
      <c r="OND9" s="63"/>
      <c r="ONE9" s="34"/>
      <c r="ONF9" s="64"/>
      <c r="ONG9" s="4"/>
      <c r="ONH9" s="65"/>
      <c r="ONI9" s="4"/>
      <c r="ONJ9" s="4"/>
      <c r="ONK9" s="4"/>
      <c r="ONN9" s="34"/>
      <c r="ONO9" s="34"/>
      <c r="ONQ9" s="34"/>
      <c r="ONR9" s="72"/>
      <c r="ONS9" s="63"/>
      <c r="ONT9" s="34"/>
      <c r="ONU9" s="64"/>
      <c r="ONV9" s="4"/>
      <c r="ONW9" s="65"/>
      <c r="ONX9" s="4"/>
      <c r="ONY9" s="4"/>
      <c r="ONZ9" s="4"/>
      <c r="OOC9" s="34"/>
      <c r="OOD9" s="34"/>
      <c r="OOF9" s="34"/>
      <c r="OOG9" s="72"/>
      <c r="OOH9" s="63"/>
      <c r="OOI9" s="34"/>
      <c r="OOJ9" s="64"/>
      <c r="OOK9" s="4"/>
      <c r="OOL9" s="65"/>
      <c r="OOM9" s="4"/>
      <c r="OON9" s="4"/>
      <c r="OOO9" s="4"/>
      <c r="OOR9" s="34"/>
      <c r="OOS9" s="34"/>
      <c r="OOU9" s="34"/>
      <c r="OOV9" s="72"/>
      <c r="OOW9" s="63"/>
      <c r="OOX9" s="34"/>
      <c r="OOY9" s="64"/>
      <c r="OOZ9" s="4"/>
      <c r="OPA9" s="65"/>
      <c r="OPB9" s="4"/>
      <c r="OPC9" s="4"/>
      <c r="OPD9" s="4"/>
      <c r="OPG9" s="34"/>
      <c r="OPH9" s="34"/>
      <c r="OPJ9" s="34"/>
      <c r="OPK9" s="72"/>
      <c r="OPL9" s="63"/>
      <c r="OPM9" s="34"/>
      <c r="OPN9" s="64"/>
      <c r="OPO9" s="4"/>
      <c r="OPP9" s="65"/>
      <c r="OPQ9" s="4"/>
      <c r="OPR9" s="4"/>
      <c r="OPS9" s="4"/>
      <c r="OPV9" s="34"/>
      <c r="OPW9" s="34"/>
      <c r="OPY9" s="34"/>
      <c r="OPZ9" s="72"/>
      <c r="OQA9" s="63"/>
      <c r="OQB9" s="34"/>
      <c r="OQC9" s="64"/>
      <c r="OQD9" s="4"/>
      <c r="OQE9" s="65"/>
      <c r="OQF9" s="4"/>
      <c r="OQG9" s="4"/>
      <c r="OQH9" s="4"/>
      <c r="OQK9" s="34"/>
      <c r="OQL9" s="34"/>
      <c r="OQN9" s="34"/>
      <c r="OQO9" s="72"/>
      <c r="OQP9" s="63"/>
      <c r="OQQ9" s="34"/>
      <c r="OQR9" s="64"/>
      <c r="OQS9" s="4"/>
      <c r="OQT9" s="65"/>
      <c r="OQU9" s="4"/>
      <c r="OQV9" s="4"/>
      <c r="OQW9" s="4"/>
      <c r="OQZ9" s="34"/>
      <c r="ORA9" s="34"/>
      <c r="ORC9" s="34"/>
      <c r="ORD9" s="72"/>
      <c r="ORE9" s="63"/>
      <c r="ORF9" s="34"/>
      <c r="ORG9" s="64"/>
      <c r="ORH9" s="4"/>
      <c r="ORI9" s="65"/>
      <c r="ORJ9" s="4"/>
      <c r="ORK9" s="4"/>
      <c r="ORL9" s="4"/>
      <c r="ORO9" s="34"/>
      <c r="ORP9" s="34"/>
      <c r="ORR9" s="34"/>
      <c r="ORS9" s="72"/>
      <c r="ORT9" s="63"/>
      <c r="ORU9" s="34"/>
      <c r="ORV9" s="64"/>
      <c r="ORW9" s="4"/>
      <c r="ORX9" s="65"/>
      <c r="ORY9" s="4"/>
      <c r="ORZ9" s="4"/>
      <c r="OSA9" s="4"/>
      <c r="OSD9" s="34"/>
      <c r="OSE9" s="34"/>
      <c r="OSG9" s="34"/>
      <c r="OSH9" s="72"/>
      <c r="OSI9" s="63"/>
      <c r="OSJ9" s="34"/>
      <c r="OSK9" s="64"/>
      <c r="OSL9" s="4"/>
      <c r="OSM9" s="65"/>
      <c r="OSN9" s="4"/>
      <c r="OSO9" s="4"/>
      <c r="OSP9" s="4"/>
      <c r="OSS9" s="34"/>
      <c r="OST9" s="34"/>
      <c r="OSV9" s="34"/>
      <c r="OSW9" s="72"/>
      <c r="OSX9" s="63"/>
      <c r="OSY9" s="34"/>
      <c r="OSZ9" s="64"/>
      <c r="OTA9" s="4"/>
      <c r="OTB9" s="65"/>
      <c r="OTC9" s="4"/>
      <c r="OTD9" s="4"/>
      <c r="OTE9" s="4"/>
      <c r="OTH9" s="34"/>
      <c r="OTI9" s="34"/>
      <c r="OTK9" s="34"/>
      <c r="OTL9" s="72"/>
      <c r="OTM9" s="63"/>
      <c r="OTN9" s="34"/>
      <c r="OTO9" s="64"/>
      <c r="OTP9" s="4"/>
      <c r="OTQ9" s="65"/>
      <c r="OTR9" s="4"/>
      <c r="OTS9" s="4"/>
      <c r="OTT9" s="4"/>
      <c r="OTW9" s="34"/>
      <c r="OTX9" s="34"/>
      <c r="OTZ9" s="34"/>
      <c r="OUA9" s="72"/>
      <c r="OUB9" s="63"/>
      <c r="OUC9" s="34"/>
      <c r="OUD9" s="64"/>
      <c r="OUE9" s="4"/>
      <c r="OUF9" s="65"/>
      <c r="OUG9" s="4"/>
      <c r="OUH9" s="4"/>
      <c r="OUI9" s="4"/>
      <c r="OUL9" s="34"/>
      <c r="OUM9" s="34"/>
      <c r="OUO9" s="34"/>
      <c r="OUP9" s="72"/>
      <c r="OUQ9" s="63"/>
      <c r="OUR9" s="34"/>
      <c r="OUS9" s="64"/>
      <c r="OUT9" s="4"/>
      <c r="OUU9" s="65"/>
      <c r="OUV9" s="4"/>
      <c r="OUW9" s="4"/>
      <c r="OUX9" s="4"/>
      <c r="OVA9" s="34"/>
      <c r="OVB9" s="34"/>
      <c r="OVD9" s="34"/>
      <c r="OVE9" s="72"/>
      <c r="OVF9" s="63"/>
      <c r="OVG9" s="34"/>
      <c r="OVH9" s="64"/>
      <c r="OVI9" s="4"/>
      <c r="OVJ9" s="65"/>
      <c r="OVK9" s="4"/>
      <c r="OVL9" s="4"/>
      <c r="OVM9" s="4"/>
      <c r="OVP9" s="34"/>
      <c r="OVQ9" s="34"/>
      <c r="OVS9" s="34"/>
      <c r="OVT9" s="72"/>
      <c r="OVU9" s="63"/>
      <c r="OVV9" s="34"/>
      <c r="OVW9" s="64"/>
      <c r="OVX9" s="4"/>
      <c r="OVY9" s="65"/>
      <c r="OVZ9" s="4"/>
      <c r="OWA9" s="4"/>
      <c r="OWB9" s="4"/>
      <c r="OWE9" s="34"/>
      <c r="OWF9" s="34"/>
      <c r="OWH9" s="34"/>
      <c r="OWI9" s="72"/>
      <c r="OWJ9" s="63"/>
      <c r="OWK9" s="34"/>
      <c r="OWL9" s="64"/>
      <c r="OWM9" s="4"/>
      <c r="OWN9" s="65"/>
      <c r="OWO9" s="4"/>
      <c r="OWP9" s="4"/>
      <c r="OWQ9" s="4"/>
      <c r="OWT9" s="34"/>
      <c r="OWU9" s="34"/>
      <c r="OWW9" s="34"/>
      <c r="OWX9" s="72"/>
      <c r="OWY9" s="63"/>
      <c r="OWZ9" s="34"/>
      <c r="OXA9" s="64"/>
      <c r="OXB9" s="4"/>
      <c r="OXC9" s="65"/>
      <c r="OXD9" s="4"/>
      <c r="OXE9" s="4"/>
      <c r="OXF9" s="4"/>
      <c r="OXI9" s="34"/>
      <c r="OXJ9" s="34"/>
      <c r="OXL9" s="34"/>
      <c r="OXM9" s="72"/>
      <c r="OXN9" s="63"/>
      <c r="OXO9" s="34"/>
      <c r="OXP9" s="64"/>
      <c r="OXQ9" s="4"/>
      <c r="OXR9" s="65"/>
      <c r="OXS9" s="4"/>
      <c r="OXT9" s="4"/>
      <c r="OXU9" s="4"/>
      <c r="OXX9" s="34"/>
      <c r="OXY9" s="34"/>
      <c r="OYA9" s="34"/>
      <c r="OYB9" s="72"/>
      <c r="OYC9" s="63"/>
      <c r="OYD9" s="34"/>
      <c r="OYE9" s="64"/>
      <c r="OYF9" s="4"/>
      <c r="OYG9" s="65"/>
      <c r="OYH9" s="4"/>
      <c r="OYI9" s="4"/>
      <c r="OYJ9" s="4"/>
      <c r="OYM9" s="34"/>
      <c r="OYN9" s="34"/>
      <c r="OYP9" s="34"/>
      <c r="OYQ9" s="72"/>
      <c r="OYR9" s="63"/>
      <c r="OYS9" s="34"/>
      <c r="OYT9" s="64"/>
      <c r="OYU9" s="4"/>
      <c r="OYV9" s="65"/>
      <c r="OYW9" s="4"/>
      <c r="OYX9" s="4"/>
      <c r="OYY9" s="4"/>
      <c r="OZB9" s="34"/>
      <c r="OZC9" s="34"/>
      <c r="OZE9" s="34"/>
      <c r="OZF9" s="72"/>
      <c r="OZG9" s="63"/>
      <c r="OZH9" s="34"/>
      <c r="OZI9" s="64"/>
      <c r="OZJ9" s="4"/>
      <c r="OZK9" s="65"/>
      <c r="OZL9" s="4"/>
      <c r="OZM9" s="4"/>
      <c r="OZN9" s="4"/>
      <c r="OZQ9" s="34"/>
      <c r="OZR9" s="34"/>
      <c r="OZT9" s="34"/>
      <c r="OZU9" s="72"/>
      <c r="OZV9" s="63"/>
      <c r="OZW9" s="34"/>
      <c r="OZX9" s="64"/>
      <c r="OZY9" s="4"/>
      <c r="OZZ9" s="65"/>
      <c r="PAA9" s="4"/>
      <c r="PAB9" s="4"/>
      <c r="PAC9" s="4"/>
      <c r="PAF9" s="34"/>
      <c r="PAG9" s="34"/>
      <c r="PAI9" s="34"/>
      <c r="PAJ9" s="72"/>
      <c r="PAK9" s="63"/>
      <c r="PAL9" s="34"/>
      <c r="PAM9" s="64"/>
      <c r="PAN9" s="4"/>
      <c r="PAO9" s="65"/>
      <c r="PAP9" s="4"/>
      <c r="PAQ9" s="4"/>
      <c r="PAR9" s="4"/>
      <c r="PAU9" s="34"/>
      <c r="PAV9" s="34"/>
      <c r="PAX9" s="34"/>
      <c r="PAY9" s="72"/>
      <c r="PAZ9" s="63"/>
      <c r="PBA9" s="34"/>
      <c r="PBB9" s="64"/>
      <c r="PBC9" s="4"/>
      <c r="PBD9" s="65"/>
      <c r="PBE9" s="4"/>
      <c r="PBF9" s="4"/>
      <c r="PBG9" s="4"/>
      <c r="PBJ9" s="34"/>
      <c r="PBK9" s="34"/>
      <c r="PBM9" s="34"/>
      <c r="PBN9" s="72"/>
      <c r="PBO9" s="63"/>
      <c r="PBP9" s="34"/>
      <c r="PBQ9" s="64"/>
      <c r="PBR9" s="4"/>
      <c r="PBS9" s="65"/>
      <c r="PBT9" s="4"/>
      <c r="PBU9" s="4"/>
      <c r="PBV9" s="4"/>
      <c r="PBY9" s="34"/>
      <c r="PBZ9" s="34"/>
      <c r="PCB9" s="34"/>
      <c r="PCC9" s="72"/>
      <c r="PCD9" s="63"/>
      <c r="PCE9" s="34"/>
      <c r="PCF9" s="64"/>
      <c r="PCG9" s="4"/>
      <c r="PCH9" s="65"/>
      <c r="PCI9" s="4"/>
      <c r="PCJ9" s="4"/>
      <c r="PCK9" s="4"/>
      <c r="PCN9" s="34"/>
      <c r="PCO9" s="34"/>
      <c r="PCQ9" s="34"/>
      <c r="PCR9" s="72"/>
      <c r="PCS9" s="63"/>
      <c r="PCT9" s="34"/>
      <c r="PCU9" s="64"/>
      <c r="PCV9" s="4"/>
      <c r="PCW9" s="65"/>
      <c r="PCX9" s="4"/>
      <c r="PCY9" s="4"/>
      <c r="PCZ9" s="4"/>
      <c r="PDC9" s="34"/>
      <c r="PDD9" s="34"/>
      <c r="PDF9" s="34"/>
      <c r="PDG9" s="72"/>
      <c r="PDH9" s="63"/>
      <c r="PDI9" s="34"/>
      <c r="PDJ9" s="64"/>
      <c r="PDK9" s="4"/>
      <c r="PDL9" s="65"/>
      <c r="PDM9" s="4"/>
      <c r="PDN9" s="4"/>
      <c r="PDO9" s="4"/>
      <c r="PDR9" s="34"/>
      <c r="PDS9" s="34"/>
      <c r="PDU9" s="34"/>
      <c r="PDV9" s="72"/>
      <c r="PDW9" s="63"/>
      <c r="PDX9" s="34"/>
      <c r="PDY9" s="64"/>
      <c r="PDZ9" s="4"/>
      <c r="PEA9" s="65"/>
      <c r="PEB9" s="4"/>
      <c r="PEC9" s="4"/>
      <c r="PED9" s="4"/>
      <c r="PEG9" s="34"/>
      <c r="PEH9" s="34"/>
      <c r="PEJ9" s="34"/>
      <c r="PEK9" s="72"/>
      <c r="PEL9" s="63"/>
      <c r="PEM9" s="34"/>
      <c r="PEN9" s="64"/>
      <c r="PEO9" s="4"/>
      <c r="PEP9" s="65"/>
      <c r="PEQ9" s="4"/>
      <c r="PER9" s="4"/>
      <c r="PES9" s="4"/>
      <c r="PEV9" s="34"/>
      <c r="PEW9" s="34"/>
      <c r="PEY9" s="34"/>
      <c r="PEZ9" s="72"/>
      <c r="PFA9" s="63"/>
      <c r="PFB9" s="34"/>
      <c r="PFC9" s="64"/>
      <c r="PFD9" s="4"/>
      <c r="PFE9" s="65"/>
      <c r="PFF9" s="4"/>
      <c r="PFG9" s="4"/>
      <c r="PFH9" s="4"/>
      <c r="PFK9" s="34"/>
      <c r="PFL9" s="34"/>
      <c r="PFN9" s="34"/>
      <c r="PFO9" s="72"/>
      <c r="PFP9" s="63"/>
      <c r="PFQ9" s="34"/>
      <c r="PFR9" s="64"/>
      <c r="PFS9" s="4"/>
      <c r="PFT9" s="65"/>
      <c r="PFU9" s="4"/>
      <c r="PFV9" s="4"/>
      <c r="PFW9" s="4"/>
      <c r="PFZ9" s="34"/>
      <c r="PGA9" s="34"/>
      <c r="PGC9" s="34"/>
      <c r="PGD9" s="72"/>
      <c r="PGE9" s="63"/>
      <c r="PGF9" s="34"/>
      <c r="PGG9" s="64"/>
      <c r="PGH9" s="4"/>
      <c r="PGI9" s="65"/>
      <c r="PGJ9" s="4"/>
      <c r="PGK9" s="4"/>
      <c r="PGL9" s="4"/>
      <c r="PGO9" s="34"/>
      <c r="PGP9" s="34"/>
      <c r="PGR9" s="34"/>
      <c r="PGS9" s="72"/>
      <c r="PGT9" s="63"/>
      <c r="PGU9" s="34"/>
      <c r="PGV9" s="64"/>
      <c r="PGW9" s="4"/>
      <c r="PGX9" s="65"/>
      <c r="PGY9" s="4"/>
      <c r="PGZ9" s="4"/>
      <c r="PHA9" s="4"/>
      <c r="PHD9" s="34"/>
      <c r="PHE9" s="34"/>
      <c r="PHG9" s="34"/>
      <c r="PHH9" s="72"/>
      <c r="PHI9" s="63"/>
      <c r="PHJ9" s="34"/>
      <c r="PHK9" s="64"/>
      <c r="PHL9" s="4"/>
      <c r="PHM9" s="65"/>
      <c r="PHN9" s="4"/>
      <c r="PHO9" s="4"/>
      <c r="PHP9" s="4"/>
      <c r="PHS9" s="34"/>
      <c r="PHT9" s="34"/>
      <c r="PHV9" s="34"/>
      <c r="PHW9" s="72"/>
      <c r="PHX9" s="63"/>
      <c r="PHY9" s="34"/>
      <c r="PHZ9" s="64"/>
      <c r="PIA9" s="4"/>
      <c r="PIB9" s="65"/>
      <c r="PIC9" s="4"/>
      <c r="PID9" s="4"/>
      <c r="PIE9" s="4"/>
      <c r="PIH9" s="34"/>
      <c r="PII9" s="34"/>
      <c r="PIK9" s="34"/>
      <c r="PIL9" s="72"/>
      <c r="PIM9" s="63"/>
      <c r="PIN9" s="34"/>
      <c r="PIO9" s="64"/>
      <c r="PIP9" s="4"/>
      <c r="PIQ9" s="65"/>
      <c r="PIR9" s="4"/>
      <c r="PIS9" s="4"/>
      <c r="PIT9" s="4"/>
      <c r="PIW9" s="34"/>
      <c r="PIX9" s="34"/>
      <c r="PIZ9" s="34"/>
      <c r="PJA9" s="72"/>
      <c r="PJB9" s="63"/>
      <c r="PJC9" s="34"/>
      <c r="PJD9" s="64"/>
      <c r="PJE9" s="4"/>
      <c r="PJF9" s="65"/>
      <c r="PJG9" s="4"/>
      <c r="PJH9" s="4"/>
      <c r="PJI9" s="4"/>
      <c r="PJL9" s="34"/>
      <c r="PJM9" s="34"/>
      <c r="PJO9" s="34"/>
      <c r="PJP9" s="72"/>
      <c r="PJQ9" s="63"/>
      <c r="PJR9" s="34"/>
      <c r="PJS9" s="64"/>
      <c r="PJT9" s="4"/>
      <c r="PJU9" s="65"/>
      <c r="PJV9" s="4"/>
      <c r="PJW9" s="4"/>
      <c r="PJX9" s="4"/>
      <c r="PKA9" s="34"/>
      <c r="PKB9" s="34"/>
      <c r="PKD9" s="34"/>
      <c r="PKE9" s="72"/>
      <c r="PKF9" s="63"/>
      <c r="PKG9" s="34"/>
      <c r="PKH9" s="64"/>
      <c r="PKI9" s="4"/>
      <c r="PKJ9" s="65"/>
      <c r="PKK9" s="4"/>
      <c r="PKL9" s="4"/>
      <c r="PKM9" s="4"/>
      <c r="PKP9" s="34"/>
      <c r="PKQ9" s="34"/>
      <c r="PKS9" s="34"/>
      <c r="PKT9" s="72"/>
      <c r="PKU9" s="63"/>
      <c r="PKV9" s="34"/>
      <c r="PKW9" s="64"/>
      <c r="PKX9" s="4"/>
      <c r="PKY9" s="65"/>
      <c r="PKZ9" s="4"/>
      <c r="PLA9" s="4"/>
      <c r="PLB9" s="4"/>
      <c r="PLE9" s="34"/>
      <c r="PLF9" s="34"/>
      <c r="PLH9" s="34"/>
      <c r="PLI9" s="72"/>
      <c r="PLJ9" s="63"/>
      <c r="PLK9" s="34"/>
      <c r="PLL9" s="64"/>
      <c r="PLM9" s="4"/>
      <c r="PLN9" s="65"/>
      <c r="PLO9" s="4"/>
      <c r="PLP9" s="4"/>
      <c r="PLQ9" s="4"/>
      <c r="PLT9" s="34"/>
      <c r="PLU9" s="34"/>
      <c r="PLW9" s="34"/>
      <c r="PLX9" s="72"/>
      <c r="PLY9" s="63"/>
      <c r="PLZ9" s="34"/>
      <c r="PMA9" s="64"/>
      <c r="PMB9" s="4"/>
      <c r="PMC9" s="65"/>
      <c r="PMD9" s="4"/>
      <c r="PME9" s="4"/>
      <c r="PMF9" s="4"/>
      <c r="PMI9" s="34"/>
      <c r="PMJ9" s="34"/>
      <c r="PML9" s="34"/>
      <c r="PMM9" s="72"/>
      <c r="PMN9" s="63"/>
      <c r="PMO9" s="34"/>
      <c r="PMP9" s="64"/>
      <c r="PMQ9" s="4"/>
      <c r="PMR9" s="65"/>
      <c r="PMS9" s="4"/>
      <c r="PMT9" s="4"/>
      <c r="PMU9" s="4"/>
      <c r="PMX9" s="34"/>
      <c r="PMY9" s="34"/>
      <c r="PNA9" s="34"/>
      <c r="PNB9" s="72"/>
      <c r="PNC9" s="63"/>
      <c r="PND9" s="34"/>
      <c r="PNE9" s="64"/>
      <c r="PNF9" s="4"/>
      <c r="PNG9" s="65"/>
      <c r="PNH9" s="4"/>
      <c r="PNI9" s="4"/>
      <c r="PNJ9" s="4"/>
      <c r="PNM9" s="34"/>
      <c r="PNN9" s="34"/>
      <c r="PNP9" s="34"/>
      <c r="PNQ9" s="72"/>
      <c r="PNR9" s="63"/>
      <c r="PNS9" s="34"/>
      <c r="PNT9" s="64"/>
      <c r="PNU9" s="4"/>
      <c r="PNV9" s="65"/>
      <c r="PNW9" s="4"/>
      <c r="PNX9" s="4"/>
      <c r="PNY9" s="4"/>
      <c r="POB9" s="34"/>
      <c r="POC9" s="34"/>
      <c r="POE9" s="34"/>
      <c r="POF9" s="72"/>
      <c r="POG9" s="63"/>
      <c r="POH9" s="34"/>
      <c r="POI9" s="64"/>
      <c r="POJ9" s="4"/>
      <c r="POK9" s="65"/>
      <c r="POL9" s="4"/>
      <c r="POM9" s="4"/>
      <c r="PON9" s="4"/>
      <c r="POQ9" s="34"/>
      <c r="POR9" s="34"/>
      <c r="POT9" s="34"/>
      <c r="POU9" s="72"/>
      <c r="POV9" s="63"/>
      <c r="POW9" s="34"/>
      <c r="POX9" s="64"/>
      <c r="POY9" s="4"/>
      <c r="POZ9" s="65"/>
      <c r="PPA9" s="4"/>
      <c r="PPB9" s="4"/>
      <c r="PPC9" s="4"/>
      <c r="PPF9" s="34"/>
      <c r="PPG9" s="34"/>
      <c r="PPI9" s="34"/>
      <c r="PPJ9" s="72"/>
      <c r="PPK9" s="63"/>
      <c r="PPL9" s="34"/>
      <c r="PPM9" s="64"/>
      <c r="PPN9" s="4"/>
      <c r="PPO9" s="65"/>
      <c r="PPP9" s="4"/>
      <c r="PPQ9" s="4"/>
      <c r="PPR9" s="4"/>
      <c r="PPU9" s="34"/>
      <c r="PPV9" s="34"/>
      <c r="PPX9" s="34"/>
      <c r="PPY9" s="72"/>
      <c r="PPZ9" s="63"/>
      <c r="PQA9" s="34"/>
      <c r="PQB9" s="64"/>
      <c r="PQC9" s="4"/>
      <c r="PQD9" s="65"/>
      <c r="PQE9" s="4"/>
      <c r="PQF9" s="4"/>
      <c r="PQG9" s="4"/>
      <c r="PQJ9" s="34"/>
      <c r="PQK9" s="34"/>
      <c r="PQM9" s="34"/>
      <c r="PQN9" s="72"/>
      <c r="PQO9" s="63"/>
      <c r="PQP9" s="34"/>
      <c r="PQQ9" s="64"/>
      <c r="PQR9" s="4"/>
      <c r="PQS9" s="65"/>
      <c r="PQT9" s="4"/>
      <c r="PQU9" s="4"/>
      <c r="PQV9" s="4"/>
      <c r="PQY9" s="34"/>
      <c r="PQZ9" s="34"/>
      <c r="PRB9" s="34"/>
      <c r="PRC9" s="72"/>
      <c r="PRD9" s="63"/>
      <c r="PRE9" s="34"/>
      <c r="PRF9" s="64"/>
      <c r="PRG9" s="4"/>
      <c r="PRH9" s="65"/>
      <c r="PRI9" s="4"/>
      <c r="PRJ9" s="4"/>
      <c r="PRK9" s="4"/>
      <c r="PRN9" s="34"/>
      <c r="PRO9" s="34"/>
      <c r="PRQ9" s="34"/>
      <c r="PRR9" s="72"/>
      <c r="PRS9" s="63"/>
      <c r="PRT9" s="34"/>
      <c r="PRU9" s="64"/>
      <c r="PRV9" s="4"/>
      <c r="PRW9" s="65"/>
      <c r="PRX9" s="4"/>
      <c r="PRY9" s="4"/>
      <c r="PRZ9" s="4"/>
      <c r="PSC9" s="34"/>
      <c r="PSD9" s="34"/>
      <c r="PSF9" s="34"/>
      <c r="PSG9" s="72"/>
      <c r="PSH9" s="63"/>
      <c r="PSI9" s="34"/>
      <c r="PSJ9" s="64"/>
      <c r="PSK9" s="4"/>
      <c r="PSL9" s="65"/>
      <c r="PSM9" s="4"/>
      <c r="PSN9" s="4"/>
      <c r="PSO9" s="4"/>
      <c r="PSR9" s="34"/>
      <c r="PSS9" s="34"/>
      <c r="PSU9" s="34"/>
      <c r="PSV9" s="72"/>
      <c r="PSW9" s="63"/>
      <c r="PSX9" s="34"/>
      <c r="PSY9" s="64"/>
      <c r="PSZ9" s="4"/>
      <c r="PTA9" s="65"/>
      <c r="PTB9" s="4"/>
      <c r="PTC9" s="4"/>
      <c r="PTD9" s="4"/>
      <c r="PTG9" s="34"/>
      <c r="PTH9" s="34"/>
      <c r="PTJ9" s="34"/>
      <c r="PTK9" s="72"/>
      <c r="PTL9" s="63"/>
      <c r="PTM9" s="34"/>
      <c r="PTN9" s="64"/>
      <c r="PTO9" s="4"/>
      <c r="PTP9" s="65"/>
      <c r="PTQ9" s="4"/>
      <c r="PTR9" s="4"/>
      <c r="PTS9" s="4"/>
      <c r="PTV9" s="34"/>
      <c r="PTW9" s="34"/>
      <c r="PTY9" s="34"/>
      <c r="PTZ9" s="72"/>
      <c r="PUA9" s="63"/>
      <c r="PUB9" s="34"/>
      <c r="PUC9" s="64"/>
      <c r="PUD9" s="4"/>
      <c r="PUE9" s="65"/>
      <c r="PUF9" s="4"/>
      <c r="PUG9" s="4"/>
      <c r="PUH9" s="4"/>
      <c r="PUK9" s="34"/>
      <c r="PUL9" s="34"/>
      <c r="PUN9" s="34"/>
      <c r="PUO9" s="72"/>
      <c r="PUP9" s="63"/>
      <c r="PUQ9" s="34"/>
      <c r="PUR9" s="64"/>
      <c r="PUS9" s="4"/>
      <c r="PUT9" s="65"/>
      <c r="PUU9" s="4"/>
      <c r="PUV9" s="4"/>
      <c r="PUW9" s="4"/>
      <c r="PUZ9" s="34"/>
      <c r="PVA9" s="34"/>
      <c r="PVC9" s="34"/>
      <c r="PVD9" s="72"/>
      <c r="PVE9" s="63"/>
      <c r="PVF9" s="34"/>
      <c r="PVG9" s="64"/>
      <c r="PVH9" s="4"/>
      <c r="PVI9" s="65"/>
      <c r="PVJ9" s="4"/>
      <c r="PVK9" s="4"/>
      <c r="PVL9" s="4"/>
      <c r="PVO9" s="34"/>
      <c r="PVP9" s="34"/>
      <c r="PVR9" s="34"/>
      <c r="PVS9" s="72"/>
      <c r="PVT9" s="63"/>
      <c r="PVU9" s="34"/>
      <c r="PVV9" s="64"/>
      <c r="PVW9" s="4"/>
      <c r="PVX9" s="65"/>
      <c r="PVY9" s="4"/>
      <c r="PVZ9" s="4"/>
      <c r="PWA9" s="4"/>
      <c r="PWD9" s="34"/>
      <c r="PWE9" s="34"/>
      <c r="PWG9" s="34"/>
      <c r="PWH9" s="72"/>
      <c r="PWI9" s="63"/>
      <c r="PWJ9" s="34"/>
      <c r="PWK9" s="64"/>
      <c r="PWL9" s="4"/>
      <c r="PWM9" s="65"/>
      <c r="PWN9" s="4"/>
      <c r="PWO9" s="4"/>
      <c r="PWP9" s="4"/>
      <c r="PWS9" s="34"/>
      <c r="PWT9" s="34"/>
      <c r="PWV9" s="34"/>
      <c r="PWW9" s="72"/>
      <c r="PWX9" s="63"/>
      <c r="PWY9" s="34"/>
      <c r="PWZ9" s="64"/>
      <c r="PXA9" s="4"/>
      <c r="PXB9" s="65"/>
      <c r="PXC9" s="4"/>
      <c r="PXD9" s="4"/>
      <c r="PXE9" s="4"/>
      <c r="PXH9" s="34"/>
      <c r="PXI9" s="34"/>
      <c r="PXK9" s="34"/>
      <c r="PXL9" s="72"/>
      <c r="PXM9" s="63"/>
      <c r="PXN9" s="34"/>
      <c r="PXO9" s="64"/>
      <c r="PXP9" s="4"/>
      <c r="PXQ9" s="65"/>
      <c r="PXR9" s="4"/>
      <c r="PXS9" s="4"/>
      <c r="PXT9" s="4"/>
      <c r="PXW9" s="34"/>
      <c r="PXX9" s="34"/>
      <c r="PXZ9" s="34"/>
      <c r="PYA9" s="72"/>
      <c r="PYB9" s="63"/>
      <c r="PYC9" s="34"/>
      <c r="PYD9" s="64"/>
      <c r="PYE9" s="4"/>
      <c r="PYF9" s="65"/>
      <c r="PYG9" s="4"/>
      <c r="PYH9" s="4"/>
      <c r="PYI9" s="4"/>
      <c r="PYL9" s="34"/>
      <c r="PYM9" s="34"/>
      <c r="PYO9" s="34"/>
      <c r="PYP9" s="72"/>
      <c r="PYQ9" s="63"/>
      <c r="PYR9" s="34"/>
      <c r="PYS9" s="64"/>
      <c r="PYT9" s="4"/>
      <c r="PYU9" s="65"/>
      <c r="PYV9" s="4"/>
      <c r="PYW9" s="4"/>
      <c r="PYX9" s="4"/>
      <c r="PZA9" s="34"/>
      <c r="PZB9" s="34"/>
      <c r="PZD9" s="34"/>
      <c r="PZE9" s="72"/>
      <c r="PZF9" s="63"/>
      <c r="PZG9" s="34"/>
      <c r="PZH9" s="64"/>
      <c r="PZI9" s="4"/>
      <c r="PZJ9" s="65"/>
      <c r="PZK9" s="4"/>
      <c r="PZL9" s="4"/>
      <c r="PZM9" s="4"/>
      <c r="PZP9" s="34"/>
      <c r="PZQ9" s="34"/>
      <c r="PZS9" s="34"/>
      <c r="PZT9" s="72"/>
      <c r="PZU9" s="63"/>
      <c r="PZV9" s="34"/>
      <c r="PZW9" s="64"/>
      <c r="PZX9" s="4"/>
      <c r="PZY9" s="65"/>
      <c r="PZZ9" s="4"/>
      <c r="QAA9" s="4"/>
      <c r="QAB9" s="4"/>
      <c r="QAE9" s="34"/>
      <c r="QAF9" s="34"/>
      <c r="QAH9" s="34"/>
      <c r="QAI9" s="72"/>
      <c r="QAJ9" s="63"/>
      <c r="QAK9" s="34"/>
      <c r="QAL9" s="64"/>
      <c r="QAM9" s="4"/>
      <c r="QAN9" s="65"/>
      <c r="QAO9" s="4"/>
      <c r="QAP9" s="4"/>
      <c r="QAQ9" s="4"/>
      <c r="QAT9" s="34"/>
      <c r="QAU9" s="34"/>
      <c r="QAW9" s="34"/>
      <c r="QAX9" s="72"/>
      <c r="QAY9" s="63"/>
      <c r="QAZ9" s="34"/>
      <c r="QBA9" s="64"/>
      <c r="QBB9" s="4"/>
      <c r="QBC9" s="65"/>
      <c r="QBD9" s="4"/>
      <c r="QBE9" s="4"/>
      <c r="QBF9" s="4"/>
      <c r="QBI9" s="34"/>
      <c r="QBJ9" s="34"/>
      <c r="QBL9" s="34"/>
      <c r="QBM9" s="72"/>
      <c r="QBN9" s="63"/>
      <c r="QBO9" s="34"/>
      <c r="QBP9" s="64"/>
      <c r="QBQ9" s="4"/>
      <c r="QBR9" s="65"/>
      <c r="QBS9" s="4"/>
      <c r="QBT9" s="4"/>
      <c r="QBU9" s="4"/>
      <c r="QBX9" s="34"/>
      <c r="QBY9" s="34"/>
      <c r="QCA9" s="34"/>
      <c r="QCB9" s="72"/>
      <c r="QCC9" s="63"/>
      <c r="QCD9" s="34"/>
      <c r="QCE9" s="64"/>
      <c r="QCF9" s="4"/>
      <c r="QCG9" s="65"/>
      <c r="QCH9" s="4"/>
      <c r="QCI9" s="4"/>
      <c r="QCJ9" s="4"/>
      <c r="QCM9" s="34"/>
      <c r="QCN9" s="34"/>
      <c r="QCP9" s="34"/>
      <c r="QCQ9" s="72"/>
      <c r="QCR9" s="63"/>
      <c r="QCS9" s="34"/>
      <c r="QCT9" s="64"/>
      <c r="QCU9" s="4"/>
      <c r="QCV9" s="65"/>
      <c r="QCW9" s="4"/>
      <c r="QCX9" s="4"/>
      <c r="QCY9" s="4"/>
      <c r="QDB9" s="34"/>
      <c r="QDC9" s="34"/>
      <c r="QDE9" s="34"/>
      <c r="QDF9" s="72"/>
      <c r="QDG9" s="63"/>
      <c r="QDH9" s="34"/>
      <c r="QDI9" s="64"/>
      <c r="QDJ9" s="4"/>
      <c r="QDK9" s="65"/>
      <c r="QDL9" s="4"/>
      <c r="QDM9" s="4"/>
      <c r="QDN9" s="4"/>
      <c r="QDQ9" s="34"/>
      <c r="QDR9" s="34"/>
      <c r="QDT9" s="34"/>
      <c r="QDU9" s="72"/>
      <c r="QDV9" s="63"/>
      <c r="QDW9" s="34"/>
      <c r="QDX9" s="64"/>
      <c r="QDY9" s="4"/>
      <c r="QDZ9" s="65"/>
      <c r="QEA9" s="4"/>
      <c r="QEB9" s="4"/>
      <c r="QEC9" s="4"/>
      <c r="QEF9" s="34"/>
      <c r="QEG9" s="34"/>
      <c r="QEI9" s="34"/>
      <c r="QEJ9" s="72"/>
      <c r="QEK9" s="63"/>
      <c r="QEL9" s="34"/>
      <c r="QEM9" s="64"/>
      <c r="QEN9" s="4"/>
      <c r="QEO9" s="65"/>
      <c r="QEP9" s="4"/>
      <c r="QEQ9" s="4"/>
      <c r="QER9" s="4"/>
      <c r="QEU9" s="34"/>
      <c r="QEV9" s="34"/>
      <c r="QEX9" s="34"/>
      <c r="QEY9" s="72"/>
      <c r="QEZ9" s="63"/>
      <c r="QFA9" s="34"/>
      <c r="QFB9" s="64"/>
      <c r="QFC9" s="4"/>
      <c r="QFD9" s="65"/>
      <c r="QFE9" s="4"/>
      <c r="QFF9" s="4"/>
      <c r="QFG9" s="4"/>
      <c r="QFJ9" s="34"/>
      <c r="QFK9" s="34"/>
      <c r="QFM9" s="34"/>
      <c r="QFN9" s="72"/>
      <c r="QFO9" s="63"/>
      <c r="QFP9" s="34"/>
      <c r="QFQ9" s="64"/>
      <c r="QFR9" s="4"/>
      <c r="QFS9" s="65"/>
      <c r="QFT9" s="4"/>
      <c r="QFU9" s="4"/>
      <c r="QFV9" s="4"/>
      <c r="QFY9" s="34"/>
      <c r="QFZ9" s="34"/>
      <c r="QGB9" s="34"/>
      <c r="QGC9" s="72"/>
      <c r="QGD9" s="63"/>
      <c r="QGE9" s="34"/>
      <c r="QGF9" s="64"/>
      <c r="QGG9" s="4"/>
      <c r="QGH9" s="65"/>
      <c r="QGI9" s="4"/>
      <c r="QGJ9" s="4"/>
      <c r="QGK9" s="4"/>
      <c r="QGN9" s="34"/>
      <c r="QGO9" s="34"/>
      <c r="QGQ9" s="34"/>
      <c r="QGR9" s="72"/>
      <c r="QGS9" s="63"/>
      <c r="QGT9" s="34"/>
      <c r="QGU9" s="64"/>
      <c r="QGV9" s="4"/>
      <c r="QGW9" s="65"/>
      <c r="QGX9" s="4"/>
      <c r="QGY9" s="4"/>
      <c r="QGZ9" s="4"/>
      <c r="QHC9" s="34"/>
      <c r="QHD9" s="34"/>
      <c r="QHF9" s="34"/>
      <c r="QHG9" s="72"/>
      <c r="QHH9" s="63"/>
      <c r="QHI9" s="34"/>
      <c r="QHJ9" s="64"/>
      <c r="QHK9" s="4"/>
      <c r="QHL9" s="65"/>
      <c r="QHM9" s="4"/>
      <c r="QHN9" s="4"/>
      <c r="QHO9" s="4"/>
      <c r="QHR9" s="34"/>
      <c r="QHS9" s="34"/>
      <c r="QHU9" s="34"/>
      <c r="QHV9" s="72"/>
      <c r="QHW9" s="63"/>
      <c r="QHX9" s="34"/>
      <c r="QHY9" s="64"/>
      <c r="QHZ9" s="4"/>
      <c r="QIA9" s="65"/>
      <c r="QIB9" s="4"/>
      <c r="QIC9" s="4"/>
      <c r="QID9" s="4"/>
      <c r="QIG9" s="34"/>
      <c r="QIH9" s="34"/>
      <c r="QIJ9" s="34"/>
      <c r="QIK9" s="72"/>
      <c r="QIL9" s="63"/>
      <c r="QIM9" s="34"/>
      <c r="QIN9" s="64"/>
      <c r="QIO9" s="4"/>
      <c r="QIP9" s="65"/>
      <c r="QIQ9" s="4"/>
      <c r="QIR9" s="4"/>
      <c r="QIS9" s="4"/>
      <c r="QIV9" s="34"/>
      <c r="QIW9" s="34"/>
      <c r="QIY9" s="34"/>
      <c r="QIZ9" s="72"/>
      <c r="QJA9" s="63"/>
      <c r="QJB9" s="34"/>
      <c r="QJC9" s="64"/>
      <c r="QJD9" s="4"/>
      <c r="QJE9" s="65"/>
      <c r="QJF9" s="4"/>
      <c r="QJG9" s="4"/>
      <c r="QJH9" s="4"/>
      <c r="QJK9" s="34"/>
      <c r="QJL9" s="34"/>
      <c r="QJN9" s="34"/>
      <c r="QJO9" s="72"/>
      <c r="QJP9" s="63"/>
      <c r="QJQ9" s="34"/>
      <c r="QJR9" s="64"/>
      <c r="QJS9" s="4"/>
      <c r="QJT9" s="65"/>
      <c r="QJU9" s="4"/>
      <c r="QJV9" s="4"/>
      <c r="QJW9" s="4"/>
      <c r="QJZ9" s="34"/>
      <c r="QKA9" s="34"/>
      <c r="QKC9" s="34"/>
      <c r="QKD9" s="72"/>
      <c r="QKE9" s="63"/>
      <c r="QKF9" s="34"/>
      <c r="QKG9" s="64"/>
      <c r="QKH9" s="4"/>
      <c r="QKI9" s="65"/>
      <c r="QKJ9" s="4"/>
      <c r="QKK9" s="4"/>
      <c r="QKL9" s="4"/>
      <c r="QKO9" s="34"/>
      <c r="QKP9" s="34"/>
      <c r="QKR9" s="34"/>
      <c r="QKS9" s="72"/>
      <c r="QKT9" s="63"/>
      <c r="QKU9" s="34"/>
      <c r="QKV9" s="64"/>
      <c r="QKW9" s="4"/>
      <c r="QKX9" s="65"/>
      <c r="QKY9" s="4"/>
      <c r="QKZ9" s="4"/>
      <c r="QLA9" s="4"/>
      <c r="QLD9" s="34"/>
      <c r="QLE9" s="34"/>
      <c r="QLG9" s="34"/>
      <c r="QLH9" s="72"/>
      <c r="QLI9" s="63"/>
      <c r="QLJ9" s="34"/>
      <c r="QLK9" s="64"/>
      <c r="QLL9" s="4"/>
      <c r="QLM9" s="65"/>
      <c r="QLN9" s="4"/>
      <c r="QLO9" s="4"/>
      <c r="QLP9" s="4"/>
      <c r="QLS9" s="34"/>
      <c r="QLT9" s="34"/>
      <c r="QLV9" s="34"/>
      <c r="QLW9" s="72"/>
      <c r="QLX9" s="63"/>
      <c r="QLY9" s="34"/>
      <c r="QLZ9" s="64"/>
      <c r="QMA9" s="4"/>
      <c r="QMB9" s="65"/>
      <c r="QMC9" s="4"/>
      <c r="QMD9" s="4"/>
      <c r="QME9" s="4"/>
      <c r="QMH9" s="34"/>
      <c r="QMI9" s="34"/>
      <c r="QMK9" s="34"/>
      <c r="QML9" s="72"/>
      <c r="QMM9" s="63"/>
      <c r="QMN9" s="34"/>
      <c r="QMO9" s="64"/>
      <c r="QMP9" s="4"/>
      <c r="QMQ9" s="65"/>
      <c r="QMR9" s="4"/>
      <c r="QMS9" s="4"/>
      <c r="QMT9" s="4"/>
      <c r="QMW9" s="34"/>
      <c r="QMX9" s="34"/>
      <c r="QMZ9" s="34"/>
      <c r="QNA9" s="72"/>
      <c r="QNB9" s="63"/>
      <c r="QNC9" s="34"/>
      <c r="QND9" s="64"/>
      <c r="QNE9" s="4"/>
      <c r="QNF9" s="65"/>
      <c r="QNG9" s="4"/>
      <c r="QNH9" s="4"/>
      <c r="QNI9" s="4"/>
      <c r="QNL9" s="34"/>
      <c r="QNM9" s="34"/>
      <c r="QNO9" s="34"/>
      <c r="QNP9" s="72"/>
      <c r="QNQ9" s="63"/>
      <c r="QNR9" s="34"/>
      <c r="QNS9" s="64"/>
      <c r="QNT9" s="4"/>
      <c r="QNU9" s="65"/>
      <c r="QNV9" s="4"/>
      <c r="QNW9" s="4"/>
      <c r="QNX9" s="4"/>
      <c r="QOA9" s="34"/>
      <c r="QOB9" s="34"/>
      <c r="QOD9" s="34"/>
      <c r="QOE9" s="72"/>
      <c r="QOF9" s="63"/>
      <c r="QOG9" s="34"/>
      <c r="QOH9" s="64"/>
      <c r="QOI9" s="4"/>
      <c r="QOJ9" s="65"/>
      <c r="QOK9" s="4"/>
      <c r="QOL9" s="4"/>
      <c r="QOM9" s="4"/>
      <c r="QOP9" s="34"/>
      <c r="QOQ9" s="34"/>
      <c r="QOS9" s="34"/>
      <c r="QOT9" s="72"/>
      <c r="QOU9" s="63"/>
      <c r="QOV9" s="34"/>
      <c r="QOW9" s="64"/>
      <c r="QOX9" s="4"/>
      <c r="QOY9" s="65"/>
      <c r="QOZ9" s="4"/>
      <c r="QPA9" s="4"/>
      <c r="QPB9" s="4"/>
      <c r="QPE9" s="34"/>
      <c r="QPF9" s="34"/>
      <c r="QPH9" s="34"/>
      <c r="QPI9" s="72"/>
      <c r="QPJ9" s="63"/>
      <c r="QPK9" s="34"/>
      <c r="QPL9" s="64"/>
      <c r="QPM9" s="4"/>
      <c r="QPN9" s="65"/>
      <c r="QPO9" s="4"/>
      <c r="QPP9" s="4"/>
      <c r="QPQ9" s="4"/>
      <c r="QPT9" s="34"/>
      <c r="QPU9" s="34"/>
      <c r="QPW9" s="34"/>
      <c r="QPX9" s="72"/>
      <c r="QPY9" s="63"/>
      <c r="QPZ9" s="34"/>
      <c r="QQA9" s="64"/>
      <c r="QQB9" s="4"/>
      <c r="QQC9" s="65"/>
      <c r="QQD9" s="4"/>
      <c r="QQE9" s="4"/>
      <c r="QQF9" s="4"/>
      <c r="QQI9" s="34"/>
      <c r="QQJ9" s="34"/>
      <c r="QQL9" s="34"/>
      <c r="QQM9" s="72"/>
      <c r="QQN9" s="63"/>
      <c r="QQO9" s="34"/>
      <c r="QQP9" s="64"/>
      <c r="QQQ9" s="4"/>
      <c r="QQR9" s="65"/>
      <c r="QQS9" s="4"/>
      <c r="QQT9" s="4"/>
      <c r="QQU9" s="4"/>
      <c r="QQX9" s="34"/>
      <c r="QQY9" s="34"/>
      <c r="QRA9" s="34"/>
      <c r="QRB9" s="72"/>
      <c r="QRC9" s="63"/>
      <c r="QRD9" s="34"/>
      <c r="QRE9" s="64"/>
      <c r="QRF9" s="4"/>
      <c r="QRG9" s="65"/>
      <c r="QRH9" s="4"/>
      <c r="QRI9" s="4"/>
      <c r="QRJ9" s="4"/>
      <c r="QRM9" s="34"/>
      <c r="QRN9" s="34"/>
      <c r="QRP9" s="34"/>
      <c r="QRQ9" s="72"/>
      <c r="QRR9" s="63"/>
      <c r="QRS9" s="34"/>
      <c r="QRT9" s="64"/>
      <c r="QRU9" s="4"/>
      <c r="QRV9" s="65"/>
      <c r="QRW9" s="4"/>
      <c r="QRX9" s="4"/>
      <c r="QRY9" s="4"/>
      <c r="QSB9" s="34"/>
      <c r="QSC9" s="34"/>
      <c r="QSE9" s="34"/>
      <c r="QSF9" s="72"/>
      <c r="QSG9" s="63"/>
      <c r="QSH9" s="34"/>
      <c r="QSI9" s="64"/>
      <c r="QSJ9" s="4"/>
      <c r="QSK9" s="65"/>
      <c r="QSL9" s="4"/>
      <c r="QSM9" s="4"/>
      <c r="QSN9" s="4"/>
      <c r="QSQ9" s="34"/>
      <c r="QSR9" s="34"/>
      <c r="QST9" s="34"/>
      <c r="QSU9" s="72"/>
      <c r="QSV9" s="63"/>
      <c r="QSW9" s="34"/>
      <c r="QSX9" s="64"/>
      <c r="QSY9" s="4"/>
      <c r="QSZ9" s="65"/>
      <c r="QTA9" s="4"/>
      <c r="QTB9" s="4"/>
      <c r="QTC9" s="4"/>
      <c r="QTF9" s="34"/>
      <c r="QTG9" s="34"/>
      <c r="QTI9" s="34"/>
      <c r="QTJ9" s="72"/>
      <c r="QTK9" s="63"/>
      <c r="QTL9" s="34"/>
      <c r="QTM9" s="64"/>
      <c r="QTN9" s="4"/>
      <c r="QTO9" s="65"/>
      <c r="QTP9" s="4"/>
      <c r="QTQ9" s="4"/>
      <c r="QTR9" s="4"/>
      <c r="QTU9" s="34"/>
      <c r="QTV9" s="34"/>
      <c r="QTX9" s="34"/>
      <c r="QTY9" s="72"/>
      <c r="QTZ9" s="63"/>
      <c r="QUA9" s="34"/>
      <c r="QUB9" s="64"/>
      <c r="QUC9" s="4"/>
      <c r="QUD9" s="65"/>
      <c r="QUE9" s="4"/>
      <c r="QUF9" s="4"/>
      <c r="QUG9" s="4"/>
      <c r="QUJ9" s="34"/>
      <c r="QUK9" s="34"/>
      <c r="QUM9" s="34"/>
      <c r="QUN9" s="72"/>
      <c r="QUO9" s="63"/>
      <c r="QUP9" s="34"/>
      <c r="QUQ9" s="64"/>
      <c r="QUR9" s="4"/>
      <c r="QUS9" s="65"/>
      <c r="QUT9" s="4"/>
      <c r="QUU9" s="4"/>
      <c r="QUV9" s="4"/>
      <c r="QUY9" s="34"/>
      <c r="QUZ9" s="34"/>
      <c r="QVB9" s="34"/>
      <c r="QVC9" s="72"/>
      <c r="QVD9" s="63"/>
      <c r="QVE9" s="34"/>
      <c r="QVF9" s="64"/>
      <c r="QVG9" s="4"/>
      <c r="QVH9" s="65"/>
      <c r="QVI9" s="4"/>
      <c r="QVJ9" s="4"/>
      <c r="QVK9" s="4"/>
      <c r="QVN9" s="34"/>
      <c r="QVO9" s="34"/>
      <c r="QVQ9" s="34"/>
      <c r="QVR9" s="72"/>
      <c r="QVS9" s="63"/>
      <c r="QVT9" s="34"/>
      <c r="QVU9" s="64"/>
      <c r="QVV9" s="4"/>
      <c r="QVW9" s="65"/>
      <c r="QVX9" s="4"/>
      <c r="QVY9" s="4"/>
      <c r="QVZ9" s="4"/>
      <c r="QWC9" s="34"/>
      <c r="QWD9" s="34"/>
      <c r="QWF9" s="34"/>
      <c r="QWG9" s="72"/>
      <c r="QWH9" s="63"/>
      <c r="QWI9" s="34"/>
      <c r="QWJ9" s="64"/>
      <c r="QWK9" s="4"/>
      <c r="QWL9" s="65"/>
      <c r="QWM9" s="4"/>
      <c r="QWN9" s="4"/>
      <c r="QWO9" s="4"/>
      <c r="QWR9" s="34"/>
      <c r="QWS9" s="34"/>
      <c r="QWU9" s="34"/>
      <c r="QWV9" s="72"/>
      <c r="QWW9" s="63"/>
      <c r="QWX9" s="34"/>
      <c r="QWY9" s="64"/>
      <c r="QWZ9" s="4"/>
      <c r="QXA9" s="65"/>
      <c r="QXB9" s="4"/>
      <c r="QXC9" s="4"/>
      <c r="QXD9" s="4"/>
      <c r="QXG9" s="34"/>
      <c r="QXH9" s="34"/>
      <c r="QXJ9" s="34"/>
      <c r="QXK9" s="72"/>
      <c r="QXL9" s="63"/>
      <c r="QXM9" s="34"/>
      <c r="QXN9" s="64"/>
      <c r="QXO9" s="4"/>
      <c r="QXP9" s="65"/>
      <c r="QXQ9" s="4"/>
      <c r="QXR9" s="4"/>
      <c r="QXS9" s="4"/>
      <c r="QXV9" s="34"/>
      <c r="QXW9" s="34"/>
      <c r="QXY9" s="34"/>
      <c r="QXZ9" s="72"/>
      <c r="QYA9" s="63"/>
      <c r="QYB9" s="34"/>
      <c r="QYC9" s="64"/>
      <c r="QYD9" s="4"/>
      <c r="QYE9" s="65"/>
      <c r="QYF9" s="4"/>
      <c r="QYG9" s="4"/>
      <c r="QYH9" s="4"/>
      <c r="QYK9" s="34"/>
      <c r="QYL9" s="34"/>
      <c r="QYN9" s="34"/>
      <c r="QYO9" s="72"/>
      <c r="QYP9" s="63"/>
      <c r="QYQ9" s="34"/>
      <c r="QYR9" s="64"/>
      <c r="QYS9" s="4"/>
      <c r="QYT9" s="65"/>
      <c r="QYU9" s="4"/>
      <c r="QYV9" s="4"/>
      <c r="QYW9" s="4"/>
      <c r="QYZ9" s="34"/>
      <c r="QZA9" s="34"/>
      <c r="QZC9" s="34"/>
      <c r="QZD9" s="72"/>
      <c r="QZE9" s="63"/>
      <c r="QZF9" s="34"/>
      <c r="QZG9" s="64"/>
      <c r="QZH9" s="4"/>
      <c r="QZI9" s="65"/>
      <c r="QZJ9" s="4"/>
      <c r="QZK9" s="4"/>
      <c r="QZL9" s="4"/>
      <c r="QZO9" s="34"/>
      <c r="QZP9" s="34"/>
      <c r="QZR9" s="34"/>
      <c r="QZS9" s="72"/>
      <c r="QZT9" s="63"/>
      <c r="QZU9" s="34"/>
      <c r="QZV9" s="64"/>
      <c r="QZW9" s="4"/>
      <c r="QZX9" s="65"/>
      <c r="QZY9" s="4"/>
      <c r="QZZ9" s="4"/>
      <c r="RAA9" s="4"/>
      <c r="RAD9" s="34"/>
      <c r="RAE9" s="34"/>
      <c r="RAG9" s="34"/>
      <c r="RAH9" s="72"/>
      <c r="RAI9" s="63"/>
      <c r="RAJ9" s="34"/>
      <c r="RAK9" s="64"/>
      <c r="RAL9" s="4"/>
      <c r="RAM9" s="65"/>
      <c r="RAN9" s="4"/>
      <c r="RAO9" s="4"/>
      <c r="RAP9" s="4"/>
      <c r="RAS9" s="34"/>
      <c r="RAT9" s="34"/>
      <c r="RAV9" s="34"/>
      <c r="RAW9" s="72"/>
      <c r="RAX9" s="63"/>
      <c r="RAY9" s="34"/>
      <c r="RAZ9" s="64"/>
      <c r="RBA9" s="4"/>
      <c r="RBB9" s="65"/>
      <c r="RBC9" s="4"/>
      <c r="RBD9" s="4"/>
      <c r="RBE9" s="4"/>
      <c r="RBH9" s="34"/>
      <c r="RBI9" s="34"/>
      <c r="RBK9" s="34"/>
      <c r="RBL9" s="72"/>
      <c r="RBM9" s="63"/>
      <c r="RBN9" s="34"/>
      <c r="RBO9" s="64"/>
      <c r="RBP9" s="4"/>
      <c r="RBQ9" s="65"/>
      <c r="RBR9" s="4"/>
      <c r="RBS9" s="4"/>
      <c r="RBT9" s="4"/>
      <c r="RBW9" s="34"/>
      <c r="RBX9" s="34"/>
      <c r="RBZ9" s="34"/>
      <c r="RCA9" s="72"/>
      <c r="RCB9" s="63"/>
      <c r="RCC9" s="34"/>
      <c r="RCD9" s="64"/>
      <c r="RCE9" s="4"/>
      <c r="RCF9" s="65"/>
      <c r="RCG9" s="4"/>
      <c r="RCH9" s="4"/>
      <c r="RCI9" s="4"/>
      <c r="RCL9" s="34"/>
      <c r="RCM9" s="34"/>
      <c r="RCO9" s="34"/>
      <c r="RCP9" s="72"/>
      <c r="RCQ9" s="63"/>
      <c r="RCR9" s="34"/>
      <c r="RCS9" s="64"/>
      <c r="RCT9" s="4"/>
      <c r="RCU9" s="65"/>
      <c r="RCV9" s="4"/>
      <c r="RCW9" s="4"/>
      <c r="RCX9" s="4"/>
      <c r="RDA9" s="34"/>
      <c r="RDB9" s="34"/>
      <c r="RDD9" s="34"/>
      <c r="RDE9" s="72"/>
      <c r="RDF9" s="63"/>
      <c r="RDG9" s="34"/>
      <c r="RDH9" s="64"/>
      <c r="RDI9" s="4"/>
      <c r="RDJ9" s="65"/>
      <c r="RDK9" s="4"/>
      <c r="RDL9" s="4"/>
      <c r="RDM9" s="4"/>
      <c r="RDP9" s="34"/>
      <c r="RDQ9" s="34"/>
      <c r="RDS9" s="34"/>
      <c r="RDT9" s="72"/>
      <c r="RDU9" s="63"/>
      <c r="RDV9" s="34"/>
      <c r="RDW9" s="64"/>
      <c r="RDX9" s="4"/>
      <c r="RDY9" s="65"/>
      <c r="RDZ9" s="4"/>
      <c r="REA9" s="4"/>
      <c r="REB9" s="4"/>
      <c r="REE9" s="34"/>
      <c r="REF9" s="34"/>
      <c r="REH9" s="34"/>
      <c r="REI9" s="72"/>
      <c r="REJ9" s="63"/>
      <c r="REK9" s="34"/>
      <c r="REL9" s="64"/>
      <c r="REM9" s="4"/>
      <c r="REN9" s="65"/>
      <c r="REO9" s="4"/>
      <c r="REP9" s="4"/>
      <c r="REQ9" s="4"/>
      <c r="RET9" s="34"/>
      <c r="REU9" s="34"/>
      <c r="REW9" s="34"/>
      <c r="REX9" s="72"/>
      <c r="REY9" s="63"/>
      <c r="REZ9" s="34"/>
      <c r="RFA9" s="64"/>
      <c r="RFB9" s="4"/>
      <c r="RFC9" s="65"/>
      <c r="RFD9" s="4"/>
      <c r="RFE9" s="4"/>
      <c r="RFF9" s="4"/>
      <c r="RFI9" s="34"/>
      <c r="RFJ9" s="34"/>
      <c r="RFL9" s="34"/>
      <c r="RFM9" s="72"/>
      <c r="RFN9" s="63"/>
      <c r="RFO9" s="34"/>
      <c r="RFP9" s="64"/>
      <c r="RFQ9" s="4"/>
      <c r="RFR9" s="65"/>
      <c r="RFS9" s="4"/>
      <c r="RFT9" s="4"/>
      <c r="RFU9" s="4"/>
      <c r="RFX9" s="34"/>
      <c r="RFY9" s="34"/>
      <c r="RGA9" s="34"/>
      <c r="RGB9" s="72"/>
      <c r="RGC9" s="63"/>
      <c r="RGD9" s="34"/>
      <c r="RGE9" s="64"/>
      <c r="RGF9" s="4"/>
      <c r="RGG9" s="65"/>
      <c r="RGH9" s="4"/>
      <c r="RGI9" s="4"/>
      <c r="RGJ9" s="4"/>
      <c r="RGM9" s="34"/>
      <c r="RGN9" s="34"/>
      <c r="RGP9" s="34"/>
      <c r="RGQ9" s="72"/>
      <c r="RGR9" s="63"/>
      <c r="RGS9" s="34"/>
      <c r="RGT9" s="64"/>
      <c r="RGU9" s="4"/>
      <c r="RGV9" s="65"/>
      <c r="RGW9" s="4"/>
      <c r="RGX9" s="4"/>
      <c r="RGY9" s="4"/>
      <c r="RHB9" s="34"/>
      <c r="RHC9" s="34"/>
      <c r="RHE9" s="34"/>
      <c r="RHF9" s="72"/>
      <c r="RHG9" s="63"/>
      <c r="RHH9" s="34"/>
      <c r="RHI9" s="64"/>
      <c r="RHJ9" s="4"/>
      <c r="RHK9" s="65"/>
      <c r="RHL9" s="4"/>
      <c r="RHM9" s="4"/>
      <c r="RHN9" s="4"/>
      <c r="RHQ9" s="34"/>
      <c r="RHR9" s="34"/>
      <c r="RHT9" s="34"/>
      <c r="RHU9" s="72"/>
      <c r="RHV9" s="63"/>
      <c r="RHW9" s="34"/>
      <c r="RHX9" s="64"/>
      <c r="RHY9" s="4"/>
      <c r="RHZ9" s="65"/>
      <c r="RIA9" s="4"/>
      <c r="RIB9" s="4"/>
      <c r="RIC9" s="4"/>
      <c r="RIF9" s="34"/>
      <c r="RIG9" s="34"/>
      <c r="RII9" s="34"/>
      <c r="RIJ9" s="72"/>
      <c r="RIK9" s="63"/>
      <c r="RIL9" s="34"/>
      <c r="RIM9" s="64"/>
      <c r="RIN9" s="4"/>
      <c r="RIO9" s="65"/>
      <c r="RIP9" s="4"/>
      <c r="RIQ9" s="4"/>
      <c r="RIR9" s="4"/>
      <c r="RIU9" s="34"/>
      <c r="RIV9" s="34"/>
      <c r="RIX9" s="34"/>
      <c r="RIY9" s="72"/>
      <c r="RIZ9" s="63"/>
      <c r="RJA9" s="34"/>
      <c r="RJB9" s="64"/>
      <c r="RJC9" s="4"/>
      <c r="RJD9" s="65"/>
      <c r="RJE9" s="4"/>
      <c r="RJF9" s="4"/>
      <c r="RJG9" s="4"/>
      <c r="RJJ9" s="34"/>
      <c r="RJK9" s="34"/>
      <c r="RJM9" s="34"/>
      <c r="RJN9" s="72"/>
      <c r="RJO9" s="63"/>
      <c r="RJP9" s="34"/>
      <c r="RJQ9" s="64"/>
      <c r="RJR9" s="4"/>
      <c r="RJS9" s="65"/>
      <c r="RJT9" s="4"/>
      <c r="RJU9" s="4"/>
      <c r="RJV9" s="4"/>
      <c r="RJY9" s="34"/>
      <c r="RJZ9" s="34"/>
      <c r="RKB9" s="34"/>
      <c r="RKC9" s="72"/>
      <c r="RKD9" s="63"/>
      <c r="RKE9" s="34"/>
      <c r="RKF9" s="64"/>
      <c r="RKG9" s="4"/>
      <c r="RKH9" s="65"/>
      <c r="RKI9" s="4"/>
      <c r="RKJ9" s="4"/>
      <c r="RKK9" s="4"/>
      <c r="RKN9" s="34"/>
      <c r="RKO9" s="34"/>
      <c r="RKQ9" s="34"/>
      <c r="RKR9" s="72"/>
      <c r="RKS9" s="63"/>
      <c r="RKT9" s="34"/>
      <c r="RKU9" s="64"/>
      <c r="RKV9" s="4"/>
      <c r="RKW9" s="65"/>
      <c r="RKX9" s="4"/>
      <c r="RKY9" s="4"/>
      <c r="RKZ9" s="4"/>
      <c r="RLC9" s="34"/>
      <c r="RLD9" s="34"/>
      <c r="RLF9" s="34"/>
      <c r="RLG9" s="72"/>
      <c r="RLH9" s="63"/>
      <c r="RLI9" s="34"/>
      <c r="RLJ9" s="64"/>
      <c r="RLK9" s="4"/>
      <c r="RLL9" s="65"/>
      <c r="RLM9" s="4"/>
      <c r="RLN9" s="4"/>
      <c r="RLO9" s="4"/>
      <c r="RLR9" s="34"/>
      <c r="RLS9" s="34"/>
      <c r="RLU9" s="34"/>
      <c r="RLV9" s="72"/>
      <c r="RLW9" s="63"/>
      <c r="RLX9" s="34"/>
      <c r="RLY9" s="64"/>
      <c r="RLZ9" s="4"/>
      <c r="RMA9" s="65"/>
      <c r="RMB9" s="4"/>
      <c r="RMC9" s="4"/>
      <c r="RMD9" s="4"/>
      <c r="RMG9" s="34"/>
      <c r="RMH9" s="34"/>
      <c r="RMJ9" s="34"/>
      <c r="RMK9" s="72"/>
      <c r="RML9" s="63"/>
      <c r="RMM9" s="34"/>
      <c r="RMN9" s="64"/>
      <c r="RMO9" s="4"/>
      <c r="RMP9" s="65"/>
      <c r="RMQ9" s="4"/>
      <c r="RMR9" s="4"/>
      <c r="RMS9" s="4"/>
      <c r="RMV9" s="34"/>
      <c r="RMW9" s="34"/>
      <c r="RMY9" s="34"/>
      <c r="RMZ9" s="72"/>
      <c r="RNA9" s="63"/>
      <c r="RNB9" s="34"/>
      <c r="RNC9" s="64"/>
      <c r="RND9" s="4"/>
      <c r="RNE9" s="65"/>
      <c r="RNF9" s="4"/>
      <c r="RNG9" s="4"/>
      <c r="RNH9" s="4"/>
      <c r="RNK9" s="34"/>
      <c r="RNL9" s="34"/>
      <c r="RNN9" s="34"/>
      <c r="RNO9" s="72"/>
      <c r="RNP9" s="63"/>
      <c r="RNQ9" s="34"/>
      <c r="RNR9" s="64"/>
      <c r="RNS9" s="4"/>
      <c r="RNT9" s="65"/>
      <c r="RNU9" s="4"/>
      <c r="RNV9" s="4"/>
      <c r="RNW9" s="4"/>
      <c r="RNZ9" s="34"/>
      <c r="ROA9" s="34"/>
      <c r="ROC9" s="34"/>
      <c r="ROD9" s="72"/>
      <c r="ROE9" s="63"/>
      <c r="ROF9" s="34"/>
      <c r="ROG9" s="64"/>
      <c r="ROH9" s="4"/>
      <c r="ROI9" s="65"/>
      <c r="ROJ9" s="4"/>
      <c r="ROK9" s="4"/>
      <c r="ROL9" s="4"/>
      <c r="ROO9" s="34"/>
      <c r="ROP9" s="34"/>
      <c r="ROR9" s="34"/>
      <c r="ROS9" s="72"/>
      <c r="ROT9" s="63"/>
      <c r="ROU9" s="34"/>
      <c r="ROV9" s="64"/>
      <c r="ROW9" s="4"/>
      <c r="ROX9" s="65"/>
      <c r="ROY9" s="4"/>
      <c r="ROZ9" s="4"/>
      <c r="RPA9" s="4"/>
      <c r="RPD9" s="34"/>
      <c r="RPE9" s="34"/>
      <c r="RPG9" s="34"/>
      <c r="RPH9" s="72"/>
      <c r="RPI9" s="63"/>
      <c r="RPJ9" s="34"/>
      <c r="RPK9" s="64"/>
      <c r="RPL9" s="4"/>
      <c r="RPM9" s="65"/>
      <c r="RPN9" s="4"/>
      <c r="RPO9" s="4"/>
      <c r="RPP9" s="4"/>
      <c r="RPS9" s="34"/>
      <c r="RPT9" s="34"/>
      <c r="RPV9" s="34"/>
      <c r="RPW9" s="72"/>
      <c r="RPX9" s="63"/>
      <c r="RPY9" s="34"/>
      <c r="RPZ9" s="64"/>
      <c r="RQA9" s="4"/>
      <c r="RQB9" s="65"/>
      <c r="RQC9" s="4"/>
      <c r="RQD9" s="4"/>
      <c r="RQE9" s="4"/>
      <c r="RQH9" s="34"/>
      <c r="RQI9" s="34"/>
      <c r="RQK9" s="34"/>
      <c r="RQL9" s="72"/>
      <c r="RQM9" s="63"/>
      <c r="RQN9" s="34"/>
      <c r="RQO9" s="64"/>
      <c r="RQP9" s="4"/>
      <c r="RQQ9" s="65"/>
      <c r="RQR9" s="4"/>
      <c r="RQS9" s="4"/>
      <c r="RQT9" s="4"/>
      <c r="RQW9" s="34"/>
      <c r="RQX9" s="34"/>
      <c r="RQZ9" s="34"/>
      <c r="RRA9" s="72"/>
      <c r="RRB9" s="63"/>
      <c r="RRC9" s="34"/>
      <c r="RRD9" s="64"/>
      <c r="RRE9" s="4"/>
      <c r="RRF9" s="65"/>
      <c r="RRG9" s="4"/>
      <c r="RRH9" s="4"/>
      <c r="RRI9" s="4"/>
      <c r="RRL9" s="34"/>
      <c r="RRM9" s="34"/>
      <c r="RRO9" s="34"/>
      <c r="RRP9" s="72"/>
      <c r="RRQ9" s="63"/>
      <c r="RRR9" s="34"/>
      <c r="RRS9" s="64"/>
      <c r="RRT9" s="4"/>
      <c r="RRU9" s="65"/>
      <c r="RRV9" s="4"/>
      <c r="RRW9" s="4"/>
      <c r="RRX9" s="4"/>
      <c r="RSA9" s="34"/>
      <c r="RSB9" s="34"/>
      <c r="RSD9" s="34"/>
      <c r="RSE9" s="72"/>
      <c r="RSF9" s="63"/>
      <c r="RSG9" s="34"/>
      <c r="RSH9" s="64"/>
      <c r="RSI9" s="4"/>
      <c r="RSJ9" s="65"/>
      <c r="RSK9" s="4"/>
      <c r="RSL9" s="4"/>
      <c r="RSM9" s="4"/>
      <c r="RSP9" s="34"/>
      <c r="RSQ9" s="34"/>
      <c r="RSS9" s="34"/>
      <c r="RST9" s="72"/>
      <c r="RSU9" s="63"/>
      <c r="RSV9" s="34"/>
      <c r="RSW9" s="64"/>
      <c r="RSX9" s="4"/>
      <c r="RSY9" s="65"/>
      <c r="RSZ9" s="4"/>
      <c r="RTA9" s="4"/>
      <c r="RTB9" s="4"/>
      <c r="RTE9" s="34"/>
      <c r="RTF9" s="34"/>
      <c r="RTH9" s="34"/>
      <c r="RTI9" s="72"/>
      <c r="RTJ9" s="63"/>
      <c r="RTK9" s="34"/>
      <c r="RTL9" s="64"/>
      <c r="RTM9" s="4"/>
      <c r="RTN9" s="65"/>
      <c r="RTO9" s="4"/>
      <c r="RTP9" s="4"/>
      <c r="RTQ9" s="4"/>
      <c r="RTT9" s="34"/>
      <c r="RTU9" s="34"/>
      <c r="RTW9" s="34"/>
      <c r="RTX9" s="72"/>
      <c r="RTY9" s="63"/>
      <c r="RTZ9" s="34"/>
      <c r="RUA9" s="64"/>
      <c r="RUB9" s="4"/>
      <c r="RUC9" s="65"/>
      <c r="RUD9" s="4"/>
      <c r="RUE9" s="4"/>
      <c r="RUF9" s="4"/>
      <c r="RUI9" s="34"/>
      <c r="RUJ9" s="34"/>
      <c r="RUL9" s="34"/>
      <c r="RUM9" s="72"/>
      <c r="RUN9" s="63"/>
      <c r="RUO9" s="34"/>
      <c r="RUP9" s="64"/>
      <c r="RUQ9" s="4"/>
      <c r="RUR9" s="65"/>
      <c r="RUS9" s="4"/>
      <c r="RUT9" s="4"/>
      <c r="RUU9" s="4"/>
      <c r="RUX9" s="34"/>
      <c r="RUY9" s="34"/>
      <c r="RVA9" s="34"/>
      <c r="RVB9" s="72"/>
      <c r="RVC9" s="63"/>
      <c r="RVD9" s="34"/>
      <c r="RVE9" s="64"/>
      <c r="RVF9" s="4"/>
      <c r="RVG9" s="65"/>
      <c r="RVH9" s="4"/>
      <c r="RVI9" s="4"/>
      <c r="RVJ9" s="4"/>
      <c r="RVM9" s="34"/>
      <c r="RVN9" s="34"/>
      <c r="RVP9" s="34"/>
      <c r="RVQ9" s="72"/>
      <c r="RVR9" s="63"/>
      <c r="RVS9" s="34"/>
      <c r="RVT9" s="64"/>
      <c r="RVU9" s="4"/>
      <c r="RVV9" s="65"/>
      <c r="RVW9" s="4"/>
      <c r="RVX9" s="4"/>
      <c r="RVY9" s="4"/>
      <c r="RWB9" s="34"/>
      <c r="RWC9" s="34"/>
      <c r="RWE9" s="34"/>
      <c r="RWF9" s="72"/>
      <c r="RWG9" s="63"/>
      <c r="RWH9" s="34"/>
      <c r="RWI9" s="64"/>
      <c r="RWJ9" s="4"/>
      <c r="RWK9" s="65"/>
      <c r="RWL9" s="4"/>
      <c r="RWM9" s="4"/>
      <c r="RWN9" s="4"/>
      <c r="RWQ9" s="34"/>
      <c r="RWR9" s="34"/>
      <c r="RWT9" s="34"/>
      <c r="RWU9" s="72"/>
      <c r="RWV9" s="63"/>
      <c r="RWW9" s="34"/>
      <c r="RWX9" s="64"/>
      <c r="RWY9" s="4"/>
      <c r="RWZ9" s="65"/>
      <c r="RXA9" s="4"/>
      <c r="RXB9" s="4"/>
      <c r="RXC9" s="4"/>
      <c r="RXF9" s="34"/>
      <c r="RXG9" s="34"/>
      <c r="RXI9" s="34"/>
      <c r="RXJ9" s="72"/>
      <c r="RXK9" s="63"/>
      <c r="RXL9" s="34"/>
      <c r="RXM9" s="64"/>
      <c r="RXN9" s="4"/>
      <c r="RXO9" s="65"/>
      <c r="RXP9" s="4"/>
      <c r="RXQ9" s="4"/>
      <c r="RXR9" s="4"/>
      <c r="RXU9" s="34"/>
      <c r="RXV9" s="34"/>
      <c r="RXX9" s="34"/>
      <c r="RXY9" s="72"/>
      <c r="RXZ9" s="63"/>
      <c r="RYA9" s="34"/>
      <c r="RYB9" s="64"/>
      <c r="RYC9" s="4"/>
      <c r="RYD9" s="65"/>
      <c r="RYE9" s="4"/>
      <c r="RYF9" s="4"/>
      <c r="RYG9" s="4"/>
      <c r="RYJ9" s="34"/>
      <c r="RYK9" s="34"/>
      <c r="RYM9" s="34"/>
      <c r="RYN9" s="72"/>
      <c r="RYO9" s="63"/>
      <c r="RYP9" s="34"/>
      <c r="RYQ9" s="64"/>
      <c r="RYR9" s="4"/>
      <c r="RYS9" s="65"/>
      <c r="RYT9" s="4"/>
      <c r="RYU9" s="4"/>
      <c r="RYV9" s="4"/>
      <c r="RYY9" s="34"/>
      <c r="RYZ9" s="34"/>
      <c r="RZB9" s="34"/>
      <c r="RZC9" s="72"/>
      <c r="RZD9" s="63"/>
      <c r="RZE9" s="34"/>
      <c r="RZF9" s="64"/>
      <c r="RZG9" s="4"/>
      <c r="RZH9" s="65"/>
      <c r="RZI9" s="4"/>
      <c r="RZJ9" s="4"/>
      <c r="RZK9" s="4"/>
      <c r="RZN9" s="34"/>
      <c r="RZO9" s="34"/>
      <c r="RZQ9" s="34"/>
      <c r="RZR9" s="72"/>
      <c r="RZS9" s="63"/>
      <c r="RZT9" s="34"/>
      <c r="RZU9" s="64"/>
      <c r="RZV9" s="4"/>
      <c r="RZW9" s="65"/>
      <c r="RZX9" s="4"/>
      <c r="RZY9" s="4"/>
      <c r="RZZ9" s="4"/>
      <c r="SAC9" s="34"/>
      <c r="SAD9" s="34"/>
      <c r="SAF9" s="34"/>
      <c r="SAG9" s="72"/>
      <c r="SAH9" s="63"/>
      <c r="SAI9" s="34"/>
      <c r="SAJ9" s="64"/>
      <c r="SAK9" s="4"/>
      <c r="SAL9" s="65"/>
      <c r="SAM9" s="4"/>
      <c r="SAN9" s="4"/>
      <c r="SAO9" s="4"/>
      <c r="SAR9" s="34"/>
      <c r="SAS9" s="34"/>
      <c r="SAU9" s="34"/>
      <c r="SAV9" s="72"/>
      <c r="SAW9" s="63"/>
      <c r="SAX9" s="34"/>
      <c r="SAY9" s="64"/>
      <c r="SAZ9" s="4"/>
      <c r="SBA9" s="65"/>
      <c r="SBB9" s="4"/>
      <c r="SBC9" s="4"/>
      <c r="SBD9" s="4"/>
      <c r="SBG9" s="34"/>
      <c r="SBH9" s="34"/>
      <c r="SBJ9" s="34"/>
      <c r="SBK9" s="72"/>
      <c r="SBL9" s="63"/>
      <c r="SBM9" s="34"/>
      <c r="SBN9" s="64"/>
      <c r="SBO9" s="4"/>
      <c r="SBP9" s="65"/>
      <c r="SBQ9" s="4"/>
      <c r="SBR9" s="4"/>
      <c r="SBS9" s="4"/>
      <c r="SBV9" s="34"/>
      <c r="SBW9" s="34"/>
      <c r="SBY9" s="34"/>
      <c r="SBZ9" s="72"/>
      <c r="SCA9" s="63"/>
      <c r="SCB9" s="34"/>
      <c r="SCC9" s="64"/>
      <c r="SCD9" s="4"/>
      <c r="SCE9" s="65"/>
      <c r="SCF9" s="4"/>
      <c r="SCG9" s="4"/>
      <c r="SCH9" s="4"/>
      <c r="SCK9" s="34"/>
      <c r="SCL9" s="34"/>
      <c r="SCN9" s="34"/>
      <c r="SCO9" s="72"/>
      <c r="SCP9" s="63"/>
      <c r="SCQ9" s="34"/>
      <c r="SCR9" s="64"/>
      <c r="SCS9" s="4"/>
      <c r="SCT9" s="65"/>
      <c r="SCU9" s="4"/>
      <c r="SCV9" s="4"/>
      <c r="SCW9" s="4"/>
      <c r="SCZ9" s="34"/>
      <c r="SDA9" s="34"/>
      <c r="SDC9" s="34"/>
      <c r="SDD9" s="72"/>
      <c r="SDE9" s="63"/>
      <c r="SDF9" s="34"/>
      <c r="SDG9" s="64"/>
      <c r="SDH9" s="4"/>
      <c r="SDI9" s="65"/>
      <c r="SDJ9" s="4"/>
      <c r="SDK9" s="4"/>
      <c r="SDL9" s="4"/>
      <c r="SDO9" s="34"/>
      <c r="SDP9" s="34"/>
      <c r="SDR9" s="34"/>
      <c r="SDS9" s="72"/>
      <c r="SDT9" s="63"/>
      <c r="SDU9" s="34"/>
      <c r="SDV9" s="64"/>
      <c r="SDW9" s="4"/>
      <c r="SDX9" s="65"/>
      <c r="SDY9" s="4"/>
      <c r="SDZ9" s="4"/>
      <c r="SEA9" s="4"/>
      <c r="SED9" s="34"/>
      <c r="SEE9" s="34"/>
      <c r="SEG9" s="34"/>
      <c r="SEH9" s="72"/>
      <c r="SEI9" s="63"/>
      <c r="SEJ9" s="34"/>
      <c r="SEK9" s="64"/>
      <c r="SEL9" s="4"/>
      <c r="SEM9" s="65"/>
      <c r="SEN9" s="4"/>
      <c r="SEO9" s="4"/>
      <c r="SEP9" s="4"/>
      <c r="SES9" s="34"/>
      <c r="SET9" s="34"/>
      <c r="SEV9" s="34"/>
      <c r="SEW9" s="72"/>
      <c r="SEX9" s="63"/>
      <c r="SEY9" s="34"/>
      <c r="SEZ9" s="64"/>
      <c r="SFA9" s="4"/>
      <c r="SFB9" s="65"/>
      <c r="SFC9" s="4"/>
      <c r="SFD9" s="4"/>
      <c r="SFE9" s="4"/>
      <c r="SFH9" s="34"/>
      <c r="SFI9" s="34"/>
      <c r="SFK9" s="34"/>
      <c r="SFL9" s="72"/>
      <c r="SFM9" s="63"/>
      <c r="SFN9" s="34"/>
      <c r="SFO9" s="64"/>
      <c r="SFP9" s="4"/>
      <c r="SFQ9" s="65"/>
      <c r="SFR9" s="4"/>
      <c r="SFS9" s="4"/>
      <c r="SFT9" s="4"/>
      <c r="SFW9" s="34"/>
      <c r="SFX9" s="34"/>
      <c r="SFZ9" s="34"/>
      <c r="SGA9" s="72"/>
      <c r="SGB9" s="63"/>
      <c r="SGC9" s="34"/>
      <c r="SGD9" s="64"/>
      <c r="SGE9" s="4"/>
      <c r="SGF9" s="65"/>
      <c r="SGG9" s="4"/>
      <c r="SGH9" s="4"/>
      <c r="SGI9" s="4"/>
      <c r="SGL9" s="34"/>
      <c r="SGM9" s="34"/>
      <c r="SGO9" s="34"/>
      <c r="SGP9" s="72"/>
      <c r="SGQ9" s="63"/>
      <c r="SGR9" s="34"/>
      <c r="SGS9" s="64"/>
      <c r="SGT9" s="4"/>
      <c r="SGU9" s="65"/>
      <c r="SGV9" s="4"/>
      <c r="SGW9" s="4"/>
      <c r="SGX9" s="4"/>
      <c r="SHA9" s="34"/>
      <c r="SHB9" s="34"/>
      <c r="SHD9" s="34"/>
      <c r="SHE9" s="72"/>
      <c r="SHF9" s="63"/>
      <c r="SHG9" s="34"/>
      <c r="SHH9" s="64"/>
      <c r="SHI9" s="4"/>
      <c r="SHJ9" s="65"/>
      <c r="SHK9" s="4"/>
      <c r="SHL9" s="4"/>
      <c r="SHM9" s="4"/>
      <c r="SHP9" s="34"/>
      <c r="SHQ9" s="34"/>
      <c r="SHS9" s="34"/>
      <c r="SHT9" s="72"/>
      <c r="SHU9" s="63"/>
      <c r="SHV9" s="34"/>
      <c r="SHW9" s="64"/>
      <c r="SHX9" s="4"/>
      <c r="SHY9" s="65"/>
      <c r="SHZ9" s="4"/>
      <c r="SIA9" s="4"/>
      <c r="SIB9" s="4"/>
      <c r="SIE9" s="34"/>
      <c r="SIF9" s="34"/>
      <c r="SIH9" s="34"/>
      <c r="SII9" s="72"/>
      <c r="SIJ9" s="63"/>
      <c r="SIK9" s="34"/>
      <c r="SIL9" s="64"/>
      <c r="SIM9" s="4"/>
      <c r="SIN9" s="65"/>
      <c r="SIO9" s="4"/>
      <c r="SIP9" s="4"/>
      <c r="SIQ9" s="4"/>
      <c r="SIT9" s="34"/>
      <c r="SIU9" s="34"/>
      <c r="SIW9" s="34"/>
      <c r="SIX9" s="72"/>
      <c r="SIY9" s="63"/>
      <c r="SIZ9" s="34"/>
      <c r="SJA9" s="64"/>
      <c r="SJB9" s="4"/>
      <c r="SJC9" s="65"/>
      <c r="SJD9" s="4"/>
      <c r="SJE9" s="4"/>
      <c r="SJF9" s="4"/>
      <c r="SJI9" s="34"/>
      <c r="SJJ9" s="34"/>
      <c r="SJL9" s="34"/>
      <c r="SJM9" s="72"/>
      <c r="SJN9" s="63"/>
      <c r="SJO9" s="34"/>
      <c r="SJP9" s="64"/>
      <c r="SJQ9" s="4"/>
      <c r="SJR9" s="65"/>
      <c r="SJS9" s="4"/>
      <c r="SJT9" s="4"/>
      <c r="SJU9" s="4"/>
      <c r="SJX9" s="34"/>
      <c r="SJY9" s="34"/>
      <c r="SKA9" s="34"/>
      <c r="SKB9" s="72"/>
      <c r="SKC9" s="63"/>
      <c r="SKD9" s="34"/>
      <c r="SKE9" s="64"/>
      <c r="SKF9" s="4"/>
      <c r="SKG9" s="65"/>
      <c r="SKH9" s="4"/>
      <c r="SKI9" s="4"/>
      <c r="SKJ9" s="4"/>
      <c r="SKM9" s="34"/>
      <c r="SKN9" s="34"/>
      <c r="SKP9" s="34"/>
      <c r="SKQ9" s="72"/>
      <c r="SKR9" s="63"/>
      <c r="SKS9" s="34"/>
      <c r="SKT9" s="64"/>
      <c r="SKU9" s="4"/>
      <c r="SKV9" s="65"/>
      <c r="SKW9" s="4"/>
      <c r="SKX9" s="4"/>
      <c r="SKY9" s="4"/>
      <c r="SLB9" s="34"/>
      <c r="SLC9" s="34"/>
      <c r="SLE9" s="34"/>
      <c r="SLF9" s="72"/>
      <c r="SLG9" s="63"/>
      <c r="SLH9" s="34"/>
      <c r="SLI9" s="64"/>
      <c r="SLJ9" s="4"/>
      <c r="SLK9" s="65"/>
      <c r="SLL9" s="4"/>
      <c r="SLM9" s="4"/>
      <c r="SLN9" s="4"/>
      <c r="SLQ9" s="34"/>
      <c r="SLR9" s="34"/>
      <c r="SLT9" s="34"/>
      <c r="SLU9" s="72"/>
      <c r="SLV9" s="63"/>
      <c r="SLW9" s="34"/>
      <c r="SLX9" s="64"/>
      <c r="SLY9" s="4"/>
      <c r="SLZ9" s="65"/>
      <c r="SMA9" s="4"/>
      <c r="SMB9" s="4"/>
      <c r="SMC9" s="4"/>
      <c r="SMF9" s="34"/>
      <c r="SMG9" s="34"/>
      <c r="SMI9" s="34"/>
      <c r="SMJ9" s="72"/>
      <c r="SMK9" s="63"/>
      <c r="SML9" s="34"/>
      <c r="SMM9" s="64"/>
      <c r="SMN9" s="4"/>
      <c r="SMO9" s="65"/>
      <c r="SMP9" s="4"/>
      <c r="SMQ9" s="4"/>
      <c r="SMR9" s="4"/>
      <c r="SMU9" s="34"/>
      <c r="SMV9" s="34"/>
      <c r="SMX9" s="34"/>
      <c r="SMY9" s="72"/>
      <c r="SMZ9" s="63"/>
      <c r="SNA9" s="34"/>
      <c r="SNB9" s="64"/>
      <c r="SNC9" s="4"/>
      <c r="SND9" s="65"/>
      <c r="SNE9" s="4"/>
      <c r="SNF9" s="4"/>
      <c r="SNG9" s="4"/>
      <c r="SNJ9" s="34"/>
      <c r="SNK9" s="34"/>
      <c r="SNM9" s="34"/>
      <c r="SNN9" s="72"/>
      <c r="SNO9" s="63"/>
      <c r="SNP9" s="34"/>
      <c r="SNQ9" s="64"/>
      <c r="SNR9" s="4"/>
      <c r="SNS9" s="65"/>
      <c r="SNT9" s="4"/>
      <c r="SNU9" s="4"/>
      <c r="SNV9" s="4"/>
      <c r="SNY9" s="34"/>
      <c r="SNZ9" s="34"/>
      <c r="SOB9" s="34"/>
      <c r="SOC9" s="72"/>
      <c r="SOD9" s="63"/>
      <c r="SOE9" s="34"/>
      <c r="SOF9" s="64"/>
      <c r="SOG9" s="4"/>
      <c r="SOH9" s="65"/>
      <c r="SOI9" s="4"/>
      <c r="SOJ9" s="4"/>
      <c r="SOK9" s="4"/>
      <c r="SON9" s="34"/>
      <c r="SOO9" s="34"/>
      <c r="SOQ9" s="34"/>
      <c r="SOR9" s="72"/>
      <c r="SOS9" s="63"/>
      <c r="SOT9" s="34"/>
      <c r="SOU9" s="64"/>
      <c r="SOV9" s="4"/>
      <c r="SOW9" s="65"/>
      <c r="SOX9" s="4"/>
      <c r="SOY9" s="4"/>
      <c r="SOZ9" s="4"/>
      <c r="SPC9" s="34"/>
      <c r="SPD9" s="34"/>
      <c r="SPF9" s="34"/>
      <c r="SPG9" s="72"/>
      <c r="SPH9" s="63"/>
      <c r="SPI9" s="34"/>
      <c r="SPJ9" s="64"/>
      <c r="SPK9" s="4"/>
      <c r="SPL9" s="65"/>
      <c r="SPM9" s="4"/>
      <c r="SPN9" s="4"/>
      <c r="SPO9" s="4"/>
      <c r="SPR9" s="34"/>
      <c r="SPS9" s="34"/>
      <c r="SPU9" s="34"/>
      <c r="SPV9" s="72"/>
      <c r="SPW9" s="63"/>
      <c r="SPX9" s="34"/>
      <c r="SPY9" s="64"/>
      <c r="SPZ9" s="4"/>
      <c r="SQA9" s="65"/>
      <c r="SQB9" s="4"/>
      <c r="SQC9" s="4"/>
      <c r="SQD9" s="4"/>
      <c r="SQG9" s="34"/>
      <c r="SQH9" s="34"/>
      <c r="SQJ9" s="34"/>
      <c r="SQK9" s="72"/>
      <c r="SQL9" s="63"/>
      <c r="SQM9" s="34"/>
      <c r="SQN9" s="64"/>
      <c r="SQO9" s="4"/>
      <c r="SQP9" s="65"/>
      <c r="SQQ9" s="4"/>
      <c r="SQR9" s="4"/>
      <c r="SQS9" s="4"/>
      <c r="SQV9" s="34"/>
      <c r="SQW9" s="34"/>
      <c r="SQY9" s="34"/>
      <c r="SQZ9" s="72"/>
      <c r="SRA9" s="63"/>
      <c r="SRB9" s="34"/>
      <c r="SRC9" s="64"/>
      <c r="SRD9" s="4"/>
      <c r="SRE9" s="65"/>
      <c r="SRF9" s="4"/>
      <c r="SRG9" s="4"/>
      <c r="SRH9" s="4"/>
      <c r="SRK9" s="34"/>
      <c r="SRL9" s="34"/>
      <c r="SRN9" s="34"/>
      <c r="SRO9" s="72"/>
      <c r="SRP9" s="63"/>
      <c r="SRQ9" s="34"/>
      <c r="SRR9" s="64"/>
      <c r="SRS9" s="4"/>
      <c r="SRT9" s="65"/>
      <c r="SRU9" s="4"/>
      <c r="SRV9" s="4"/>
      <c r="SRW9" s="4"/>
      <c r="SRZ9" s="34"/>
      <c r="SSA9" s="34"/>
      <c r="SSC9" s="34"/>
      <c r="SSD9" s="72"/>
      <c r="SSE9" s="63"/>
      <c r="SSF9" s="34"/>
      <c r="SSG9" s="64"/>
      <c r="SSH9" s="4"/>
      <c r="SSI9" s="65"/>
      <c r="SSJ9" s="4"/>
      <c r="SSK9" s="4"/>
      <c r="SSL9" s="4"/>
      <c r="SSO9" s="34"/>
      <c r="SSP9" s="34"/>
      <c r="SSR9" s="34"/>
      <c r="SSS9" s="72"/>
      <c r="SST9" s="63"/>
      <c r="SSU9" s="34"/>
      <c r="SSV9" s="64"/>
      <c r="SSW9" s="4"/>
      <c r="SSX9" s="65"/>
      <c r="SSY9" s="4"/>
      <c r="SSZ9" s="4"/>
      <c r="STA9" s="4"/>
      <c r="STD9" s="34"/>
      <c r="STE9" s="34"/>
      <c r="STG9" s="34"/>
      <c r="STH9" s="72"/>
      <c r="STI9" s="63"/>
      <c r="STJ9" s="34"/>
      <c r="STK9" s="64"/>
      <c r="STL9" s="4"/>
      <c r="STM9" s="65"/>
      <c r="STN9" s="4"/>
      <c r="STO9" s="4"/>
      <c r="STP9" s="4"/>
      <c r="STS9" s="34"/>
      <c r="STT9" s="34"/>
      <c r="STV9" s="34"/>
      <c r="STW9" s="72"/>
      <c r="STX9" s="63"/>
      <c r="STY9" s="34"/>
      <c r="STZ9" s="64"/>
      <c r="SUA9" s="4"/>
      <c r="SUB9" s="65"/>
      <c r="SUC9" s="4"/>
      <c r="SUD9" s="4"/>
      <c r="SUE9" s="4"/>
      <c r="SUH9" s="34"/>
      <c r="SUI9" s="34"/>
      <c r="SUK9" s="34"/>
      <c r="SUL9" s="72"/>
      <c r="SUM9" s="63"/>
      <c r="SUN9" s="34"/>
      <c r="SUO9" s="64"/>
      <c r="SUP9" s="4"/>
      <c r="SUQ9" s="65"/>
      <c r="SUR9" s="4"/>
      <c r="SUS9" s="4"/>
      <c r="SUT9" s="4"/>
      <c r="SUW9" s="34"/>
      <c r="SUX9" s="34"/>
      <c r="SUZ9" s="34"/>
      <c r="SVA9" s="72"/>
      <c r="SVB9" s="63"/>
      <c r="SVC9" s="34"/>
      <c r="SVD9" s="64"/>
      <c r="SVE9" s="4"/>
      <c r="SVF9" s="65"/>
      <c r="SVG9" s="4"/>
      <c r="SVH9" s="4"/>
      <c r="SVI9" s="4"/>
      <c r="SVL9" s="34"/>
      <c r="SVM9" s="34"/>
      <c r="SVO9" s="34"/>
      <c r="SVP9" s="72"/>
      <c r="SVQ9" s="63"/>
      <c r="SVR9" s="34"/>
      <c r="SVS9" s="64"/>
      <c r="SVT9" s="4"/>
      <c r="SVU9" s="65"/>
      <c r="SVV9" s="4"/>
      <c r="SVW9" s="4"/>
      <c r="SVX9" s="4"/>
      <c r="SWA9" s="34"/>
      <c r="SWB9" s="34"/>
      <c r="SWD9" s="34"/>
      <c r="SWE9" s="72"/>
      <c r="SWF9" s="63"/>
      <c r="SWG9" s="34"/>
      <c r="SWH9" s="64"/>
      <c r="SWI9" s="4"/>
      <c r="SWJ9" s="65"/>
      <c r="SWK9" s="4"/>
      <c r="SWL9" s="4"/>
      <c r="SWM9" s="4"/>
      <c r="SWP9" s="34"/>
      <c r="SWQ9" s="34"/>
      <c r="SWS9" s="34"/>
      <c r="SWT9" s="72"/>
      <c r="SWU9" s="63"/>
      <c r="SWV9" s="34"/>
      <c r="SWW9" s="64"/>
      <c r="SWX9" s="4"/>
      <c r="SWY9" s="65"/>
      <c r="SWZ9" s="4"/>
      <c r="SXA9" s="4"/>
      <c r="SXB9" s="4"/>
      <c r="SXE9" s="34"/>
      <c r="SXF9" s="34"/>
      <c r="SXH9" s="34"/>
      <c r="SXI9" s="72"/>
      <c r="SXJ9" s="63"/>
      <c r="SXK9" s="34"/>
      <c r="SXL9" s="64"/>
      <c r="SXM9" s="4"/>
      <c r="SXN9" s="65"/>
      <c r="SXO9" s="4"/>
      <c r="SXP9" s="4"/>
      <c r="SXQ9" s="4"/>
      <c r="SXT9" s="34"/>
      <c r="SXU9" s="34"/>
      <c r="SXW9" s="34"/>
      <c r="SXX9" s="72"/>
      <c r="SXY9" s="63"/>
      <c r="SXZ9" s="34"/>
      <c r="SYA9" s="64"/>
      <c r="SYB9" s="4"/>
      <c r="SYC9" s="65"/>
      <c r="SYD9" s="4"/>
      <c r="SYE9" s="4"/>
      <c r="SYF9" s="4"/>
      <c r="SYI9" s="34"/>
      <c r="SYJ9" s="34"/>
      <c r="SYL9" s="34"/>
      <c r="SYM9" s="72"/>
      <c r="SYN9" s="63"/>
      <c r="SYO9" s="34"/>
      <c r="SYP9" s="64"/>
      <c r="SYQ9" s="4"/>
      <c r="SYR9" s="65"/>
      <c r="SYS9" s="4"/>
      <c r="SYT9" s="4"/>
      <c r="SYU9" s="4"/>
      <c r="SYX9" s="34"/>
      <c r="SYY9" s="34"/>
      <c r="SZA9" s="34"/>
      <c r="SZB9" s="72"/>
      <c r="SZC9" s="63"/>
      <c r="SZD9" s="34"/>
      <c r="SZE9" s="64"/>
      <c r="SZF9" s="4"/>
      <c r="SZG9" s="65"/>
      <c r="SZH9" s="4"/>
      <c r="SZI9" s="4"/>
      <c r="SZJ9" s="4"/>
      <c r="SZM9" s="34"/>
      <c r="SZN9" s="34"/>
      <c r="SZP9" s="34"/>
      <c r="SZQ9" s="72"/>
      <c r="SZR9" s="63"/>
      <c r="SZS9" s="34"/>
      <c r="SZT9" s="64"/>
      <c r="SZU9" s="4"/>
      <c r="SZV9" s="65"/>
      <c r="SZW9" s="4"/>
      <c r="SZX9" s="4"/>
      <c r="SZY9" s="4"/>
      <c r="TAB9" s="34"/>
      <c r="TAC9" s="34"/>
      <c r="TAE9" s="34"/>
      <c r="TAF9" s="72"/>
      <c r="TAG9" s="63"/>
      <c r="TAH9" s="34"/>
      <c r="TAI9" s="64"/>
      <c r="TAJ9" s="4"/>
      <c r="TAK9" s="65"/>
      <c r="TAL9" s="4"/>
      <c r="TAM9" s="4"/>
      <c r="TAN9" s="4"/>
      <c r="TAQ9" s="34"/>
      <c r="TAR9" s="34"/>
      <c r="TAT9" s="34"/>
      <c r="TAU9" s="72"/>
      <c r="TAV9" s="63"/>
      <c r="TAW9" s="34"/>
      <c r="TAX9" s="64"/>
      <c r="TAY9" s="4"/>
      <c r="TAZ9" s="65"/>
      <c r="TBA9" s="4"/>
      <c r="TBB9" s="4"/>
      <c r="TBC9" s="4"/>
      <c r="TBF9" s="34"/>
      <c r="TBG9" s="34"/>
      <c r="TBI9" s="34"/>
      <c r="TBJ9" s="72"/>
      <c r="TBK9" s="63"/>
      <c r="TBL9" s="34"/>
      <c r="TBM9" s="64"/>
      <c r="TBN9" s="4"/>
      <c r="TBO9" s="65"/>
      <c r="TBP9" s="4"/>
      <c r="TBQ9" s="4"/>
      <c r="TBR9" s="4"/>
      <c r="TBU9" s="34"/>
      <c r="TBV9" s="34"/>
      <c r="TBX9" s="34"/>
      <c r="TBY9" s="72"/>
      <c r="TBZ9" s="63"/>
      <c r="TCA9" s="34"/>
      <c r="TCB9" s="64"/>
      <c r="TCC9" s="4"/>
      <c r="TCD9" s="65"/>
      <c r="TCE9" s="4"/>
      <c r="TCF9" s="4"/>
      <c r="TCG9" s="4"/>
      <c r="TCJ9" s="34"/>
      <c r="TCK9" s="34"/>
      <c r="TCM9" s="34"/>
      <c r="TCN9" s="72"/>
      <c r="TCO9" s="63"/>
      <c r="TCP9" s="34"/>
      <c r="TCQ9" s="64"/>
      <c r="TCR9" s="4"/>
      <c r="TCS9" s="65"/>
      <c r="TCT9" s="4"/>
      <c r="TCU9" s="4"/>
      <c r="TCV9" s="4"/>
      <c r="TCY9" s="34"/>
      <c r="TCZ9" s="34"/>
      <c r="TDB9" s="34"/>
      <c r="TDC9" s="72"/>
      <c r="TDD9" s="63"/>
      <c r="TDE9" s="34"/>
      <c r="TDF9" s="64"/>
      <c r="TDG9" s="4"/>
      <c r="TDH9" s="65"/>
      <c r="TDI9" s="4"/>
      <c r="TDJ9" s="4"/>
      <c r="TDK9" s="4"/>
      <c r="TDN9" s="34"/>
      <c r="TDO9" s="34"/>
      <c r="TDQ9" s="34"/>
      <c r="TDR9" s="72"/>
      <c r="TDS9" s="63"/>
      <c r="TDT9" s="34"/>
      <c r="TDU9" s="64"/>
      <c r="TDV9" s="4"/>
      <c r="TDW9" s="65"/>
      <c r="TDX9" s="4"/>
      <c r="TDY9" s="4"/>
      <c r="TDZ9" s="4"/>
      <c r="TEC9" s="34"/>
      <c r="TED9" s="34"/>
      <c r="TEF9" s="34"/>
      <c r="TEG9" s="72"/>
      <c r="TEH9" s="63"/>
      <c r="TEI9" s="34"/>
      <c r="TEJ9" s="64"/>
      <c r="TEK9" s="4"/>
      <c r="TEL9" s="65"/>
      <c r="TEM9" s="4"/>
      <c r="TEN9" s="4"/>
      <c r="TEO9" s="4"/>
      <c r="TER9" s="34"/>
      <c r="TES9" s="34"/>
      <c r="TEU9" s="34"/>
      <c r="TEV9" s="72"/>
      <c r="TEW9" s="63"/>
      <c r="TEX9" s="34"/>
      <c r="TEY9" s="64"/>
      <c r="TEZ9" s="4"/>
      <c r="TFA9" s="65"/>
      <c r="TFB9" s="4"/>
      <c r="TFC9" s="4"/>
      <c r="TFD9" s="4"/>
      <c r="TFG9" s="34"/>
      <c r="TFH9" s="34"/>
      <c r="TFJ9" s="34"/>
      <c r="TFK9" s="72"/>
      <c r="TFL9" s="63"/>
      <c r="TFM9" s="34"/>
      <c r="TFN9" s="64"/>
      <c r="TFO9" s="4"/>
      <c r="TFP9" s="65"/>
      <c r="TFQ9" s="4"/>
      <c r="TFR9" s="4"/>
      <c r="TFS9" s="4"/>
      <c r="TFV9" s="34"/>
      <c r="TFW9" s="34"/>
      <c r="TFY9" s="34"/>
      <c r="TFZ9" s="72"/>
      <c r="TGA9" s="63"/>
      <c r="TGB9" s="34"/>
      <c r="TGC9" s="64"/>
      <c r="TGD9" s="4"/>
      <c r="TGE9" s="65"/>
      <c r="TGF9" s="4"/>
      <c r="TGG9" s="4"/>
      <c r="TGH9" s="4"/>
      <c r="TGK9" s="34"/>
      <c r="TGL9" s="34"/>
      <c r="TGN9" s="34"/>
      <c r="TGO9" s="72"/>
      <c r="TGP9" s="63"/>
      <c r="TGQ9" s="34"/>
      <c r="TGR9" s="64"/>
      <c r="TGS9" s="4"/>
      <c r="TGT9" s="65"/>
      <c r="TGU9" s="4"/>
      <c r="TGV9" s="4"/>
      <c r="TGW9" s="4"/>
      <c r="TGZ9" s="34"/>
      <c r="THA9" s="34"/>
      <c r="THC9" s="34"/>
      <c r="THD9" s="72"/>
      <c r="THE9" s="63"/>
      <c r="THF9" s="34"/>
      <c r="THG9" s="64"/>
      <c r="THH9" s="4"/>
      <c r="THI9" s="65"/>
      <c r="THJ9" s="4"/>
      <c r="THK9" s="4"/>
      <c r="THL9" s="4"/>
      <c r="THO9" s="34"/>
      <c r="THP9" s="34"/>
      <c r="THR9" s="34"/>
      <c r="THS9" s="72"/>
      <c r="THT9" s="63"/>
      <c r="THU9" s="34"/>
      <c r="THV9" s="64"/>
      <c r="THW9" s="4"/>
      <c r="THX9" s="65"/>
      <c r="THY9" s="4"/>
      <c r="THZ9" s="4"/>
      <c r="TIA9" s="4"/>
      <c r="TID9" s="34"/>
      <c r="TIE9" s="34"/>
      <c r="TIG9" s="34"/>
      <c r="TIH9" s="72"/>
      <c r="TII9" s="63"/>
      <c r="TIJ9" s="34"/>
      <c r="TIK9" s="64"/>
      <c r="TIL9" s="4"/>
      <c r="TIM9" s="65"/>
      <c r="TIN9" s="4"/>
      <c r="TIO9" s="4"/>
      <c r="TIP9" s="4"/>
      <c r="TIS9" s="34"/>
      <c r="TIT9" s="34"/>
      <c r="TIV9" s="34"/>
      <c r="TIW9" s="72"/>
      <c r="TIX9" s="63"/>
      <c r="TIY9" s="34"/>
      <c r="TIZ9" s="64"/>
      <c r="TJA9" s="4"/>
      <c r="TJB9" s="65"/>
      <c r="TJC9" s="4"/>
      <c r="TJD9" s="4"/>
      <c r="TJE9" s="4"/>
      <c r="TJH9" s="34"/>
      <c r="TJI9" s="34"/>
      <c r="TJK9" s="34"/>
      <c r="TJL9" s="72"/>
      <c r="TJM9" s="63"/>
      <c r="TJN9" s="34"/>
      <c r="TJO9" s="64"/>
      <c r="TJP9" s="4"/>
      <c r="TJQ9" s="65"/>
      <c r="TJR9" s="4"/>
      <c r="TJS9" s="4"/>
      <c r="TJT9" s="4"/>
      <c r="TJW9" s="34"/>
      <c r="TJX9" s="34"/>
      <c r="TJZ9" s="34"/>
      <c r="TKA9" s="72"/>
      <c r="TKB9" s="63"/>
      <c r="TKC9" s="34"/>
      <c r="TKD9" s="64"/>
      <c r="TKE9" s="4"/>
      <c r="TKF9" s="65"/>
      <c r="TKG9" s="4"/>
      <c r="TKH9" s="4"/>
      <c r="TKI9" s="4"/>
      <c r="TKL9" s="34"/>
      <c r="TKM9" s="34"/>
      <c r="TKO9" s="34"/>
      <c r="TKP9" s="72"/>
      <c r="TKQ9" s="63"/>
      <c r="TKR9" s="34"/>
      <c r="TKS9" s="64"/>
      <c r="TKT9" s="4"/>
      <c r="TKU9" s="65"/>
      <c r="TKV9" s="4"/>
      <c r="TKW9" s="4"/>
      <c r="TKX9" s="4"/>
      <c r="TLA9" s="34"/>
      <c r="TLB9" s="34"/>
      <c r="TLD9" s="34"/>
      <c r="TLE9" s="72"/>
      <c r="TLF9" s="63"/>
      <c r="TLG9" s="34"/>
      <c r="TLH9" s="64"/>
      <c r="TLI9" s="4"/>
      <c r="TLJ9" s="65"/>
      <c r="TLK9" s="4"/>
      <c r="TLL9" s="4"/>
      <c r="TLM9" s="4"/>
      <c r="TLP9" s="34"/>
      <c r="TLQ9" s="34"/>
      <c r="TLS9" s="34"/>
      <c r="TLT9" s="72"/>
      <c r="TLU9" s="63"/>
      <c r="TLV9" s="34"/>
      <c r="TLW9" s="64"/>
      <c r="TLX9" s="4"/>
      <c r="TLY9" s="65"/>
      <c r="TLZ9" s="4"/>
      <c r="TMA9" s="4"/>
      <c r="TMB9" s="4"/>
      <c r="TME9" s="34"/>
      <c r="TMF9" s="34"/>
      <c r="TMH9" s="34"/>
      <c r="TMI9" s="72"/>
      <c r="TMJ9" s="63"/>
      <c r="TMK9" s="34"/>
      <c r="TML9" s="64"/>
      <c r="TMM9" s="4"/>
      <c r="TMN9" s="65"/>
      <c r="TMO9" s="4"/>
      <c r="TMP9" s="4"/>
      <c r="TMQ9" s="4"/>
      <c r="TMT9" s="34"/>
      <c r="TMU9" s="34"/>
      <c r="TMW9" s="34"/>
      <c r="TMX9" s="72"/>
      <c r="TMY9" s="63"/>
      <c r="TMZ9" s="34"/>
      <c r="TNA9" s="64"/>
      <c r="TNB9" s="4"/>
      <c r="TNC9" s="65"/>
      <c r="TND9" s="4"/>
      <c r="TNE9" s="4"/>
      <c r="TNF9" s="4"/>
      <c r="TNI9" s="34"/>
      <c r="TNJ9" s="34"/>
      <c r="TNL9" s="34"/>
      <c r="TNM9" s="72"/>
      <c r="TNN9" s="63"/>
      <c r="TNO9" s="34"/>
      <c r="TNP9" s="64"/>
      <c r="TNQ9" s="4"/>
      <c r="TNR9" s="65"/>
      <c r="TNS9" s="4"/>
      <c r="TNT9" s="4"/>
      <c r="TNU9" s="4"/>
      <c r="TNX9" s="34"/>
      <c r="TNY9" s="34"/>
      <c r="TOA9" s="34"/>
      <c r="TOB9" s="72"/>
      <c r="TOC9" s="63"/>
      <c r="TOD9" s="34"/>
      <c r="TOE9" s="64"/>
      <c r="TOF9" s="4"/>
      <c r="TOG9" s="65"/>
      <c r="TOH9" s="4"/>
      <c r="TOI9" s="4"/>
      <c r="TOJ9" s="4"/>
      <c r="TOM9" s="34"/>
      <c r="TON9" s="34"/>
      <c r="TOP9" s="34"/>
      <c r="TOQ9" s="72"/>
      <c r="TOR9" s="63"/>
      <c r="TOS9" s="34"/>
      <c r="TOT9" s="64"/>
      <c r="TOU9" s="4"/>
      <c r="TOV9" s="65"/>
      <c r="TOW9" s="4"/>
      <c r="TOX9" s="4"/>
      <c r="TOY9" s="4"/>
      <c r="TPB9" s="34"/>
      <c r="TPC9" s="34"/>
      <c r="TPE9" s="34"/>
      <c r="TPF9" s="72"/>
      <c r="TPG9" s="63"/>
      <c r="TPH9" s="34"/>
      <c r="TPI9" s="64"/>
      <c r="TPJ9" s="4"/>
      <c r="TPK9" s="65"/>
      <c r="TPL9" s="4"/>
      <c r="TPM9" s="4"/>
      <c r="TPN9" s="4"/>
      <c r="TPQ9" s="34"/>
      <c r="TPR9" s="34"/>
      <c r="TPT9" s="34"/>
      <c r="TPU9" s="72"/>
      <c r="TPV9" s="63"/>
      <c r="TPW9" s="34"/>
      <c r="TPX9" s="64"/>
      <c r="TPY9" s="4"/>
      <c r="TPZ9" s="65"/>
      <c r="TQA9" s="4"/>
      <c r="TQB9" s="4"/>
      <c r="TQC9" s="4"/>
      <c r="TQF9" s="34"/>
      <c r="TQG9" s="34"/>
      <c r="TQI9" s="34"/>
      <c r="TQJ9" s="72"/>
      <c r="TQK9" s="63"/>
      <c r="TQL9" s="34"/>
      <c r="TQM9" s="64"/>
      <c r="TQN9" s="4"/>
      <c r="TQO9" s="65"/>
      <c r="TQP9" s="4"/>
      <c r="TQQ9" s="4"/>
      <c r="TQR9" s="4"/>
      <c r="TQU9" s="34"/>
      <c r="TQV9" s="34"/>
      <c r="TQX9" s="34"/>
      <c r="TQY9" s="72"/>
      <c r="TQZ9" s="63"/>
      <c r="TRA9" s="34"/>
      <c r="TRB9" s="64"/>
      <c r="TRC9" s="4"/>
      <c r="TRD9" s="65"/>
      <c r="TRE9" s="4"/>
      <c r="TRF9" s="4"/>
      <c r="TRG9" s="4"/>
      <c r="TRJ9" s="34"/>
      <c r="TRK9" s="34"/>
      <c r="TRM9" s="34"/>
      <c r="TRN9" s="72"/>
      <c r="TRO9" s="63"/>
      <c r="TRP9" s="34"/>
      <c r="TRQ9" s="64"/>
      <c r="TRR9" s="4"/>
      <c r="TRS9" s="65"/>
      <c r="TRT9" s="4"/>
      <c r="TRU9" s="4"/>
      <c r="TRV9" s="4"/>
      <c r="TRY9" s="34"/>
      <c r="TRZ9" s="34"/>
      <c r="TSB9" s="34"/>
      <c r="TSC9" s="72"/>
      <c r="TSD9" s="63"/>
      <c r="TSE9" s="34"/>
      <c r="TSF9" s="64"/>
      <c r="TSG9" s="4"/>
      <c r="TSH9" s="65"/>
      <c r="TSI9" s="4"/>
      <c r="TSJ9" s="4"/>
      <c r="TSK9" s="4"/>
      <c r="TSN9" s="34"/>
      <c r="TSO9" s="34"/>
      <c r="TSQ9" s="34"/>
      <c r="TSR9" s="72"/>
      <c r="TSS9" s="63"/>
      <c r="TST9" s="34"/>
      <c r="TSU9" s="64"/>
      <c r="TSV9" s="4"/>
      <c r="TSW9" s="65"/>
      <c r="TSX9" s="4"/>
      <c r="TSY9" s="4"/>
      <c r="TSZ9" s="4"/>
      <c r="TTC9" s="34"/>
      <c r="TTD9" s="34"/>
      <c r="TTF9" s="34"/>
      <c r="TTG9" s="72"/>
      <c r="TTH9" s="63"/>
      <c r="TTI9" s="34"/>
      <c r="TTJ9" s="64"/>
      <c r="TTK9" s="4"/>
      <c r="TTL9" s="65"/>
      <c r="TTM9" s="4"/>
      <c r="TTN9" s="4"/>
      <c r="TTO9" s="4"/>
      <c r="TTR9" s="34"/>
      <c r="TTS9" s="34"/>
      <c r="TTU9" s="34"/>
      <c r="TTV9" s="72"/>
      <c r="TTW9" s="63"/>
      <c r="TTX9" s="34"/>
      <c r="TTY9" s="64"/>
      <c r="TTZ9" s="4"/>
      <c r="TUA9" s="65"/>
      <c r="TUB9" s="4"/>
      <c r="TUC9" s="4"/>
      <c r="TUD9" s="4"/>
      <c r="TUG9" s="34"/>
      <c r="TUH9" s="34"/>
      <c r="TUJ9" s="34"/>
      <c r="TUK9" s="72"/>
      <c r="TUL9" s="63"/>
      <c r="TUM9" s="34"/>
      <c r="TUN9" s="64"/>
      <c r="TUO9" s="4"/>
      <c r="TUP9" s="65"/>
      <c r="TUQ9" s="4"/>
      <c r="TUR9" s="4"/>
      <c r="TUS9" s="4"/>
      <c r="TUV9" s="34"/>
      <c r="TUW9" s="34"/>
      <c r="TUY9" s="34"/>
      <c r="TUZ9" s="72"/>
      <c r="TVA9" s="63"/>
      <c r="TVB9" s="34"/>
      <c r="TVC9" s="64"/>
      <c r="TVD9" s="4"/>
      <c r="TVE9" s="65"/>
      <c r="TVF9" s="4"/>
      <c r="TVG9" s="4"/>
      <c r="TVH9" s="4"/>
      <c r="TVK9" s="34"/>
      <c r="TVL9" s="34"/>
      <c r="TVN9" s="34"/>
      <c r="TVO9" s="72"/>
      <c r="TVP9" s="63"/>
      <c r="TVQ9" s="34"/>
      <c r="TVR9" s="64"/>
      <c r="TVS9" s="4"/>
      <c r="TVT9" s="65"/>
      <c r="TVU9" s="4"/>
      <c r="TVV9" s="4"/>
      <c r="TVW9" s="4"/>
      <c r="TVZ9" s="34"/>
      <c r="TWA9" s="34"/>
      <c r="TWC9" s="34"/>
      <c r="TWD9" s="72"/>
      <c r="TWE9" s="63"/>
      <c r="TWF9" s="34"/>
      <c r="TWG9" s="64"/>
      <c r="TWH9" s="4"/>
      <c r="TWI9" s="65"/>
      <c r="TWJ9" s="4"/>
      <c r="TWK9" s="4"/>
      <c r="TWL9" s="4"/>
      <c r="TWO9" s="34"/>
      <c r="TWP9" s="34"/>
      <c r="TWR9" s="34"/>
      <c r="TWS9" s="72"/>
      <c r="TWT9" s="63"/>
      <c r="TWU9" s="34"/>
      <c r="TWV9" s="64"/>
      <c r="TWW9" s="4"/>
      <c r="TWX9" s="65"/>
      <c r="TWY9" s="4"/>
      <c r="TWZ9" s="4"/>
      <c r="TXA9" s="4"/>
      <c r="TXD9" s="34"/>
      <c r="TXE9" s="34"/>
      <c r="TXG9" s="34"/>
      <c r="TXH9" s="72"/>
      <c r="TXI9" s="63"/>
      <c r="TXJ9" s="34"/>
      <c r="TXK9" s="64"/>
      <c r="TXL9" s="4"/>
      <c r="TXM9" s="65"/>
      <c r="TXN9" s="4"/>
      <c r="TXO9" s="4"/>
      <c r="TXP9" s="4"/>
      <c r="TXS9" s="34"/>
      <c r="TXT9" s="34"/>
      <c r="TXV9" s="34"/>
      <c r="TXW9" s="72"/>
      <c r="TXX9" s="63"/>
      <c r="TXY9" s="34"/>
      <c r="TXZ9" s="64"/>
      <c r="TYA9" s="4"/>
      <c r="TYB9" s="65"/>
      <c r="TYC9" s="4"/>
      <c r="TYD9" s="4"/>
      <c r="TYE9" s="4"/>
      <c r="TYH9" s="34"/>
      <c r="TYI9" s="34"/>
      <c r="TYK9" s="34"/>
      <c r="TYL9" s="72"/>
      <c r="TYM9" s="63"/>
      <c r="TYN9" s="34"/>
      <c r="TYO9" s="64"/>
      <c r="TYP9" s="4"/>
      <c r="TYQ9" s="65"/>
      <c r="TYR9" s="4"/>
      <c r="TYS9" s="4"/>
      <c r="TYT9" s="4"/>
      <c r="TYW9" s="34"/>
      <c r="TYX9" s="34"/>
      <c r="TYZ9" s="34"/>
      <c r="TZA9" s="72"/>
      <c r="TZB9" s="63"/>
      <c r="TZC9" s="34"/>
      <c r="TZD9" s="64"/>
      <c r="TZE9" s="4"/>
      <c r="TZF9" s="65"/>
      <c r="TZG9" s="4"/>
      <c r="TZH9" s="4"/>
      <c r="TZI9" s="4"/>
      <c r="TZL9" s="34"/>
      <c r="TZM9" s="34"/>
      <c r="TZO9" s="34"/>
      <c r="TZP9" s="72"/>
      <c r="TZQ9" s="63"/>
      <c r="TZR9" s="34"/>
      <c r="TZS9" s="64"/>
      <c r="TZT9" s="4"/>
      <c r="TZU9" s="65"/>
      <c r="TZV9" s="4"/>
      <c r="TZW9" s="4"/>
      <c r="TZX9" s="4"/>
      <c r="UAA9" s="34"/>
      <c r="UAB9" s="34"/>
      <c r="UAD9" s="34"/>
      <c r="UAE9" s="72"/>
      <c r="UAF9" s="63"/>
      <c r="UAG9" s="34"/>
      <c r="UAH9" s="64"/>
      <c r="UAI9" s="4"/>
      <c r="UAJ9" s="65"/>
      <c r="UAK9" s="4"/>
      <c r="UAL9" s="4"/>
      <c r="UAM9" s="4"/>
      <c r="UAP9" s="34"/>
      <c r="UAQ9" s="34"/>
      <c r="UAS9" s="34"/>
      <c r="UAT9" s="72"/>
      <c r="UAU9" s="63"/>
      <c r="UAV9" s="34"/>
      <c r="UAW9" s="64"/>
      <c r="UAX9" s="4"/>
      <c r="UAY9" s="65"/>
      <c r="UAZ9" s="4"/>
      <c r="UBA9" s="4"/>
      <c r="UBB9" s="4"/>
      <c r="UBE9" s="34"/>
      <c r="UBF9" s="34"/>
      <c r="UBH9" s="34"/>
      <c r="UBI9" s="72"/>
      <c r="UBJ9" s="63"/>
      <c r="UBK9" s="34"/>
      <c r="UBL9" s="64"/>
      <c r="UBM9" s="4"/>
      <c r="UBN9" s="65"/>
      <c r="UBO9" s="4"/>
      <c r="UBP9" s="4"/>
      <c r="UBQ9" s="4"/>
      <c r="UBT9" s="34"/>
      <c r="UBU9" s="34"/>
      <c r="UBW9" s="34"/>
      <c r="UBX9" s="72"/>
      <c r="UBY9" s="63"/>
      <c r="UBZ9" s="34"/>
      <c r="UCA9" s="64"/>
      <c r="UCB9" s="4"/>
      <c r="UCC9" s="65"/>
      <c r="UCD9" s="4"/>
      <c r="UCE9" s="4"/>
      <c r="UCF9" s="4"/>
      <c r="UCI9" s="34"/>
      <c r="UCJ9" s="34"/>
      <c r="UCL9" s="34"/>
      <c r="UCM9" s="72"/>
      <c r="UCN9" s="63"/>
      <c r="UCO9" s="34"/>
      <c r="UCP9" s="64"/>
      <c r="UCQ9" s="4"/>
      <c r="UCR9" s="65"/>
      <c r="UCS9" s="4"/>
      <c r="UCT9" s="4"/>
      <c r="UCU9" s="4"/>
      <c r="UCX9" s="34"/>
      <c r="UCY9" s="34"/>
      <c r="UDA9" s="34"/>
      <c r="UDB9" s="72"/>
      <c r="UDC9" s="63"/>
      <c r="UDD9" s="34"/>
      <c r="UDE9" s="64"/>
      <c r="UDF9" s="4"/>
      <c r="UDG9" s="65"/>
      <c r="UDH9" s="4"/>
      <c r="UDI9" s="4"/>
      <c r="UDJ9" s="4"/>
      <c r="UDM9" s="34"/>
      <c r="UDN9" s="34"/>
      <c r="UDP9" s="34"/>
      <c r="UDQ9" s="72"/>
      <c r="UDR9" s="63"/>
      <c r="UDS9" s="34"/>
      <c r="UDT9" s="64"/>
      <c r="UDU9" s="4"/>
      <c r="UDV9" s="65"/>
      <c r="UDW9" s="4"/>
      <c r="UDX9" s="4"/>
      <c r="UDY9" s="4"/>
      <c r="UEB9" s="34"/>
      <c r="UEC9" s="34"/>
      <c r="UEE9" s="34"/>
      <c r="UEF9" s="72"/>
      <c r="UEG9" s="63"/>
      <c r="UEH9" s="34"/>
      <c r="UEI9" s="64"/>
      <c r="UEJ9" s="4"/>
      <c r="UEK9" s="65"/>
      <c r="UEL9" s="4"/>
      <c r="UEM9" s="4"/>
      <c r="UEN9" s="4"/>
      <c r="UEQ9" s="34"/>
      <c r="UER9" s="34"/>
      <c r="UET9" s="34"/>
      <c r="UEU9" s="72"/>
      <c r="UEV9" s="63"/>
      <c r="UEW9" s="34"/>
      <c r="UEX9" s="64"/>
      <c r="UEY9" s="4"/>
      <c r="UEZ9" s="65"/>
      <c r="UFA9" s="4"/>
      <c r="UFB9" s="4"/>
      <c r="UFC9" s="4"/>
      <c r="UFF9" s="34"/>
      <c r="UFG9" s="34"/>
      <c r="UFI9" s="34"/>
      <c r="UFJ9" s="72"/>
      <c r="UFK9" s="63"/>
      <c r="UFL9" s="34"/>
      <c r="UFM9" s="64"/>
      <c r="UFN9" s="4"/>
      <c r="UFO9" s="65"/>
      <c r="UFP9" s="4"/>
      <c r="UFQ9" s="4"/>
      <c r="UFR9" s="4"/>
      <c r="UFU9" s="34"/>
      <c r="UFV9" s="34"/>
      <c r="UFX9" s="34"/>
      <c r="UFY9" s="72"/>
      <c r="UFZ9" s="63"/>
      <c r="UGA9" s="34"/>
      <c r="UGB9" s="64"/>
      <c r="UGC9" s="4"/>
      <c r="UGD9" s="65"/>
      <c r="UGE9" s="4"/>
      <c r="UGF9" s="4"/>
      <c r="UGG9" s="4"/>
      <c r="UGJ9" s="34"/>
      <c r="UGK9" s="34"/>
      <c r="UGM9" s="34"/>
      <c r="UGN9" s="72"/>
      <c r="UGO9" s="63"/>
      <c r="UGP9" s="34"/>
      <c r="UGQ9" s="64"/>
      <c r="UGR9" s="4"/>
      <c r="UGS9" s="65"/>
      <c r="UGT9" s="4"/>
      <c r="UGU9" s="4"/>
      <c r="UGV9" s="4"/>
      <c r="UGY9" s="34"/>
      <c r="UGZ9" s="34"/>
      <c r="UHB9" s="34"/>
      <c r="UHC9" s="72"/>
      <c r="UHD9" s="63"/>
      <c r="UHE9" s="34"/>
      <c r="UHF9" s="64"/>
      <c r="UHG9" s="4"/>
      <c r="UHH9" s="65"/>
      <c r="UHI9" s="4"/>
      <c r="UHJ9" s="4"/>
      <c r="UHK9" s="4"/>
      <c r="UHN9" s="34"/>
      <c r="UHO9" s="34"/>
      <c r="UHQ9" s="34"/>
      <c r="UHR9" s="72"/>
      <c r="UHS9" s="63"/>
      <c r="UHT9" s="34"/>
      <c r="UHU9" s="64"/>
      <c r="UHV9" s="4"/>
      <c r="UHW9" s="65"/>
      <c r="UHX9" s="4"/>
      <c r="UHY9" s="4"/>
      <c r="UHZ9" s="4"/>
      <c r="UIC9" s="34"/>
      <c r="UID9" s="34"/>
      <c r="UIF9" s="34"/>
      <c r="UIG9" s="72"/>
      <c r="UIH9" s="63"/>
      <c r="UII9" s="34"/>
      <c r="UIJ9" s="64"/>
      <c r="UIK9" s="4"/>
      <c r="UIL9" s="65"/>
      <c r="UIM9" s="4"/>
      <c r="UIN9" s="4"/>
      <c r="UIO9" s="4"/>
      <c r="UIR9" s="34"/>
      <c r="UIS9" s="34"/>
      <c r="UIU9" s="34"/>
      <c r="UIV9" s="72"/>
      <c r="UIW9" s="63"/>
      <c r="UIX9" s="34"/>
      <c r="UIY9" s="64"/>
      <c r="UIZ9" s="4"/>
      <c r="UJA9" s="65"/>
      <c r="UJB9" s="4"/>
      <c r="UJC9" s="4"/>
      <c r="UJD9" s="4"/>
      <c r="UJG9" s="34"/>
      <c r="UJH9" s="34"/>
      <c r="UJJ9" s="34"/>
      <c r="UJK9" s="72"/>
      <c r="UJL9" s="63"/>
      <c r="UJM9" s="34"/>
      <c r="UJN9" s="64"/>
      <c r="UJO9" s="4"/>
      <c r="UJP9" s="65"/>
      <c r="UJQ9" s="4"/>
      <c r="UJR9" s="4"/>
      <c r="UJS9" s="4"/>
      <c r="UJV9" s="34"/>
      <c r="UJW9" s="34"/>
      <c r="UJY9" s="34"/>
      <c r="UJZ9" s="72"/>
      <c r="UKA9" s="63"/>
      <c r="UKB9" s="34"/>
      <c r="UKC9" s="64"/>
      <c r="UKD9" s="4"/>
      <c r="UKE9" s="65"/>
      <c r="UKF9" s="4"/>
      <c r="UKG9" s="4"/>
      <c r="UKH9" s="4"/>
      <c r="UKK9" s="34"/>
      <c r="UKL9" s="34"/>
      <c r="UKN9" s="34"/>
      <c r="UKO9" s="72"/>
      <c r="UKP9" s="63"/>
      <c r="UKQ9" s="34"/>
      <c r="UKR9" s="64"/>
      <c r="UKS9" s="4"/>
      <c r="UKT9" s="65"/>
      <c r="UKU9" s="4"/>
      <c r="UKV9" s="4"/>
      <c r="UKW9" s="4"/>
      <c r="UKZ9" s="34"/>
      <c r="ULA9" s="34"/>
      <c r="ULC9" s="34"/>
      <c r="ULD9" s="72"/>
      <c r="ULE9" s="63"/>
      <c r="ULF9" s="34"/>
      <c r="ULG9" s="64"/>
      <c r="ULH9" s="4"/>
      <c r="ULI9" s="65"/>
      <c r="ULJ9" s="4"/>
      <c r="ULK9" s="4"/>
      <c r="ULL9" s="4"/>
      <c r="ULO9" s="34"/>
      <c r="ULP9" s="34"/>
      <c r="ULR9" s="34"/>
      <c r="ULS9" s="72"/>
      <c r="ULT9" s="63"/>
      <c r="ULU9" s="34"/>
      <c r="ULV9" s="64"/>
      <c r="ULW9" s="4"/>
      <c r="ULX9" s="65"/>
      <c r="ULY9" s="4"/>
      <c r="ULZ9" s="4"/>
      <c r="UMA9" s="4"/>
      <c r="UMD9" s="34"/>
      <c r="UME9" s="34"/>
      <c r="UMG9" s="34"/>
      <c r="UMH9" s="72"/>
      <c r="UMI9" s="63"/>
      <c r="UMJ9" s="34"/>
      <c r="UMK9" s="64"/>
      <c r="UML9" s="4"/>
      <c r="UMM9" s="65"/>
      <c r="UMN9" s="4"/>
      <c r="UMO9" s="4"/>
      <c r="UMP9" s="4"/>
      <c r="UMS9" s="34"/>
      <c r="UMT9" s="34"/>
      <c r="UMV9" s="34"/>
      <c r="UMW9" s="72"/>
      <c r="UMX9" s="63"/>
      <c r="UMY9" s="34"/>
      <c r="UMZ9" s="64"/>
      <c r="UNA9" s="4"/>
      <c r="UNB9" s="65"/>
      <c r="UNC9" s="4"/>
      <c r="UND9" s="4"/>
      <c r="UNE9" s="4"/>
      <c r="UNH9" s="34"/>
      <c r="UNI9" s="34"/>
      <c r="UNK9" s="34"/>
      <c r="UNL9" s="72"/>
      <c r="UNM9" s="63"/>
      <c r="UNN9" s="34"/>
      <c r="UNO9" s="64"/>
      <c r="UNP9" s="4"/>
      <c r="UNQ9" s="65"/>
      <c r="UNR9" s="4"/>
      <c r="UNS9" s="4"/>
      <c r="UNT9" s="4"/>
      <c r="UNW9" s="34"/>
      <c r="UNX9" s="34"/>
      <c r="UNZ9" s="34"/>
      <c r="UOA9" s="72"/>
      <c r="UOB9" s="63"/>
      <c r="UOC9" s="34"/>
      <c r="UOD9" s="64"/>
      <c r="UOE9" s="4"/>
      <c r="UOF9" s="65"/>
      <c r="UOG9" s="4"/>
      <c r="UOH9" s="4"/>
      <c r="UOI9" s="4"/>
      <c r="UOL9" s="34"/>
      <c r="UOM9" s="34"/>
      <c r="UOO9" s="34"/>
      <c r="UOP9" s="72"/>
      <c r="UOQ9" s="63"/>
      <c r="UOR9" s="34"/>
      <c r="UOS9" s="64"/>
      <c r="UOT9" s="4"/>
      <c r="UOU9" s="65"/>
      <c r="UOV9" s="4"/>
      <c r="UOW9" s="4"/>
      <c r="UOX9" s="4"/>
      <c r="UPA9" s="34"/>
      <c r="UPB9" s="34"/>
      <c r="UPD9" s="34"/>
      <c r="UPE9" s="72"/>
      <c r="UPF9" s="63"/>
      <c r="UPG9" s="34"/>
      <c r="UPH9" s="64"/>
      <c r="UPI9" s="4"/>
      <c r="UPJ9" s="65"/>
      <c r="UPK9" s="4"/>
      <c r="UPL9" s="4"/>
      <c r="UPM9" s="4"/>
      <c r="UPP9" s="34"/>
      <c r="UPQ9" s="34"/>
      <c r="UPS9" s="34"/>
      <c r="UPT9" s="72"/>
      <c r="UPU9" s="63"/>
      <c r="UPV9" s="34"/>
      <c r="UPW9" s="64"/>
      <c r="UPX9" s="4"/>
      <c r="UPY9" s="65"/>
      <c r="UPZ9" s="4"/>
      <c r="UQA9" s="4"/>
      <c r="UQB9" s="4"/>
      <c r="UQE9" s="34"/>
      <c r="UQF9" s="34"/>
      <c r="UQH9" s="34"/>
      <c r="UQI9" s="72"/>
      <c r="UQJ9" s="63"/>
      <c r="UQK9" s="34"/>
      <c r="UQL9" s="64"/>
      <c r="UQM9" s="4"/>
      <c r="UQN9" s="65"/>
      <c r="UQO9" s="4"/>
      <c r="UQP9" s="4"/>
      <c r="UQQ9" s="4"/>
      <c r="UQT9" s="34"/>
      <c r="UQU9" s="34"/>
      <c r="UQW9" s="34"/>
      <c r="UQX9" s="72"/>
      <c r="UQY9" s="63"/>
      <c r="UQZ9" s="34"/>
      <c r="URA9" s="64"/>
      <c r="URB9" s="4"/>
      <c r="URC9" s="65"/>
      <c r="URD9" s="4"/>
      <c r="URE9" s="4"/>
      <c r="URF9" s="4"/>
      <c r="URI9" s="34"/>
      <c r="URJ9" s="34"/>
      <c r="URL9" s="34"/>
      <c r="URM9" s="72"/>
      <c r="URN9" s="63"/>
      <c r="URO9" s="34"/>
      <c r="URP9" s="64"/>
      <c r="URQ9" s="4"/>
      <c r="URR9" s="65"/>
      <c r="URS9" s="4"/>
      <c r="URT9" s="4"/>
      <c r="URU9" s="4"/>
      <c r="URX9" s="34"/>
      <c r="URY9" s="34"/>
      <c r="USA9" s="34"/>
      <c r="USB9" s="72"/>
      <c r="USC9" s="63"/>
      <c r="USD9" s="34"/>
      <c r="USE9" s="64"/>
      <c r="USF9" s="4"/>
      <c r="USG9" s="65"/>
      <c r="USH9" s="4"/>
      <c r="USI9" s="4"/>
      <c r="USJ9" s="4"/>
      <c r="USM9" s="34"/>
      <c r="USN9" s="34"/>
      <c r="USP9" s="34"/>
      <c r="USQ9" s="72"/>
      <c r="USR9" s="63"/>
      <c r="USS9" s="34"/>
      <c r="UST9" s="64"/>
      <c r="USU9" s="4"/>
      <c r="USV9" s="65"/>
      <c r="USW9" s="4"/>
      <c r="USX9" s="4"/>
      <c r="USY9" s="4"/>
      <c r="UTB9" s="34"/>
      <c r="UTC9" s="34"/>
      <c r="UTE9" s="34"/>
      <c r="UTF9" s="72"/>
      <c r="UTG9" s="63"/>
      <c r="UTH9" s="34"/>
      <c r="UTI9" s="64"/>
      <c r="UTJ9" s="4"/>
      <c r="UTK9" s="65"/>
      <c r="UTL9" s="4"/>
      <c r="UTM9" s="4"/>
      <c r="UTN9" s="4"/>
      <c r="UTQ9" s="34"/>
      <c r="UTR9" s="34"/>
      <c r="UTT9" s="34"/>
      <c r="UTU9" s="72"/>
      <c r="UTV9" s="63"/>
      <c r="UTW9" s="34"/>
      <c r="UTX9" s="64"/>
      <c r="UTY9" s="4"/>
      <c r="UTZ9" s="65"/>
      <c r="UUA9" s="4"/>
      <c r="UUB9" s="4"/>
      <c r="UUC9" s="4"/>
      <c r="UUF9" s="34"/>
      <c r="UUG9" s="34"/>
      <c r="UUI9" s="34"/>
      <c r="UUJ9" s="72"/>
      <c r="UUK9" s="63"/>
      <c r="UUL9" s="34"/>
      <c r="UUM9" s="64"/>
      <c r="UUN9" s="4"/>
      <c r="UUO9" s="65"/>
      <c r="UUP9" s="4"/>
      <c r="UUQ9" s="4"/>
      <c r="UUR9" s="4"/>
      <c r="UUU9" s="34"/>
      <c r="UUV9" s="34"/>
      <c r="UUX9" s="34"/>
      <c r="UUY9" s="72"/>
      <c r="UUZ9" s="63"/>
      <c r="UVA9" s="34"/>
      <c r="UVB9" s="64"/>
      <c r="UVC9" s="4"/>
      <c r="UVD9" s="65"/>
      <c r="UVE9" s="4"/>
      <c r="UVF9" s="4"/>
      <c r="UVG9" s="4"/>
      <c r="UVJ9" s="34"/>
      <c r="UVK9" s="34"/>
      <c r="UVM9" s="34"/>
      <c r="UVN9" s="72"/>
      <c r="UVO9" s="63"/>
      <c r="UVP9" s="34"/>
      <c r="UVQ9" s="64"/>
      <c r="UVR9" s="4"/>
      <c r="UVS9" s="65"/>
      <c r="UVT9" s="4"/>
      <c r="UVU9" s="4"/>
      <c r="UVV9" s="4"/>
      <c r="UVY9" s="34"/>
      <c r="UVZ9" s="34"/>
      <c r="UWB9" s="34"/>
      <c r="UWC9" s="72"/>
      <c r="UWD9" s="63"/>
      <c r="UWE9" s="34"/>
      <c r="UWF9" s="64"/>
      <c r="UWG9" s="4"/>
      <c r="UWH9" s="65"/>
      <c r="UWI9" s="4"/>
      <c r="UWJ9" s="4"/>
      <c r="UWK9" s="4"/>
      <c r="UWN9" s="34"/>
      <c r="UWO9" s="34"/>
      <c r="UWQ9" s="34"/>
      <c r="UWR9" s="72"/>
      <c r="UWS9" s="63"/>
      <c r="UWT9" s="34"/>
      <c r="UWU9" s="64"/>
      <c r="UWV9" s="4"/>
      <c r="UWW9" s="65"/>
      <c r="UWX9" s="4"/>
      <c r="UWY9" s="4"/>
      <c r="UWZ9" s="4"/>
      <c r="UXC9" s="34"/>
      <c r="UXD9" s="34"/>
      <c r="UXF9" s="34"/>
      <c r="UXG9" s="72"/>
      <c r="UXH9" s="63"/>
      <c r="UXI9" s="34"/>
      <c r="UXJ9" s="64"/>
      <c r="UXK9" s="4"/>
      <c r="UXL9" s="65"/>
      <c r="UXM9" s="4"/>
      <c r="UXN9" s="4"/>
      <c r="UXO9" s="4"/>
      <c r="UXR9" s="34"/>
      <c r="UXS9" s="34"/>
      <c r="UXU9" s="34"/>
      <c r="UXV9" s="72"/>
      <c r="UXW9" s="63"/>
      <c r="UXX9" s="34"/>
      <c r="UXY9" s="64"/>
      <c r="UXZ9" s="4"/>
      <c r="UYA9" s="65"/>
      <c r="UYB9" s="4"/>
      <c r="UYC9" s="4"/>
      <c r="UYD9" s="4"/>
      <c r="UYG9" s="34"/>
      <c r="UYH9" s="34"/>
      <c r="UYJ9" s="34"/>
      <c r="UYK9" s="72"/>
      <c r="UYL9" s="63"/>
      <c r="UYM9" s="34"/>
      <c r="UYN9" s="64"/>
      <c r="UYO9" s="4"/>
      <c r="UYP9" s="65"/>
      <c r="UYQ9" s="4"/>
      <c r="UYR9" s="4"/>
      <c r="UYS9" s="4"/>
      <c r="UYV9" s="34"/>
      <c r="UYW9" s="34"/>
      <c r="UYY9" s="34"/>
      <c r="UYZ9" s="72"/>
      <c r="UZA9" s="63"/>
      <c r="UZB9" s="34"/>
      <c r="UZC9" s="64"/>
      <c r="UZD9" s="4"/>
      <c r="UZE9" s="65"/>
      <c r="UZF9" s="4"/>
      <c r="UZG9" s="4"/>
      <c r="UZH9" s="4"/>
      <c r="UZK9" s="34"/>
      <c r="UZL9" s="34"/>
      <c r="UZN9" s="34"/>
      <c r="UZO9" s="72"/>
      <c r="UZP9" s="63"/>
      <c r="UZQ9" s="34"/>
      <c r="UZR9" s="64"/>
      <c r="UZS9" s="4"/>
      <c r="UZT9" s="65"/>
      <c r="UZU9" s="4"/>
      <c r="UZV9" s="4"/>
      <c r="UZW9" s="4"/>
      <c r="UZZ9" s="34"/>
      <c r="VAA9" s="34"/>
      <c r="VAC9" s="34"/>
      <c r="VAD9" s="72"/>
      <c r="VAE9" s="63"/>
      <c r="VAF9" s="34"/>
      <c r="VAG9" s="64"/>
      <c r="VAH9" s="4"/>
      <c r="VAI9" s="65"/>
      <c r="VAJ9" s="4"/>
      <c r="VAK9" s="4"/>
      <c r="VAL9" s="4"/>
      <c r="VAO9" s="34"/>
      <c r="VAP9" s="34"/>
      <c r="VAR9" s="34"/>
      <c r="VAS9" s="72"/>
      <c r="VAT9" s="63"/>
      <c r="VAU9" s="34"/>
      <c r="VAV9" s="64"/>
      <c r="VAW9" s="4"/>
      <c r="VAX9" s="65"/>
      <c r="VAY9" s="4"/>
      <c r="VAZ9" s="4"/>
      <c r="VBA9" s="4"/>
      <c r="VBD9" s="34"/>
      <c r="VBE9" s="34"/>
      <c r="VBG9" s="34"/>
      <c r="VBH9" s="72"/>
      <c r="VBI9" s="63"/>
      <c r="VBJ9" s="34"/>
      <c r="VBK9" s="64"/>
      <c r="VBL9" s="4"/>
      <c r="VBM9" s="65"/>
      <c r="VBN9" s="4"/>
      <c r="VBO9" s="4"/>
      <c r="VBP9" s="4"/>
      <c r="VBS9" s="34"/>
      <c r="VBT9" s="34"/>
      <c r="VBV9" s="34"/>
      <c r="VBW9" s="72"/>
      <c r="VBX9" s="63"/>
      <c r="VBY9" s="34"/>
      <c r="VBZ9" s="64"/>
      <c r="VCA9" s="4"/>
      <c r="VCB9" s="65"/>
      <c r="VCC9" s="4"/>
      <c r="VCD9" s="4"/>
      <c r="VCE9" s="4"/>
      <c r="VCH9" s="34"/>
      <c r="VCI9" s="34"/>
      <c r="VCK9" s="34"/>
      <c r="VCL9" s="72"/>
      <c r="VCM9" s="63"/>
      <c r="VCN9" s="34"/>
      <c r="VCO9" s="64"/>
      <c r="VCP9" s="4"/>
      <c r="VCQ9" s="65"/>
      <c r="VCR9" s="4"/>
      <c r="VCS9" s="4"/>
      <c r="VCT9" s="4"/>
      <c r="VCW9" s="34"/>
      <c r="VCX9" s="34"/>
      <c r="VCZ9" s="34"/>
      <c r="VDA9" s="72"/>
      <c r="VDB9" s="63"/>
      <c r="VDC9" s="34"/>
      <c r="VDD9" s="64"/>
      <c r="VDE9" s="4"/>
      <c r="VDF9" s="65"/>
      <c r="VDG9" s="4"/>
      <c r="VDH9" s="4"/>
      <c r="VDI9" s="4"/>
      <c r="VDL9" s="34"/>
      <c r="VDM9" s="34"/>
      <c r="VDO9" s="34"/>
      <c r="VDP9" s="72"/>
      <c r="VDQ9" s="63"/>
      <c r="VDR9" s="34"/>
      <c r="VDS9" s="64"/>
      <c r="VDT9" s="4"/>
      <c r="VDU9" s="65"/>
      <c r="VDV9" s="4"/>
      <c r="VDW9" s="4"/>
      <c r="VDX9" s="4"/>
      <c r="VEA9" s="34"/>
      <c r="VEB9" s="34"/>
      <c r="VED9" s="34"/>
      <c r="VEE9" s="72"/>
      <c r="VEF9" s="63"/>
      <c r="VEG9" s="34"/>
      <c r="VEH9" s="64"/>
      <c r="VEI9" s="4"/>
      <c r="VEJ9" s="65"/>
      <c r="VEK9" s="4"/>
      <c r="VEL9" s="4"/>
      <c r="VEM9" s="4"/>
      <c r="VEP9" s="34"/>
      <c r="VEQ9" s="34"/>
      <c r="VES9" s="34"/>
      <c r="VET9" s="72"/>
      <c r="VEU9" s="63"/>
      <c r="VEV9" s="34"/>
      <c r="VEW9" s="64"/>
      <c r="VEX9" s="4"/>
      <c r="VEY9" s="65"/>
      <c r="VEZ9" s="4"/>
      <c r="VFA9" s="4"/>
      <c r="VFB9" s="4"/>
      <c r="VFE9" s="34"/>
      <c r="VFF9" s="34"/>
      <c r="VFH9" s="34"/>
      <c r="VFI9" s="72"/>
      <c r="VFJ9" s="63"/>
      <c r="VFK9" s="34"/>
      <c r="VFL9" s="64"/>
      <c r="VFM9" s="4"/>
      <c r="VFN9" s="65"/>
      <c r="VFO9" s="4"/>
      <c r="VFP9" s="4"/>
      <c r="VFQ9" s="4"/>
      <c r="VFT9" s="34"/>
      <c r="VFU9" s="34"/>
      <c r="VFW9" s="34"/>
      <c r="VFX9" s="72"/>
      <c r="VFY9" s="63"/>
      <c r="VFZ9" s="34"/>
      <c r="VGA9" s="64"/>
      <c r="VGB9" s="4"/>
      <c r="VGC9" s="65"/>
      <c r="VGD9" s="4"/>
      <c r="VGE9" s="4"/>
      <c r="VGF9" s="4"/>
      <c r="VGI9" s="34"/>
      <c r="VGJ9" s="34"/>
      <c r="VGL9" s="34"/>
      <c r="VGM9" s="72"/>
      <c r="VGN9" s="63"/>
      <c r="VGO9" s="34"/>
      <c r="VGP9" s="64"/>
      <c r="VGQ9" s="4"/>
      <c r="VGR9" s="65"/>
      <c r="VGS9" s="4"/>
      <c r="VGT9" s="4"/>
      <c r="VGU9" s="4"/>
      <c r="VGX9" s="34"/>
      <c r="VGY9" s="34"/>
      <c r="VHA9" s="34"/>
      <c r="VHB9" s="72"/>
      <c r="VHC9" s="63"/>
      <c r="VHD9" s="34"/>
      <c r="VHE9" s="64"/>
      <c r="VHF9" s="4"/>
      <c r="VHG9" s="65"/>
      <c r="VHH9" s="4"/>
      <c r="VHI9" s="4"/>
      <c r="VHJ9" s="4"/>
      <c r="VHM9" s="34"/>
      <c r="VHN9" s="34"/>
      <c r="VHP9" s="34"/>
      <c r="VHQ9" s="72"/>
      <c r="VHR9" s="63"/>
      <c r="VHS9" s="34"/>
      <c r="VHT9" s="64"/>
      <c r="VHU9" s="4"/>
      <c r="VHV9" s="65"/>
      <c r="VHW9" s="4"/>
      <c r="VHX9" s="4"/>
      <c r="VHY9" s="4"/>
      <c r="VIB9" s="34"/>
      <c r="VIC9" s="34"/>
      <c r="VIE9" s="34"/>
      <c r="VIF9" s="72"/>
      <c r="VIG9" s="63"/>
      <c r="VIH9" s="34"/>
      <c r="VII9" s="64"/>
      <c r="VIJ9" s="4"/>
      <c r="VIK9" s="65"/>
      <c r="VIL9" s="4"/>
      <c r="VIM9" s="4"/>
      <c r="VIN9" s="4"/>
      <c r="VIQ9" s="34"/>
      <c r="VIR9" s="34"/>
      <c r="VIT9" s="34"/>
      <c r="VIU9" s="72"/>
      <c r="VIV9" s="63"/>
      <c r="VIW9" s="34"/>
      <c r="VIX9" s="64"/>
      <c r="VIY9" s="4"/>
      <c r="VIZ9" s="65"/>
      <c r="VJA9" s="4"/>
      <c r="VJB9" s="4"/>
      <c r="VJC9" s="4"/>
      <c r="VJF9" s="34"/>
      <c r="VJG9" s="34"/>
      <c r="VJI9" s="34"/>
      <c r="VJJ9" s="72"/>
      <c r="VJK9" s="63"/>
      <c r="VJL9" s="34"/>
      <c r="VJM9" s="64"/>
      <c r="VJN9" s="4"/>
      <c r="VJO9" s="65"/>
      <c r="VJP9" s="4"/>
      <c r="VJQ9" s="4"/>
      <c r="VJR9" s="4"/>
      <c r="VJU9" s="34"/>
      <c r="VJV9" s="34"/>
      <c r="VJX9" s="34"/>
      <c r="VJY9" s="72"/>
      <c r="VJZ9" s="63"/>
      <c r="VKA9" s="34"/>
      <c r="VKB9" s="64"/>
      <c r="VKC9" s="4"/>
      <c r="VKD9" s="65"/>
      <c r="VKE9" s="4"/>
      <c r="VKF9" s="4"/>
      <c r="VKG9" s="4"/>
      <c r="VKJ9" s="34"/>
      <c r="VKK9" s="34"/>
      <c r="VKM9" s="34"/>
      <c r="VKN9" s="72"/>
      <c r="VKO9" s="63"/>
      <c r="VKP9" s="34"/>
      <c r="VKQ9" s="64"/>
      <c r="VKR9" s="4"/>
      <c r="VKS9" s="65"/>
      <c r="VKT9" s="4"/>
      <c r="VKU9" s="4"/>
      <c r="VKV9" s="4"/>
      <c r="VKY9" s="34"/>
      <c r="VKZ9" s="34"/>
      <c r="VLB9" s="34"/>
      <c r="VLC9" s="72"/>
      <c r="VLD9" s="63"/>
      <c r="VLE9" s="34"/>
      <c r="VLF9" s="64"/>
      <c r="VLG9" s="4"/>
      <c r="VLH9" s="65"/>
      <c r="VLI9" s="4"/>
      <c r="VLJ9" s="4"/>
      <c r="VLK9" s="4"/>
      <c r="VLN9" s="34"/>
      <c r="VLO9" s="34"/>
      <c r="VLQ9" s="34"/>
      <c r="VLR9" s="72"/>
      <c r="VLS9" s="63"/>
      <c r="VLT9" s="34"/>
      <c r="VLU9" s="64"/>
      <c r="VLV9" s="4"/>
      <c r="VLW9" s="65"/>
      <c r="VLX9" s="4"/>
      <c r="VLY9" s="4"/>
      <c r="VLZ9" s="4"/>
      <c r="VMC9" s="34"/>
      <c r="VMD9" s="34"/>
      <c r="VMF9" s="34"/>
      <c r="VMG9" s="72"/>
      <c r="VMH9" s="63"/>
      <c r="VMI9" s="34"/>
      <c r="VMJ9" s="64"/>
      <c r="VMK9" s="4"/>
      <c r="VML9" s="65"/>
      <c r="VMM9" s="4"/>
      <c r="VMN9" s="4"/>
      <c r="VMO9" s="4"/>
      <c r="VMR9" s="34"/>
      <c r="VMS9" s="34"/>
      <c r="VMU9" s="34"/>
      <c r="VMV9" s="72"/>
      <c r="VMW9" s="63"/>
      <c r="VMX9" s="34"/>
      <c r="VMY9" s="64"/>
      <c r="VMZ9" s="4"/>
      <c r="VNA9" s="65"/>
      <c r="VNB9" s="4"/>
      <c r="VNC9" s="4"/>
      <c r="VND9" s="4"/>
      <c r="VNG9" s="34"/>
      <c r="VNH9" s="34"/>
      <c r="VNJ9" s="34"/>
      <c r="VNK9" s="72"/>
      <c r="VNL9" s="63"/>
      <c r="VNM9" s="34"/>
      <c r="VNN9" s="64"/>
      <c r="VNO9" s="4"/>
      <c r="VNP9" s="65"/>
      <c r="VNQ9" s="4"/>
      <c r="VNR9" s="4"/>
      <c r="VNS9" s="4"/>
      <c r="VNV9" s="34"/>
      <c r="VNW9" s="34"/>
      <c r="VNY9" s="34"/>
      <c r="VNZ9" s="72"/>
      <c r="VOA9" s="63"/>
      <c r="VOB9" s="34"/>
      <c r="VOC9" s="64"/>
      <c r="VOD9" s="4"/>
      <c r="VOE9" s="65"/>
      <c r="VOF9" s="4"/>
      <c r="VOG9" s="4"/>
      <c r="VOH9" s="4"/>
      <c r="VOK9" s="34"/>
      <c r="VOL9" s="34"/>
      <c r="VON9" s="34"/>
      <c r="VOO9" s="72"/>
      <c r="VOP9" s="63"/>
      <c r="VOQ9" s="34"/>
      <c r="VOR9" s="64"/>
      <c r="VOS9" s="4"/>
      <c r="VOT9" s="65"/>
      <c r="VOU9" s="4"/>
      <c r="VOV9" s="4"/>
      <c r="VOW9" s="4"/>
      <c r="VOZ9" s="34"/>
      <c r="VPA9" s="34"/>
      <c r="VPC9" s="34"/>
      <c r="VPD9" s="72"/>
      <c r="VPE9" s="63"/>
      <c r="VPF9" s="34"/>
      <c r="VPG9" s="64"/>
      <c r="VPH9" s="4"/>
      <c r="VPI9" s="65"/>
      <c r="VPJ9" s="4"/>
      <c r="VPK9" s="4"/>
      <c r="VPL9" s="4"/>
      <c r="VPO9" s="34"/>
      <c r="VPP9" s="34"/>
      <c r="VPR9" s="34"/>
      <c r="VPS9" s="72"/>
      <c r="VPT9" s="63"/>
      <c r="VPU9" s="34"/>
      <c r="VPV9" s="64"/>
      <c r="VPW9" s="4"/>
      <c r="VPX9" s="65"/>
      <c r="VPY9" s="4"/>
      <c r="VPZ9" s="4"/>
      <c r="VQA9" s="4"/>
      <c r="VQD9" s="34"/>
      <c r="VQE9" s="34"/>
      <c r="VQG9" s="34"/>
      <c r="VQH9" s="72"/>
      <c r="VQI9" s="63"/>
      <c r="VQJ9" s="34"/>
      <c r="VQK9" s="64"/>
      <c r="VQL9" s="4"/>
      <c r="VQM9" s="65"/>
      <c r="VQN9" s="4"/>
      <c r="VQO9" s="4"/>
      <c r="VQP9" s="4"/>
      <c r="VQS9" s="34"/>
      <c r="VQT9" s="34"/>
      <c r="VQV9" s="34"/>
      <c r="VQW9" s="72"/>
      <c r="VQX9" s="63"/>
      <c r="VQY9" s="34"/>
      <c r="VQZ9" s="64"/>
      <c r="VRA9" s="4"/>
      <c r="VRB9" s="65"/>
      <c r="VRC9" s="4"/>
      <c r="VRD9" s="4"/>
      <c r="VRE9" s="4"/>
      <c r="VRH9" s="34"/>
      <c r="VRI9" s="34"/>
      <c r="VRK9" s="34"/>
      <c r="VRL9" s="72"/>
      <c r="VRM9" s="63"/>
      <c r="VRN9" s="34"/>
      <c r="VRO9" s="64"/>
      <c r="VRP9" s="4"/>
      <c r="VRQ9" s="65"/>
      <c r="VRR9" s="4"/>
      <c r="VRS9" s="4"/>
      <c r="VRT9" s="4"/>
      <c r="VRW9" s="34"/>
      <c r="VRX9" s="34"/>
      <c r="VRZ9" s="34"/>
      <c r="VSA9" s="72"/>
      <c r="VSB9" s="63"/>
      <c r="VSC9" s="34"/>
      <c r="VSD9" s="64"/>
      <c r="VSE9" s="4"/>
      <c r="VSF9" s="65"/>
      <c r="VSG9" s="4"/>
      <c r="VSH9" s="4"/>
      <c r="VSI9" s="4"/>
      <c r="VSL9" s="34"/>
      <c r="VSM9" s="34"/>
      <c r="VSO9" s="34"/>
      <c r="VSP9" s="72"/>
      <c r="VSQ9" s="63"/>
      <c r="VSR9" s="34"/>
      <c r="VSS9" s="64"/>
      <c r="VST9" s="4"/>
      <c r="VSU9" s="65"/>
      <c r="VSV9" s="4"/>
      <c r="VSW9" s="4"/>
      <c r="VSX9" s="4"/>
      <c r="VTA9" s="34"/>
      <c r="VTB9" s="34"/>
      <c r="VTD9" s="34"/>
      <c r="VTE9" s="72"/>
      <c r="VTF9" s="63"/>
      <c r="VTG9" s="34"/>
      <c r="VTH9" s="64"/>
      <c r="VTI9" s="4"/>
      <c r="VTJ9" s="65"/>
      <c r="VTK9" s="4"/>
      <c r="VTL9" s="4"/>
      <c r="VTM9" s="4"/>
      <c r="VTP9" s="34"/>
      <c r="VTQ9" s="34"/>
      <c r="VTS9" s="34"/>
      <c r="VTT9" s="72"/>
      <c r="VTU9" s="63"/>
      <c r="VTV9" s="34"/>
      <c r="VTW9" s="64"/>
      <c r="VTX9" s="4"/>
      <c r="VTY9" s="65"/>
      <c r="VTZ9" s="4"/>
      <c r="VUA9" s="4"/>
      <c r="VUB9" s="4"/>
      <c r="VUE9" s="34"/>
      <c r="VUF9" s="34"/>
      <c r="VUH9" s="34"/>
      <c r="VUI9" s="72"/>
      <c r="VUJ9" s="63"/>
      <c r="VUK9" s="34"/>
      <c r="VUL9" s="64"/>
      <c r="VUM9" s="4"/>
      <c r="VUN9" s="65"/>
      <c r="VUO9" s="4"/>
      <c r="VUP9" s="4"/>
      <c r="VUQ9" s="4"/>
      <c r="VUT9" s="34"/>
      <c r="VUU9" s="34"/>
      <c r="VUW9" s="34"/>
      <c r="VUX9" s="72"/>
      <c r="VUY9" s="63"/>
      <c r="VUZ9" s="34"/>
      <c r="VVA9" s="64"/>
      <c r="VVB9" s="4"/>
      <c r="VVC9" s="65"/>
      <c r="VVD9" s="4"/>
      <c r="VVE9" s="4"/>
      <c r="VVF9" s="4"/>
      <c r="VVI9" s="34"/>
      <c r="VVJ9" s="34"/>
      <c r="VVL9" s="34"/>
      <c r="VVM9" s="72"/>
      <c r="VVN9" s="63"/>
      <c r="VVO9" s="34"/>
      <c r="VVP9" s="64"/>
      <c r="VVQ9" s="4"/>
      <c r="VVR9" s="65"/>
      <c r="VVS9" s="4"/>
      <c r="VVT9" s="4"/>
      <c r="VVU9" s="4"/>
      <c r="VVX9" s="34"/>
      <c r="VVY9" s="34"/>
      <c r="VWA9" s="34"/>
      <c r="VWB9" s="72"/>
      <c r="VWC9" s="63"/>
      <c r="VWD9" s="34"/>
      <c r="VWE9" s="64"/>
      <c r="VWF9" s="4"/>
      <c r="VWG9" s="65"/>
      <c r="VWH9" s="4"/>
      <c r="VWI9" s="4"/>
      <c r="VWJ9" s="4"/>
      <c r="VWM9" s="34"/>
      <c r="VWN9" s="34"/>
      <c r="VWP9" s="34"/>
      <c r="VWQ9" s="72"/>
      <c r="VWR9" s="63"/>
      <c r="VWS9" s="34"/>
      <c r="VWT9" s="64"/>
      <c r="VWU9" s="4"/>
      <c r="VWV9" s="65"/>
      <c r="VWW9" s="4"/>
      <c r="VWX9" s="4"/>
      <c r="VWY9" s="4"/>
      <c r="VXB9" s="34"/>
      <c r="VXC9" s="34"/>
      <c r="VXE9" s="34"/>
      <c r="VXF9" s="72"/>
      <c r="VXG9" s="63"/>
      <c r="VXH9" s="34"/>
      <c r="VXI9" s="64"/>
      <c r="VXJ9" s="4"/>
      <c r="VXK9" s="65"/>
      <c r="VXL9" s="4"/>
      <c r="VXM9" s="4"/>
      <c r="VXN9" s="4"/>
      <c r="VXQ9" s="34"/>
      <c r="VXR9" s="34"/>
      <c r="VXT9" s="34"/>
      <c r="VXU9" s="72"/>
      <c r="VXV9" s="63"/>
      <c r="VXW9" s="34"/>
      <c r="VXX9" s="64"/>
      <c r="VXY9" s="4"/>
      <c r="VXZ9" s="65"/>
      <c r="VYA9" s="4"/>
      <c r="VYB9" s="4"/>
      <c r="VYC9" s="4"/>
      <c r="VYF9" s="34"/>
      <c r="VYG9" s="34"/>
      <c r="VYI9" s="34"/>
      <c r="VYJ9" s="72"/>
      <c r="VYK9" s="63"/>
      <c r="VYL9" s="34"/>
      <c r="VYM9" s="64"/>
      <c r="VYN9" s="4"/>
      <c r="VYO9" s="65"/>
      <c r="VYP9" s="4"/>
      <c r="VYQ9" s="4"/>
      <c r="VYR9" s="4"/>
      <c r="VYU9" s="34"/>
      <c r="VYV9" s="34"/>
      <c r="VYX9" s="34"/>
      <c r="VYY9" s="72"/>
      <c r="VYZ9" s="63"/>
      <c r="VZA9" s="34"/>
      <c r="VZB9" s="64"/>
      <c r="VZC9" s="4"/>
      <c r="VZD9" s="65"/>
      <c r="VZE9" s="4"/>
      <c r="VZF9" s="4"/>
      <c r="VZG9" s="4"/>
      <c r="VZJ9" s="34"/>
      <c r="VZK9" s="34"/>
      <c r="VZM9" s="34"/>
      <c r="VZN9" s="72"/>
      <c r="VZO9" s="63"/>
      <c r="VZP9" s="34"/>
      <c r="VZQ9" s="64"/>
      <c r="VZR9" s="4"/>
      <c r="VZS9" s="65"/>
      <c r="VZT9" s="4"/>
      <c r="VZU9" s="4"/>
      <c r="VZV9" s="4"/>
      <c r="VZY9" s="34"/>
      <c r="VZZ9" s="34"/>
      <c r="WAB9" s="34"/>
      <c r="WAC9" s="72"/>
      <c r="WAD9" s="63"/>
      <c r="WAE9" s="34"/>
      <c r="WAF9" s="64"/>
      <c r="WAG9" s="4"/>
      <c r="WAH9" s="65"/>
      <c r="WAI9" s="4"/>
      <c r="WAJ9" s="4"/>
      <c r="WAK9" s="4"/>
      <c r="WAN9" s="34"/>
      <c r="WAO9" s="34"/>
      <c r="WAQ9" s="34"/>
      <c r="WAR9" s="72"/>
      <c r="WAS9" s="63"/>
      <c r="WAT9" s="34"/>
      <c r="WAU9" s="64"/>
      <c r="WAV9" s="4"/>
      <c r="WAW9" s="65"/>
      <c r="WAX9" s="4"/>
      <c r="WAY9" s="4"/>
      <c r="WAZ9" s="4"/>
      <c r="WBC9" s="34"/>
      <c r="WBD9" s="34"/>
      <c r="WBF9" s="34"/>
      <c r="WBG9" s="72"/>
      <c r="WBH9" s="63"/>
      <c r="WBI9" s="34"/>
      <c r="WBJ9" s="64"/>
      <c r="WBK9" s="4"/>
      <c r="WBL9" s="65"/>
      <c r="WBM9" s="4"/>
      <c r="WBN9" s="4"/>
      <c r="WBO9" s="4"/>
      <c r="WBR9" s="34"/>
      <c r="WBS9" s="34"/>
      <c r="WBU9" s="34"/>
      <c r="WBV9" s="72"/>
      <c r="WBW9" s="63"/>
      <c r="WBX9" s="34"/>
      <c r="WBY9" s="64"/>
      <c r="WBZ9" s="4"/>
      <c r="WCA9" s="65"/>
      <c r="WCB9" s="4"/>
      <c r="WCC9" s="4"/>
      <c r="WCD9" s="4"/>
      <c r="WCG9" s="34"/>
      <c r="WCH9" s="34"/>
      <c r="WCJ9" s="34"/>
      <c r="WCK9" s="72"/>
      <c r="WCL9" s="63"/>
      <c r="WCM9" s="34"/>
      <c r="WCN9" s="64"/>
      <c r="WCO9" s="4"/>
      <c r="WCP9" s="65"/>
      <c r="WCQ9" s="4"/>
      <c r="WCR9" s="4"/>
      <c r="WCS9" s="4"/>
      <c r="WCV9" s="34"/>
      <c r="WCW9" s="34"/>
      <c r="WCY9" s="34"/>
      <c r="WCZ9" s="72"/>
      <c r="WDA9" s="63"/>
      <c r="WDB9" s="34"/>
      <c r="WDC9" s="64"/>
      <c r="WDD9" s="4"/>
      <c r="WDE9" s="65"/>
      <c r="WDF9" s="4"/>
      <c r="WDG9" s="4"/>
      <c r="WDH9" s="4"/>
      <c r="WDK9" s="34"/>
      <c r="WDL9" s="34"/>
      <c r="WDN9" s="34"/>
      <c r="WDO9" s="72"/>
      <c r="WDP9" s="63"/>
      <c r="WDQ9" s="34"/>
      <c r="WDR9" s="64"/>
      <c r="WDS9" s="4"/>
      <c r="WDT9" s="65"/>
      <c r="WDU9" s="4"/>
      <c r="WDV9" s="4"/>
      <c r="WDW9" s="4"/>
      <c r="WDZ9" s="34"/>
      <c r="WEA9" s="34"/>
      <c r="WEC9" s="34"/>
      <c r="WED9" s="72"/>
      <c r="WEE9" s="63"/>
      <c r="WEF9" s="34"/>
      <c r="WEG9" s="64"/>
      <c r="WEH9" s="4"/>
      <c r="WEI9" s="65"/>
      <c r="WEJ9" s="4"/>
      <c r="WEK9" s="4"/>
      <c r="WEL9" s="4"/>
      <c r="WEO9" s="34"/>
      <c r="WEP9" s="34"/>
      <c r="WER9" s="34"/>
      <c r="WES9" s="72"/>
      <c r="WET9" s="63"/>
      <c r="WEU9" s="34"/>
      <c r="WEV9" s="64"/>
      <c r="WEW9" s="4"/>
      <c r="WEX9" s="65"/>
      <c r="WEY9" s="4"/>
      <c r="WEZ9" s="4"/>
      <c r="WFA9" s="4"/>
      <c r="WFD9" s="34"/>
      <c r="WFE9" s="34"/>
      <c r="WFG9" s="34"/>
      <c r="WFH9" s="72"/>
      <c r="WFI9" s="63"/>
      <c r="WFJ9" s="34"/>
      <c r="WFK9" s="64"/>
      <c r="WFL9" s="4"/>
      <c r="WFM9" s="65"/>
      <c r="WFN9" s="4"/>
      <c r="WFO9" s="4"/>
      <c r="WFP9" s="4"/>
      <c r="WFS9" s="34"/>
      <c r="WFT9" s="34"/>
      <c r="WFV9" s="34"/>
      <c r="WFW9" s="72"/>
      <c r="WFX9" s="63"/>
      <c r="WFY9" s="34"/>
      <c r="WFZ9" s="64"/>
      <c r="WGA9" s="4"/>
      <c r="WGB9" s="65"/>
      <c r="WGC9" s="4"/>
      <c r="WGD9" s="4"/>
      <c r="WGE9" s="4"/>
      <c r="WGH9" s="34"/>
      <c r="WGI9" s="34"/>
      <c r="WGK9" s="34"/>
      <c r="WGL9" s="72"/>
      <c r="WGM9" s="63"/>
      <c r="WGN9" s="34"/>
      <c r="WGO9" s="64"/>
      <c r="WGP9" s="4"/>
      <c r="WGQ9" s="65"/>
      <c r="WGR9" s="4"/>
      <c r="WGS9" s="4"/>
      <c r="WGT9" s="4"/>
      <c r="WGW9" s="34"/>
      <c r="WGX9" s="34"/>
      <c r="WGZ9" s="34"/>
      <c r="WHA9" s="72"/>
      <c r="WHB9" s="63"/>
      <c r="WHC9" s="34"/>
      <c r="WHD9" s="64"/>
      <c r="WHE9" s="4"/>
      <c r="WHF9" s="65"/>
      <c r="WHG9" s="4"/>
      <c r="WHH9" s="4"/>
      <c r="WHI9" s="4"/>
      <c r="WHL9" s="34"/>
      <c r="WHM9" s="34"/>
      <c r="WHO9" s="34"/>
      <c r="WHP9" s="72"/>
      <c r="WHQ9" s="63"/>
      <c r="WHR9" s="34"/>
      <c r="WHS9" s="64"/>
      <c r="WHT9" s="4"/>
      <c r="WHU9" s="65"/>
      <c r="WHV9" s="4"/>
      <c r="WHW9" s="4"/>
      <c r="WHX9" s="4"/>
      <c r="WIA9" s="34"/>
      <c r="WIB9" s="34"/>
      <c r="WID9" s="34"/>
      <c r="WIE9" s="72"/>
      <c r="WIF9" s="63"/>
      <c r="WIG9" s="34"/>
      <c r="WIH9" s="64"/>
      <c r="WII9" s="4"/>
      <c r="WIJ9" s="65"/>
      <c r="WIK9" s="4"/>
      <c r="WIL9" s="4"/>
      <c r="WIM9" s="4"/>
      <c r="WIP9" s="34"/>
      <c r="WIQ9" s="34"/>
      <c r="WIS9" s="34"/>
      <c r="WIT9" s="72"/>
      <c r="WIU9" s="63"/>
      <c r="WIV9" s="34"/>
      <c r="WIW9" s="64"/>
      <c r="WIX9" s="4"/>
      <c r="WIY9" s="65"/>
      <c r="WIZ9" s="4"/>
      <c r="WJA9" s="4"/>
      <c r="WJB9" s="4"/>
      <c r="WJE9" s="34"/>
      <c r="WJF9" s="34"/>
      <c r="WJH9" s="34"/>
      <c r="WJI9" s="72"/>
      <c r="WJJ9" s="63"/>
      <c r="WJK9" s="34"/>
      <c r="WJL9" s="64"/>
      <c r="WJM9" s="4"/>
      <c r="WJN9" s="65"/>
      <c r="WJO9" s="4"/>
      <c r="WJP9" s="4"/>
      <c r="WJQ9" s="4"/>
      <c r="WJT9" s="34"/>
      <c r="WJU9" s="34"/>
      <c r="WJW9" s="34"/>
      <c r="WJX9" s="72"/>
      <c r="WJY9" s="63"/>
      <c r="WJZ9" s="34"/>
      <c r="WKA9" s="64"/>
      <c r="WKB9" s="4"/>
      <c r="WKC9" s="65"/>
      <c r="WKD9" s="4"/>
      <c r="WKE9" s="4"/>
      <c r="WKF9" s="4"/>
      <c r="WKI9" s="34"/>
      <c r="WKJ9" s="34"/>
      <c r="WKL9" s="34"/>
      <c r="WKM9" s="72"/>
      <c r="WKN9" s="63"/>
      <c r="WKO9" s="34"/>
      <c r="WKP9" s="64"/>
      <c r="WKQ9" s="4"/>
      <c r="WKR9" s="65"/>
      <c r="WKS9" s="4"/>
      <c r="WKT9" s="4"/>
      <c r="WKU9" s="4"/>
      <c r="WKX9" s="34"/>
      <c r="WKY9" s="34"/>
      <c r="WLA9" s="34"/>
      <c r="WLB9" s="72"/>
      <c r="WLC9" s="63"/>
      <c r="WLD9" s="34"/>
      <c r="WLE9" s="64"/>
      <c r="WLF9" s="4"/>
      <c r="WLG9" s="65"/>
      <c r="WLH9" s="4"/>
      <c r="WLI9" s="4"/>
      <c r="WLJ9" s="4"/>
      <c r="WLM9" s="34"/>
      <c r="WLN9" s="34"/>
      <c r="WLP9" s="34"/>
      <c r="WLQ9" s="72"/>
      <c r="WLR9" s="63"/>
      <c r="WLS9" s="34"/>
      <c r="WLT9" s="64"/>
      <c r="WLU9" s="4"/>
      <c r="WLV9" s="65"/>
      <c r="WLW9" s="4"/>
      <c r="WLX9" s="4"/>
      <c r="WLY9" s="4"/>
      <c r="WMB9" s="34"/>
      <c r="WMC9" s="34"/>
      <c r="WME9" s="34"/>
      <c r="WMF9" s="72"/>
      <c r="WMG9" s="63"/>
      <c r="WMH9" s="34"/>
      <c r="WMI9" s="64"/>
      <c r="WMJ9" s="4"/>
      <c r="WMK9" s="65"/>
      <c r="WML9" s="4"/>
      <c r="WMM9" s="4"/>
      <c r="WMN9" s="4"/>
      <c r="WMQ9" s="34"/>
      <c r="WMR9" s="34"/>
      <c r="WMT9" s="34"/>
      <c r="WMU9" s="72"/>
      <c r="WMV9" s="63"/>
      <c r="WMW9" s="34"/>
      <c r="WMX9" s="64"/>
      <c r="WMY9" s="4"/>
      <c r="WMZ9" s="65"/>
      <c r="WNA9" s="4"/>
      <c r="WNB9" s="4"/>
      <c r="WNC9" s="4"/>
      <c r="WNF9" s="34"/>
      <c r="WNG9" s="34"/>
      <c r="WNI9" s="34"/>
      <c r="WNJ9" s="72"/>
      <c r="WNK9" s="63"/>
      <c r="WNL9" s="34"/>
      <c r="WNM9" s="64"/>
      <c r="WNN9" s="4"/>
      <c r="WNO9" s="65"/>
      <c r="WNP9" s="4"/>
      <c r="WNQ9" s="4"/>
      <c r="WNR9" s="4"/>
      <c r="WNU9" s="34"/>
      <c r="WNV9" s="34"/>
      <c r="WNX9" s="34"/>
      <c r="WNY9" s="72"/>
      <c r="WNZ9" s="63"/>
      <c r="WOA9" s="34"/>
      <c r="WOB9" s="64"/>
      <c r="WOC9" s="4"/>
      <c r="WOD9" s="65"/>
      <c r="WOE9" s="4"/>
      <c r="WOF9" s="4"/>
      <c r="WOG9" s="4"/>
      <c r="WOJ9" s="34"/>
      <c r="WOK9" s="34"/>
      <c r="WOM9" s="34"/>
      <c r="WON9" s="72"/>
      <c r="WOO9" s="63"/>
      <c r="WOP9" s="34"/>
      <c r="WOQ9" s="64"/>
      <c r="WOR9" s="4"/>
      <c r="WOS9" s="65"/>
      <c r="WOT9" s="4"/>
      <c r="WOU9" s="4"/>
      <c r="WOV9" s="4"/>
      <c r="WOY9" s="34"/>
      <c r="WOZ9" s="34"/>
      <c r="WPB9" s="34"/>
      <c r="WPC9" s="72"/>
      <c r="WPD9" s="63"/>
      <c r="WPE9" s="34"/>
      <c r="WPF9" s="64"/>
      <c r="WPG9" s="4"/>
      <c r="WPH9" s="65"/>
      <c r="WPI9" s="4"/>
      <c r="WPJ9" s="4"/>
      <c r="WPK9" s="4"/>
      <c r="WPN9" s="34"/>
      <c r="WPO9" s="34"/>
      <c r="WPQ9" s="34"/>
      <c r="WPR9" s="72"/>
      <c r="WPS9" s="63"/>
      <c r="WPT9" s="34"/>
      <c r="WPU9" s="64"/>
      <c r="WPV9" s="4"/>
      <c r="WPW9" s="65"/>
      <c r="WPX9" s="4"/>
      <c r="WPY9" s="4"/>
      <c r="WPZ9" s="4"/>
      <c r="WQC9" s="34"/>
      <c r="WQD9" s="34"/>
      <c r="WQF9" s="34"/>
      <c r="WQG9" s="72"/>
      <c r="WQH9" s="63"/>
      <c r="WQI9" s="34"/>
      <c r="WQJ9" s="64"/>
      <c r="WQK9" s="4"/>
      <c r="WQL9" s="65"/>
      <c r="WQM9" s="4"/>
      <c r="WQN9" s="4"/>
      <c r="WQO9" s="4"/>
      <c r="WQR9" s="34"/>
      <c r="WQS9" s="34"/>
      <c r="WQU9" s="34"/>
      <c r="WQV9" s="72"/>
      <c r="WQW9" s="63"/>
      <c r="WQX9" s="34"/>
      <c r="WQY9" s="64"/>
      <c r="WQZ9" s="4"/>
      <c r="WRA9" s="65"/>
      <c r="WRB9" s="4"/>
      <c r="WRC9" s="4"/>
      <c r="WRD9" s="4"/>
      <c r="WRG9" s="34"/>
      <c r="WRH9" s="34"/>
      <c r="WRJ9" s="34"/>
      <c r="WRK9" s="72"/>
      <c r="WRL9" s="63"/>
      <c r="WRM9" s="34"/>
      <c r="WRN9" s="64"/>
      <c r="WRO9" s="4"/>
      <c r="WRP9" s="65"/>
      <c r="WRQ9" s="4"/>
      <c r="WRR9" s="4"/>
      <c r="WRS9" s="4"/>
      <c r="WRV9" s="34"/>
      <c r="WRW9" s="34"/>
      <c r="WRY9" s="34"/>
      <c r="WRZ9" s="72"/>
      <c r="WSA9" s="63"/>
      <c r="WSB9" s="34"/>
      <c r="WSC9" s="64"/>
      <c r="WSD9" s="4"/>
      <c r="WSE9" s="65"/>
      <c r="WSF9" s="4"/>
      <c r="WSG9" s="4"/>
      <c r="WSH9" s="4"/>
      <c r="WSK9" s="34"/>
      <c r="WSL9" s="34"/>
      <c r="WSN9" s="34"/>
      <c r="WSO9" s="72"/>
      <c r="WSP9" s="63"/>
      <c r="WSQ9" s="34"/>
      <c r="WSR9" s="64"/>
      <c r="WSS9" s="4"/>
      <c r="WST9" s="65"/>
      <c r="WSU9" s="4"/>
      <c r="WSV9" s="4"/>
      <c r="WSW9" s="4"/>
      <c r="WSZ9" s="34"/>
      <c r="WTA9" s="34"/>
      <c r="WTC9" s="34"/>
      <c r="WTD9" s="72"/>
      <c r="WTE9" s="63"/>
      <c r="WTF9" s="34"/>
      <c r="WTG9" s="64"/>
      <c r="WTH9" s="4"/>
      <c r="WTI9" s="65"/>
      <c r="WTJ9" s="4"/>
      <c r="WTK9" s="4"/>
      <c r="WTL9" s="4"/>
      <c r="WTO9" s="34"/>
      <c r="WTP9" s="34"/>
      <c r="WTR9" s="34"/>
      <c r="WTS9" s="72"/>
      <c r="WTT9" s="63"/>
      <c r="WTU9" s="34"/>
      <c r="WTV9" s="64"/>
      <c r="WTW9" s="4"/>
      <c r="WTX9" s="65"/>
      <c r="WTY9" s="4"/>
      <c r="WTZ9" s="4"/>
      <c r="WUA9" s="4"/>
      <c r="WUD9" s="34"/>
      <c r="WUE9" s="34"/>
      <c r="WUG9" s="34"/>
      <c r="WUH9" s="72"/>
      <c r="WUI9" s="63"/>
      <c r="WUJ9" s="34"/>
      <c r="WUK9" s="64"/>
      <c r="WUL9" s="4"/>
      <c r="WUM9" s="65"/>
      <c r="WUN9" s="4"/>
      <c r="WUO9" s="4"/>
      <c r="WUP9" s="4"/>
      <c r="WUS9" s="34"/>
      <c r="WUT9" s="34"/>
      <c r="WUV9" s="34"/>
      <c r="WUW9" s="72"/>
      <c r="WUX9" s="63"/>
      <c r="WUY9" s="34"/>
      <c r="WUZ9" s="64"/>
      <c r="WVA9" s="4"/>
      <c r="WVB9" s="65"/>
      <c r="WVC9" s="4"/>
      <c r="WVD9" s="4"/>
      <c r="WVE9" s="4"/>
      <c r="WVH9" s="34"/>
      <c r="WVI9" s="34"/>
      <c r="WVK9" s="34"/>
      <c r="WVL9" s="72"/>
      <c r="WVM9" s="63"/>
      <c r="WVN9" s="34"/>
      <c r="WVO9" s="64"/>
      <c r="WVP9" s="4"/>
      <c r="WVQ9" s="65"/>
      <c r="WVR9" s="4"/>
      <c r="WVS9" s="4"/>
      <c r="WVT9" s="4"/>
      <c r="WVW9" s="34"/>
      <c r="WVX9" s="34"/>
      <c r="WVZ9" s="34"/>
      <c r="WWA9" s="72"/>
      <c r="WWB9" s="63"/>
      <c r="WWC9" s="34"/>
      <c r="WWD9" s="64"/>
      <c r="WWE9" s="4"/>
      <c r="WWF9" s="65"/>
      <c r="WWG9" s="4"/>
      <c r="WWH9" s="4"/>
      <c r="WWI9" s="4"/>
      <c r="WWL9" s="34"/>
      <c r="WWM9" s="34"/>
      <c r="WWO9" s="34"/>
      <c r="WWP9" s="72"/>
      <c r="WWQ9" s="63"/>
      <c r="WWR9" s="34"/>
      <c r="WWS9" s="64"/>
      <c r="WWT9" s="4"/>
      <c r="WWU9" s="65"/>
      <c r="WWV9" s="4"/>
      <c r="WWW9" s="4"/>
      <c r="WWX9" s="4"/>
      <c r="WXA9" s="34"/>
      <c r="WXB9" s="34"/>
      <c r="WXD9" s="34"/>
      <c r="WXE9" s="72"/>
      <c r="WXF9" s="63"/>
      <c r="WXG9" s="34"/>
      <c r="WXH9" s="64"/>
      <c r="WXI9" s="4"/>
      <c r="WXJ9" s="65"/>
      <c r="WXK9" s="4"/>
      <c r="WXL9" s="4"/>
      <c r="WXM9" s="4"/>
      <c r="WXP9" s="34"/>
      <c r="WXQ9" s="34"/>
      <c r="WXS9" s="34"/>
      <c r="WXT9" s="72"/>
      <c r="WXU9" s="63"/>
      <c r="WXV9" s="34"/>
      <c r="WXW9" s="64"/>
      <c r="WXX9" s="4"/>
      <c r="WXY9" s="65"/>
      <c r="WXZ9" s="4"/>
      <c r="WYA9" s="4"/>
      <c r="WYB9" s="4"/>
      <c r="WYE9" s="34"/>
      <c r="WYF9" s="34"/>
      <c r="WYH9" s="34"/>
      <c r="WYI9" s="72"/>
      <c r="WYJ9" s="63"/>
      <c r="WYK9" s="34"/>
      <c r="WYL9" s="64"/>
      <c r="WYM9" s="4"/>
      <c r="WYN9" s="65"/>
      <c r="WYO9" s="4"/>
      <c r="WYP9" s="4"/>
      <c r="WYQ9" s="4"/>
      <c r="WYT9" s="34"/>
      <c r="WYU9" s="34"/>
      <c r="WYW9" s="34"/>
      <c r="WYX9" s="72"/>
      <c r="WYY9" s="63"/>
      <c r="WYZ9" s="34"/>
      <c r="WZA9" s="64"/>
      <c r="WZB9" s="4"/>
      <c r="WZC9" s="65"/>
      <c r="WZD9" s="4"/>
      <c r="WZE9" s="4"/>
      <c r="WZF9" s="4"/>
      <c r="WZI9" s="34"/>
      <c r="WZJ9" s="34"/>
      <c r="WZL9" s="34"/>
      <c r="WZM9" s="72"/>
      <c r="WZN9" s="63"/>
      <c r="WZO9" s="34"/>
      <c r="WZP9" s="64"/>
      <c r="WZQ9" s="4"/>
      <c r="WZR9" s="65"/>
      <c r="WZS9" s="4"/>
      <c r="WZT9" s="4"/>
      <c r="WZU9" s="4"/>
      <c r="WZX9" s="34"/>
      <c r="WZY9" s="34"/>
      <c r="XAA9" s="34"/>
      <c r="XAB9" s="72"/>
      <c r="XAC9" s="63"/>
      <c r="XAD9" s="34"/>
      <c r="XAE9" s="64"/>
      <c r="XAF9" s="4"/>
      <c r="XAG9" s="65"/>
      <c r="XAH9" s="4"/>
      <c r="XAI9" s="4"/>
      <c r="XAJ9" s="4"/>
      <c r="XAM9" s="34"/>
      <c r="XAN9" s="34"/>
      <c r="XAP9" s="34"/>
      <c r="XAQ9" s="72"/>
      <c r="XAR9" s="63"/>
      <c r="XAS9" s="34"/>
      <c r="XAT9" s="64"/>
      <c r="XAU9" s="4"/>
      <c r="XAV9" s="65"/>
      <c r="XAW9" s="4"/>
      <c r="XAX9" s="4"/>
      <c r="XAY9" s="4"/>
      <c r="XBB9" s="34"/>
      <c r="XBC9" s="34"/>
      <c r="XBE9" s="34"/>
      <c r="XBF9" s="72"/>
      <c r="XBG9" s="63"/>
      <c r="XBH9" s="34"/>
      <c r="XBI9" s="64"/>
      <c r="XBJ9" s="4"/>
      <c r="XBK9" s="65"/>
      <c r="XBL9" s="4"/>
      <c r="XBM9" s="4"/>
      <c r="XBN9" s="4"/>
      <c r="XBQ9" s="34"/>
      <c r="XBR9" s="34"/>
      <c r="XBT9" s="34"/>
      <c r="XBU9" s="72"/>
      <c r="XBV9" s="63"/>
      <c r="XBW9" s="34"/>
      <c r="XBX9" s="64"/>
      <c r="XBY9" s="4"/>
      <c r="XBZ9" s="65"/>
      <c r="XCA9" s="4"/>
      <c r="XCB9" s="4"/>
      <c r="XCC9" s="4"/>
      <c r="XCF9" s="34"/>
      <c r="XCG9" s="34"/>
      <c r="XCI9" s="34"/>
      <c r="XCJ9" s="72"/>
      <c r="XCK9" s="63"/>
      <c r="XCL9" s="34"/>
      <c r="XCM9" s="64"/>
      <c r="XCN9" s="4"/>
      <c r="XCO9" s="65"/>
      <c r="XCP9" s="4"/>
      <c r="XCQ9" s="4"/>
      <c r="XCR9" s="4"/>
      <c r="XCU9" s="34"/>
      <c r="XCV9" s="34"/>
      <c r="XCX9" s="34"/>
      <c r="XCY9" s="72"/>
      <c r="XCZ9" s="63"/>
      <c r="XDA9" s="34"/>
      <c r="XDB9" s="64"/>
      <c r="XDC9" s="4"/>
      <c r="XDD9" s="65"/>
      <c r="XDE9" s="4"/>
      <c r="XDF9" s="4"/>
      <c r="XDG9" s="4"/>
      <c r="XDJ9" s="34"/>
      <c r="XDK9" s="34"/>
      <c r="XDM9" s="34"/>
      <c r="XDN9" s="72"/>
      <c r="XDO9" s="63"/>
      <c r="XDP9" s="34"/>
      <c r="XDQ9" s="64"/>
      <c r="XDR9" s="4"/>
      <c r="XDS9" s="65"/>
      <c r="XDT9" s="4"/>
      <c r="XDU9" s="4"/>
      <c r="XDV9" s="4"/>
      <c r="XDY9" s="34"/>
      <c r="XDZ9" s="34"/>
      <c r="XEB9" s="34"/>
      <c r="XEC9" s="72"/>
      <c r="XED9" s="63"/>
      <c r="XEE9" s="34"/>
      <c r="XEF9" s="64"/>
      <c r="XEG9" s="4"/>
      <c r="XEH9" s="65"/>
      <c r="XEI9" s="4"/>
      <c r="XEJ9" s="4"/>
      <c r="XEK9" s="4"/>
      <c r="XEN9" s="34"/>
      <c r="XEO9" s="34"/>
      <c r="XEQ9" s="34"/>
      <c r="XER9" s="72"/>
      <c r="XES9" s="63"/>
      <c r="XET9" s="34"/>
      <c r="XEU9" s="64"/>
      <c r="XEV9" s="4"/>
      <c r="XEW9" s="65"/>
      <c r="XEX9" s="4"/>
      <c r="XEY9" s="4"/>
      <c r="XEZ9" s="4"/>
      <c r="XFC9" s="34"/>
      <c r="XFD9" s="34"/>
    </row>
    <row r="10" spans="1:1024 1026:4095 4098:5119 5121:8190 8193:15360 15363:16384" x14ac:dyDescent="0.3">
      <c r="A10">
        <v>0</v>
      </c>
      <c r="B10">
        <v>0</v>
      </c>
      <c r="C10" s="34">
        <v>0.28495721000633656</v>
      </c>
      <c r="D10" s="34">
        <v>0.31091045442856763</v>
      </c>
      <c r="E10">
        <v>6</v>
      </c>
      <c r="F10" s="63">
        <v>1.9300000000000001E-3</v>
      </c>
      <c r="G10" s="88">
        <v>-4.5382789993663609E-2</v>
      </c>
      <c r="H10" s="34">
        <v>-5.9984772166027982E-2</v>
      </c>
      <c r="I10" s="34">
        <v>0.57485029940119758</v>
      </c>
      <c r="J10" s="64">
        <v>0.63461538461538458</v>
      </c>
      <c r="K10" s="4">
        <v>0.38823529411764707</v>
      </c>
      <c r="L10" s="65">
        <v>0.48175182481751827</v>
      </c>
      <c r="M10" s="4">
        <v>0.54782608695652169</v>
      </c>
      <c r="N10" s="4">
        <v>0.76829268292682928</v>
      </c>
      <c r="O10" s="4">
        <v>0.63959390862944165</v>
      </c>
      <c r="R10" s="34"/>
      <c r="S10" s="34"/>
      <c r="U10" s="34"/>
      <c r="V10" s="72"/>
      <c r="W10" s="63"/>
      <c r="X10" s="34"/>
      <c r="Y10" s="64"/>
      <c r="Z10" s="4"/>
      <c r="AA10" s="65"/>
      <c r="AB10" s="4"/>
      <c r="AC10" s="4"/>
      <c r="AD10" s="4"/>
      <c r="AG10" s="34"/>
      <c r="AH10" s="34"/>
      <c r="AJ10" s="34"/>
      <c r="AK10" s="72"/>
      <c r="AL10" s="63"/>
      <c r="AM10" s="34"/>
      <c r="AN10" s="64"/>
      <c r="AO10" s="4"/>
      <c r="AP10" s="65"/>
      <c r="AQ10" s="4"/>
      <c r="AR10" s="4"/>
      <c r="AS10" s="4"/>
      <c r="AV10" s="34"/>
      <c r="AW10" s="34"/>
      <c r="AY10" s="34"/>
      <c r="AZ10" s="72"/>
      <c r="BA10" s="63"/>
      <c r="BB10" s="34"/>
      <c r="BC10" s="64"/>
      <c r="BD10" s="4"/>
      <c r="BE10" s="65"/>
      <c r="BF10" s="4"/>
      <c r="BG10" s="4"/>
      <c r="BH10" s="4"/>
      <c r="BK10" s="34"/>
      <c r="BL10" s="34"/>
      <c r="BN10" s="34"/>
      <c r="BO10" s="72"/>
      <c r="BP10" s="63"/>
      <c r="BQ10" s="34"/>
      <c r="BR10" s="64"/>
      <c r="BS10" s="4"/>
      <c r="BT10" s="65"/>
      <c r="BU10" s="4"/>
      <c r="BV10" s="4"/>
      <c r="BW10" s="4"/>
      <c r="BZ10" s="34"/>
      <c r="CA10" s="34"/>
      <c r="CC10" s="34"/>
      <c r="CD10" s="72"/>
      <c r="CE10" s="63"/>
      <c r="CF10" s="34"/>
      <c r="CG10" s="64"/>
      <c r="CH10" s="4"/>
      <c r="CI10" s="65"/>
      <c r="CJ10" s="4"/>
      <c r="CK10" s="4"/>
      <c r="CL10" s="4"/>
      <c r="CO10" s="34"/>
      <c r="CP10" s="34"/>
      <c r="CR10" s="34"/>
      <c r="CS10" s="72"/>
      <c r="CT10" s="63"/>
      <c r="CU10" s="34"/>
      <c r="CV10" s="64"/>
      <c r="CW10" s="4"/>
      <c r="CX10" s="65"/>
      <c r="CY10" s="4"/>
      <c r="CZ10" s="4"/>
      <c r="DA10" s="4"/>
      <c r="DD10" s="34"/>
      <c r="DE10" s="34"/>
      <c r="DG10" s="34"/>
      <c r="DH10" s="72"/>
      <c r="DI10" s="63"/>
      <c r="DJ10" s="34"/>
      <c r="DK10" s="64"/>
      <c r="DL10" s="4"/>
      <c r="DM10" s="65"/>
      <c r="DN10" s="4"/>
      <c r="DO10" s="4"/>
      <c r="DP10" s="4"/>
      <c r="DS10" s="34"/>
      <c r="DT10" s="34"/>
      <c r="DV10" s="34"/>
      <c r="DW10" s="72"/>
      <c r="DX10" s="63"/>
      <c r="DY10" s="34"/>
      <c r="DZ10" s="64"/>
      <c r="EA10" s="4"/>
      <c r="EB10" s="65"/>
      <c r="EC10" s="4"/>
      <c r="ED10" s="4"/>
      <c r="EE10" s="4"/>
      <c r="EH10" s="34"/>
      <c r="EI10" s="34"/>
      <c r="EK10" s="34"/>
      <c r="EL10" s="72"/>
      <c r="EM10" s="63"/>
      <c r="EN10" s="34"/>
      <c r="EO10" s="64"/>
      <c r="EP10" s="4"/>
      <c r="EQ10" s="65"/>
      <c r="ER10" s="4"/>
      <c r="ES10" s="4"/>
      <c r="ET10" s="4"/>
      <c r="EW10" s="34"/>
      <c r="EX10" s="34"/>
      <c r="EZ10" s="34"/>
      <c r="FA10" s="72"/>
      <c r="FB10" s="63"/>
      <c r="FC10" s="34"/>
      <c r="FD10" s="64"/>
      <c r="FE10" s="4"/>
      <c r="FF10" s="65"/>
      <c r="FG10" s="4"/>
      <c r="FH10" s="4"/>
      <c r="FI10" s="4"/>
      <c r="FL10" s="34"/>
      <c r="FM10" s="34"/>
      <c r="FO10" s="34"/>
      <c r="FP10" s="72"/>
      <c r="FQ10" s="63"/>
      <c r="FR10" s="34"/>
      <c r="FS10" s="64"/>
      <c r="FT10" s="4"/>
      <c r="FU10" s="65"/>
      <c r="FV10" s="4"/>
      <c r="FW10" s="4"/>
      <c r="FX10" s="4"/>
      <c r="GA10" s="34"/>
      <c r="GB10" s="34"/>
      <c r="GD10" s="34"/>
      <c r="GE10" s="72"/>
      <c r="GF10" s="63"/>
      <c r="GG10" s="34"/>
      <c r="GH10" s="64"/>
      <c r="GI10" s="4"/>
      <c r="GJ10" s="65"/>
      <c r="GK10" s="4"/>
      <c r="GL10" s="4"/>
      <c r="GM10" s="4"/>
      <c r="GP10" s="34"/>
      <c r="GQ10" s="34"/>
      <c r="GS10" s="34"/>
      <c r="GT10" s="72"/>
      <c r="GU10" s="63"/>
      <c r="GV10" s="34"/>
      <c r="GW10" s="64"/>
      <c r="GX10" s="4"/>
      <c r="GY10" s="65"/>
      <c r="GZ10" s="4"/>
      <c r="HA10" s="4"/>
      <c r="HB10" s="4"/>
      <c r="HE10" s="34"/>
      <c r="HF10" s="34"/>
      <c r="HH10" s="34"/>
      <c r="HI10" s="72"/>
      <c r="HJ10" s="63"/>
      <c r="HK10" s="34"/>
      <c r="HL10" s="64"/>
      <c r="HM10" s="4"/>
      <c r="HN10" s="65"/>
      <c r="HO10" s="4"/>
      <c r="HP10" s="4"/>
      <c r="HQ10" s="4"/>
      <c r="HT10" s="34"/>
      <c r="HU10" s="34"/>
      <c r="HW10" s="34"/>
      <c r="HX10" s="72"/>
      <c r="HY10" s="63"/>
      <c r="HZ10" s="34"/>
      <c r="IA10" s="64"/>
      <c r="IB10" s="4"/>
      <c r="IC10" s="65"/>
      <c r="ID10" s="4"/>
      <c r="IE10" s="4"/>
      <c r="IF10" s="4"/>
      <c r="II10" s="34"/>
      <c r="IJ10" s="34"/>
      <c r="IL10" s="34"/>
      <c r="IM10" s="72"/>
      <c r="IN10" s="63"/>
      <c r="IO10" s="34"/>
      <c r="IP10" s="64"/>
      <c r="IQ10" s="4"/>
      <c r="IR10" s="65"/>
      <c r="IS10" s="4"/>
      <c r="IT10" s="4"/>
      <c r="IU10" s="4"/>
      <c r="IX10" s="34"/>
      <c r="IY10" s="34"/>
      <c r="JA10" s="34"/>
      <c r="JB10" s="72"/>
      <c r="JC10" s="63"/>
      <c r="JD10" s="34"/>
      <c r="JE10" s="64"/>
      <c r="JF10" s="4"/>
      <c r="JG10" s="65"/>
      <c r="JH10" s="4"/>
      <c r="JI10" s="4"/>
      <c r="JJ10" s="4"/>
      <c r="JM10" s="34"/>
      <c r="JN10" s="34"/>
      <c r="JP10" s="34"/>
      <c r="JQ10" s="72"/>
      <c r="JR10" s="63"/>
      <c r="JS10" s="34"/>
      <c r="JT10" s="64"/>
      <c r="JU10" s="4"/>
      <c r="JV10" s="65"/>
      <c r="JW10" s="4"/>
      <c r="JX10" s="4"/>
      <c r="JY10" s="4"/>
      <c r="KB10" s="34"/>
      <c r="KC10" s="34"/>
      <c r="KE10" s="34"/>
      <c r="KF10" s="72"/>
      <c r="KG10" s="63"/>
      <c r="KH10" s="34"/>
      <c r="KI10" s="64"/>
      <c r="KJ10" s="4"/>
      <c r="KK10" s="65"/>
      <c r="KL10" s="4"/>
      <c r="KM10" s="4"/>
      <c r="KN10" s="4"/>
      <c r="KQ10" s="34"/>
      <c r="KR10" s="34"/>
      <c r="KT10" s="34"/>
      <c r="KU10" s="72"/>
      <c r="KV10" s="63"/>
      <c r="KW10" s="34"/>
      <c r="KX10" s="64"/>
      <c r="KY10" s="4"/>
      <c r="KZ10" s="65"/>
      <c r="LA10" s="4"/>
      <c r="LB10" s="4"/>
      <c r="LC10" s="4"/>
      <c r="LF10" s="34"/>
      <c r="LG10" s="34"/>
      <c r="LI10" s="34"/>
      <c r="LJ10" s="72"/>
      <c r="LK10" s="63"/>
      <c r="LL10" s="34"/>
      <c r="LM10" s="64"/>
      <c r="LN10" s="4"/>
      <c r="LO10" s="65"/>
      <c r="LP10" s="4"/>
      <c r="LQ10" s="4"/>
      <c r="LR10" s="4"/>
      <c r="LU10" s="34"/>
      <c r="LV10" s="34"/>
      <c r="LX10" s="34"/>
      <c r="LY10" s="72"/>
      <c r="LZ10" s="63"/>
      <c r="MA10" s="34"/>
      <c r="MB10" s="64"/>
      <c r="MC10" s="4"/>
      <c r="MD10" s="65"/>
      <c r="ME10" s="4"/>
      <c r="MF10" s="4"/>
      <c r="MG10" s="4"/>
      <c r="MJ10" s="34"/>
      <c r="MK10" s="34"/>
      <c r="MM10" s="34"/>
      <c r="MN10" s="72"/>
      <c r="MO10" s="63"/>
      <c r="MP10" s="34"/>
      <c r="MQ10" s="64"/>
      <c r="MR10" s="4"/>
      <c r="MS10" s="65"/>
      <c r="MT10" s="4"/>
      <c r="MU10" s="4"/>
      <c r="MV10" s="4"/>
      <c r="MY10" s="34"/>
      <c r="MZ10" s="34"/>
      <c r="NB10" s="34"/>
      <c r="NC10" s="72"/>
      <c r="ND10" s="63"/>
      <c r="NE10" s="34"/>
      <c r="NF10" s="64"/>
      <c r="NG10" s="4"/>
      <c r="NH10" s="65"/>
      <c r="NI10" s="4"/>
      <c r="NJ10" s="4"/>
      <c r="NK10" s="4"/>
      <c r="NN10" s="34"/>
      <c r="NO10" s="34"/>
      <c r="NQ10" s="34"/>
      <c r="NR10" s="72"/>
      <c r="NS10" s="63"/>
      <c r="NT10" s="34"/>
      <c r="NU10" s="64"/>
      <c r="NV10" s="4"/>
      <c r="NW10" s="65"/>
      <c r="NX10" s="4"/>
      <c r="NY10" s="4"/>
      <c r="NZ10" s="4"/>
      <c r="OC10" s="34"/>
      <c r="OD10" s="34"/>
      <c r="OF10" s="34"/>
      <c r="OG10" s="72"/>
      <c r="OH10" s="63"/>
      <c r="OI10" s="34"/>
      <c r="OJ10" s="64"/>
      <c r="OK10" s="4"/>
      <c r="OL10" s="65"/>
      <c r="OM10" s="4"/>
      <c r="ON10" s="4"/>
      <c r="OO10" s="4"/>
      <c r="OR10" s="34"/>
      <c r="OS10" s="34"/>
      <c r="OU10" s="34"/>
      <c r="OV10" s="72"/>
      <c r="OW10" s="63"/>
      <c r="OX10" s="34"/>
      <c r="OY10" s="64"/>
      <c r="OZ10" s="4"/>
      <c r="PA10" s="65"/>
      <c r="PB10" s="4"/>
      <c r="PC10" s="4"/>
      <c r="PD10" s="4"/>
      <c r="PG10" s="34"/>
      <c r="PH10" s="34"/>
      <c r="PJ10" s="34"/>
      <c r="PK10" s="72"/>
      <c r="PL10" s="63"/>
      <c r="PM10" s="34"/>
      <c r="PN10" s="64"/>
      <c r="PO10" s="4"/>
      <c r="PP10" s="65"/>
      <c r="PQ10" s="4"/>
      <c r="PR10" s="4"/>
      <c r="PS10" s="4"/>
      <c r="PV10" s="34"/>
      <c r="PW10" s="34"/>
      <c r="PY10" s="34"/>
      <c r="PZ10" s="72"/>
      <c r="QA10" s="63"/>
      <c r="QB10" s="34"/>
      <c r="QC10" s="64"/>
      <c r="QD10" s="4"/>
      <c r="QE10" s="65"/>
      <c r="QF10" s="4"/>
      <c r="QG10" s="4"/>
      <c r="QH10" s="4"/>
      <c r="QK10" s="34"/>
      <c r="QL10" s="34"/>
      <c r="QN10" s="34"/>
      <c r="QO10" s="72"/>
      <c r="QP10" s="63"/>
      <c r="QQ10" s="34"/>
      <c r="QR10" s="64"/>
      <c r="QS10" s="4"/>
      <c r="QT10" s="65"/>
      <c r="QU10" s="4"/>
      <c r="QV10" s="4"/>
      <c r="QW10" s="4"/>
      <c r="QZ10" s="34"/>
      <c r="RA10" s="34"/>
      <c r="RC10" s="34"/>
      <c r="RD10" s="72"/>
      <c r="RE10" s="63"/>
      <c r="RF10" s="34"/>
      <c r="RG10" s="64"/>
      <c r="RH10" s="4"/>
      <c r="RI10" s="65"/>
      <c r="RJ10" s="4"/>
      <c r="RK10" s="4"/>
      <c r="RL10" s="4"/>
      <c r="RO10" s="34"/>
      <c r="RP10" s="34"/>
      <c r="RR10" s="34"/>
      <c r="RS10" s="72"/>
      <c r="RT10" s="63"/>
      <c r="RU10" s="34"/>
      <c r="RV10" s="64"/>
      <c r="RW10" s="4"/>
      <c r="RX10" s="65"/>
      <c r="RY10" s="4"/>
      <c r="RZ10" s="4"/>
      <c r="SA10" s="4"/>
      <c r="SD10" s="34"/>
      <c r="SE10" s="34"/>
      <c r="SG10" s="34"/>
      <c r="SH10" s="72"/>
      <c r="SI10" s="63"/>
      <c r="SJ10" s="34"/>
      <c r="SK10" s="64"/>
      <c r="SL10" s="4"/>
      <c r="SM10" s="65"/>
      <c r="SN10" s="4"/>
      <c r="SO10" s="4"/>
      <c r="SP10" s="4"/>
      <c r="SS10" s="34"/>
      <c r="ST10" s="34"/>
      <c r="SV10" s="34"/>
      <c r="SW10" s="72"/>
      <c r="SX10" s="63"/>
      <c r="SY10" s="34"/>
      <c r="SZ10" s="64"/>
      <c r="TA10" s="4"/>
      <c r="TB10" s="65"/>
      <c r="TC10" s="4"/>
      <c r="TD10" s="4"/>
      <c r="TE10" s="4"/>
      <c r="TH10" s="34"/>
      <c r="TI10" s="34"/>
      <c r="TK10" s="34"/>
      <c r="TL10" s="72"/>
      <c r="TM10" s="63"/>
      <c r="TN10" s="34"/>
      <c r="TO10" s="64"/>
      <c r="TP10" s="4"/>
      <c r="TQ10" s="65"/>
      <c r="TR10" s="4"/>
      <c r="TS10" s="4"/>
      <c r="TT10" s="4"/>
      <c r="TW10" s="34"/>
      <c r="TX10" s="34"/>
      <c r="TZ10" s="34"/>
      <c r="UA10" s="72"/>
      <c r="UB10" s="63"/>
      <c r="UC10" s="34"/>
      <c r="UD10" s="64"/>
      <c r="UE10" s="4"/>
      <c r="UF10" s="65"/>
      <c r="UG10" s="4"/>
      <c r="UH10" s="4"/>
      <c r="UI10" s="4"/>
      <c r="UL10" s="34"/>
      <c r="UM10" s="34"/>
      <c r="UO10" s="34"/>
      <c r="UP10" s="72"/>
      <c r="UQ10" s="63"/>
      <c r="UR10" s="34"/>
      <c r="US10" s="64"/>
      <c r="UT10" s="4"/>
      <c r="UU10" s="65"/>
      <c r="UV10" s="4"/>
      <c r="UW10" s="4"/>
      <c r="UX10" s="4"/>
      <c r="VA10" s="34"/>
      <c r="VB10" s="34"/>
      <c r="VD10" s="34"/>
      <c r="VE10" s="72"/>
      <c r="VF10" s="63"/>
      <c r="VG10" s="34"/>
      <c r="VH10" s="64"/>
      <c r="VI10" s="4"/>
      <c r="VJ10" s="65"/>
      <c r="VK10" s="4"/>
      <c r="VL10" s="4"/>
      <c r="VM10" s="4"/>
      <c r="VP10" s="34"/>
      <c r="VQ10" s="34"/>
      <c r="VS10" s="34"/>
      <c r="VT10" s="72"/>
      <c r="VU10" s="63"/>
      <c r="VV10" s="34"/>
      <c r="VW10" s="64"/>
      <c r="VX10" s="4"/>
      <c r="VY10" s="65"/>
      <c r="VZ10" s="4"/>
      <c r="WA10" s="4"/>
      <c r="WB10" s="4"/>
      <c r="WE10" s="34"/>
      <c r="WF10" s="34"/>
      <c r="WH10" s="34"/>
      <c r="WI10" s="72"/>
      <c r="WJ10" s="63"/>
      <c r="WK10" s="34"/>
      <c r="WL10" s="64"/>
      <c r="WM10" s="4"/>
      <c r="WN10" s="65"/>
      <c r="WO10" s="4"/>
      <c r="WP10" s="4"/>
      <c r="WQ10" s="4"/>
      <c r="WT10" s="34"/>
      <c r="WU10" s="34"/>
      <c r="WW10" s="34"/>
      <c r="WX10" s="72"/>
      <c r="WY10" s="63"/>
      <c r="WZ10" s="34"/>
      <c r="XA10" s="64"/>
      <c r="XB10" s="4"/>
      <c r="XC10" s="65"/>
      <c r="XD10" s="4"/>
      <c r="XE10" s="4"/>
      <c r="XF10" s="4"/>
      <c r="XI10" s="34"/>
      <c r="XJ10" s="34"/>
      <c r="XL10" s="34"/>
      <c r="XM10" s="72"/>
      <c r="XN10" s="63"/>
      <c r="XO10" s="34"/>
      <c r="XP10" s="64"/>
      <c r="XQ10" s="4"/>
      <c r="XR10" s="65"/>
      <c r="XS10" s="4"/>
      <c r="XT10" s="4"/>
      <c r="XU10" s="4"/>
      <c r="XX10" s="34"/>
      <c r="XY10" s="34"/>
      <c r="YA10" s="34"/>
      <c r="YB10" s="72"/>
      <c r="YC10" s="63"/>
      <c r="YD10" s="34"/>
      <c r="YE10" s="64"/>
      <c r="YF10" s="4"/>
      <c r="YG10" s="65"/>
      <c r="YH10" s="4"/>
      <c r="YI10" s="4"/>
      <c r="YJ10" s="4"/>
      <c r="YM10" s="34"/>
      <c r="YN10" s="34"/>
      <c r="YP10" s="34"/>
      <c r="YQ10" s="72"/>
      <c r="YR10" s="63"/>
      <c r="YS10" s="34"/>
      <c r="YT10" s="64"/>
      <c r="YU10" s="4"/>
      <c r="YV10" s="65"/>
      <c r="YW10" s="4"/>
      <c r="YX10" s="4"/>
      <c r="YY10" s="4"/>
      <c r="ZB10" s="34"/>
      <c r="ZC10" s="34"/>
      <c r="ZE10" s="34"/>
      <c r="ZF10" s="72"/>
      <c r="ZG10" s="63"/>
      <c r="ZH10" s="34"/>
      <c r="ZI10" s="64"/>
      <c r="ZJ10" s="4"/>
      <c r="ZK10" s="65"/>
      <c r="ZL10" s="4"/>
      <c r="ZM10" s="4"/>
      <c r="ZN10" s="4"/>
      <c r="ZQ10" s="34"/>
      <c r="ZR10" s="34"/>
      <c r="ZT10" s="34"/>
      <c r="ZU10" s="72"/>
      <c r="ZV10" s="63"/>
      <c r="ZW10" s="34"/>
      <c r="ZX10" s="64"/>
      <c r="ZY10" s="4"/>
      <c r="ZZ10" s="65"/>
      <c r="AAA10" s="4"/>
      <c r="AAB10" s="4"/>
      <c r="AAC10" s="4"/>
      <c r="AAF10" s="34"/>
      <c r="AAG10" s="34"/>
      <c r="AAI10" s="34"/>
      <c r="AAJ10" s="72"/>
      <c r="AAK10" s="63"/>
      <c r="AAL10" s="34"/>
      <c r="AAM10" s="64"/>
      <c r="AAN10" s="4"/>
      <c r="AAO10" s="65"/>
      <c r="AAP10" s="4"/>
      <c r="AAQ10" s="4"/>
      <c r="AAR10" s="4"/>
      <c r="AAU10" s="34"/>
      <c r="AAV10" s="34"/>
      <c r="AAX10" s="34"/>
      <c r="AAY10" s="72"/>
      <c r="AAZ10" s="63"/>
      <c r="ABA10" s="34"/>
      <c r="ABB10" s="64"/>
      <c r="ABC10" s="4"/>
      <c r="ABD10" s="65"/>
      <c r="ABE10" s="4"/>
      <c r="ABF10" s="4"/>
      <c r="ABG10" s="4"/>
      <c r="ABJ10" s="34"/>
      <c r="ABK10" s="34"/>
      <c r="ABM10" s="34"/>
      <c r="ABN10" s="72"/>
      <c r="ABO10" s="63"/>
      <c r="ABP10" s="34"/>
      <c r="ABQ10" s="64"/>
      <c r="ABR10" s="4"/>
      <c r="ABS10" s="65"/>
      <c r="ABT10" s="4"/>
      <c r="ABU10" s="4"/>
      <c r="ABV10" s="4"/>
      <c r="ABY10" s="34"/>
      <c r="ABZ10" s="34"/>
      <c r="ACB10" s="34"/>
      <c r="ACC10" s="72"/>
      <c r="ACD10" s="63"/>
      <c r="ACE10" s="34"/>
      <c r="ACF10" s="64"/>
      <c r="ACG10" s="4"/>
      <c r="ACH10" s="65"/>
      <c r="ACI10" s="4"/>
      <c r="ACJ10" s="4"/>
      <c r="ACK10" s="4"/>
      <c r="ACN10" s="34"/>
      <c r="ACO10" s="34"/>
      <c r="ACQ10" s="34"/>
      <c r="ACR10" s="72"/>
      <c r="ACS10" s="63"/>
      <c r="ACT10" s="34"/>
      <c r="ACU10" s="64"/>
      <c r="ACV10" s="4"/>
      <c r="ACW10" s="65"/>
      <c r="ACX10" s="4"/>
      <c r="ACY10" s="4"/>
      <c r="ACZ10" s="4"/>
      <c r="ADC10" s="34"/>
      <c r="ADD10" s="34"/>
      <c r="ADF10" s="34"/>
      <c r="ADG10" s="72"/>
      <c r="ADH10" s="63"/>
      <c r="ADI10" s="34"/>
      <c r="ADJ10" s="64"/>
      <c r="ADK10" s="4"/>
      <c r="ADL10" s="65"/>
      <c r="ADM10" s="4"/>
      <c r="ADN10" s="4"/>
      <c r="ADO10" s="4"/>
      <c r="ADR10" s="34"/>
      <c r="ADS10" s="34"/>
      <c r="ADU10" s="34"/>
      <c r="ADV10" s="72"/>
      <c r="ADW10" s="63"/>
      <c r="ADX10" s="34"/>
      <c r="ADY10" s="64"/>
      <c r="ADZ10" s="4"/>
      <c r="AEA10" s="65"/>
      <c r="AEB10" s="4"/>
      <c r="AEC10" s="4"/>
      <c r="AED10" s="4"/>
      <c r="AEG10" s="34"/>
      <c r="AEH10" s="34"/>
      <c r="AEJ10" s="34"/>
      <c r="AEK10" s="72"/>
      <c r="AEL10" s="63"/>
      <c r="AEM10" s="34"/>
      <c r="AEN10" s="64"/>
      <c r="AEO10" s="4"/>
      <c r="AEP10" s="65"/>
      <c r="AEQ10" s="4"/>
      <c r="AER10" s="4"/>
      <c r="AES10" s="4"/>
      <c r="AEV10" s="34"/>
      <c r="AEW10" s="34"/>
      <c r="AEY10" s="34"/>
      <c r="AEZ10" s="72"/>
      <c r="AFA10" s="63"/>
      <c r="AFB10" s="34"/>
      <c r="AFC10" s="64"/>
      <c r="AFD10" s="4"/>
      <c r="AFE10" s="65"/>
      <c r="AFF10" s="4"/>
      <c r="AFG10" s="4"/>
      <c r="AFH10" s="4"/>
      <c r="AFK10" s="34"/>
      <c r="AFL10" s="34"/>
      <c r="AFN10" s="34"/>
      <c r="AFO10" s="72"/>
      <c r="AFP10" s="63"/>
      <c r="AFQ10" s="34"/>
      <c r="AFR10" s="64"/>
      <c r="AFS10" s="4"/>
      <c r="AFT10" s="65"/>
      <c r="AFU10" s="4"/>
      <c r="AFV10" s="4"/>
      <c r="AFW10" s="4"/>
      <c r="AFZ10" s="34"/>
      <c r="AGA10" s="34"/>
      <c r="AGC10" s="34"/>
      <c r="AGD10" s="72"/>
      <c r="AGE10" s="63"/>
      <c r="AGF10" s="34"/>
      <c r="AGG10" s="64"/>
      <c r="AGH10" s="4"/>
      <c r="AGI10" s="65"/>
      <c r="AGJ10" s="4"/>
      <c r="AGK10" s="4"/>
      <c r="AGL10" s="4"/>
      <c r="AGO10" s="34"/>
      <c r="AGP10" s="34"/>
      <c r="AGR10" s="34"/>
      <c r="AGS10" s="72"/>
      <c r="AGT10" s="63"/>
      <c r="AGU10" s="34"/>
      <c r="AGV10" s="64"/>
      <c r="AGW10" s="4"/>
      <c r="AGX10" s="65"/>
      <c r="AGY10" s="4"/>
      <c r="AGZ10" s="4"/>
      <c r="AHA10" s="4"/>
      <c r="AHD10" s="34"/>
      <c r="AHE10" s="34"/>
      <c r="AHG10" s="34"/>
      <c r="AHH10" s="72"/>
      <c r="AHI10" s="63"/>
      <c r="AHJ10" s="34"/>
      <c r="AHK10" s="64"/>
      <c r="AHL10" s="4"/>
      <c r="AHM10" s="65"/>
      <c r="AHN10" s="4"/>
      <c r="AHO10" s="4"/>
      <c r="AHP10" s="4"/>
      <c r="AHS10" s="34"/>
      <c r="AHT10" s="34"/>
      <c r="AHV10" s="34"/>
      <c r="AHW10" s="72"/>
      <c r="AHX10" s="63"/>
      <c r="AHY10" s="34"/>
      <c r="AHZ10" s="64"/>
      <c r="AIA10" s="4"/>
      <c r="AIB10" s="65"/>
      <c r="AIC10" s="4"/>
      <c r="AID10" s="4"/>
      <c r="AIE10" s="4"/>
      <c r="AIH10" s="34"/>
      <c r="AII10" s="34"/>
      <c r="AIK10" s="34"/>
      <c r="AIL10" s="72"/>
      <c r="AIM10" s="63"/>
      <c r="AIN10" s="34"/>
      <c r="AIO10" s="64"/>
      <c r="AIP10" s="4"/>
      <c r="AIQ10" s="65"/>
      <c r="AIR10" s="4"/>
      <c r="AIS10" s="4"/>
      <c r="AIT10" s="4"/>
      <c r="AIW10" s="34"/>
      <c r="AIX10" s="34"/>
      <c r="AIZ10" s="34"/>
      <c r="AJA10" s="72"/>
      <c r="AJB10" s="63"/>
      <c r="AJC10" s="34"/>
      <c r="AJD10" s="64"/>
      <c r="AJE10" s="4"/>
      <c r="AJF10" s="65"/>
      <c r="AJG10" s="4"/>
      <c r="AJH10" s="4"/>
      <c r="AJI10" s="4"/>
      <c r="AJL10" s="34"/>
      <c r="AJM10" s="34"/>
      <c r="AJO10" s="34"/>
      <c r="AJP10" s="72"/>
      <c r="AJQ10" s="63"/>
      <c r="AJR10" s="34"/>
      <c r="AJS10" s="64"/>
      <c r="AJT10" s="4"/>
      <c r="AJU10" s="65"/>
      <c r="AJV10" s="4"/>
      <c r="AJW10" s="4"/>
      <c r="AJX10" s="4"/>
      <c r="AKA10" s="34"/>
      <c r="AKB10" s="34"/>
      <c r="AKD10" s="34"/>
      <c r="AKE10" s="72"/>
      <c r="AKF10" s="63"/>
      <c r="AKG10" s="34"/>
      <c r="AKH10" s="64"/>
      <c r="AKI10" s="4"/>
      <c r="AKJ10" s="65"/>
      <c r="AKK10" s="4"/>
      <c r="AKL10" s="4"/>
      <c r="AKM10" s="4"/>
      <c r="AKP10" s="34"/>
      <c r="AKQ10" s="34"/>
      <c r="AKS10" s="34"/>
      <c r="AKT10" s="72"/>
      <c r="AKU10" s="63"/>
      <c r="AKV10" s="34"/>
      <c r="AKW10" s="64"/>
      <c r="AKX10" s="4"/>
      <c r="AKY10" s="65"/>
      <c r="AKZ10" s="4"/>
      <c r="ALA10" s="4"/>
      <c r="ALB10" s="4"/>
      <c r="ALE10" s="34"/>
      <c r="ALF10" s="34"/>
      <c r="ALH10" s="34"/>
      <c r="ALI10" s="72"/>
      <c r="ALJ10" s="63"/>
      <c r="ALK10" s="34"/>
      <c r="ALL10" s="64"/>
      <c r="ALM10" s="4"/>
      <c r="ALN10" s="65"/>
      <c r="ALO10" s="4"/>
      <c r="ALP10" s="4"/>
      <c r="ALQ10" s="4"/>
      <c r="ALT10" s="34"/>
      <c r="ALU10" s="34"/>
      <c r="ALW10" s="34"/>
      <c r="ALX10" s="72"/>
      <c r="ALY10" s="63"/>
      <c r="ALZ10" s="34"/>
      <c r="AMA10" s="64"/>
      <c r="AMB10" s="4"/>
      <c r="AMC10" s="65"/>
      <c r="AMD10" s="4"/>
      <c r="AME10" s="4"/>
      <c r="AMF10" s="4"/>
      <c r="AMI10" s="34"/>
      <c r="AMJ10" s="34"/>
      <c r="AML10" s="34"/>
      <c r="AMM10" s="72"/>
      <c r="AMN10" s="63"/>
      <c r="AMO10" s="34"/>
      <c r="AMP10" s="64"/>
      <c r="AMQ10" s="4"/>
      <c r="AMR10" s="65"/>
      <c r="AMS10" s="4"/>
      <c r="AMT10" s="4"/>
      <c r="AMU10" s="4"/>
      <c r="AMX10" s="34"/>
      <c r="AMY10" s="34"/>
      <c r="ANA10" s="34"/>
      <c r="ANB10" s="72"/>
      <c r="ANC10" s="63"/>
      <c r="AND10" s="34"/>
      <c r="ANE10" s="64"/>
      <c r="ANF10" s="4"/>
      <c r="ANG10" s="65"/>
      <c r="ANH10" s="4"/>
      <c r="ANI10" s="4"/>
      <c r="ANJ10" s="4"/>
      <c r="ANM10" s="34"/>
      <c r="ANN10" s="34"/>
      <c r="ANP10" s="34"/>
      <c r="ANQ10" s="72"/>
      <c r="ANR10" s="63"/>
      <c r="ANS10" s="34"/>
      <c r="ANT10" s="64"/>
      <c r="ANU10" s="4"/>
      <c r="ANV10" s="65"/>
      <c r="ANW10" s="4"/>
      <c r="ANX10" s="4"/>
      <c r="ANY10" s="4"/>
      <c r="AOB10" s="34"/>
      <c r="AOC10" s="34"/>
      <c r="AOE10" s="34"/>
      <c r="AOF10" s="72"/>
      <c r="AOG10" s="63"/>
      <c r="AOH10" s="34"/>
      <c r="AOI10" s="64"/>
      <c r="AOJ10" s="4"/>
      <c r="AOK10" s="65"/>
      <c r="AOL10" s="4"/>
      <c r="AOM10" s="4"/>
      <c r="AON10" s="4"/>
      <c r="AOQ10" s="34"/>
      <c r="AOR10" s="34"/>
      <c r="AOT10" s="34"/>
      <c r="AOU10" s="72"/>
      <c r="AOV10" s="63"/>
      <c r="AOW10" s="34"/>
      <c r="AOX10" s="64"/>
      <c r="AOY10" s="4"/>
      <c r="AOZ10" s="65"/>
      <c r="APA10" s="4"/>
      <c r="APB10" s="4"/>
      <c r="APC10" s="4"/>
      <c r="APF10" s="34"/>
      <c r="APG10" s="34"/>
      <c r="API10" s="34"/>
      <c r="APJ10" s="72"/>
      <c r="APK10" s="63"/>
      <c r="APL10" s="34"/>
      <c r="APM10" s="64"/>
      <c r="APN10" s="4"/>
      <c r="APO10" s="65"/>
      <c r="APP10" s="4"/>
      <c r="APQ10" s="4"/>
      <c r="APR10" s="4"/>
      <c r="APU10" s="34"/>
      <c r="APV10" s="34"/>
      <c r="APX10" s="34"/>
      <c r="APY10" s="72"/>
      <c r="APZ10" s="63"/>
      <c r="AQA10" s="34"/>
      <c r="AQB10" s="64"/>
      <c r="AQC10" s="4"/>
      <c r="AQD10" s="65"/>
      <c r="AQE10" s="4"/>
      <c r="AQF10" s="4"/>
      <c r="AQG10" s="4"/>
      <c r="AQJ10" s="34"/>
      <c r="AQK10" s="34"/>
      <c r="AQM10" s="34"/>
      <c r="AQN10" s="72"/>
      <c r="AQO10" s="63"/>
      <c r="AQP10" s="34"/>
      <c r="AQQ10" s="64"/>
      <c r="AQR10" s="4"/>
      <c r="AQS10" s="65"/>
      <c r="AQT10" s="4"/>
      <c r="AQU10" s="4"/>
      <c r="AQV10" s="4"/>
      <c r="AQY10" s="34"/>
      <c r="AQZ10" s="34"/>
      <c r="ARB10" s="34"/>
      <c r="ARC10" s="72"/>
      <c r="ARD10" s="63"/>
      <c r="ARE10" s="34"/>
      <c r="ARF10" s="64"/>
      <c r="ARG10" s="4"/>
      <c r="ARH10" s="65"/>
      <c r="ARI10" s="4"/>
      <c r="ARJ10" s="4"/>
      <c r="ARK10" s="4"/>
      <c r="ARN10" s="34"/>
      <c r="ARO10" s="34"/>
      <c r="ARQ10" s="34"/>
      <c r="ARR10" s="72"/>
      <c r="ARS10" s="63"/>
      <c r="ART10" s="34"/>
      <c r="ARU10" s="64"/>
      <c r="ARV10" s="4"/>
      <c r="ARW10" s="65"/>
      <c r="ARX10" s="4"/>
      <c r="ARY10" s="4"/>
      <c r="ARZ10" s="4"/>
      <c r="ASC10" s="34"/>
      <c r="ASD10" s="34"/>
      <c r="ASF10" s="34"/>
      <c r="ASG10" s="72"/>
      <c r="ASH10" s="63"/>
      <c r="ASI10" s="34"/>
      <c r="ASJ10" s="64"/>
      <c r="ASK10" s="4"/>
      <c r="ASL10" s="65"/>
      <c r="ASM10" s="4"/>
      <c r="ASN10" s="4"/>
      <c r="ASO10" s="4"/>
      <c r="ASR10" s="34"/>
      <c r="ASS10" s="34"/>
      <c r="ASU10" s="34"/>
      <c r="ASV10" s="72"/>
      <c r="ASW10" s="63"/>
      <c r="ASX10" s="34"/>
      <c r="ASY10" s="64"/>
      <c r="ASZ10" s="4"/>
      <c r="ATA10" s="65"/>
      <c r="ATB10" s="4"/>
      <c r="ATC10" s="4"/>
      <c r="ATD10" s="4"/>
      <c r="ATG10" s="34"/>
      <c r="ATH10" s="34"/>
      <c r="ATJ10" s="34"/>
      <c r="ATK10" s="72"/>
      <c r="ATL10" s="63"/>
      <c r="ATM10" s="34"/>
      <c r="ATN10" s="64"/>
      <c r="ATO10" s="4"/>
      <c r="ATP10" s="65"/>
      <c r="ATQ10" s="4"/>
      <c r="ATR10" s="4"/>
      <c r="ATS10" s="4"/>
      <c r="ATV10" s="34"/>
      <c r="ATW10" s="34"/>
      <c r="ATY10" s="34"/>
      <c r="ATZ10" s="72"/>
      <c r="AUA10" s="63"/>
      <c r="AUB10" s="34"/>
      <c r="AUC10" s="64"/>
      <c r="AUD10" s="4"/>
      <c r="AUE10" s="65"/>
      <c r="AUF10" s="4"/>
      <c r="AUG10" s="4"/>
      <c r="AUH10" s="4"/>
      <c r="AUK10" s="34"/>
      <c r="AUL10" s="34"/>
      <c r="AUN10" s="34"/>
      <c r="AUO10" s="72"/>
      <c r="AUP10" s="63"/>
      <c r="AUQ10" s="34"/>
      <c r="AUR10" s="64"/>
      <c r="AUS10" s="4"/>
      <c r="AUT10" s="65"/>
      <c r="AUU10" s="4"/>
      <c r="AUV10" s="4"/>
      <c r="AUW10" s="4"/>
      <c r="AUZ10" s="34"/>
      <c r="AVA10" s="34"/>
      <c r="AVC10" s="34"/>
      <c r="AVD10" s="72"/>
      <c r="AVE10" s="63"/>
      <c r="AVF10" s="34"/>
      <c r="AVG10" s="64"/>
      <c r="AVH10" s="4"/>
      <c r="AVI10" s="65"/>
      <c r="AVJ10" s="4"/>
      <c r="AVK10" s="4"/>
      <c r="AVL10" s="4"/>
      <c r="AVO10" s="34"/>
      <c r="AVP10" s="34"/>
      <c r="AVR10" s="34"/>
      <c r="AVS10" s="72"/>
      <c r="AVT10" s="63"/>
      <c r="AVU10" s="34"/>
      <c r="AVV10" s="64"/>
      <c r="AVW10" s="4"/>
      <c r="AVX10" s="65"/>
      <c r="AVY10" s="4"/>
      <c r="AVZ10" s="4"/>
      <c r="AWA10" s="4"/>
      <c r="AWD10" s="34"/>
      <c r="AWE10" s="34"/>
      <c r="AWG10" s="34"/>
      <c r="AWH10" s="72"/>
      <c r="AWI10" s="63"/>
      <c r="AWJ10" s="34"/>
      <c r="AWK10" s="64"/>
      <c r="AWL10" s="4"/>
      <c r="AWM10" s="65"/>
      <c r="AWN10" s="4"/>
      <c r="AWO10" s="4"/>
      <c r="AWP10" s="4"/>
      <c r="AWS10" s="34"/>
      <c r="AWT10" s="34"/>
      <c r="AWV10" s="34"/>
      <c r="AWW10" s="72"/>
      <c r="AWX10" s="63"/>
      <c r="AWY10" s="34"/>
      <c r="AWZ10" s="64"/>
      <c r="AXA10" s="4"/>
      <c r="AXB10" s="65"/>
      <c r="AXC10" s="4"/>
      <c r="AXD10" s="4"/>
      <c r="AXE10" s="4"/>
      <c r="AXH10" s="34"/>
      <c r="AXI10" s="34"/>
      <c r="AXK10" s="34"/>
      <c r="AXL10" s="72"/>
      <c r="AXM10" s="63"/>
      <c r="AXN10" s="34"/>
      <c r="AXO10" s="64"/>
      <c r="AXP10" s="4"/>
      <c r="AXQ10" s="65"/>
      <c r="AXR10" s="4"/>
      <c r="AXS10" s="4"/>
      <c r="AXT10" s="4"/>
      <c r="AXW10" s="34"/>
      <c r="AXX10" s="34"/>
      <c r="AXZ10" s="34"/>
      <c r="AYA10" s="72"/>
      <c r="AYB10" s="63"/>
      <c r="AYC10" s="34"/>
      <c r="AYD10" s="64"/>
      <c r="AYE10" s="4"/>
      <c r="AYF10" s="65"/>
      <c r="AYG10" s="4"/>
      <c r="AYH10" s="4"/>
      <c r="AYI10" s="4"/>
      <c r="AYL10" s="34"/>
      <c r="AYM10" s="34"/>
      <c r="AYO10" s="34"/>
      <c r="AYP10" s="72"/>
      <c r="AYQ10" s="63"/>
      <c r="AYR10" s="34"/>
      <c r="AYS10" s="64"/>
      <c r="AYT10" s="4"/>
      <c r="AYU10" s="65"/>
      <c r="AYV10" s="4"/>
      <c r="AYW10" s="4"/>
      <c r="AYX10" s="4"/>
      <c r="AZA10" s="34"/>
      <c r="AZB10" s="34"/>
      <c r="AZD10" s="34"/>
      <c r="AZE10" s="72"/>
      <c r="AZF10" s="63"/>
      <c r="AZG10" s="34"/>
      <c r="AZH10" s="64"/>
      <c r="AZI10" s="4"/>
      <c r="AZJ10" s="65"/>
      <c r="AZK10" s="4"/>
      <c r="AZL10" s="4"/>
      <c r="AZM10" s="4"/>
      <c r="AZP10" s="34"/>
      <c r="AZQ10" s="34"/>
      <c r="AZS10" s="34"/>
      <c r="AZT10" s="72"/>
      <c r="AZU10" s="63"/>
      <c r="AZV10" s="34"/>
      <c r="AZW10" s="64"/>
      <c r="AZX10" s="4"/>
      <c r="AZY10" s="65"/>
      <c r="AZZ10" s="4"/>
      <c r="BAA10" s="4"/>
      <c r="BAB10" s="4"/>
      <c r="BAE10" s="34"/>
      <c r="BAF10" s="34"/>
      <c r="BAH10" s="34"/>
      <c r="BAI10" s="72"/>
      <c r="BAJ10" s="63"/>
      <c r="BAK10" s="34"/>
      <c r="BAL10" s="64"/>
      <c r="BAM10" s="4"/>
      <c r="BAN10" s="65"/>
      <c r="BAO10" s="4"/>
      <c r="BAP10" s="4"/>
      <c r="BAQ10" s="4"/>
      <c r="BAT10" s="34"/>
      <c r="BAU10" s="34"/>
      <c r="BAW10" s="34"/>
      <c r="BAX10" s="72"/>
      <c r="BAY10" s="63"/>
      <c r="BAZ10" s="34"/>
      <c r="BBA10" s="64"/>
      <c r="BBB10" s="4"/>
      <c r="BBC10" s="65"/>
      <c r="BBD10" s="4"/>
      <c r="BBE10" s="4"/>
      <c r="BBF10" s="4"/>
      <c r="BBI10" s="34"/>
      <c r="BBJ10" s="34"/>
      <c r="BBL10" s="34"/>
      <c r="BBM10" s="72"/>
      <c r="BBN10" s="63"/>
      <c r="BBO10" s="34"/>
      <c r="BBP10" s="64"/>
      <c r="BBQ10" s="4"/>
      <c r="BBR10" s="65"/>
      <c r="BBS10" s="4"/>
      <c r="BBT10" s="4"/>
      <c r="BBU10" s="4"/>
      <c r="BBX10" s="34"/>
      <c r="BBY10" s="34"/>
      <c r="BCA10" s="34"/>
      <c r="BCB10" s="72"/>
      <c r="BCC10" s="63"/>
      <c r="BCD10" s="34"/>
      <c r="BCE10" s="64"/>
      <c r="BCF10" s="4"/>
      <c r="BCG10" s="65"/>
      <c r="BCH10" s="4"/>
      <c r="BCI10" s="4"/>
      <c r="BCJ10" s="4"/>
      <c r="BCM10" s="34"/>
      <c r="BCN10" s="34"/>
      <c r="BCP10" s="34"/>
      <c r="BCQ10" s="72"/>
      <c r="BCR10" s="63"/>
      <c r="BCS10" s="34"/>
      <c r="BCT10" s="64"/>
      <c r="BCU10" s="4"/>
      <c r="BCV10" s="65"/>
      <c r="BCW10" s="4"/>
      <c r="BCX10" s="4"/>
      <c r="BCY10" s="4"/>
      <c r="BDB10" s="34"/>
      <c r="BDC10" s="34"/>
      <c r="BDE10" s="34"/>
      <c r="BDF10" s="72"/>
      <c r="BDG10" s="63"/>
      <c r="BDH10" s="34"/>
      <c r="BDI10" s="64"/>
      <c r="BDJ10" s="4"/>
      <c r="BDK10" s="65"/>
      <c r="BDL10" s="4"/>
      <c r="BDM10" s="4"/>
      <c r="BDN10" s="4"/>
      <c r="BDQ10" s="34"/>
      <c r="BDR10" s="34"/>
      <c r="BDT10" s="34"/>
      <c r="BDU10" s="72"/>
      <c r="BDV10" s="63"/>
      <c r="BDW10" s="34"/>
      <c r="BDX10" s="64"/>
      <c r="BDY10" s="4"/>
      <c r="BDZ10" s="65"/>
      <c r="BEA10" s="4"/>
      <c r="BEB10" s="4"/>
      <c r="BEC10" s="4"/>
      <c r="BEF10" s="34"/>
      <c r="BEG10" s="34"/>
      <c r="BEI10" s="34"/>
      <c r="BEJ10" s="72"/>
      <c r="BEK10" s="63"/>
      <c r="BEL10" s="34"/>
      <c r="BEM10" s="64"/>
      <c r="BEN10" s="4"/>
      <c r="BEO10" s="65"/>
      <c r="BEP10" s="4"/>
      <c r="BEQ10" s="4"/>
      <c r="BER10" s="4"/>
      <c r="BEU10" s="34"/>
      <c r="BEV10" s="34"/>
      <c r="BEX10" s="34"/>
      <c r="BEY10" s="72"/>
      <c r="BEZ10" s="63"/>
      <c r="BFA10" s="34"/>
      <c r="BFB10" s="64"/>
      <c r="BFC10" s="4"/>
      <c r="BFD10" s="65"/>
      <c r="BFE10" s="4"/>
      <c r="BFF10" s="4"/>
      <c r="BFG10" s="4"/>
      <c r="BFJ10" s="34"/>
      <c r="BFK10" s="34"/>
      <c r="BFM10" s="34"/>
      <c r="BFN10" s="72"/>
      <c r="BFO10" s="63"/>
      <c r="BFP10" s="34"/>
      <c r="BFQ10" s="64"/>
      <c r="BFR10" s="4"/>
      <c r="BFS10" s="65"/>
      <c r="BFT10" s="4"/>
      <c r="BFU10" s="4"/>
      <c r="BFV10" s="4"/>
      <c r="BFY10" s="34"/>
      <c r="BFZ10" s="34"/>
      <c r="BGB10" s="34"/>
      <c r="BGC10" s="72"/>
      <c r="BGD10" s="63"/>
      <c r="BGE10" s="34"/>
      <c r="BGF10" s="64"/>
      <c r="BGG10" s="4"/>
      <c r="BGH10" s="65"/>
      <c r="BGI10" s="4"/>
      <c r="BGJ10" s="4"/>
      <c r="BGK10" s="4"/>
      <c r="BGN10" s="34"/>
      <c r="BGO10" s="34"/>
      <c r="BGQ10" s="34"/>
      <c r="BGR10" s="72"/>
      <c r="BGS10" s="63"/>
      <c r="BGT10" s="34"/>
      <c r="BGU10" s="64"/>
      <c r="BGV10" s="4"/>
      <c r="BGW10" s="65"/>
      <c r="BGX10" s="4"/>
      <c r="BGY10" s="4"/>
      <c r="BGZ10" s="4"/>
      <c r="BHC10" s="34"/>
      <c r="BHD10" s="34"/>
      <c r="BHF10" s="34"/>
      <c r="BHG10" s="72"/>
      <c r="BHH10" s="63"/>
      <c r="BHI10" s="34"/>
      <c r="BHJ10" s="64"/>
      <c r="BHK10" s="4"/>
      <c r="BHL10" s="65"/>
      <c r="BHM10" s="4"/>
      <c r="BHN10" s="4"/>
      <c r="BHO10" s="4"/>
      <c r="BHR10" s="34"/>
      <c r="BHS10" s="34"/>
      <c r="BHU10" s="34"/>
      <c r="BHV10" s="72"/>
      <c r="BHW10" s="63"/>
      <c r="BHX10" s="34"/>
      <c r="BHY10" s="64"/>
      <c r="BHZ10" s="4"/>
      <c r="BIA10" s="65"/>
      <c r="BIB10" s="4"/>
      <c r="BIC10" s="4"/>
      <c r="BID10" s="4"/>
      <c r="BIG10" s="34"/>
      <c r="BIH10" s="34"/>
      <c r="BIJ10" s="34"/>
      <c r="BIK10" s="72"/>
      <c r="BIL10" s="63"/>
      <c r="BIM10" s="34"/>
      <c r="BIN10" s="64"/>
      <c r="BIO10" s="4"/>
      <c r="BIP10" s="65"/>
      <c r="BIQ10" s="4"/>
      <c r="BIR10" s="4"/>
      <c r="BIS10" s="4"/>
      <c r="BIV10" s="34"/>
      <c r="BIW10" s="34"/>
      <c r="BIY10" s="34"/>
      <c r="BIZ10" s="72"/>
      <c r="BJA10" s="63"/>
      <c r="BJB10" s="34"/>
      <c r="BJC10" s="64"/>
      <c r="BJD10" s="4"/>
      <c r="BJE10" s="65"/>
      <c r="BJF10" s="4"/>
      <c r="BJG10" s="4"/>
      <c r="BJH10" s="4"/>
      <c r="BJK10" s="34"/>
      <c r="BJL10" s="34"/>
      <c r="BJN10" s="34"/>
      <c r="BJO10" s="72"/>
      <c r="BJP10" s="63"/>
      <c r="BJQ10" s="34"/>
      <c r="BJR10" s="64"/>
      <c r="BJS10" s="4"/>
      <c r="BJT10" s="65"/>
      <c r="BJU10" s="4"/>
      <c r="BJV10" s="4"/>
      <c r="BJW10" s="4"/>
      <c r="BJZ10" s="34"/>
      <c r="BKA10" s="34"/>
      <c r="BKC10" s="34"/>
      <c r="BKD10" s="72"/>
      <c r="BKE10" s="63"/>
      <c r="BKF10" s="34"/>
      <c r="BKG10" s="64"/>
      <c r="BKH10" s="4"/>
      <c r="BKI10" s="65"/>
      <c r="BKJ10" s="4"/>
      <c r="BKK10" s="4"/>
      <c r="BKL10" s="4"/>
      <c r="BKO10" s="34"/>
      <c r="BKP10" s="34"/>
      <c r="BKR10" s="34"/>
      <c r="BKS10" s="72"/>
      <c r="BKT10" s="63"/>
      <c r="BKU10" s="34"/>
      <c r="BKV10" s="64"/>
      <c r="BKW10" s="4"/>
      <c r="BKX10" s="65"/>
      <c r="BKY10" s="4"/>
      <c r="BKZ10" s="4"/>
      <c r="BLA10" s="4"/>
      <c r="BLD10" s="34"/>
      <c r="BLE10" s="34"/>
      <c r="BLG10" s="34"/>
      <c r="BLH10" s="72"/>
      <c r="BLI10" s="63"/>
      <c r="BLJ10" s="34"/>
      <c r="BLK10" s="64"/>
      <c r="BLL10" s="4"/>
      <c r="BLM10" s="65"/>
      <c r="BLN10" s="4"/>
      <c r="BLO10" s="4"/>
      <c r="BLP10" s="4"/>
      <c r="BLS10" s="34"/>
      <c r="BLT10" s="34"/>
      <c r="BLV10" s="34"/>
      <c r="BLW10" s="72"/>
      <c r="BLX10" s="63"/>
      <c r="BLY10" s="34"/>
      <c r="BLZ10" s="64"/>
      <c r="BMA10" s="4"/>
      <c r="BMB10" s="65"/>
      <c r="BMC10" s="4"/>
      <c r="BMD10" s="4"/>
      <c r="BME10" s="4"/>
      <c r="BMH10" s="34"/>
      <c r="BMI10" s="34"/>
      <c r="BMK10" s="34"/>
      <c r="BML10" s="72"/>
      <c r="BMM10" s="63"/>
      <c r="BMN10" s="34"/>
      <c r="BMO10" s="64"/>
      <c r="BMP10" s="4"/>
      <c r="BMQ10" s="65"/>
      <c r="BMR10" s="4"/>
      <c r="BMS10" s="4"/>
      <c r="BMT10" s="4"/>
      <c r="BMW10" s="34"/>
      <c r="BMX10" s="34"/>
      <c r="BMZ10" s="34"/>
      <c r="BNA10" s="72"/>
      <c r="BNB10" s="63"/>
      <c r="BNC10" s="34"/>
      <c r="BND10" s="64"/>
      <c r="BNE10" s="4"/>
      <c r="BNF10" s="65"/>
      <c r="BNG10" s="4"/>
      <c r="BNH10" s="4"/>
      <c r="BNI10" s="4"/>
      <c r="BNL10" s="34"/>
      <c r="BNM10" s="34"/>
      <c r="BNO10" s="34"/>
      <c r="BNP10" s="72"/>
      <c r="BNQ10" s="63"/>
      <c r="BNR10" s="34"/>
      <c r="BNS10" s="64"/>
      <c r="BNT10" s="4"/>
      <c r="BNU10" s="65"/>
      <c r="BNV10" s="4"/>
      <c r="BNW10" s="4"/>
      <c r="BNX10" s="4"/>
      <c r="BOA10" s="34"/>
      <c r="BOB10" s="34"/>
      <c r="BOD10" s="34"/>
      <c r="BOE10" s="72"/>
      <c r="BOF10" s="63"/>
      <c r="BOG10" s="34"/>
      <c r="BOH10" s="64"/>
      <c r="BOI10" s="4"/>
      <c r="BOJ10" s="65"/>
      <c r="BOK10" s="4"/>
      <c r="BOL10" s="4"/>
      <c r="BOM10" s="4"/>
      <c r="BOP10" s="34"/>
      <c r="BOQ10" s="34"/>
      <c r="BOS10" s="34"/>
      <c r="BOT10" s="72"/>
      <c r="BOU10" s="63"/>
      <c r="BOV10" s="34"/>
      <c r="BOW10" s="64"/>
      <c r="BOX10" s="4"/>
      <c r="BOY10" s="65"/>
      <c r="BOZ10" s="4"/>
      <c r="BPA10" s="4"/>
      <c r="BPB10" s="4"/>
      <c r="BPE10" s="34"/>
      <c r="BPF10" s="34"/>
      <c r="BPH10" s="34"/>
      <c r="BPI10" s="72"/>
      <c r="BPJ10" s="63"/>
      <c r="BPK10" s="34"/>
      <c r="BPL10" s="64"/>
      <c r="BPM10" s="4"/>
      <c r="BPN10" s="65"/>
      <c r="BPO10" s="4"/>
      <c r="BPP10" s="4"/>
      <c r="BPQ10" s="4"/>
      <c r="BPT10" s="34"/>
      <c r="BPU10" s="34"/>
      <c r="BPW10" s="34"/>
      <c r="BPX10" s="72"/>
      <c r="BPY10" s="63"/>
      <c r="BPZ10" s="34"/>
      <c r="BQA10" s="64"/>
      <c r="BQB10" s="4"/>
      <c r="BQC10" s="65"/>
      <c r="BQD10" s="4"/>
      <c r="BQE10" s="4"/>
      <c r="BQF10" s="4"/>
      <c r="BQI10" s="34"/>
      <c r="BQJ10" s="34"/>
      <c r="BQL10" s="34"/>
      <c r="BQM10" s="72"/>
      <c r="BQN10" s="63"/>
      <c r="BQO10" s="34"/>
      <c r="BQP10" s="64"/>
      <c r="BQQ10" s="4"/>
      <c r="BQR10" s="65"/>
      <c r="BQS10" s="4"/>
      <c r="BQT10" s="4"/>
      <c r="BQU10" s="4"/>
      <c r="BQX10" s="34"/>
      <c r="BQY10" s="34"/>
      <c r="BRA10" s="34"/>
      <c r="BRB10" s="72"/>
      <c r="BRC10" s="63"/>
      <c r="BRD10" s="34"/>
      <c r="BRE10" s="64"/>
      <c r="BRF10" s="4"/>
      <c r="BRG10" s="65"/>
      <c r="BRH10" s="4"/>
      <c r="BRI10" s="4"/>
      <c r="BRJ10" s="4"/>
      <c r="BRM10" s="34"/>
      <c r="BRN10" s="34"/>
      <c r="BRP10" s="34"/>
      <c r="BRQ10" s="72"/>
      <c r="BRR10" s="63"/>
      <c r="BRS10" s="34"/>
      <c r="BRT10" s="64"/>
      <c r="BRU10" s="4"/>
      <c r="BRV10" s="65"/>
      <c r="BRW10" s="4"/>
      <c r="BRX10" s="4"/>
      <c r="BRY10" s="4"/>
      <c r="BSB10" s="34"/>
      <c r="BSC10" s="34"/>
      <c r="BSE10" s="34"/>
      <c r="BSF10" s="72"/>
      <c r="BSG10" s="63"/>
      <c r="BSH10" s="34"/>
      <c r="BSI10" s="64"/>
      <c r="BSJ10" s="4"/>
      <c r="BSK10" s="65"/>
      <c r="BSL10" s="4"/>
      <c r="BSM10" s="4"/>
      <c r="BSN10" s="4"/>
      <c r="BSQ10" s="34"/>
      <c r="BSR10" s="34"/>
      <c r="BST10" s="34"/>
      <c r="BSU10" s="72"/>
      <c r="BSV10" s="63"/>
      <c r="BSW10" s="34"/>
      <c r="BSX10" s="64"/>
      <c r="BSY10" s="4"/>
      <c r="BSZ10" s="65"/>
      <c r="BTA10" s="4"/>
      <c r="BTB10" s="4"/>
      <c r="BTC10" s="4"/>
      <c r="BTF10" s="34"/>
      <c r="BTG10" s="34"/>
      <c r="BTI10" s="34"/>
      <c r="BTJ10" s="72"/>
      <c r="BTK10" s="63"/>
      <c r="BTL10" s="34"/>
      <c r="BTM10" s="64"/>
      <c r="BTN10" s="4"/>
      <c r="BTO10" s="65"/>
      <c r="BTP10" s="4"/>
      <c r="BTQ10" s="4"/>
      <c r="BTR10" s="4"/>
      <c r="BTU10" s="34"/>
      <c r="BTV10" s="34"/>
      <c r="BTX10" s="34"/>
      <c r="BTY10" s="72"/>
      <c r="BTZ10" s="63"/>
      <c r="BUA10" s="34"/>
      <c r="BUB10" s="64"/>
      <c r="BUC10" s="4"/>
      <c r="BUD10" s="65"/>
      <c r="BUE10" s="4"/>
      <c r="BUF10" s="4"/>
      <c r="BUG10" s="4"/>
      <c r="BUJ10" s="34"/>
      <c r="BUK10" s="34"/>
      <c r="BUM10" s="34"/>
      <c r="BUN10" s="72"/>
      <c r="BUO10" s="63"/>
      <c r="BUP10" s="34"/>
      <c r="BUQ10" s="64"/>
      <c r="BUR10" s="4"/>
      <c r="BUS10" s="65"/>
      <c r="BUT10" s="4"/>
      <c r="BUU10" s="4"/>
      <c r="BUV10" s="4"/>
      <c r="BUY10" s="34"/>
      <c r="BUZ10" s="34"/>
      <c r="BVB10" s="34"/>
      <c r="BVC10" s="72"/>
      <c r="BVD10" s="63"/>
      <c r="BVE10" s="34"/>
      <c r="BVF10" s="64"/>
      <c r="BVG10" s="4"/>
      <c r="BVH10" s="65"/>
      <c r="BVI10" s="4"/>
      <c r="BVJ10" s="4"/>
      <c r="BVK10" s="4"/>
      <c r="BVN10" s="34"/>
      <c r="BVO10" s="34"/>
      <c r="BVQ10" s="34"/>
      <c r="BVR10" s="72"/>
      <c r="BVS10" s="63"/>
      <c r="BVT10" s="34"/>
      <c r="BVU10" s="64"/>
      <c r="BVV10" s="4"/>
      <c r="BVW10" s="65"/>
      <c r="BVX10" s="4"/>
      <c r="BVY10" s="4"/>
      <c r="BVZ10" s="4"/>
      <c r="BWC10" s="34"/>
      <c r="BWD10" s="34"/>
      <c r="BWF10" s="34"/>
      <c r="BWG10" s="72"/>
      <c r="BWH10" s="63"/>
      <c r="BWI10" s="34"/>
      <c r="BWJ10" s="64"/>
      <c r="BWK10" s="4"/>
      <c r="BWL10" s="65"/>
      <c r="BWM10" s="4"/>
      <c r="BWN10" s="4"/>
      <c r="BWO10" s="4"/>
      <c r="BWR10" s="34"/>
      <c r="BWS10" s="34"/>
      <c r="BWU10" s="34"/>
      <c r="BWV10" s="72"/>
      <c r="BWW10" s="63"/>
      <c r="BWX10" s="34"/>
      <c r="BWY10" s="64"/>
      <c r="BWZ10" s="4"/>
      <c r="BXA10" s="65"/>
      <c r="BXB10" s="4"/>
      <c r="BXC10" s="4"/>
      <c r="BXD10" s="4"/>
      <c r="BXG10" s="34"/>
      <c r="BXH10" s="34"/>
      <c r="BXJ10" s="34"/>
      <c r="BXK10" s="72"/>
      <c r="BXL10" s="63"/>
      <c r="BXM10" s="34"/>
      <c r="BXN10" s="64"/>
      <c r="BXO10" s="4"/>
      <c r="BXP10" s="65"/>
      <c r="BXQ10" s="4"/>
      <c r="BXR10" s="4"/>
      <c r="BXS10" s="4"/>
      <c r="BXV10" s="34"/>
      <c r="BXW10" s="34"/>
      <c r="BXY10" s="34"/>
      <c r="BXZ10" s="72"/>
      <c r="BYA10" s="63"/>
      <c r="BYB10" s="34"/>
      <c r="BYC10" s="64"/>
      <c r="BYD10" s="4"/>
      <c r="BYE10" s="65"/>
      <c r="BYF10" s="4"/>
      <c r="BYG10" s="4"/>
      <c r="BYH10" s="4"/>
      <c r="BYK10" s="34"/>
      <c r="BYL10" s="34"/>
      <c r="BYN10" s="34"/>
      <c r="BYO10" s="72"/>
      <c r="BYP10" s="63"/>
      <c r="BYQ10" s="34"/>
      <c r="BYR10" s="64"/>
      <c r="BYS10" s="4"/>
      <c r="BYT10" s="65"/>
      <c r="BYU10" s="4"/>
      <c r="BYV10" s="4"/>
      <c r="BYW10" s="4"/>
      <c r="BYZ10" s="34"/>
      <c r="BZA10" s="34"/>
      <c r="BZC10" s="34"/>
      <c r="BZD10" s="72"/>
      <c r="BZE10" s="63"/>
      <c r="BZF10" s="34"/>
      <c r="BZG10" s="64"/>
      <c r="BZH10" s="4"/>
      <c r="BZI10" s="65"/>
      <c r="BZJ10" s="4"/>
      <c r="BZK10" s="4"/>
      <c r="BZL10" s="4"/>
      <c r="BZO10" s="34"/>
      <c r="BZP10" s="34"/>
      <c r="BZR10" s="34"/>
      <c r="BZS10" s="72"/>
      <c r="BZT10" s="63"/>
      <c r="BZU10" s="34"/>
      <c r="BZV10" s="64"/>
      <c r="BZW10" s="4"/>
      <c r="BZX10" s="65"/>
      <c r="BZY10" s="4"/>
      <c r="BZZ10" s="4"/>
      <c r="CAA10" s="4"/>
      <c r="CAD10" s="34"/>
      <c r="CAE10" s="34"/>
      <c r="CAG10" s="34"/>
      <c r="CAH10" s="72"/>
      <c r="CAI10" s="63"/>
      <c r="CAJ10" s="34"/>
      <c r="CAK10" s="64"/>
      <c r="CAL10" s="4"/>
      <c r="CAM10" s="65"/>
      <c r="CAN10" s="4"/>
      <c r="CAO10" s="4"/>
      <c r="CAP10" s="4"/>
      <c r="CAS10" s="34"/>
      <c r="CAT10" s="34"/>
      <c r="CAV10" s="34"/>
      <c r="CAW10" s="72"/>
      <c r="CAX10" s="63"/>
      <c r="CAY10" s="34"/>
      <c r="CAZ10" s="64"/>
      <c r="CBA10" s="4"/>
      <c r="CBB10" s="65"/>
      <c r="CBC10" s="4"/>
      <c r="CBD10" s="4"/>
      <c r="CBE10" s="4"/>
      <c r="CBH10" s="34"/>
      <c r="CBI10" s="34"/>
      <c r="CBK10" s="34"/>
      <c r="CBL10" s="72"/>
      <c r="CBM10" s="63"/>
      <c r="CBN10" s="34"/>
      <c r="CBO10" s="64"/>
      <c r="CBP10" s="4"/>
      <c r="CBQ10" s="65"/>
      <c r="CBR10" s="4"/>
      <c r="CBS10" s="4"/>
      <c r="CBT10" s="4"/>
      <c r="CBW10" s="34"/>
      <c r="CBX10" s="34"/>
      <c r="CBZ10" s="34"/>
      <c r="CCA10" s="72"/>
      <c r="CCB10" s="63"/>
      <c r="CCC10" s="34"/>
      <c r="CCD10" s="64"/>
      <c r="CCE10" s="4"/>
      <c r="CCF10" s="65"/>
      <c r="CCG10" s="4"/>
      <c r="CCH10" s="4"/>
      <c r="CCI10" s="4"/>
      <c r="CCL10" s="34"/>
      <c r="CCM10" s="34"/>
      <c r="CCO10" s="34"/>
      <c r="CCP10" s="72"/>
      <c r="CCQ10" s="63"/>
      <c r="CCR10" s="34"/>
      <c r="CCS10" s="64"/>
      <c r="CCT10" s="4"/>
      <c r="CCU10" s="65"/>
      <c r="CCV10" s="4"/>
      <c r="CCW10" s="4"/>
      <c r="CCX10" s="4"/>
      <c r="CDA10" s="34"/>
      <c r="CDB10" s="34"/>
      <c r="CDD10" s="34"/>
      <c r="CDE10" s="72"/>
      <c r="CDF10" s="63"/>
      <c r="CDG10" s="34"/>
      <c r="CDH10" s="64"/>
      <c r="CDI10" s="4"/>
      <c r="CDJ10" s="65"/>
      <c r="CDK10" s="4"/>
      <c r="CDL10" s="4"/>
      <c r="CDM10" s="4"/>
      <c r="CDP10" s="34"/>
      <c r="CDQ10" s="34"/>
      <c r="CDS10" s="34"/>
      <c r="CDT10" s="72"/>
      <c r="CDU10" s="63"/>
      <c r="CDV10" s="34"/>
      <c r="CDW10" s="64"/>
      <c r="CDX10" s="4"/>
      <c r="CDY10" s="65"/>
      <c r="CDZ10" s="4"/>
      <c r="CEA10" s="4"/>
      <c r="CEB10" s="4"/>
      <c r="CEE10" s="34"/>
      <c r="CEF10" s="34"/>
      <c r="CEH10" s="34"/>
      <c r="CEI10" s="72"/>
      <c r="CEJ10" s="63"/>
      <c r="CEK10" s="34"/>
      <c r="CEL10" s="64"/>
      <c r="CEM10" s="4"/>
      <c r="CEN10" s="65"/>
      <c r="CEO10" s="4"/>
      <c r="CEP10" s="4"/>
      <c r="CEQ10" s="4"/>
      <c r="CET10" s="34"/>
      <c r="CEU10" s="34"/>
      <c r="CEW10" s="34"/>
      <c r="CEX10" s="72"/>
      <c r="CEY10" s="63"/>
      <c r="CEZ10" s="34"/>
      <c r="CFA10" s="64"/>
      <c r="CFB10" s="4"/>
      <c r="CFC10" s="65"/>
      <c r="CFD10" s="4"/>
      <c r="CFE10" s="4"/>
      <c r="CFF10" s="4"/>
      <c r="CFI10" s="34"/>
      <c r="CFJ10" s="34"/>
      <c r="CFL10" s="34"/>
      <c r="CFM10" s="72"/>
      <c r="CFN10" s="63"/>
      <c r="CFO10" s="34"/>
      <c r="CFP10" s="64"/>
      <c r="CFQ10" s="4"/>
      <c r="CFR10" s="65"/>
      <c r="CFS10" s="4"/>
      <c r="CFT10" s="4"/>
      <c r="CFU10" s="4"/>
      <c r="CFX10" s="34"/>
      <c r="CFY10" s="34"/>
      <c r="CGA10" s="34"/>
      <c r="CGB10" s="72"/>
      <c r="CGC10" s="63"/>
      <c r="CGD10" s="34"/>
      <c r="CGE10" s="64"/>
      <c r="CGF10" s="4"/>
      <c r="CGG10" s="65"/>
      <c r="CGH10" s="4"/>
      <c r="CGI10" s="4"/>
      <c r="CGJ10" s="4"/>
      <c r="CGM10" s="34"/>
      <c r="CGN10" s="34"/>
      <c r="CGP10" s="34"/>
      <c r="CGQ10" s="72"/>
      <c r="CGR10" s="63"/>
      <c r="CGS10" s="34"/>
      <c r="CGT10" s="64"/>
      <c r="CGU10" s="4"/>
      <c r="CGV10" s="65"/>
      <c r="CGW10" s="4"/>
      <c r="CGX10" s="4"/>
      <c r="CGY10" s="4"/>
      <c r="CHB10" s="34"/>
      <c r="CHC10" s="34"/>
      <c r="CHE10" s="34"/>
      <c r="CHF10" s="72"/>
      <c r="CHG10" s="63"/>
      <c r="CHH10" s="34"/>
      <c r="CHI10" s="64"/>
      <c r="CHJ10" s="4"/>
      <c r="CHK10" s="65"/>
      <c r="CHL10" s="4"/>
      <c r="CHM10" s="4"/>
      <c r="CHN10" s="4"/>
      <c r="CHQ10" s="34"/>
      <c r="CHR10" s="34"/>
      <c r="CHT10" s="34"/>
      <c r="CHU10" s="72"/>
      <c r="CHV10" s="63"/>
      <c r="CHW10" s="34"/>
      <c r="CHX10" s="64"/>
      <c r="CHY10" s="4"/>
      <c r="CHZ10" s="65"/>
      <c r="CIA10" s="4"/>
      <c r="CIB10" s="4"/>
      <c r="CIC10" s="4"/>
      <c r="CIF10" s="34"/>
      <c r="CIG10" s="34"/>
      <c r="CII10" s="34"/>
      <c r="CIJ10" s="72"/>
      <c r="CIK10" s="63"/>
      <c r="CIL10" s="34"/>
      <c r="CIM10" s="64"/>
      <c r="CIN10" s="4"/>
      <c r="CIO10" s="65"/>
      <c r="CIP10" s="4"/>
      <c r="CIQ10" s="4"/>
      <c r="CIR10" s="4"/>
      <c r="CIU10" s="34"/>
      <c r="CIV10" s="34"/>
      <c r="CIX10" s="34"/>
      <c r="CIY10" s="72"/>
      <c r="CIZ10" s="63"/>
      <c r="CJA10" s="34"/>
      <c r="CJB10" s="64"/>
      <c r="CJC10" s="4"/>
      <c r="CJD10" s="65"/>
      <c r="CJE10" s="4"/>
      <c r="CJF10" s="4"/>
      <c r="CJG10" s="4"/>
      <c r="CJJ10" s="34"/>
      <c r="CJK10" s="34"/>
      <c r="CJM10" s="34"/>
      <c r="CJN10" s="72"/>
      <c r="CJO10" s="63"/>
      <c r="CJP10" s="34"/>
      <c r="CJQ10" s="64"/>
      <c r="CJR10" s="4"/>
      <c r="CJS10" s="65"/>
      <c r="CJT10" s="4"/>
      <c r="CJU10" s="4"/>
      <c r="CJV10" s="4"/>
      <c r="CJY10" s="34"/>
      <c r="CJZ10" s="34"/>
      <c r="CKB10" s="34"/>
      <c r="CKC10" s="72"/>
      <c r="CKD10" s="63"/>
      <c r="CKE10" s="34"/>
      <c r="CKF10" s="64"/>
      <c r="CKG10" s="4"/>
      <c r="CKH10" s="65"/>
      <c r="CKI10" s="4"/>
      <c r="CKJ10" s="4"/>
      <c r="CKK10" s="4"/>
      <c r="CKN10" s="34"/>
      <c r="CKO10" s="34"/>
      <c r="CKQ10" s="34"/>
      <c r="CKR10" s="72"/>
      <c r="CKS10" s="63"/>
      <c r="CKT10" s="34"/>
      <c r="CKU10" s="64"/>
      <c r="CKV10" s="4"/>
      <c r="CKW10" s="65"/>
      <c r="CKX10" s="4"/>
      <c r="CKY10" s="4"/>
      <c r="CKZ10" s="4"/>
      <c r="CLC10" s="34"/>
      <c r="CLD10" s="34"/>
      <c r="CLF10" s="34"/>
      <c r="CLG10" s="72"/>
      <c r="CLH10" s="63"/>
      <c r="CLI10" s="34"/>
      <c r="CLJ10" s="64"/>
      <c r="CLK10" s="4"/>
      <c r="CLL10" s="65"/>
      <c r="CLM10" s="4"/>
      <c r="CLN10" s="4"/>
      <c r="CLO10" s="4"/>
      <c r="CLR10" s="34"/>
      <c r="CLS10" s="34"/>
      <c r="CLU10" s="34"/>
      <c r="CLV10" s="72"/>
      <c r="CLW10" s="63"/>
      <c r="CLX10" s="34"/>
      <c r="CLY10" s="64"/>
      <c r="CLZ10" s="4"/>
      <c r="CMA10" s="65"/>
      <c r="CMB10" s="4"/>
      <c r="CMC10" s="4"/>
      <c r="CMD10" s="4"/>
      <c r="CMG10" s="34"/>
      <c r="CMH10" s="34"/>
      <c r="CMJ10" s="34"/>
      <c r="CMK10" s="72"/>
      <c r="CML10" s="63"/>
      <c r="CMM10" s="34"/>
      <c r="CMN10" s="64"/>
      <c r="CMO10" s="4"/>
      <c r="CMP10" s="65"/>
      <c r="CMQ10" s="4"/>
      <c r="CMR10" s="4"/>
      <c r="CMS10" s="4"/>
      <c r="CMV10" s="34"/>
      <c r="CMW10" s="34"/>
      <c r="CMY10" s="34"/>
      <c r="CMZ10" s="72"/>
      <c r="CNA10" s="63"/>
      <c r="CNB10" s="34"/>
      <c r="CNC10" s="64"/>
      <c r="CND10" s="4"/>
      <c r="CNE10" s="65"/>
      <c r="CNF10" s="4"/>
      <c r="CNG10" s="4"/>
      <c r="CNH10" s="4"/>
      <c r="CNK10" s="34"/>
      <c r="CNL10" s="34"/>
      <c r="CNN10" s="34"/>
      <c r="CNO10" s="72"/>
      <c r="CNP10" s="63"/>
      <c r="CNQ10" s="34"/>
      <c r="CNR10" s="64"/>
      <c r="CNS10" s="4"/>
      <c r="CNT10" s="65"/>
      <c r="CNU10" s="4"/>
      <c r="CNV10" s="4"/>
      <c r="CNW10" s="4"/>
      <c r="CNZ10" s="34"/>
      <c r="COA10" s="34"/>
      <c r="COC10" s="34"/>
      <c r="COD10" s="72"/>
      <c r="COE10" s="63"/>
      <c r="COF10" s="34"/>
      <c r="COG10" s="64"/>
      <c r="COH10" s="4"/>
      <c r="COI10" s="65"/>
      <c r="COJ10" s="4"/>
      <c r="COK10" s="4"/>
      <c r="COL10" s="4"/>
      <c r="COO10" s="34"/>
      <c r="COP10" s="34"/>
      <c r="COR10" s="34"/>
      <c r="COS10" s="72"/>
      <c r="COT10" s="63"/>
      <c r="COU10" s="34"/>
      <c r="COV10" s="64"/>
      <c r="COW10" s="4"/>
      <c r="COX10" s="65"/>
      <c r="COY10" s="4"/>
      <c r="COZ10" s="4"/>
      <c r="CPA10" s="4"/>
      <c r="CPD10" s="34"/>
      <c r="CPE10" s="34"/>
      <c r="CPG10" s="34"/>
      <c r="CPH10" s="72"/>
      <c r="CPI10" s="63"/>
      <c r="CPJ10" s="34"/>
      <c r="CPK10" s="64"/>
      <c r="CPL10" s="4"/>
      <c r="CPM10" s="65"/>
      <c r="CPN10" s="4"/>
      <c r="CPO10" s="4"/>
      <c r="CPP10" s="4"/>
      <c r="CPS10" s="34"/>
      <c r="CPT10" s="34"/>
      <c r="CPV10" s="34"/>
      <c r="CPW10" s="72"/>
      <c r="CPX10" s="63"/>
      <c r="CPY10" s="34"/>
      <c r="CPZ10" s="64"/>
      <c r="CQA10" s="4"/>
      <c r="CQB10" s="65"/>
      <c r="CQC10" s="4"/>
      <c r="CQD10" s="4"/>
      <c r="CQE10" s="4"/>
      <c r="CQH10" s="34"/>
      <c r="CQI10" s="34"/>
      <c r="CQK10" s="34"/>
      <c r="CQL10" s="72"/>
      <c r="CQM10" s="63"/>
      <c r="CQN10" s="34"/>
      <c r="CQO10" s="64"/>
      <c r="CQP10" s="4"/>
      <c r="CQQ10" s="65"/>
      <c r="CQR10" s="4"/>
      <c r="CQS10" s="4"/>
      <c r="CQT10" s="4"/>
      <c r="CQW10" s="34"/>
      <c r="CQX10" s="34"/>
      <c r="CQZ10" s="34"/>
      <c r="CRA10" s="72"/>
      <c r="CRB10" s="63"/>
      <c r="CRC10" s="34"/>
      <c r="CRD10" s="64"/>
      <c r="CRE10" s="4"/>
      <c r="CRF10" s="65"/>
      <c r="CRG10" s="4"/>
      <c r="CRH10" s="4"/>
      <c r="CRI10" s="4"/>
      <c r="CRL10" s="34"/>
      <c r="CRM10" s="34"/>
      <c r="CRO10" s="34"/>
      <c r="CRP10" s="72"/>
      <c r="CRQ10" s="63"/>
      <c r="CRR10" s="34"/>
      <c r="CRS10" s="64"/>
      <c r="CRT10" s="4"/>
      <c r="CRU10" s="65"/>
      <c r="CRV10" s="4"/>
      <c r="CRW10" s="4"/>
      <c r="CRX10" s="4"/>
      <c r="CSA10" s="34"/>
      <c r="CSB10" s="34"/>
      <c r="CSD10" s="34"/>
      <c r="CSE10" s="72"/>
      <c r="CSF10" s="63"/>
      <c r="CSG10" s="34"/>
      <c r="CSH10" s="64"/>
      <c r="CSI10" s="4"/>
      <c r="CSJ10" s="65"/>
      <c r="CSK10" s="4"/>
      <c r="CSL10" s="4"/>
      <c r="CSM10" s="4"/>
      <c r="CSP10" s="34"/>
      <c r="CSQ10" s="34"/>
      <c r="CSS10" s="34"/>
      <c r="CST10" s="72"/>
      <c r="CSU10" s="63"/>
      <c r="CSV10" s="34"/>
      <c r="CSW10" s="64"/>
      <c r="CSX10" s="4"/>
      <c r="CSY10" s="65"/>
      <c r="CSZ10" s="4"/>
      <c r="CTA10" s="4"/>
      <c r="CTB10" s="4"/>
      <c r="CTE10" s="34"/>
      <c r="CTF10" s="34"/>
      <c r="CTH10" s="34"/>
      <c r="CTI10" s="72"/>
      <c r="CTJ10" s="63"/>
      <c r="CTK10" s="34"/>
      <c r="CTL10" s="64"/>
      <c r="CTM10" s="4"/>
      <c r="CTN10" s="65"/>
      <c r="CTO10" s="4"/>
      <c r="CTP10" s="4"/>
      <c r="CTQ10" s="4"/>
      <c r="CTT10" s="34"/>
      <c r="CTU10" s="34"/>
      <c r="CTW10" s="34"/>
      <c r="CTX10" s="72"/>
      <c r="CTY10" s="63"/>
      <c r="CTZ10" s="34"/>
      <c r="CUA10" s="64"/>
      <c r="CUB10" s="4"/>
      <c r="CUC10" s="65"/>
      <c r="CUD10" s="4"/>
      <c r="CUE10" s="4"/>
      <c r="CUF10" s="4"/>
      <c r="CUI10" s="34"/>
      <c r="CUJ10" s="34"/>
      <c r="CUL10" s="34"/>
      <c r="CUM10" s="72"/>
      <c r="CUN10" s="63"/>
      <c r="CUO10" s="34"/>
      <c r="CUP10" s="64"/>
      <c r="CUQ10" s="4"/>
      <c r="CUR10" s="65"/>
      <c r="CUS10" s="4"/>
      <c r="CUT10" s="4"/>
      <c r="CUU10" s="4"/>
      <c r="CUX10" s="34"/>
      <c r="CUY10" s="34"/>
      <c r="CVA10" s="34"/>
      <c r="CVB10" s="72"/>
      <c r="CVC10" s="63"/>
      <c r="CVD10" s="34"/>
      <c r="CVE10" s="64"/>
      <c r="CVF10" s="4"/>
      <c r="CVG10" s="65"/>
      <c r="CVH10" s="4"/>
      <c r="CVI10" s="4"/>
      <c r="CVJ10" s="4"/>
      <c r="CVM10" s="34"/>
      <c r="CVN10" s="34"/>
      <c r="CVP10" s="34"/>
      <c r="CVQ10" s="72"/>
      <c r="CVR10" s="63"/>
      <c r="CVS10" s="34"/>
      <c r="CVT10" s="64"/>
      <c r="CVU10" s="4"/>
      <c r="CVV10" s="65"/>
      <c r="CVW10" s="4"/>
      <c r="CVX10" s="4"/>
      <c r="CVY10" s="4"/>
      <c r="CWB10" s="34"/>
      <c r="CWC10" s="34"/>
      <c r="CWE10" s="34"/>
      <c r="CWF10" s="72"/>
      <c r="CWG10" s="63"/>
      <c r="CWH10" s="34"/>
      <c r="CWI10" s="64"/>
      <c r="CWJ10" s="4"/>
      <c r="CWK10" s="65"/>
      <c r="CWL10" s="4"/>
      <c r="CWM10" s="4"/>
      <c r="CWN10" s="4"/>
      <c r="CWQ10" s="34"/>
      <c r="CWR10" s="34"/>
      <c r="CWT10" s="34"/>
      <c r="CWU10" s="72"/>
      <c r="CWV10" s="63"/>
      <c r="CWW10" s="34"/>
      <c r="CWX10" s="64"/>
      <c r="CWY10" s="4"/>
      <c r="CWZ10" s="65"/>
      <c r="CXA10" s="4"/>
      <c r="CXB10" s="4"/>
      <c r="CXC10" s="4"/>
      <c r="CXF10" s="34"/>
      <c r="CXG10" s="34"/>
      <c r="CXI10" s="34"/>
      <c r="CXJ10" s="72"/>
      <c r="CXK10" s="63"/>
      <c r="CXL10" s="34"/>
      <c r="CXM10" s="64"/>
      <c r="CXN10" s="4"/>
      <c r="CXO10" s="65"/>
      <c r="CXP10" s="4"/>
      <c r="CXQ10" s="4"/>
      <c r="CXR10" s="4"/>
      <c r="CXU10" s="34"/>
      <c r="CXV10" s="34"/>
      <c r="CXX10" s="34"/>
      <c r="CXY10" s="72"/>
      <c r="CXZ10" s="63"/>
      <c r="CYA10" s="34"/>
      <c r="CYB10" s="64"/>
      <c r="CYC10" s="4"/>
      <c r="CYD10" s="65"/>
      <c r="CYE10" s="4"/>
      <c r="CYF10" s="4"/>
      <c r="CYG10" s="4"/>
      <c r="CYJ10" s="34"/>
      <c r="CYK10" s="34"/>
      <c r="CYM10" s="34"/>
      <c r="CYN10" s="72"/>
      <c r="CYO10" s="63"/>
      <c r="CYP10" s="34"/>
      <c r="CYQ10" s="64"/>
      <c r="CYR10" s="4"/>
      <c r="CYS10" s="65"/>
      <c r="CYT10" s="4"/>
      <c r="CYU10" s="4"/>
      <c r="CYV10" s="4"/>
      <c r="CYY10" s="34"/>
      <c r="CYZ10" s="34"/>
      <c r="CZB10" s="34"/>
      <c r="CZC10" s="72"/>
      <c r="CZD10" s="63"/>
      <c r="CZE10" s="34"/>
      <c r="CZF10" s="64"/>
      <c r="CZG10" s="4"/>
      <c r="CZH10" s="65"/>
      <c r="CZI10" s="4"/>
      <c r="CZJ10" s="4"/>
      <c r="CZK10" s="4"/>
      <c r="CZN10" s="34"/>
      <c r="CZO10" s="34"/>
      <c r="CZQ10" s="34"/>
      <c r="CZR10" s="72"/>
      <c r="CZS10" s="63"/>
      <c r="CZT10" s="34"/>
      <c r="CZU10" s="64"/>
      <c r="CZV10" s="4"/>
      <c r="CZW10" s="65"/>
      <c r="CZX10" s="4"/>
      <c r="CZY10" s="4"/>
      <c r="CZZ10" s="4"/>
      <c r="DAC10" s="34"/>
      <c r="DAD10" s="34"/>
      <c r="DAF10" s="34"/>
      <c r="DAG10" s="72"/>
      <c r="DAH10" s="63"/>
      <c r="DAI10" s="34"/>
      <c r="DAJ10" s="64"/>
      <c r="DAK10" s="4"/>
      <c r="DAL10" s="65"/>
      <c r="DAM10" s="4"/>
      <c r="DAN10" s="4"/>
      <c r="DAO10" s="4"/>
      <c r="DAR10" s="34"/>
      <c r="DAS10" s="34"/>
      <c r="DAU10" s="34"/>
      <c r="DAV10" s="72"/>
      <c r="DAW10" s="63"/>
      <c r="DAX10" s="34"/>
      <c r="DAY10" s="64"/>
      <c r="DAZ10" s="4"/>
      <c r="DBA10" s="65"/>
      <c r="DBB10" s="4"/>
      <c r="DBC10" s="4"/>
      <c r="DBD10" s="4"/>
      <c r="DBG10" s="34"/>
      <c r="DBH10" s="34"/>
      <c r="DBJ10" s="34"/>
      <c r="DBK10" s="72"/>
      <c r="DBL10" s="63"/>
      <c r="DBM10" s="34"/>
      <c r="DBN10" s="64"/>
      <c r="DBO10" s="4"/>
      <c r="DBP10" s="65"/>
      <c r="DBQ10" s="4"/>
      <c r="DBR10" s="4"/>
      <c r="DBS10" s="4"/>
      <c r="DBV10" s="34"/>
      <c r="DBW10" s="34"/>
      <c r="DBY10" s="34"/>
      <c r="DBZ10" s="72"/>
      <c r="DCA10" s="63"/>
      <c r="DCB10" s="34"/>
      <c r="DCC10" s="64"/>
      <c r="DCD10" s="4"/>
      <c r="DCE10" s="65"/>
      <c r="DCF10" s="4"/>
      <c r="DCG10" s="4"/>
      <c r="DCH10" s="4"/>
      <c r="DCK10" s="34"/>
      <c r="DCL10" s="34"/>
      <c r="DCN10" s="34"/>
      <c r="DCO10" s="72"/>
      <c r="DCP10" s="63"/>
      <c r="DCQ10" s="34"/>
      <c r="DCR10" s="64"/>
      <c r="DCS10" s="4"/>
      <c r="DCT10" s="65"/>
      <c r="DCU10" s="4"/>
      <c r="DCV10" s="4"/>
      <c r="DCW10" s="4"/>
      <c r="DCZ10" s="34"/>
      <c r="DDA10" s="34"/>
      <c r="DDC10" s="34"/>
      <c r="DDD10" s="72"/>
      <c r="DDE10" s="63"/>
      <c r="DDF10" s="34"/>
      <c r="DDG10" s="64"/>
      <c r="DDH10" s="4"/>
      <c r="DDI10" s="65"/>
      <c r="DDJ10" s="4"/>
      <c r="DDK10" s="4"/>
      <c r="DDL10" s="4"/>
      <c r="DDO10" s="34"/>
      <c r="DDP10" s="34"/>
      <c r="DDR10" s="34"/>
      <c r="DDS10" s="72"/>
      <c r="DDT10" s="63"/>
      <c r="DDU10" s="34"/>
      <c r="DDV10" s="64"/>
      <c r="DDW10" s="4"/>
      <c r="DDX10" s="65"/>
      <c r="DDY10" s="4"/>
      <c r="DDZ10" s="4"/>
      <c r="DEA10" s="4"/>
      <c r="DED10" s="34"/>
      <c r="DEE10" s="34"/>
      <c r="DEG10" s="34"/>
      <c r="DEH10" s="72"/>
      <c r="DEI10" s="63"/>
      <c r="DEJ10" s="34"/>
      <c r="DEK10" s="64"/>
      <c r="DEL10" s="4"/>
      <c r="DEM10" s="65"/>
      <c r="DEN10" s="4"/>
      <c r="DEO10" s="4"/>
      <c r="DEP10" s="4"/>
      <c r="DES10" s="34"/>
      <c r="DET10" s="34"/>
      <c r="DEV10" s="34"/>
      <c r="DEW10" s="72"/>
      <c r="DEX10" s="63"/>
      <c r="DEY10" s="34"/>
      <c r="DEZ10" s="64"/>
      <c r="DFA10" s="4"/>
      <c r="DFB10" s="65"/>
      <c r="DFC10" s="4"/>
      <c r="DFD10" s="4"/>
      <c r="DFE10" s="4"/>
      <c r="DFH10" s="34"/>
      <c r="DFI10" s="34"/>
      <c r="DFK10" s="34"/>
      <c r="DFL10" s="72"/>
      <c r="DFM10" s="63"/>
      <c r="DFN10" s="34"/>
      <c r="DFO10" s="64"/>
      <c r="DFP10" s="4"/>
      <c r="DFQ10" s="65"/>
      <c r="DFR10" s="4"/>
      <c r="DFS10" s="4"/>
      <c r="DFT10" s="4"/>
      <c r="DFW10" s="34"/>
      <c r="DFX10" s="34"/>
      <c r="DFZ10" s="34"/>
      <c r="DGA10" s="72"/>
      <c r="DGB10" s="63"/>
      <c r="DGC10" s="34"/>
      <c r="DGD10" s="64"/>
      <c r="DGE10" s="4"/>
      <c r="DGF10" s="65"/>
      <c r="DGG10" s="4"/>
      <c r="DGH10" s="4"/>
      <c r="DGI10" s="4"/>
      <c r="DGL10" s="34"/>
      <c r="DGM10" s="34"/>
      <c r="DGO10" s="34"/>
      <c r="DGP10" s="72"/>
      <c r="DGQ10" s="63"/>
      <c r="DGR10" s="34"/>
      <c r="DGS10" s="64"/>
      <c r="DGT10" s="4"/>
      <c r="DGU10" s="65"/>
      <c r="DGV10" s="4"/>
      <c r="DGW10" s="4"/>
      <c r="DGX10" s="4"/>
      <c r="DHA10" s="34"/>
      <c r="DHB10" s="34"/>
      <c r="DHD10" s="34"/>
      <c r="DHE10" s="72"/>
      <c r="DHF10" s="63"/>
      <c r="DHG10" s="34"/>
      <c r="DHH10" s="64"/>
      <c r="DHI10" s="4"/>
      <c r="DHJ10" s="65"/>
      <c r="DHK10" s="4"/>
      <c r="DHL10" s="4"/>
      <c r="DHM10" s="4"/>
      <c r="DHP10" s="34"/>
      <c r="DHQ10" s="34"/>
      <c r="DHS10" s="34"/>
      <c r="DHT10" s="72"/>
      <c r="DHU10" s="63"/>
      <c r="DHV10" s="34"/>
      <c r="DHW10" s="64"/>
      <c r="DHX10" s="4"/>
      <c r="DHY10" s="65"/>
      <c r="DHZ10" s="4"/>
      <c r="DIA10" s="4"/>
      <c r="DIB10" s="4"/>
      <c r="DIE10" s="34"/>
      <c r="DIF10" s="34"/>
      <c r="DIH10" s="34"/>
      <c r="DII10" s="72"/>
      <c r="DIJ10" s="63"/>
      <c r="DIK10" s="34"/>
      <c r="DIL10" s="64"/>
      <c r="DIM10" s="4"/>
      <c r="DIN10" s="65"/>
      <c r="DIO10" s="4"/>
      <c r="DIP10" s="4"/>
      <c r="DIQ10" s="4"/>
      <c r="DIT10" s="34"/>
      <c r="DIU10" s="34"/>
      <c r="DIW10" s="34"/>
      <c r="DIX10" s="72"/>
      <c r="DIY10" s="63"/>
      <c r="DIZ10" s="34"/>
      <c r="DJA10" s="64"/>
      <c r="DJB10" s="4"/>
      <c r="DJC10" s="65"/>
      <c r="DJD10" s="4"/>
      <c r="DJE10" s="4"/>
      <c r="DJF10" s="4"/>
      <c r="DJI10" s="34"/>
      <c r="DJJ10" s="34"/>
      <c r="DJL10" s="34"/>
      <c r="DJM10" s="72"/>
      <c r="DJN10" s="63"/>
      <c r="DJO10" s="34"/>
      <c r="DJP10" s="64"/>
      <c r="DJQ10" s="4"/>
      <c r="DJR10" s="65"/>
      <c r="DJS10" s="4"/>
      <c r="DJT10" s="4"/>
      <c r="DJU10" s="4"/>
      <c r="DJX10" s="34"/>
      <c r="DJY10" s="34"/>
      <c r="DKA10" s="34"/>
      <c r="DKB10" s="72"/>
      <c r="DKC10" s="63"/>
      <c r="DKD10" s="34"/>
      <c r="DKE10" s="64"/>
      <c r="DKF10" s="4"/>
      <c r="DKG10" s="65"/>
      <c r="DKH10" s="4"/>
      <c r="DKI10" s="4"/>
      <c r="DKJ10" s="4"/>
      <c r="DKM10" s="34"/>
      <c r="DKN10" s="34"/>
      <c r="DKP10" s="34"/>
      <c r="DKQ10" s="72"/>
      <c r="DKR10" s="63"/>
      <c r="DKS10" s="34"/>
      <c r="DKT10" s="64"/>
      <c r="DKU10" s="4"/>
      <c r="DKV10" s="65"/>
      <c r="DKW10" s="4"/>
      <c r="DKX10" s="4"/>
      <c r="DKY10" s="4"/>
      <c r="DLB10" s="34"/>
      <c r="DLC10" s="34"/>
      <c r="DLE10" s="34"/>
      <c r="DLF10" s="72"/>
      <c r="DLG10" s="63"/>
      <c r="DLH10" s="34"/>
      <c r="DLI10" s="64"/>
      <c r="DLJ10" s="4"/>
      <c r="DLK10" s="65"/>
      <c r="DLL10" s="4"/>
      <c r="DLM10" s="4"/>
      <c r="DLN10" s="4"/>
      <c r="DLQ10" s="34"/>
      <c r="DLR10" s="34"/>
      <c r="DLT10" s="34"/>
      <c r="DLU10" s="72"/>
      <c r="DLV10" s="63"/>
      <c r="DLW10" s="34"/>
      <c r="DLX10" s="64"/>
      <c r="DLY10" s="4"/>
      <c r="DLZ10" s="65"/>
      <c r="DMA10" s="4"/>
      <c r="DMB10" s="4"/>
      <c r="DMC10" s="4"/>
      <c r="DMF10" s="34"/>
      <c r="DMG10" s="34"/>
      <c r="DMI10" s="34"/>
      <c r="DMJ10" s="72"/>
      <c r="DMK10" s="63"/>
      <c r="DML10" s="34"/>
      <c r="DMM10" s="64"/>
      <c r="DMN10" s="4"/>
      <c r="DMO10" s="65"/>
      <c r="DMP10" s="4"/>
      <c r="DMQ10" s="4"/>
      <c r="DMR10" s="4"/>
      <c r="DMU10" s="34"/>
      <c r="DMV10" s="34"/>
      <c r="DMX10" s="34"/>
      <c r="DMY10" s="72"/>
      <c r="DMZ10" s="63"/>
      <c r="DNA10" s="34"/>
      <c r="DNB10" s="64"/>
      <c r="DNC10" s="4"/>
      <c r="DND10" s="65"/>
      <c r="DNE10" s="4"/>
      <c r="DNF10" s="4"/>
      <c r="DNG10" s="4"/>
      <c r="DNJ10" s="34"/>
      <c r="DNK10" s="34"/>
      <c r="DNM10" s="34"/>
      <c r="DNN10" s="72"/>
      <c r="DNO10" s="63"/>
      <c r="DNP10" s="34"/>
      <c r="DNQ10" s="64"/>
      <c r="DNR10" s="4"/>
      <c r="DNS10" s="65"/>
      <c r="DNT10" s="4"/>
      <c r="DNU10" s="4"/>
      <c r="DNV10" s="4"/>
      <c r="DNY10" s="34"/>
      <c r="DNZ10" s="34"/>
      <c r="DOB10" s="34"/>
      <c r="DOC10" s="72"/>
      <c r="DOD10" s="63"/>
      <c r="DOE10" s="34"/>
      <c r="DOF10" s="64"/>
      <c r="DOG10" s="4"/>
      <c r="DOH10" s="65"/>
      <c r="DOI10" s="4"/>
      <c r="DOJ10" s="4"/>
      <c r="DOK10" s="4"/>
      <c r="DON10" s="34"/>
      <c r="DOO10" s="34"/>
      <c r="DOQ10" s="34"/>
      <c r="DOR10" s="72"/>
      <c r="DOS10" s="63"/>
      <c r="DOT10" s="34"/>
      <c r="DOU10" s="64"/>
      <c r="DOV10" s="4"/>
      <c r="DOW10" s="65"/>
      <c r="DOX10" s="4"/>
      <c r="DOY10" s="4"/>
      <c r="DOZ10" s="4"/>
      <c r="DPC10" s="34"/>
      <c r="DPD10" s="34"/>
      <c r="DPF10" s="34"/>
      <c r="DPG10" s="72"/>
      <c r="DPH10" s="63"/>
      <c r="DPI10" s="34"/>
      <c r="DPJ10" s="64"/>
      <c r="DPK10" s="4"/>
      <c r="DPL10" s="65"/>
      <c r="DPM10" s="4"/>
      <c r="DPN10" s="4"/>
      <c r="DPO10" s="4"/>
      <c r="DPR10" s="34"/>
      <c r="DPS10" s="34"/>
      <c r="DPU10" s="34"/>
      <c r="DPV10" s="72"/>
      <c r="DPW10" s="63"/>
      <c r="DPX10" s="34"/>
      <c r="DPY10" s="64"/>
      <c r="DPZ10" s="4"/>
      <c r="DQA10" s="65"/>
      <c r="DQB10" s="4"/>
      <c r="DQC10" s="4"/>
      <c r="DQD10" s="4"/>
      <c r="DQG10" s="34"/>
      <c r="DQH10" s="34"/>
      <c r="DQJ10" s="34"/>
      <c r="DQK10" s="72"/>
      <c r="DQL10" s="63"/>
      <c r="DQM10" s="34"/>
      <c r="DQN10" s="64"/>
      <c r="DQO10" s="4"/>
      <c r="DQP10" s="65"/>
      <c r="DQQ10" s="4"/>
      <c r="DQR10" s="4"/>
      <c r="DQS10" s="4"/>
      <c r="DQV10" s="34"/>
      <c r="DQW10" s="34"/>
      <c r="DQY10" s="34"/>
      <c r="DQZ10" s="72"/>
      <c r="DRA10" s="63"/>
      <c r="DRB10" s="34"/>
      <c r="DRC10" s="64"/>
      <c r="DRD10" s="4"/>
      <c r="DRE10" s="65"/>
      <c r="DRF10" s="4"/>
      <c r="DRG10" s="4"/>
      <c r="DRH10" s="4"/>
      <c r="DRK10" s="34"/>
      <c r="DRL10" s="34"/>
      <c r="DRN10" s="34"/>
      <c r="DRO10" s="72"/>
      <c r="DRP10" s="63"/>
      <c r="DRQ10" s="34"/>
      <c r="DRR10" s="64"/>
      <c r="DRS10" s="4"/>
      <c r="DRT10" s="65"/>
      <c r="DRU10" s="4"/>
      <c r="DRV10" s="4"/>
      <c r="DRW10" s="4"/>
      <c r="DRZ10" s="34"/>
      <c r="DSA10" s="34"/>
      <c r="DSC10" s="34"/>
      <c r="DSD10" s="72"/>
      <c r="DSE10" s="63"/>
      <c r="DSF10" s="34"/>
      <c r="DSG10" s="64"/>
      <c r="DSH10" s="4"/>
      <c r="DSI10" s="65"/>
      <c r="DSJ10" s="4"/>
      <c r="DSK10" s="4"/>
      <c r="DSL10" s="4"/>
      <c r="DSO10" s="34"/>
      <c r="DSP10" s="34"/>
      <c r="DSR10" s="34"/>
      <c r="DSS10" s="72"/>
      <c r="DST10" s="63"/>
      <c r="DSU10" s="34"/>
      <c r="DSV10" s="64"/>
      <c r="DSW10" s="4"/>
      <c r="DSX10" s="65"/>
      <c r="DSY10" s="4"/>
      <c r="DSZ10" s="4"/>
      <c r="DTA10" s="4"/>
      <c r="DTD10" s="34"/>
      <c r="DTE10" s="34"/>
      <c r="DTG10" s="34"/>
      <c r="DTH10" s="72"/>
      <c r="DTI10" s="63"/>
      <c r="DTJ10" s="34"/>
      <c r="DTK10" s="64"/>
      <c r="DTL10" s="4"/>
      <c r="DTM10" s="65"/>
      <c r="DTN10" s="4"/>
      <c r="DTO10" s="4"/>
      <c r="DTP10" s="4"/>
      <c r="DTS10" s="34"/>
      <c r="DTT10" s="34"/>
      <c r="DTV10" s="34"/>
      <c r="DTW10" s="72"/>
      <c r="DTX10" s="63"/>
      <c r="DTY10" s="34"/>
      <c r="DTZ10" s="64"/>
      <c r="DUA10" s="4"/>
      <c r="DUB10" s="65"/>
      <c r="DUC10" s="4"/>
      <c r="DUD10" s="4"/>
      <c r="DUE10" s="4"/>
      <c r="DUH10" s="34"/>
      <c r="DUI10" s="34"/>
      <c r="DUK10" s="34"/>
      <c r="DUL10" s="72"/>
      <c r="DUM10" s="63"/>
      <c r="DUN10" s="34"/>
      <c r="DUO10" s="64"/>
      <c r="DUP10" s="4"/>
      <c r="DUQ10" s="65"/>
      <c r="DUR10" s="4"/>
      <c r="DUS10" s="4"/>
      <c r="DUT10" s="4"/>
      <c r="DUW10" s="34"/>
      <c r="DUX10" s="34"/>
      <c r="DUZ10" s="34"/>
      <c r="DVA10" s="72"/>
      <c r="DVB10" s="63"/>
      <c r="DVC10" s="34"/>
      <c r="DVD10" s="64"/>
      <c r="DVE10" s="4"/>
      <c r="DVF10" s="65"/>
      <c r="DVG10" s="4"/>
      <c r="DVH10" s="4"/>
      <c r="DVI10" s="4"/>
      <c r="DVL10" s="34"/>
      <c r="DVM10" s="34"/>
      <c r="DVO10" s="34"/>
      <c r="DVP10" s="72"/>
      <c r="DVQ10" s="63"/>
      <c r="DVR10" s="34"/>
      <c r="DVS10" s="64"/>
      <c r="DVT10" s="4"/>
      <c r="DVU10" s="65"/>
      <c r="DVV10" s="4"/>
      <c r="DVW10" s="4"/>
      <c r="DVX10" s="4"/>
      <c r="DWA10" s="34"/>
      <c r="DWB10" s="34"/>
      <c r="DWD10" s="34"/>
      <c r="DWE10" s="72"/>
      <c r="DWF10" s="63"/>
      <c r="DWG10" s="34"/>
      <c r="DWH10" s="64"/>
      <c r="DWI10" s="4"/>
      <c r="DWJ10" s="65"/>
      <c r="DWK10" s="4"/>
      <c r="DWL10" s="4"/>
      <c r="DWM10" s="4"/>
      <c r="DWP10" s="34"/>
      <c r="DWQ10" s="34"/>
      <c r="DWS10" s="34"/>
      <c r="DWT10" s="72"/>
      <c r="DWU10" s="63"/>
      <c r="DWV10" s="34"/>
      <c r="DWW10" s="64"/>
      <c r="DWX10" s="4"/>
      <c r="DWY10" s="65"/>
      <c r="DWZ10" s="4"/>
      <c r="DXA10" s="4"/>
      <c r="DXB10" s="4"/>
      <c r="DXE10" s="34"/>
      <c r="DXF10" s="34"/>
      <c r="DXH10" s="34"/>
      <c r="DXI10" s="72"/>
      <c r="DXJ10" s="63"/>
      <c r="DXK10" s="34"/>
      <c r="DXL10" s="64"/>
      <c r="DXM10" s="4"/>
      <c r="DXN10" s="65"/>
      <c r="DXO10" s="4"/>
      <c r="DXP10" s="4"/>
      <c r="DXQ10" s="4"/>
      <c r="DXT10" s="34"/>
      <c r="DXU10" s="34"/>
      <c r="DXW10" s="34"/>
      <c r="DXX10" s="72"/>
      <c r="DXY10" s="63"/>
      <c r="DXZ10" s="34"/>
      <c r="DYA10" s="64"/>
      <c r="DYB10" s="4"/>
      <c r="DYC10" s="65"/>
      <c r="DYD10" s="4"/>
      <c r="DYE10" s="4"/>
      <c r="DYF10" s="4"/>
      <c r="DYI10" s="34"/>
      <c r="DYJ10" s="34"/>
      <c r="DYL10" s="34"/>
      <c r="DYM10" s="72"/>
      <c r="DYN10" s="63"/>
      <c r="DYO10" s="34"/>
      <c r="DYP10" s="64"/>
      <c r="DYQ10" s="4"/>
      <c r="DYR10" s="65"/>
      <c r="DYS10" s="4"/>
      <c r="DYT10" s="4"/>
      <c r="DYU10" s="4"/>
      <c r="DYX10" s="34"/>
      <c r="DYY10" s="34"/>
      <c r="DZA10" s="34"/>
      <c r="DZB10" s="72"/>
      <c r="DZC10" s="63"/>
      <c r="DZD10" s="34"/>
      <c r="DZE10" s="64"/>
      <c r="DZF10" s="4"/>
      <c r="DZG10" s="65"/>
      <c r="DZH10" s="4"/>
      <c r="DZI10" s="4"/>
      <c r="DZJ10" s="4"/>
      <c r="DZM10" s="34"/>
      <c r="DZN10" s="34"/>
      <c r="DZP10" s="34"/>
      <c r="DZQ10" s="72"/>
      <c r="DZR10" s="63"/>
      <c r="DZS10" s="34"/>
      <c r="DZT10" s="64"/>
      <c r="DZU10" s="4"/>
      <c r="DZV10" s="65"/>
      <c r="DZW10" s="4"/>
      <c r="DZX10" s="4"/>
      <c r="DZY10" s="4"/>
      <c r="EAB10" s="34"/>
      <c r="EAC10" s="34"/>
      <c r="EAE10" s="34"/>
      <c r="EAF10" s="72"/>
      <c r="EAG10" s="63"/>
      <c r="EAH10" s="34"/>
      <c r="EAI10" s="64"/>
      <c r="EAJ10" s="4"/>
      <c r="EAK10" s="65"/>
      <c r="EAL10" s="4"/>
      <c r="EAM10" s="4"/>
      <c r="EAN10" s="4"/>
      <c r="EAQ10" s="34"/>
      <c r="EAR10" s="34"/>
      <c r="EAT10" s="34"/>
      <c r="EAU10" s="72"/>
      <c r="EAV10" s="63"/>
      <c r="EAW10" s="34"/>
      <c r="EAX10" s="64"/>
      <c r="EAY10" s="4"/>
      <c r="EAZ10" s="65"/>
      <c r="EBA10" s="4"/>
      <c r="EBB10" s="4"/>
      <c r="EBC10" s="4"/>
      <c r="EBF10" s="34"/>
      <c r="EBG10" s="34"/>
      <c r="EBI10" s="34"/>
      <c r="EBJ10" s="72"/>
      <c r="EBK10" s="63"/>
      <c r="EBL10" s="34"/>
      <c r="EBM10" s="64"/>
      <c r="EBN10" s="4"/>
      <c r="EBO10" s="65"/>
      <c r="EBP10" s="4"/>
      <c r="EBQ10" s="4"/>
      <c r="EBR10" s="4"/>
      <c r="EBU10" s="34"/>
      <c r="EBV10" s="34"/>
      <c r="EBX10" s="34"/>
      <c r="EBY10" s="72"/>
      <c r="EBZ10" s="63"/>
      <c r="ECA10" s="34"/>
      <c r="ECB10" s="64"/>
      <c r="ECC10" s="4"/>
      <c r="ECD10" s="65"/>
      <c r="ECE10" s="4"/>
      <c r="ECF10" s="4"/>
      <c r="ECG10" s="4"/>
      <c r="ECJ10" s="34"/>
      <c r="ECK10" s="34"/>
      <c r="ECM10" s="34"/>
      <c r="ECN10" s="72"/>
      <c r="ECO10" s="63"/>
      <c r="ECP10" s="34"/>
      <c r="ECQ10" s="64"/>
      <c r="ECR10" s="4"/>
      <c r="ECS10" s="65"/>
      <c r="ECT10" s="4"/>
      <c r="ECU10" s="4"/>
      <c r="ECV10" s="4"/>
      <c r="ECY10" s="34"/>
      <c r="ECZ10" s="34"/>
      <c r="EDB10" s="34"/>
      <c r="EDC10" s="72"/>
      <c r="EDD10" s="63"/>
      <c r="EDE10" s="34"/>
      <c r="EDF10" s="64"/>
      <c r="EDG10" s="4"/>
      <c r="EDH10" s="65"/>
      <c r="EDI10" s="4"/>
      <c r="EDJ10" s="4"/>
      <c r="EDK10" s="4"/>
      <c r="EDN10" s="34"/>
      <c r="EDO10" s="34"/>
      <c r="EDQ10" s="34"/>
      <c r="EDR10" s="72"/>
      <c r="EDS10" s="63"/>
      <c r="EDT10" s="34"/>
      <c r="EDU10" s="64"/>
      <c r="EDV10" s="4"/>
      <c r="EDW10" s="65"/>
      <c r="EDX10" s="4"/>
      <c r="EDY10" s="4"/>
      <c r="EDZ10" s="4"/>
      <c r="EEC10" s="34"/>
      <c r="EED10" s="34"/>
      <c r="EEF10" s="34"/>
      <c r="EEG10" s="72"/>
      <c r="EEH10" s="63"/>
      <c r="EEI10" s="34"/>
      <c r="EEJ10" s="64"/>
      <c r="EEK10" s="4"/>
      <c r="EEL10" s="65"/>
      <c r="EEM10" s="4"/>
      <c r="EEN10" s="4"/>
      <c r="EEO10" s="4"/>
      <c r="EER10" s="34"/>
      <c r="EES10" s="34"/>
      <c r="EEU10" s="34"/>
      <c r="EEV10" s="72"/>
      <c r="EEW10" s="63"/>
      <c r="EEX10" s="34"/>
      <c r="EEY10" s="64"/>
      <c r="EEZ10" s="4"/>
      <c r="EFA10" s="65"/>
      <c r="EFB10" s="4"/>
      <c r="EFC10" s="4"/>
      <c r="EFD10" s="4"/>
      <c r="EFG10" s="34"/>
      <c r="EFH10" s="34"/>
      <c r="EFJ10" s="34"/>
      <c r="EFK10" s="72"/>
      <c r="EFL10" s="63"/>
      <c r="EFM10" s="34"/>
      <c r="EFN10" s="64"/>
      <c r="EFO10" s="4"/>
      <c r="EFP10" s="65"/>
      <c r="EFQ10" s="4"/>
      <c r="EFR10" s="4"/>
      <c r="EFS10" s="4"/>
      <c r="EFV10" s="34"/>
      <c r="EFW10" s="34"/>
      <c r="EFY10" s="34"/>
      <c r="EFZ10" s="72"/>
      <c r="EGA10" s="63"/>
      <c r="EGB10" s="34"/>
      <c r="EGC10" s="64"/>
      <c r="EGD10" s="4"/>
      <c r="EGE10" s="65"/>
      <c r="EGF10" s="4"/>
      <c r="EGG10" s="4"/>
      <c r="EGH10" s="4"/>
      <c r="EGK10" s="34"/>
      <c r="EGL10" s="34"/>
      <c r="EGN10" s="34"/>
      <c r="EGO10" s="72"/>
      <c r="EGP10" s="63"/>
      <c r="EGQ10" s="34"/>
      <c r="EGR10" s="64"/>
      <c r="EGS10" s="4"/>
      <c r="EGT10" s="65"/>
      <c r="EGU10" s="4"/>
      <c r="EGV10" s="4"/>
      <c r="EGW10" s="4"/>
      <c r="EGZ10" s="34"/>
      <c r="EHA10" s="34"/>
      <c r="EHC10" s="34"/>
      <c r="EHD10" s="72"/>
      <c r="EHE10" s="63"/>
      <c r="EHF10" s="34"/>
      <c r="EHG10" s="64"/>
      <c r="EHH10" s="4"/>
      <c r="EHI10" s="65"/>
      <c r="EHJ10" s="4"/>
      <c r="EHK10" s="4"/>
      <c r="EHL10" s="4"/>
      <c r="EHO10" s="34"/>
      <c r="EHP10" s="34"/>
      <c r="EHR10" s="34"/>
      <c r="EHS10" s="72"/>
      <c r="EHT10" s="63"/>
      <c r="EHU10" s="34"/>
      <c r="EHV10" s="64"/>
      <c r="EHW10" s="4"/>
      <c r="EHX10" s="65"/>
      <c r="EHY10" s="4"/>
      <c r="EHZ10" s="4"/>
      <c r="EIA10" s="4"/>
      <c r="EID10" s="34"/>
      <c r="EIE10" s="34"/>
      <c r="EIG10" s="34"/>
      <c r="EIH10" s="72"/>
      <c r="EII10" s="63"/>
      <c r="EIJ10" s="34"/>
      <c r="EIK10" s="64"/>
      <c r="EIL10" s="4"/>
      <c r="EIM10" s="65"/>
      <c r="EIN10" s="4"/>
      <c r="EIO10" s="4"/>
      <c r="EIP10" s="4"/>
      <c r="EIS10" s="34"/>
      <c r="EIT10" s="34"/>
      <c r="EIV10" s="34"/>
      <c r="EIW10" s="72"/>
      <c r="EIX10" s="63"/>
      <c r="EIY10" s="34"/>
      <c r="EIZ10" s="64"/>
      <c r="EJA10" s="4"/>
      <c r="EJB10" s="65"/>
      <c r="EJC10" s="4"/>
      <c r="EJD10" s="4"/>
      <c r="EJE10" s="4"/>
      <c r="EJH10" s="34"/>
      <c r="EJI10" s="34"/>
      <c r="EJK10" s="34"/>
      <c r="EJL10" s="72"/>
      <c r="EJM10" s="63"/>
      <c r="EJN10" s="34"/>
      <c r="EJO10" s="64"/>
      <c r="EJP10" s="4"/>
      <c r="EJQ10" s="65"/>
      <c r="EJR10" s="4"/>
      <c r="EJS10" s="4"/>
      <c r="EJT10" s="4"/>
      <c r="EJW10" s="34"/>
      <c r="EJX10" s="34"/>
      <c r="EJZ10" s="34"/>
      <c r="EKA10" s="72"/>
      <c r="EKB10" s="63"/>
      <c r="EKC10" s="34"/>
      <c r="EKD10" s="64"/>
      <c r="EKE10" s="4"/>
      <c r="EKF10" s="65"/>
      <c r="EKG10" s="4"/>
      <c r="EKH10" s="4"/>
      <c r="EKI10" s="4"/>
      <c r="EKL10" s="34"/>
      <c r="EKM10" s="34"/>
      <c r="EKO10" s="34"/>
      <c r="EKP10" s="72"/>
      <c r="EKQ10" s="63"/>
      <c r="EKR10" s="34"/>
      <c r="EKS10" s="64"/>
      <c r="EKT10" s="4"/>
      <c r="EKU10" s="65"/>
      <c r="EKV10" s="4"/>
      <c r="EKW10" s="4"/>
      <c r="EKX10" s="4"/>
      <c r="ELA10" s="34"/>
      <c r="ELB10" s="34"/>
      <c r="ELD10" s="34"/>
      <c r="ELE10" s="72"/>
      <c r="ELF10" s="63"/>
      <c r="ELG10" s="34"/>
      <c r="ELH10" s="64"/>
      <c r="ELI10" s="4"/>
      <c r="ELJ10" s="65"/>
      <c r="ELK10" s="4"/>
      <c r="ELL10" s="4"/>
      <c r="ELM10" s="4"/>
      <c r="ELP10" s="34"/>
      <c r="ELQ10" s="34"/>
      <c r="ELS10" s="34"/>
      <c r="ELT10" s="72"/>
      <c r="ELU10" s="63"/>
      <c r="ELV10" s="34"/>
      <c r="ELW10" s="64"/>
      <c r="ELX10" s="4"/>
      <c r="ELY10" s="65"/>
      <c r="ELZ10" s="4"/>
      <c r="EMA10" s="4"/>
      <c r="EMB10" s="4"/>
      <c r="EME10" s="34"/>
      <c r="EMF10" s="34"/>
      <c r="EMH10" s="34"/>
      <c r="EMI10" s="72"/>
      <c r="EMJ10" s="63"/>
      <c r="EMK10" s="34"/>
      <c r="EML10" s="64"/>
      <c r="EMM10" s="4"/>
      <c r="EMN10" s="65"/>
      <c r="EMO10" s="4"/>
      <c r="EMP10" s="4"/>
      <c r="EMQ10" s="4"/>
      <c r="EMT10" s="34"/>
      <c r="EMU10" s="34"/>
      <c r="EMW10" s="34"/>
      <c r="EMX10" s="72"/>
      <c r="EMY10" s="63"/>
      <c r="EMZ10" s="34"/>
      <c r="ENA10" s="64"/>
      <c r="ENB10" s="4"/>
      <c r="ENC10" s="65"/>
      <c r="END10" s="4"/>
      <c r="ENE10" s="4"/>
      <c r="ENF10" s="4"/>
      <c r="ENI10" s="34"/>
      <c r="ENJ10" s="34"/>
      <c r="ENL10" s="34"/>
      <c r="ENM10" s="72"/>
      <c r="ENN10" s="63"/>
      <c r="ENO10" s="34"/>
      <c r="ENP10" s="64"/>
      <c r="ENQ10" s="4"/>
      <c r="ENR10" s="65"/>
      <c r="ENS10" s="4"/>
      <c r="ENT10" s="4"/>
      <c r="ENU10" s="4"/>
      <c r="ENX10" s="34"/>
      <c r="ENY10" s="34"/>
      <c r="EOA10" s="34"/>
      <c r="EOB10" s="72"/>
      <c r="EOC10" s="63"/>
      <c r="EOD10" s="34"/>
      <c r="EOE10" s="64"/>
      <c r="EOF10" s="4"/>
      <c r="EOG10" s="65"/>
      <c r="EOH10" s="4"/>
      <c r="EOI10" s="4"/>
      <c r="EOJ10" s="4"/>
      <c r="EOM10" s="34"/>
      <c r="EON10" s="34"/>
      <c r="EOP10" s="34"/>
      <c r="EOQ10" s="72"/>
      <c r="EOR10" s="63"/>
      <c r="EOS10" s="34"/>
      <c r="EOT10" s="64"/>
      <c r="EOU10" s="4"/>
      <c r="EOV10" s="65"/>
      <c r="EOW10" s="4"/>
      <c r="EOX10" s="4"/>
      <c r="EOY10" s="4"/>
      <c r="EPB10" s="34"/>
      <c r="EPC10" s="34"/>
      <c r="EPE10" s="34"/>
      <c r="EPF10" s="72"/>
      <c r="EPG10" s="63"/>
      <c r="EPH10" s="34"/>
      <c r="EPI10" s="64"/>
      <c r="EPJ10" s="4"/>
      <c r="EPK10" s="65"/>
      <c r="EPL10" s="4"/>
      <c r="EPM10" s="4"/>
      <c r="EPN10" s="4"/>
      <c r="EPQ10" s="34"/>
      <c r="EPR10" s="34"/>
      <c r="EPT10" s="34"/>
      <c r="EPU10" s="72"/>
      <c r="EPV10" s="63"/>
      <c r="EPW10" s="34"/>
      <c r="EPX10" s="64"/>
      <c r="EPY10" s="4"/>
      <c r="EPZ10" s="65"/>
      <c r="EQA10" s="4"/>
      <c r="EQB10" s="4"/>
      <c r="EQC10" s="4"/>
      <c r="EQF10" s="34"/>
      <c r="EQG10" s="34"/>
      <c r="EQI10" s="34"/>
      <c r="EQJ10" s="72"/>
      <c r="EQK10" s="63"/>
      <c r="EQL10" s="34"/>
      <c r="EQM10" s="64"/>
      <c r="EQN10" s="4"/>
      <c r="EQO10" s="65"/>
      <c r="EQP10" s="4"/>
      <c r="EQQ10" s="4"/>
      <c r="EQR10" s="4"/>
      <c r="EQU10" s="34"/>
      <c r="EQV10" s="34"/>
      <c r="EQX10" s="34"/>
      <c r="EQY10" s="72"/>
      <c r="EQZ10" s="63"/>
      <c r="ERA10" s="34"/>
      <c r="ERB10" s="64"/>
      <c r="ERC10" s="4"/>
      <c r="ERD10" s="65"/>
      <c r="ERE10" s="4"/>
      <c r="ERF10" s="4"/>
      <c r="ERG10" s="4"/>
      <c r="ERJ10" s="34"/>
      <c r="ERK10" s="34"/>
      <c r="ERM10" s="34"/>
      <c r="ERN10" s="72"/>
      <c r="ERO10" s="63"/>
      <c r="ERP10" s="34"/>
      <c r="ERQ10" s="64"/>
      <c r="ERR10" s="4"/>
      <c r="ERS10" s="65"/>
      <c r="ERT10" s="4"/>
      <c r="ERU10" s="4"/>
      <c r="ERV10" s="4"/>
      <c r="ERY10" s="34"/>
      <c r="ERZ10" s="34"/>
      <c r="ESB10" s="34"/>
      <c r="ESC10" s="72"/>
      <c r="ESD10" s="63"/>
      <c r="ESE10" s="34"/>
      <c r="ESF10" s="64"/>
      <c r="ESG10" s="4"/>
      <c r="ESH10" s="65"/>
      <c r="ESI10" s="4"/>
      <c r="ESJ10" s="4"/>
      <c r="ESK10" s="4"/>
      <c r="ESN10" s="34"/>
      <c r="ESO10" s="34"/>
      <c r="ESQ10" s="34"/>
      <c r="ESR10" s="72"/>
      <c r="ESS10" s="63"/>
      <c r="EST10" s="34"/>
      <c r="ESU10" s="64"/>
      <c r="ESV10" s="4"/>
      <c r="ESW10" s="65"/>
      <c r="ESX10" s="4"/>
      <c r="ESY10" s="4"/>
      <c r="ESZ10" s="4"/>
      <c r="ETC10" s="34"/>
      <c r="ETD10" s="34"/>
      <c r="ETF10" s="34"/>
      <c r="ETG10" s="72"/>
      <c r="ETH10" s="63"/>
      <c r="ETI10" s="34"/>
      <c r="ETJ10" s="64"/>
      <c r="ETK10" s="4"/>
      <c r="ETL10" s="65"/>
      <c r="ETM10" s="4"/>
      <c r="ETN10" s="4"/>
      <c r="ETO10" s="4"/>
      <c r="ETR10" s="34"/>
      <c r="ETS10" s="34"/>
      <c r="ETU10" s="34"/>
      <c r="ETV10" s="72"/>
      <c r="ETW10" s="63"/>
      <c r="ETX10" s="34"/>
      <c r="ETY10" s="64"/>
      <c r="ETZ10" s="4"/>
      <c r="EUA10" s="65"/>
      <c r="EUB10" s="4"/>
      <c r="EUC10" s="4"/>
      <c r="EUD10" s="4"/>
      <c r="EUG10" s="34"/>
      <c r="EUH10" s="34"/>
      <c r="EUJ10" s="34"/>
      <c r="EUK10" s="72"/>
      <c r="EUL10" s="63"/>
      <c r="EUM10" s="34"/>
      <c r="EUN10" s="64"/>
      <c r="EUO10" s="4"/>
      <c r="EUP10" s="65"/>
      <c r="EUQ10" s="4"/>
      <c r="EUR10" s="4"/>
      <c r="EUS10" s="4"/>
      <c r="EUV10" s="34"/>
      <c r="EUW10" s="34"/>
      <c r="EUY10" s="34"/>
      <c r="EUZ10" s="72"/>
      <c r="EVA10" s="63"/>
      <c r="EVB10" s="34"/>
      <c r="EVC10" s="64"/>
      <c r="EVD10" s="4"/>
      <c r="EVE10" s="65"/>
      <c r="EVF10" s="4"/>
      <c r="EVG10" s="4"/>
      <c r="EVH10" s="4"/>
      <c r="EVK10" s="34"/>
      <c r="EVL10" s="34"/>
      <c r="EVN10" s="34"/>
      <c r="EVO10" s="72"/>
      <c r="EVP10" s="63"/>
      <c r="EVQ10" s="34"/>
      <c r="EVR10" s="64"/>
      <c r="EVS10" s="4"/>
      <c r="EVT10" s="65"/>
      <c r="EVU10" s="4"/>
      <c r="EVV10" s="4"/>
      <c r="EVW10" s="4"/>
      <c r="EVZ10" s="34"/>
      <c r="EWA10" s="34"/>
      <c r="EWC10" s="34"/>
      <c r="EWD10" s="72"/>
      <c r="EWE10" s="63"/>
      <c r="EWF10" s="34"/>
      <c r="EWG10" s="64"/>
      <c r="EWH10" s="4"/>
      <c r="EWI10" s="65"/>
      <c r="EWJ10" s="4"/>
      <c r="EWK10" s="4"/>
      <c r="EWL10" s="4"/>
      <c r="EWO10" s="34"/>
      <c r="EWP10" s="34"/>
      <c r="EWR10" s="34"/>
      <c r="EWS10" s="72"/>
      <c r="EWT10" s="63"/>
      <c r="EWU10" s="34"/>
      <c r="EWV10" s="64"/>
      <c r="EWW10" s="4"/>
      <c r="EWX10" s="65"/>
      <c r="EWY10" s="4"/>
      <c r="EWZ10" s="4"/>
      <c r="EXA10" s="4"/>
      <c r="EXD10" s="34"/>
      <c r="EXE10" s="34"/>
      <c r="EXG10" s="34"/>
      <c r="EXH10" s="72"/>
      <c r="EXI10" s="63"/>
      <c r="EXJ10" s="34"/>
      <c r="EXK10" s="64"/>
      <c r="EXL10" s="4"/>
      <c r="EXM10" s="65"/>
      <c r="EXN10" s="4"/>
      <c r="EXO10" s="4"/>
      <c r="EXP10" s="4"/>
      <c r="EXS10" s="34"/>
      <c r="EXT10" s="34"/>
      <c r="EXV10" s="34"/>
      <c r="EXW10" s="72"/>
      <c r="EXX10" s="63"/>
      <c r="EXY10" s="34"/>
      <c r="EXZ10" s="64"/>
      <c r="EYA10" s="4"/>
      <c r="EYB10" s="65"/>
      <c r="EYC10" s="4"/>
      <c r="EYD10" s="4"/>
      <c r="EYE10" s="4"/>
      <c r="EYH10" s="34"/>
      <c r="EYI10" s="34"/>
      <c r="EYK10" s="34"/>
      <c r="EYL10" s="72"/>
      <c r="EYM10" s="63"/>
      <c r="EYN10" s="34"/>
      <c r="EYO10" s="64"/>
      <c r="EYP10" s="4"/>
      <c r="EYQ10" s="65"/>
      <c r="EYR10" s="4"/>
      <c r="EYS10" s="4"/>
      <c r="EYT10" s="4"/>
      <c r="EYW10" s="34"/>
      <c r="EYX10" s="34"/>
      <c r="EYZ10" s="34"/>
      <c r="EZA10" s="72"/>
      <c r="EZB10" s="63"/>
      <c r="EZC10" s="34"/>
      <c r="EZD10" s="64"/>
      <c r="EZE10" s="4"/>
      <c r="EZF10" s="65"/>
      <c r="EZG10" s="4"/>
      <c r="EZH10" s="4"/>
      <c r="EZI10" s="4"/>
      <c r="EZL10" s="34"/>
      <c r="EZM10" s="34"/>
      <c r="EZO10" s="34"/>
      <c r="EZP10" s="72"/>
      <c r="EZQ10" s="63"/>
      <c r="EZR10" s="34"/>
      <c r="EZS10" s="64"/>
      <c r="EZT10" s="4"/>
      <c r="EZU10" s="65"/>
      <c r="EZV10" s="4"/>
      <c r="EZW10" s="4"/>
      <c r="EZX10" s="4"/>
      <c r="FAA10" s="34"/>
      <c r="FAB10" s="34"/>
      <c r="FAD10" s="34"/>
      <c r="FAE10" s="72"/>
      <c r="FAF10" s="63"/>
      <c r="FAG10" s="34"/>
      <c r="FAH10" s="64"/>
      <c r="FAI10" s="4"/>
      <c r="FAJ10" s="65"/>
      <c r="FAK10" s="4"/>
      <c r="FAL10" s="4"/>
      <c r="FAM10" s="4"/>
      <c r="FAP10" s="34"/>
      <c r="FAQ10" s="34"/>
      <c r="FAS10" s="34"/>
      <c r="FAT10" s="72"/>
      <c r="FAU10" s="63"/>
      <c r="FAV10" s="34"/>
      <c r="FAW10" s="64"/>
      <c r="FAX10" s="4"/>
      <c r="FAY10" s="65"/>
      <c r="FAZ10" s="4"/>
      <c r="FBA10" s="4"/>
      <c r="FBB10" s="4"/>
      <c r="FBE10" s="34"/>
      <c r="FBF10" s="34"/>
      <c r="FBH10" s="34"/>
      <c r="FBI10" s="72"/>
      <c r="FBJ10" s="63"/>
      <c r="FBK10" s="34"/>
      <c r="FBL10" s="64"/>
      <c r="FBM10" s="4"/>
      <c r="FBN10" s="65"/>
      <c r="FBO10" s="4"/>
      <c r="FBP10" s="4"/>
      <c r="FBQ10" s="4"/>
      <c r="FBT10" s="34"/>
      <c r="FBU10" s="34"/>
      <c r="FBW10" s="34"/>
      <c r="FBX10" s="72"/>
      <c r="FBY10" s="63"/>
      <c r="FBZ10" s="34"/>
      <c r="FCA10" s="64"/>
      <c r="FCB10" s="4"/>
      <c r="FCC10" s="65"/>
      <c r="FCD10" s="4"/>
      <c r="FCE10" s="4"/>
      <c r="FCF10" s="4"/>
      <c r="FCI10" s="34"/>
      <c r="FCJ10" s="34"/>
      <c r="FCL10" s="34"/>
      <c r="FCM10" s="72"/>
      <c r="FCN10" s="63"/>
      <c r="FCO10" s="34"/>
      <c r="FCP10" s="64"/>
      <c r="FCQ10" s="4"/>
      <c r="FCR10" s="65"/>
      <c r="FCS10" s="4"/>
      <c r="FCT10" s="4"/>
      <c r="FCU10" s="4"/>
      <c r="FCX10" s="34"/>
      <c r="FCY10" s="34"/>
      <c r="FDA10" s="34"/>
      <c r="FDB10" s="72"/>
      <c r="FDC10" s="63"/>
      <c r="FDD10" s="34"/>
      <c r="FDE10" s="64"/>
      <c r="FDF10" s="4"/>
      <c r="FDG10" s="65"/>
      <c r="FDH10" s="4"/>
      <c r="FDI10" s="4"/>
      <c r="FDJ10" s="4"/>
      <c r="FDM10" s="34"/>
      <c r="FDN10" s="34"/>
      <c r="FDP10" s="34"/>
      <c r="FDQ10" s="72"/>
      <c r="FDR10" s="63"/>
      <c r="FDS10" s="34"/>
      <c r="FDT10" s="64"/>
      <c r="FDU10" s="4"/>
      <c r="FDV10" s="65"/>
      <c r="FDW10" s="4"/>
      <c r="FDX10" s="4"/>
      <c r="FDY10" s="4"/>
      <c r="FEB10" s="34"/>
      <c r="FEC10" s="34"/>
      <c r="FEE10" s="34"/>
      <c r="FEF10" s="72"/>
      <c r="FEG10" s="63"/>
      <c r="FEH10" s="34"/>
      <c r="FEI10" s="64"/>
      <c r="FEJ10" s="4"/>
      <c r="FEK10" s="65"/>
      <c r="FEL10" s="4"/>
      <c r="FEM10" s="4"/>
      <c r="FEN10" s="4"/>
      <c r="FEQ10" s="34"/>
      <c r="FER10" s="34"/>
      <c r="FET10" s="34"/>
      <c r="FEU10" s="72"/>
      <c r="FEV10" s="63"/>
      <c r="FEW10" s="34"/>
      <c r="FEX10" s="64"/>
      <c r="FEY10" s="4"/>
      <c r="FEZ10" s="65"/>
      <c r="FFA10" s="4"/>
      <c r="FFB10" s="4"/>
      <c r="FFC10" s="4"/>
      <c r="FFF10" s="34"/>
      <c r="FFG10" s="34"/>
      <c r="FFI10" s="34"/>
      <c r="FFJ10" s="72"/>
      <c r="FFK10" s="63"/>
      <c r="FFL10" s="34"/>
      <c r="FFM10" s="64"/>
      <c r="FFN10" s="4"/>
      <c r="FFO10" s="65"/>
      <c r="FFP10" s="4"/>
      <c r="FFQ10" s="4"/>
      <c r="FFR10" s="4"/>
      <c r="FFU10" s="34"/>
      <c r="FFV10" s="34"/>
      <c r="FFX10" s="34"/>
      <c r="FFY10" s="72"/>
      <c r="FFZ10" s="63"/>
      <c r="FGA10" s="34"/>
      <c r="FGB10" s="64"/>
      <c r="FGC10" s="4"/>
      <c r="FGD10" s="65"/>
      <c r="FGE10" s="4"/>
      <c r="FGF10" s="4"/>
      <c r="FGG10" s="4"/>
      <c r="FGJ10" s="34"/>
      <c r="FGK10" s="34"/>
      <c r="FGM10" s="34"/>
      <c r="FGN10" s="72"/>
      <c r="FGO10" s="63"/>
      <c r="FGP10" s="34"/>
      <c r="FGQ10" s="64"/>
      <c r="FGR10" s="4"/>
      <c r="FGS10" s="65"/>
      <c r="FGT10" s="4"/>
      <c r="FGU10" s="4"/>
      <c r="FGV10" s="4"/>
      <c r="FGY10" s="34"/>
      <c r="FGZ10" s="34"/>
      <c r="FHB10" s="34"/>
      <c r="FHC10" s="72"/>
      <c r="FHD10" s="63"/>
      <c r="FHE10" s="34"/>
      <c r="FHF10" s="64"/>
      <c r="FHG10" s="4"/>
      <c r="FHH10" s="65"/>
      <c r="FHI10" s="4"/>
      <c r="FHJ10" s="4"/>
      <c r="FHK10" s="4"/>
      <c r="FHN10" s="34"/>
      <c r="FHO10" s="34"/>
      <c r="FHQ10" s="34"/>
      <c r="FHR10" s="72"/>
      <c r="FHS10" s="63"/>
      <c r="FHT10" s="34"/>
      <c r="FHU10" s="64"/>
      <c r="FHV10" s="4"/>
      <c r="FHW10" s="65"/>
      <c r="FHX10" s="4"/>
      <c r="FHY10" s="4"/>
      <c r="FHZ10" s="4"/>
      <c r="FIC10" s="34"/>
      <c r="FID10" s="34"/>
      <c r="FIF10" s="34"/>
      <c r="FIG10" s="72"/>
      <c r="FIH10" s="63"/>
      <c r="FII10" s="34"/>
      <c r="FIJ10" s="64"/>
      <c r="FIK10" s="4"/>
      <c r="FIL10" s="65"/>
      <c r="FIM10" s="4"/>
      <c r="FIN10" s="4"/>
      <c r="FIO10" s="4"/>
      <c r="FIR10" s="34"/>
      <c r="FIS10" s="34"/>
      <c r="FIU10" s="34"/>
      <c r="FIV10" s="72"/>
      <c r="FIW10" s="63"/>
      <c r="FIX10" s="34"/>
      <c r="FIY10" s="64"/>
      <c r="FIZ10" s="4"/>
      <c r="FJA10" s="65"/>
      <c r="FJB10" s="4"/>
      <c r="FJC10" s="4"/>
      <c r="FJD10" s="4"/>
      <c r="FJG10" s="34"/>
      <c r="FJH10" s="34"/>
      <c r="FJJ10" s="34"/>
      <c r="FJK10" s="72"/>
      <c r="FJL10" s="63"/>
      <c r="FJM10" s="34"/>
      <c r="FJN10" s="64"/>
      <c r="FJO10" s="4"/>
      <c r="FJP10" s="65"/>
      <c r="FJQ10" s="4"/>
      <c r="FJR10" s="4"/>
      <c r="FJS10" s="4"/>
      <c r="FJV10" s="34"/>
      <c r="FJW10" s="34"/>
      <c r="FJY10" s="34"/>
      <c r="FJZ10" s="72"/>
      <c r="FKA10" s="63"/>
      <c r="FKB10" s="34"/>
      <c r="FKC10" s="64"/>
      <c r="FKD10" s="4"/>
      <c r="FKE10" s="65"/>
      <c r="FKF10" s="4"/>
      <c r="FKG10" s="4"/>
      <c r="FKH10" s="4"/>
      <c r="FKK10" s="34"/>
      <c r="FKL10" s="34"/>
      <c r="FKN10" s="34"/>
      <c r="FKO10" s="72"/>
      <c r="FKP10" s="63"/>
      <c r="FKQ10" s="34"/>
      <c r="FKR10" s="64"/>
      <c r="FKS10" s="4"/>
      <c r="FKT10" s="65"/>
      <c r="FKU10" s="4"/>
      <c r="FKV10" s="4"/>
      <c r="FKW10" s="4"/>
      <c r="FKZ10" s="34"/>
      <c r="FLA10" s="34"/>
      <c r="FLC10" s="34"/>
      <c r="FLD10" s="72"/>
      <c r="FLE10" s="63"/>
      <c r="FLF10" s="34"/>
      <c r="FLG10" s="64"/>
      <c r="FLH10" s="4"/>
      <c r="FLI10" s="65"/>
      <c r="FLJ10" s="4"/>
      <c r="FLK10" s="4"/>
      <c r="FLL10" s="4"/>
      <c r="FLO10" s="34"/>
      <c r="FLP10" s="34"/>
      <c r="FLR10" s="34"/>
      <c r="FLS10" s="72"/>
      <c r="FLT10" s="63"/>
      <c r="FLU10" s="34"/>
      <c r="FLV10" s="64"/>
      <c r="FLW10" s="4"/>
      <c r="FLX10" s="65"/>
      <c r="FLY10" s="4"/>
      <c r="FLZ10" s="4"/>
      <c r="FMA10" s="4"/>
      <c r="FMD10" s="34"/>
      <c r="FME10" s="34"/>
      <c r="FMG10" s="34"/>
      <c r="FMH10" s="72"/>
      <c r="FMI10" s="63"/>
      <c r="FMJ10" s="34"/>
      <c r="FMK10" s="64"/>
      <c r="FML10" s="4"/>
      <c r="FMM10" s="65"/>
      <c r="FMN10" s="4"/>
      <c r="FMO10" s="4"/>
      <c r="FMP10" s="4"/>
      <c r="FMS10" s="34"/>
      <c r="FMT10" s="34"/>
      <c r="FMV10" s="34"/>
      <c r="FMW10" s="72"/>
      <c r="FMX10" s="63"/>
      <c r="FMY10" s="34"/>
      <c r="FMZ10" s="64"/>
      <c r="FNA10" s="4"/>
      <c r="FNB10" s="65"/>
      <c r="FNC10" s="4"/>
      <c r="FND10" s="4"/>
      <c r="FNE10" s="4"/>
      <c r="FNH10" s="34"/>
      <c r="FNI10" s="34"/>
      <c r="FNK10" s="34"/>
      <c r="FNL10" s="72"/>
      <c r="FNM10" s="63"/>
      <c r="FNN10" s="34"/>
      <c r="FNO10" s="64"/>
      <c r="FNP10" s="4"/>
      <c r="FNQ10" s="65"/>
      <c r="FNR10" s="4"/>
      <c r="FNS10" s="4"/>
      <c r="FNT10" s="4"/>
      <c r="FNW10" s="34"/>
      <c r="FNX10" s="34"/>
      <c r="FNZ10" s="34"/>
      <c r="FOA10" s="72"/>
      <c r="FOB10" s="63"/>
      <c r="FOC10" s="34"/>
      <c r="FOD10" s="64"/>
      <c r="FOE10" s="4"/>
      <c r="FOF10" s="65"/>
      <c r="FOG10" s="4"/>
      <c r="FOH10" s="4"/>
      <c r="FOI10" s="4"/>
      <c r="FOL10" s="34"/>
      <c r="FOM10" s="34"/>
      <c r="FOO10" s="34"/>
      <c r="FOP10" s="72"/>
      <c r="FOQ10" s="63"/>
      <c r="FOR10" s="34"/>
      <c r="FOS10" s="64"/>
      <c r="FOT10" s="4"/>
      <c r="FOU10" s="65"/>
      <c r="FOV10" s="4"/>
      <c r="FOW10" s="4"/>
      <c r="FOX10" s="4"/>
      <c r="FPA10" s="34"/>
      <c r="FPB10" s="34"/>
      <c r="FPD10" s="34"/>
      <c r="FPE10" s="72"/>
      <c r="FPF10" s="63"/>
      <c r="FPG10" s="34"/>
      <c r="FPH10" s="64"/>
      <c r="FPI10" s="4"/>
      <c r="FPJ10" s="65"/>
      <c r="FPK10" s="4"/>
      <c r="FPL10" s="4"/>
      <c r="FPM10" s="4"/>
      <c r="FPP10" s="34"/>
      <c r="FPQ10" s="34"/>
      <c r="FPS10" s="34"/>
      <c r="FPT10" s="72"/>
      <c r="FPU10" s="63"/>
      <c r="FPV10" s="34"/>
      <c r="FPW10" s="64"/>
      <c r="FPX10" s="4"/>
      <c r="FPY10" s="65"/>
      <c r="FPZ10" s="4"/>
      <c r="FQA10" s="4"/>
      <c r="FQB10" s="4"/>
      <c r="FQE10" s="34"/>
      <c r="FQF10" s="34"/>
      <c r="FQH10" s="34"/>
      <c r="FQI10" s="72"/>
      <c r="FQJ10" s="63"/>
      <c r="FQK10" s="34"/>
      <c r="FQL10" s="64"/>
      <c r="FQM10" s="4"/>
      <c r="FQN10" s="65"/>
      <c r="FQO10" s="4"/>
      <c r="FQP10" s="4"/>
      <c r="FQQ10" s="4"/>
      <c r="FQT10" s="34"/>
      <c r="FQU10" s="34"/>
      <c r="FQW10" s="34"/>
      <c r="FQX10" s="72"/>
      <c r="FQY10" s="63"/>
      <c r="FQZ10" s="34"/>
      <c r="FRA10" s="64"/>
      <c r="FRB10" s="4"/>
      <c r="FRC10" s="65"/>
      <c r="FRD10" s="4"/>
      <c r="FRE10" s="4"/>
      <c r="FRF10" s="4"/>
      <c r="FRI10" s="34"/>
      <c r="FRJ10" s="34"/>
      <c r="FRL10" s="34"/>
      <c r="FRM10" s="72"/>
      <c r="FRN10" s="63"/>
      <c r="FRO10" s="34"/>
      <c r="FRP10" s="64"/>
      <c r="FRQ10" s="4"/>
      <c r="FRR10" s="65"/>
      <c r="FRS10" s="4"/>
      <c r="FRT10" s="4"/>
      <c r="FRU10" s="4"/>
      <c r="FRX10" s="34"/>
      <c r="FRY10" s="34"/>
      <c r="FSA10" s="34"/>
      <c r="FSB10" s="72"/>
      <c r="FSC10" s="63"/>
      <c r="FSD10" s="34"/>
      <c r="FSE10" s="64"/>
      <c r="FSF10" s="4"/>
      <c r="FSG10" s="65"/>
      <c r="FSH10" s="4"/>
      <c r="FSI10" s="4"/>
      <c r="FSJ10" s="4"/>
      <c r="FSM10" s="34"/>
      <c r="FSN10" s="34"/>
      <c r="FSP10" s="34"/>
      <c r="FSQ10" s="72"/>
      <c r="FSR10" s="63"/>
      <c r="FSS10" s="34"/>
      <c r="FST10" s="64"/>
      <c r="FSU10" s="4"/>
      <c r="FSV10" s="65"/>
      <c r="FSW10" s="4"/>
      <c r="FSX10" s="4"/>
      <c r="FSY10" s="4"/>
      <c r="FTB10" s="34"/>
      <c r="FTC10" s="34"/>
      <c r="FTE10" s="34"/>
      <c r="FTF10" s="72"/>
      <c r="FTG10" s="63"/>
      <c r="FTH10" s="34"/>
      <c r="FTI10" s="64"/>
      <c r="FTJ10" s="4"/>
      <c r="FTK10" s="65"/>
      <c r="FTL10" s="4"/>
      <c r="FTM10" s="4"/>
      <c r="FTN10" s="4"/>
      <c r="FTQ10" s="34"/>
      <c r="FTR10" s="34"/>
      <c r="FTT10" s="34"/>
      <c r="FTU10" s="72"/>
      <c r="FTV10" s="63"/>
      <c r="FTW10" s="34"/>
      <c r="FTX10" s="64"/>
      <c r="FTY10" s="4"/>
      <c r="FTZ10" s="65"/>
      <c r="FUA10" s="4"/>
      <c r="FUB10" s="4"/>
      <c r="FUC10" s="4"/>
      <c r="FUF10" s="34"/>
      <c r="FUG10" s="34"/>
      <c r="FUI10" s="34"/>
      <c r="FUJ10" s="72"/>
      <c r="FUK10" s="63"/>
      <c r="FUL10" s="34"/>
      <c r="FUM10" s="64"/>
      <c r="FUN10" s="4"/>
      <c r="FUO10" s="65"/>
      <c r="FUP10" s="4"/>
      <c r="FUQ10" s="4"/>
      <c r="FUR10" s="4"/>
      <c r="FUU10" s="34"/>
      <c r="FUV10" s="34"/>
      <c r="FUX10" s="34"/>
      <c r="FUY10" s="72"/>
      <c r="FUZ10" s="63"/>
      <c r="FVA10" s="34"/>
      <c r="FVB10" s="64"/>
      <c r="FVC10" s="4"/>
      <c r="FVD10" s="65"/>
      <c r="FVE10" s="4"/>
      <c r="FVF10" s="4"/>
      <c r="FVG10" s="4"/>
      <c r="FVJ10" s="34"/>
      <c r="FVK10" s="34"/>
      <c r="FVM10" s="34"/>
      <c r="FVN10" s="72"/>
      <c r="FVO10" s="63"/>
      <c r="FVP10" s="34"/>
      <c r="FVQ10" s="64"/>
      <c r="FVR10" s="4"/>
      <c r="FVS10" s="65"/>
      <c r="FVT10" s="4"/>
      <c r="FVU10" s="4"/>
      <c r="FVV10" s="4"/>
      <c r="FVY10" s="34"/>
      <c r="FVZ10" s="34"/>
      <c r="FWB10" s="34"/>
      <c r="FWC10" s="72"/>
      <c r="FWD10" s="63"/>
      <c r="FWE10" s="34"/>
      <c r="FWF10" s="64"/>
      <c r="FWG10" s="4"/>
      <c r="FWH10" s="65"/>
      <c r="FWI10" s="4"/>
      <c r="FWJ10" s="4"/>
      <c r="FWK10" s="4"/>
      <c r="FWN10" s="34"/>
      <c r="FWO10" s="34"/>
      <c r="FWQ10" s="34"/>
      <c r="FWR10" s="72"/>
      <c r="FWS10" s="63"/>
      <c r="FWT10" s="34"/>
      <c r="FWU10" s="64"/>
      <c r="FWV10" s="4"/>
      <c r="FWW10" s="65"/>
      <c r="FWX10" s="4"/>
      <c r="FWY10" s="4"/>
      <c r="FWZ10" s="4"/>
      <c r="FXC10" s="34"/>
      <c r="FXD10" s="34"/>
      <c r="FXF10" s="34"/>
      <c r="FXG10" s="72"/>
      <c r="FXH10" s="63"/>
      <c r="FXI10" s="34"/>
      <c r="FXJ10" s="64"/>
      <c r="FXK10" s="4"/>
      <c r="FXL10" s="65"/>
      <c r="FXM10" s="4"/>
      <c r="FXN10" s="4"/>
      <c r="FXO10" s="4"/>
      <c r="FXR10" s="34"/>
      <c r="FXS10" s="34"/>
      <c r="FXU10" s="34"/>
      <c r="FXV10" s="72"/>
      <c r="FXW10" s="63"/>
      <c r="FXX10" s="34"/>
      <c r="FXY10" s="64"/>
      <c r="FXZ10" s="4"/>
      <c r="FYA10" s="65"/>
      <c r="FYB10" s="4"/>
      <c r="FYC10" s="4"/>
      <c r="FYD10" s="4"/>
      <c r="FYG10" s="34"/>
      <c r="FYH10" s="34"/>
      <c r="FYJ10" s="34"/>
      <c r="FYK10" s="72"/>
      <c r="FYL10" s="63"/>
      <c r="FYM10" s="34"/>
      <c r="FYN10" s="64"/>
      <c r="FYO10" s="4"/>
      <c r="FYP10" s="65"/>
      <c r="FYQ10" s="4"/>
      <c r="FYR10" s="4"/>
      <c r="FYS10" s="4"/>
      <c r="FYV10" s="34"/>
      <c r="FYW10" s="34"/>
      <c r="FYY10" s="34"/>
      <c r="FYZ10" s="72"/>
      <c r="FZA10" s="63"/>
      <c r="FZB10" s="34"/>
      <c r="FZC10" s="64"/>
      <c r="FZD10" s="4"/>
      <c r="FZE10" s="65"/>
      <c r="FZF10" s="4"/>
      <c r="FZG10" s="4"/>
      <c r="FZH10" s="4"/>
      <c r="FZK10" s="34"/>
      <c r="FZL10" s="34"/>
      <c r="FZN10" s="34"/>
      <c r="FZO10" s="72"/>
      <c r="FZP10" s="63"/>
      <c r="FZQ10" s="34"/>
      <c r="FZR10" s="64"/>
      <c r="FZS10" s="4"/>
      <c r="FZT10" s="65"/>
      <c r="FZU10" s="4"/>
      <c r="FZV10" s="4"/>
      <c r="FZW10" s="4"/>
      <c r="FZZ10" s="34"/>
      <c r="GAA10" s="34"/>
      <c r="GAC10" s="34"/>
      <c r="GAD10" s="72"/>
      <c r="GAE10" s="63"/>
      <c r="GAF10" s="34"/>
      <c r="GAG10" s="64"/>
      <c r="GAH10" s="4"/>
      <c r="GAI10" s="65"/>
      <c r="GAJ10" s="4"/>
      <c r="GAK10" s="4"/>
      <c r="GAL10" s="4"/>
      <c r="GAO10" s="34"/>
      <c r="GAP10" s="34"/>
      <c r="GAR10" s="34"/>
      <c r="GAS10" s="72"/>
      <c r="GAT10" s="63"/>
      <c r="GAU10" s="34"/>
      <c r="GAV10" s="64"/>
      <c r="GAW10" s="4"/>
      <c r="GAX10" s="65"/>
      <c r="GAY10" s="4"/>
      <c r="GAZ10" s="4"/>
      <c r="GBA10" s="4"/>
      <c r="GBD10" s="34"/>
      <c r="GBE10" s="34"/>
      <c r="GBG10" s="34"/>
      <c r="GBH10" s="72"/>
      <c r="GBI10" s="63"/>
      <c r="GBJ10" s="34"/>
      <c r="GBK10" s="64"/>
      <c r="GBL10" s="4"/>
      <c r="GBM10" s="65"/>
      <c r="GBN10" s="4"/>
      <c r="GBO10" s="4"/>
      <c r="GBP10" s="4"/>
      <c r="GBS10" s="34"/>
      <c r="GBT10" s="34"/>
      <c r="GBV10" s="34"/>
      <c r="GBW10" s="72"/>
      <c r="GBX10" s="63"/>
      <c r="GBY10" s="34"/>
      <c r="GBZ10" s="64"/>
      <c r="GCA10" s="4"/>
      <c r="GCB10" s="65"/>
      <c r="GCC10" s="4"/>
      <c r="GCD10" s="4"/>
      <c r="GCE10" s="4"/>
      <c r="GCH10" s="34"/>
      <c r="GCI10" s="34"/>
      <c r="GCK10" s="34"/>
      <c r="GCL10" s="72"/>
      <c r="GCM10" s="63"/>
      <c r="GCN10" s="34"/>
      <c r="GCO10" s="64"/>
      <c r="GCP10" s="4"/>
      <c r="GCQ10" s="65"/>
      <c r="GCR10" s="4"/>
      <c r="GCS10" s="4"/>
      <c r="GCT10" s="4"/>
      <c r="GCW10" s="34"/>
      <c r="GCX10" s="34"/>
      <c r="GCZ10" s="34"/>
      <c r="GDA10" s="72"/>
      <c r="GDB10" s="63"/>
      <c r="GDC10" s="34"/>
      <c r="GDD10" s="64"/>
      <c r="GDE10" s="4"/>
      <c r="GDF10" s="65"/>
      <c r="GDG10" s="4"/>
      <c r="GDH10" s="4"/>
      <c r="GDI10" s="4"/>
      <c r="GDL10" s="34"/>
      <c r="GDM10" s="34"/>
      <c r="GDO10" s="34"/>
      <c r="GDP10" s="72"/>
      <c r="GDQ10" s="63"/>
      <c r="GDR10" s="34"/>
      <c r="GDS10" s="64"/>
      <c r="GDT10" s="4"/>
      <c r="GDU10" s="65"/>
      <c r="GDV10" s="4"/>
      <c r="GDW10" s="4"/>
      <c r="GDX10" s="4"/>
      <c r="GEA10" s="34"/>
      <c r="GEB10" s="34"/>
      <c r="GED10" s="34"/>
      <c r="GEE10" s="72"/>
      <c r="GEF10" s="63"/>
      <c r="GEG10" s="34"/>
      <c r="GEH10" s="64"/>
      <c r="GEI10" s="4"/>
      <c r="GEJ10" s="65"/>
      <c r="GEK10" s="4"/>
      <c r="GEL10" s="4"/>
      <c r="GEM10" s="4"/>
      <c r="GEP10" s="34"/>
      <c r="GEQ10" s="34"/>
      <c r="GES10" s="34"/>
      <c r="GET10" s="72"/>
      <c r="GEU10" s="63"/>
      <c r="GEV10" s="34"/>
      <c r="GEW10" s="64"/>
      <c r="GEX10" s="4"/>
      <c r="GEY10" s="65"/>
      <c r="GEZ10" s="4"/>
      <c r="GFA10" s="4"/>
      <c r="GFB10" s="4"/>
      <c r="GFE10" s="34"/>
      <c r="GFF10" s="34"/>
      <c r="GFH10" s="34"/>
      <c r="GFI10" s="72"/>
      <c r="GFJ10" s="63"/>
      <c r="GFK10" s="34"/>
      <c r="GFL10" s="64"/>
      <c r="GFM10" s="4"/>
      <c r="GFN10" s="65"/>
      <c r="GFO10" s="4"/>
      <c r="GFP10" s="4"/>
      <c r="GFQ10" s="4"/>
      <c r="GFT10" s="34"/>
      <c r="GFU10" s="34"/>
      <c r="GFW10" s="34"/>
      <c r="GFX10" s="72"/>
      <c r="GFY10" s="63"/>
      <c r="GFZ10" s="34"/>
      <c r="GGA10" s="64"/>
      <c r="GGB10" s="4"/>
      <c r="GGC10" s="65"/>
      <c r="GGD10" s="4"/>
      <c r="GGE10" s="4"/>
      <c r="GGF10" s="4"/>
      <c r="GGI10" s="34"/>
      <c r="GGJ10" s="34"/>
      <c r="GGL10" s="34"/>
      <c r="GGM10" s="72"/>
      <c r="GGN10" s="63"/>
      <c r="GGO10" s="34"/>
      <c r="GGP10" s="64"/>
      <c r="GGQ10" s="4"/>
      <c r="GGR10" s="65"/>
      <c r="GGS10" s="4"/>
      <c r="GGT10" s="4"/>
      <c r="GGU10" s="4"/>
      <c r="GGX10" s="34"/>
      <c r="GGY10" s="34"/>
      <c r="GHA10" s="34"/>
      <c r="GHB10" s="72"/>
      <c r="GHC10" s="63"/>
      <c r="GHD10" s="34"/>
      <c r="GHE10" s="64"/>
      <c r="GHF10" s="4"/>
      <c r="GHG10" s="65"/>
      <c r="GHH10" s="4"/>
      <c r="GHI10" s="4"/>
      <c r="GHJ10" s="4"/>
      <c r="GHM10" s="34"/>
      <c r="GHN10" s="34"/>
      <c r="GHP10" s="34"/>
      <c r="GHQ10" s="72"/>
      <c r="GHR10" s="63"/>
      <c r="GHS10" s="34"/>
      <c r="GHT10" s="64"/>
      <c r="GHU10" s="4"/>
      <c r="GHV10" s="65"/>
      <c r="GHW10" s="4"/>
      <c r="GHX10" s="4"/>
      <c r="GHY10" s="4"/>
      <c r="GIB10" s="34"/>
      <c r="GIC10" s="34"/>
      <c r="GIE10" s="34"/>
      <c r="GIF10" s="72"/>
      <c r="GIG10" s="63"/>
      <c r="GIH10" s="34"/>
      <c r="GII10" s="64"/>
      <c r="GIJ10" s="4"/>
      <c r="GIK10" s="65"/>
      <c r="GIL10" s="4"/>
      <c r="GIM10" s="4"/>
      <c r="GIN10" s="4"/>
      <c r="GIQ10" s="34"/>
      <c r="GIR10" s="34"/>
      <c r="GIT10" s="34"/>
      <c r="GIU10" s="72"/>
      <c r="GIV10" s="63"/>
      <c r="GIW10" s="34"/>
      <c r="GIX10" s="64"/>
      <c r="GIY10" s="4"/>
      <c r="GIZ10" s="65"/>
      <c r="GJA10" s="4"/>
      <c r="GJB10" s="4"/>
      <c r="GJC10" s="4"/>
      <c r="GJF10" s="34"/>
      <c r="GJG10" s="34"/>
      <c r="GJI10" s="34"/>
      <c r="GJJ10" s="72"/>
      <c r="GJK10" s="63"/>
      <c r="GJL10" s="34"/>
      <c r="GJM10" s="64"/>
      <c r="GJN10" s="4"/>
      <c r="GJO10" s="65"/>
      <c r="GJP10" s="4"/>
      <c r="GJQ10" s="4"/>
      <c r="GJR10" s="4"/>
      <c r="GJU10" s="34"/>
      <c r="GJV10" s="34"/>
      <c r="GJX10" s="34"/>
      <c r="GJY10" s="72"/>
      <c r="GJZ10" s="63"/>
      <c r="GKA10" s="34"/>
      <c r="GKB10" s="64"/>
      <c r="GKC10" s="4"/>
      <c r="GKD10" s="65"/>
      <c r="GKE10" s="4"/>
      <c r="GKF10" s="4"/>
      <c r="GKG10" s="4"/>
      <c r="GKJ10" s="34"/>
      <c r="GKK10" s="34"/>
      <c r="GKM10" s="34"/>
      <c r="GKN10" s="72"/>
      <c r="GKO10" s="63"/>
      <c r="GKP10" s="34"/>
      <c r="GKQ10" s="64"/>
      <c r="GKR10" s="4"/>
      <c r="GKS10" s="65"/>
      <c r="GKT10" s="4"/>
      <c r="GKU10" s="4"/>
      <c r="GKV10" s="4"/>
      <c r="GKY10" s="34"/>
      <c r="GKZ10" s="34"/>
      <c r="GLB10" s="34"/>
      <c r="GLC10" s="72"/>
      <c r="GLD10" s="63"/>
      <c r="GLE10" s="34"/>
      <c r="GLF10" s="64"/>
      <c r="GLG10" s="4"/>
      <c r="GLH10" s="65"/>
      <c r="GLI10" s="4"/>
      <c r="GLJ10" s="4"/>
      <c r="GLK10" s="4"/>
      <c r="GLN10" s="34"/>
      <c r="GLO10" s="34"/>
      <c r="GLQ10" s="34"/>
      <c r="GLR10" s="72"/>
      <c r="GLS10" s="63"/>
      <c r="GLT10" s="34"/>
      <c r="GLU10" s="64"/>
      <c r="GLV10" s="4"/>
      <c r="GLW10" s="65"/>
      <c r="GLX10" s="4"/>
      <c r="GLY10" s="4"/>
      <c r="GLZ10" s="4"/>
      <c r="GMC10" s="34"/>
      <c r="GMD10" s="34"/>
      <c r="GMF10" s="34"/>
      <c r="GMG10" s="72"/>
      <c r="GMH10" s="63"/>
      <c r="GMI10" s="34"/>
      <c r="GMJ10" s="64"/>
      <c r="GMK10" s="4"/>
      <c r="GML10" s="65"/>
      <c r="GMM10" s="4"/>
      <c r="GMN10" s="4"/>
      <c r="GMO10" s="4"/>
      <c r="GMR10" s="34"/>
      <c r="GMS10" s="34"/>
      <c r="GMU10" s="34"/>
      <c r="GMV10" s="72"/>
      <c r="GMW10" s="63"/>
      <c r="GMX10" s="34"/>
      <c r="GMY10" s="64"/>
      <c r="GMZ10" s="4"/>
      <c r="GNA10" s="65"/>
      <c r="GNB10" s="4"/>
      <c r="GNC10" s="4"/>
      <c r="GND10" s="4"/>
      <c r="GNG10" s="34"/>
      <c r="GNH10" s="34"/>
      <c r="GNJ10" s="34"/>
      <c r="GNK10" s="72"/>
      <c r="GNL10" s="63"/>
      <c r="GNM10" s="34"/>
      <c r="GNN10" s="64"/>
      <c r="GNO10" s="4"/>
      <c r="GNP10" s="65"/>
      <c r="GNQ10" s="4"/>
      <c r="GNR10" s="4"/>
      <c r="GNS10" s="4"/>
      <c r="GNV10" s="34"/>
      <c r="GNW10" s="34"/>
      <c r="GNY10" s="34"/>
      <c r="GNZ10" s="72"/>
      <c r="GOA10" s="63"/>
      <c r="GOB10" s="34"/>
      <c r="GOC10" s="64"/>
      <c r="GOD10" s="4"/>
      <c r="GOE10" s="65"/>
      <c r="GOF10" s="4"/>
      <c r="GOG10" s="4"/>
      <c r="GOH10" s="4"/>
      <c r="GOK10" s="34"/>
      <c r="GOL10" s="34"/>
      <c r="GON10" s="34"/>
      <c r="GOO10" s="72"/>
      <c r="GOP10" s="63"/>
      <c r="GOQ10" s="34"/>
      <c r="GOR10" s="64"/>
      <c r="GOS10" s="4"/>
      <c r="GOT10" s="65"/>
      <c r="GOU10" s="4"/>
      <c r="GOV10" s="4"/>
      <c r="GOW10" s="4"/>
      <c r="GOZ10" s="34"/>
      <c r="GPA10" s="34"/>
      <c r="GPC10" s="34"/>
      <c r="GPD10" s="72"/>
      <c r="GPE10" s="63"/>
      <c r="GPF10" s="34"/>
      <c r="GPG10" s="64"/>
      <c r="GPH10" s="4"/>
      <c r="GPI10" s="65"/>
      <c r="GPJ10" s="4"/>
      <c r="GPK10" s="4"/>
      <c r="GPL10" s="4"/>
      <c r="GPO10" s="34"/>
      <c r="GPP10" s="34"/>
      <c r="GPR10" s="34"/>
      <c r="GPS10" s="72"/>
      <c r="GPT10" s="63"/>
      <c r="GPU10" s="34"/>
      <c r="GPV10" s="64"/>
      <c r="GPW10" s="4"/>
      <c r="GPX10" s="65"/>
      <c r="GPY10" s="4"/>
      <c r="GPZ10" s="4"/>
      <c r="GQA10" s="4"/>
      <c r="GQD10" s="34"/>
      <c r="GQE10" s="34"/>
      <c r="GQG10" s="34"/>
      <c r="GQH10" s="72"/>
      <c r="GQI10" s="63"/>
      <c r="GQJ10" s="34"/>
      <c r="GQK10" s="64"/>
      <c r="GQL10" s="4"/>
      <c r="GQM10" s="65"/>
      <c r="GQN10" s="4"/>
      <c r="GQO10" s="4"/>
      <c r="GQP10" s="4"/>
      <c r="GQS10" s="34"/>
      <c r="GQT10" s="34"/>
      <c r="GQV10" s="34"/>
      <c r="GQW10" s="72"/>
      <c r="GQX10" s="63"/>
      <c r="GQY10" s="34"/>
      <c r="GQZ10" s="64"/>
      <c r="GRA10" s="4"/>
      <c r="GRB10" s="65"/>
      <c r="GRC10" s="4"/>
      <c r="GRD10" s="4"/>
      <c r="GRE10" s="4"/>
      <c r="GRH10" s="34"/>
      <c r="GRI10" s="34"/>
      <c r="GRK10" s="34"/>
      <c r="GRL10" s="72"/>
      <c r="GRM10" s="63"/>
      <c r="GRN10" s="34"/>
      <c r="GRO10" s="64"/>
      <c r="GRP10" s="4"/>
      <c r="GRQ10" s="65"/>
      <c r="GRR10" s="4"/>
      <c r="GRS10" s="4"/>
      <c r="GRT10" s="4"/>
      <c r="GRW10" s="34"/>
      <c r="GRX10" s="34"/>
      <c r="GRZ10" s="34"/>
      <c r="GSA10" s="72"/>
      <c r="GSB10" s="63"/>
      <c r="GSC10" s="34"/>
      <c r="GSD10" s="64"/>
      <c r="GSE10" s="4"/>
      <c r="GSF10" s="65"/>
      <c r="GSG10" s="4"/>
      <c r="GSH10" s="4"/>
      <c r="GSI10" s="4"/>
      <c r="GSL10" s="34"/>
      <c r="GSM10" s="34"/>
      <c r="GSO10" s="34"/>
      <c r="GSP10" s="72"/>
      <c r="GSQ10" s="63"/>
      <c r="GSR10" s="34"/>
      <c r="GSS10" s="64"/>
      <c r="GST10" s="4"/>
      <c r="GSU10" s="65"/>
      <c r="GSV10" s="4"/>
      <c r="GSW10" s="4"/>
      <c r="GSX10" s="4"/>
      <c r="GTA10" s="34"/>
      <c r="GTB10" s="34"/>
      <c r="GTD10" s="34"/>
      <c r="GTE10" s="72"/>
      <c r="GTF10" s="63"/>
      <c r="GTG10" s="34"/>
      <c r="GTH10" s="64"/>
      <c r="GTI10" s="4"/>
      <c r="GTJ10" s="65"/>
      <c r="GTK10" s="4"/>
      <c r="GTL10" s="4"/>
      <c r="GTM10" s="4"/>
      <c r="GTP10" s="34"/>
      <c r="GTQ10" s="34"/>
      <c r="GTS10" s="34"/>
      <c r="GTT10" s="72"/>
      <c r="GTU10" s="63"/>
      <c r="GTV10" s="34"/>
      <c r="GTW10" s="64"/>
      <c r="GTX10" s="4"/>
      <c r="GTY10" s="65"/>
      <c r="GTZ10" s="4"/>
      <c r="GUA10" s="4"/>
      <c r="GUB10" s="4"/>
      <c r="GUE10" s="34"/>
      <c r="GUF10" s="34"/>
      <c r="GUH10" s="34"/>
      <c r="GUI10" s="72"/>
      <c r="GUJ10" s="63"/>
      <c r="GUK10" s="34"/>
      <c r="GUL10" s="64"/>
      <c r="GUM10" s="4"/>
      <c r="GUN10" s="65"/>
      <c r="GUO10" s="4"/>
      <c r="GUP10" s="4"/>
      <c r="GUQ10" s="4"/>
      <c r="GUT10" s="34"/>
      <c r="GUU10" s="34"/>
      <c r="GUW10" s="34"/>
      <c r="GUX10" s="72"/>
      <c r="GUY10" s="63"/>
      <c r="GUZ10" s="34"/>
      <c r="GVA10" s="64"/>
      <c r="GVB10" s="4"/>
      <c r="GVC10" s="65"/>
      <c r="GVD10" s="4"/>
      <c r="GVE10" s="4"/>
      <c r="GVF10" s="4"/>
      <c r="GVI10" s="34"/>
      <c r="GVJ10" s="34"/>
      <c r="GVL10" s="34"/>
      <c r="GVM10" s="72"/>
      <c r="GVN10" s="63"/>
      <c r="GVO10" s="34"/>
      <c r="GVP10" s="64"/>
      <c r="GVQ10" s="4"/>
      <c r="GVR10" s="65"/>
      <c r="GVS10" s="4"/>
      <c r="GVT10" s="4"/>
      <c r="GVU10" s="4"/>
      <c r="GVX10" s="34"/>
      <c r="GVY10" s="34"/>
      <c r="GWA10" s="34"/>
      <c r="GWB10" s="72"/>
      <c r="GWC10" s="63"/>
      <c r="GWD10" s="34"/>
      <c r="GWE10" s="64"/>
      <c r="GWF10" s="4"/>
      <c r="GWG10" s="65"/>
      <c r="GWH10" s="4"/>
      <c r="GWI10" s="4"/>
      <c r="GWJ10" s="4"/>
      <c r="GWM10" s="34"/>
      <c r="GWN10" s="34"/>
      <c r="GWP10" s="34"/>
      <c r="GWQ10" s="72"/>
      <c r="GWR10" s="63"/>
      <c r="GWS10" s="34"/>
      <c r="GWT10" s="64"/>
      <c r="GWU10" s="4"/>
      <c r="GWV10" s="65"/>
      <c r="GWW10" s="4"/>
      <c r="GWX10" s="4"/>
      <c r="GWY10" s="4"/>
      <c r="GXB10" s="34"/>
      <c r="GXC10" s="34"/>
      <c r="GXE10" s="34"/>
      <c r="GXF10" s="72"/>
      <c r="GXG10" s="63"/>
      <c r="GXH10" s="34"/>
      <c r="GXI10" s="64"/>
      <c r="GXJ10" s="4"/>
      <c r="GXK10" s="65"/>
      <c r="GXL10" s="4"/>
      <c r="GXM10" s="4"/>
      <c r="GXN10" s="4"/>
      <c r="GXQ10" s="34"/>
      <c r="GXR10" s="34"/>
      <c r="GXT10" s="34"/>
      <c r="GXU10" s="72"/>
      <c r="GXV10" s="63"/>
      <c r="GXW10" s="34"/>
      <c r="GXX10" s="64"/>
      <c r="GXY10" s="4"/>
      <c r="GXZ10" s="65"/>
      <c r="GYA10" s="4"/>
      <c r="GYB10" s="4"/>
      <c r="GYC10" s="4"/>
      <c r="GYF10" s="34"/>
      <c r="GYG10" s="34"/>
      <c r="GYI10" s="34"/>
      <c r="GYJ10" s="72"/>
      <c r="GYK10" s="63"/>
      <c r="GYL10" s="34"/>
      <c r="GYM10" s="64"/>
      <c r="GYN10" s="4"/>
      <c r="GYO10" s="65"/>
      <c r="GYP10" s="4"/>
      <c r="GYQ10" s="4"/>
      <c r="GYR10" s="4"/>
      <c r="GYU10" s="34"/>
      <c r="GYV10" s="34"/>
      <c r="GYX10" s="34"/>
      <c r="GYY10" s="72"/>
      <c r="GYZ10" s="63"/>
      <c r="GZA10" s="34"/>
      <c r="GZB10" s="64"/>
      <c r="GZC10" s="4"/>
      <c r="GZD10" s="65"/>
      <c r="GZE10" s="4"/>
      <c r="GZF10" s="4"/>
      <c r="GZG10" s="4"/>
      <c r="GZJ10" s="34"/>
      <c r="GZK10" s="34"/>
      <c r="GZM10" s="34"/>
      <c r="GZN10" s="72"/>
      <c r="GZO10" s="63"/>
      <c r="GZP10" s="34"/>
      <c r="GZQ10" s="64"/>
      <c r="GZR10" s="4"/>
      <c r="GZS10" s="65"/>
      <c r="GZT10" s="4"/>
      <c r="GZU10" s="4"/>
      <c r="GZV10" s="4"/>
      <c r="GZY10" s="34"/>
      <c r="GZZ10" s="34"/>
      <c r="HAB10" s="34"/>
      <c r="HAC10" s="72"/>
      <c r="HAD10" s="63"/>
      <c r="HAE10" s="34"/>
      <c r="HAF10" s="64"/>
      <c r="HAG10" s="4"/>
      <c r="HAH10" s="65"/>
      <c r="HAI10" s="4"/>
      <c r="HAJ10" s="4"/>
      <c r="HAK10" s="4"/>
      <c r="HAN10" s="34"/>
      <c r="HAO10" s="34"/>
      <c r="HAQ10" s="34"/>
      <c r="HAR10" s="72"/>
      <c r="HAS10" s="63"/>
      <c r="HAT10" s="34"/>
      <c r="HAU10" s="64"/>
      <c r="HAV10" s="4"/>
      <c r="HAW10" s="65"/>
      <c r="HAX10" s="4"/>
      <c r="HAY10" s="4"/>
      <c r="HAZ10" s="4"/>
      <c r="HBC10" s="34"/>
      <c r="HBD10" s="34"/>
      <c r="HBF10" s="34"/>
      <c r="HBG10" s="72"/>
      <c r="HBH10" s="63"/>
      <c r="HBI10" s="34"/>
      <c r="HBJ10" s="64"/>
      <c r="HBK10" s="4"/>
      <c r="HBL10" s="65"/>
      <c r="HBM10" s="4"/>
      <c r="HBN10" s="4"/>
      <c r="HBO10" s="4"/>
      <c r="HBR10" s="34"/>
      <c r="HBS10" s="34"/>
      <c r="HBU10" s="34"/>
      <c r="HBV10" s="72"/>
      <c r="HBW10" s="63"/>
      <c r="HBX10" s="34"/>
      <c r="HBY10" s="64"/>
      <c r="HBZ10" s="4"/>
      <c r="HCA10" s="65"/>
      <c r="HCB10" s="4"/>
      <c r="HCC10" s="4"/>
      <c r="HCD10" s="4"/>
      <c r="HCG10" s="34"/>
      <c r="HCH10" s="34"/>
      <c r="HCJ10" s="34"/>
      <c r="HCK10" s="72"/>
      <c r="HCL10" s="63"/>
      <c r="HCM10" s="34"/>
      <c r="HCN10" s="64"/>
      <c r="HCO10" s="4"/>
      <c r="HCP10" s="65"/>
      <c r="HCQ10" s="4"/>
      <c r="HCR10" s="4"/>
      <c r="HCS10" s="4"/>
      <c r="HCV10" s="34"/>
      <c r="HCW10" s="34"/>
      <c r="HCY10" s="34"/>
      <c r="HCZ10" s="72"/>
      <c r="HDA10" s="63"/>
      <c r="HDB10" s="34"/>
      <c r="HDC10" s="64"/>
      <c r="HDD10" s="4"/>
      <c r="HDE10" s="65"/>
      <c r="HDF10" s="4"/>
      <c r="HDG10" s="4"/>
      <c r="HDH10" s="4"/>
      <c r="HDK10" s="34"/>
      <c r="HDL10" s="34"/>
      <c r="HDN10" s="34"/>
      <c r="HDO10" s="72"/>
      <c r="HDP10" s="63"/>
      <c r="HDQ10" s="34"/>
      <c r="HDR10" s="64"/>
      <c r="HDS10" s="4"/>
      <c r="HDT10" s="65"/>
      <c r="HDU10" s="4"/>
      <c r="HDV10" s="4"/>
      <c r="HDW10" s="4"/>
      <c r="HDZ10" s="34"/>
      <c r="HEA10" s="34"/>
      <c r="HEC10" s="34"/>
      <c r="HED10" s="72"/>
      <c r="HEE10" s="63"/>
      <c r="HEF10" s="34"/>
      <c r="HEG10" s="64"/>
      <c r="HEH10" s="4"/>
      <c r="HEI10" s="65"/>
      <c r="HEJ10" s="4"/>
      <c r="HEK10" s="4"/>
      <c r="HEL10" s="4"/>
      <c r="HEO10" s="34"/>
      <c r="HEP10" s="34"/>
      <c r="HER10" s="34"/>
      <c r="HES10" s="72"/>
      <c r="HET10" s="63"/>
      <c r="HEU10" s="34"/>
      <c r="HEV10" s="64"/>
      <c r="HEW10" s="4"/>
      <c r="HEX10" s="65"/>
      <c r="HEY10" s="4"/>
      <c r="HEZ10" s="4"/>
      <c r="HFA10" s="4"/>
      <c r="HFD10" s="34"/>
      <c r="HFE10" s="34"/>
      <c r="HFG10" s="34"/>
      <c r="HFH10" s="72"/>
      <c r="HFI10" s="63"/>
      <c r="HFJ10" s="34"/>
      <c r="HFK10" s="64"/>
      <c r="HFL10" s="4"/>
      <c r="HFM10" s="65"/>
      <c r="HFN10" s="4"/>
      <c r="HFO10" s="4"/>
      <c r="HFP10" s="4"/>
      <c r="HFS10" s="34"/>
      <c r="HFT10" s="34"/>
      <c r="HFV10" s="34"/>
      <c r="HFW10" s="72"/>
      <c r="HFX10" s="63"/>
      <c r="HFY10" s="34"/>
      <c r="HFZ10" s="64"/>
      <c r="HGA10" s="4"/>
      <c r="HGB10" s="65"/>
      <c r="HGC10" s="4"/>
      <c r="HGD10" s="4"/>
      <c r="HGE10" s="4"/>
      <c r="HGH10" s="34"/>
      <c r="HGI10" s="34"/>
      <c r="HGK10" s="34"/>
      <c r="HGL10" s="72"/>
      <c r="HGM10" s="63"/>
      <c r="HGN10" s="34"/>
      <c r="HGO10" s="64"/>
      <c r="HGP10" s="4"/>
      <c r="HGQ10" s="65"/>
      <c r="HGR10" s="4"/>
      <c r="HGS10" s="4"/>
      <c r="HGT10" s="4"/>
      <c r="HGW10" s="34"/>
      <c r="HGX10" s="34"/>
      <c r="HGZ10" s="34"/>
      <c r="HHA10" s="72"/>
      <c r="HHB10" s="63"/>
      <c r="HHC10" s="34"/>
      <c r="HHD10" s="64"/>
      <c r="HHE10" s="4"/>
      <c r="HHF10" s="65"/>
      <c r="HHG10" s="4"/>
      <c r="HHH10" s="4"/>
      <c r="HHI10" s="4"/>
      <c r="HHL10" s="34"/>
      <c r="HHM10" s="34"/>
      <c r="HHO10" s="34"/>
      <c r="HHP10" s="72"/>
      <c r="HHQ10" s="63"/>
      <c r="HHR10" s="34"/>
      <c r="HHS10" s="64"/>
      <c r="HHT10" s="4"/>
      <c r="HHU10" s="65"/>
      <c r="HHV10" s="4"/>
      <c r="HHW10" s="4"/>
      <c r="HHX10" s="4"/>
      <c r="HIA10" s="34"/>
      <c r="HIB10" s="34"/>
      <c r="HID10" s="34"/>
      <c r="HIE10" s="72"/>
      <c r="HIF10" s="63"/>
      <c r="HIG10" s="34"/>
      <c r="HIH10" s="64"/>
      <c r="HII10" s="4"/>
      <c r="HIJ10" s="65"/>
      <c r="HIK10" s="4"/>
      <c r="HIL10" s="4"/>
      <c r="HIM10" s="4"/>
      <c r="HIP10" s="34"/>
      <c r="HIQ10" s="34"/>
      <c r="HIS10" s="34"/>
      <c r="HIT10" s="72"/>
      <c r="HIU10" s="63"/>
      <c r="HIV10" s="34"/>
      <c r="HIW10" s="64"/>
      <c r="HIX10" s="4"/>
      <c r="HIY10" s="65"/>
      <c r="HIZ10" s="4"/>
      <c r="HJA10" s="4"/>
      <c r="HJB10" s="4"/>
      <c r="HJE10" s="34"/>
      <c r="HJF10" s="34"/>
      <c r="HJH10" s="34"/>
      <c r="HJI10" s="72"/>
      <c r="HJJ10" s="63"/>
      <c r="HJK10" s="34"/>
      <c r="HJL10" s="64"/>
      <c r="HJM10" s="4"/>
      <c r="HJN10" s="65"/>
      <c r="HJO10" s="4"/>
      <c r="HJP10" s="4"/>
      <c r="HJQ10" s="4"/>
      <c r="HJT10" s="34"/>
      <c r="HJU10" s="34"/>
      <c r="HJW10" s="34"/>
      <c r="HJX10" s="72"/>
      <c r="HJY10" s="63"/>
      <c r="HJZ10" s="34"/>
      <c r="HKA10" s="64"/>
      <c r="HKB10" s="4"/>
      <c r="HKC10" s="65"/>
      <c r="HKD10" s="4"/>
      <c r="HKE10" s="4"/>
      <c r="HKF10" s="4"/>
      <c r="HKI10" s="34"/>
      <c r="HKJ10" s="34"/>
      <c r="HKL10" s="34"/>
      <c r="HKM10" s="72"/>
      <c r="HKN10" s="63"/>
      <c r="HKO10" s="34"/>
      <c r="HKP10" s="64"/>
      <c r="HKQ10" s="4"/>
      <c r="HKR10" s="65"/>
      <c r="HKS10" s="4"/>
      <c r="HKT10" s="4"/>
      <c r="HKU10" s="4"/>
      <c r="HKX10" s="34"/>
      <c r="HKY10" s="34"/>
      <c r="HLA10" s="34"/>
      <c r="HLB10" s="72"/>
      <c r="HLC10" s="63"/>
      <c r="HLD10" s="34"/>
      <c r="HLE10" s="64"/>
      <c r="HLF10" s="4"/>
      <c r="HLG10" s="65"/>
      <c r="HLH10" s="4"/>
      <c r="HLI10" s="4"/>
      <c r="HLJ10" s="4"/>
      <c r="HLM10" s="34"/>
      <c r="HLN10" s="34"/>
      <c r="HLP10" s="34"/>
      <c r="HLQ10" s="72"/>
      <c r="HLR10" s="63"/>
      <c r="HLS10" s="34"/>
      <c r="HLT10" s="64"/>
      <c r="HLU10" s="4"/>
      <c r="HLV10" s="65"/>
      <c r="HLW10" s="4"/>
      <c r="HLX10" s="4"/>
      <c r="HLY10" s="4"/>
      <c r="HMB10" s="34"/>
      <c r="HMC10" s="34"/>
      <c r="HME10" s="34"/>
      <c r="HMF10" s="72"/>
      <c r="HMG10" s="63"/>
      <c r="HMH10" s="34"/>
      <c r="HMI10" s="64"/>
      <c r="HMJ10" s="4"/>
      <c r="HMK10" s="65"/>
      <c r="HML10" s="4"/>
      <c r="HMM10" s="4"/>
      <c r="HMN10" s="4"/>
      <c r="HMQ10" s="34"/>
      <c r="HMR10" s="34"/>
      <c r="HMT10" s="34"/>
      <c r="HMU10" s="72"/>
      <c r="HMV10" s="63"/>
      <c r="HMW10" s="34"/>
      <c r="HMX10" s="64"/>
      <c r="HMY10" s="4"/>
      <c r="HMZ10" s="65"/>
      <c r="HNA10" s="4"/>
      <c r="HNB10" s="4"/>
      <c r="HNC10" s="4"/>
      <c r="HNF10" s="34"/>
      <c r="HNG10" s="34"/>
      <c r="HNI10" s="34"/>
      <c r="HNJ10" s="72"/>
      <c r="HNK10" s="63"/>
      <c r="HNL10" s="34"/>
      <c r="HNM10" s="64"/>
      <c r="HNN10" s="4"/>
      <c r="HNO10" s="65"/>
      <c r="HNP10" s="4"/>
      <c r="HNQ10" s="4"/>
      <c r="HNR10" s="4"/>
      <c r="HNU10" s="34"/>
      <c r="HNV10" s="34"/>
      <c r="HNX10" s="34"/>
      <c r="HNY10" s="72"/>
      <c r="HNZ10" s="63"/>
      <c r="HOA10" s="34"/>
      <c r="HOB10" s="64"/>
      <c r="HOC10" s="4"/>
      <c r="HOD10" s="65"/>
      <c r="HOE10" s="4"/>
      <c r="HOF10" s="4"/>
      <c r="HOG10" s="4"/>
      <c r="HOJ10" s="34"/>
      <c r="HOK10" s="34"/>
      <c r="HOM10" s="34"/>
      <c r="HON10" s="72"/>
      <c r="HOO10" s="63"/>
      <c r="HOP10" s="34"/>
      <c r="HOQ10" s="64"/>
      <c r="HOR10" s="4"/>
      <c r="HOS10" s="65"/>
      <c r="HOT10" s="4"/>
      <c r="HOU10" s="4"/>
      <c r="HOV10" s="4"/>
      <c r="HOY10" s="34"/>
      <c r="HOZ10" s="34"/>
      <c r="HPB10" s="34"/>
      <c r="HPC10" s="72"/>
      <c r="HPD10" s="63"/>
      <c r="HPE10" s="34"/>
      <c r="HPF10" s="64"/>
      <c r="HPG10" s="4"/>
      <c r="HPH10" s="65"/>
      <c r="HPI10" s="4"/>
      <c r="HPJ10" s="4"/>
      <c r="HPK10" s="4"/>
      <c r="HPN10" s="34"/>
      <c r="HPO10" s="34"/>
      <c r="HPQ10" s="34"/>
      <c r="HPR10" s="72"/>
      <c r="HPS10" s="63"/>
      <c r="HPT10" s="34"/>
      <c r="HPU10" s="64"/>
      <c r="HPV10" s="4"/>
      <c r="HPW10" s="65"/>
      <c r="HPX10" s="4"/>
      <c r="HPY10" s="4"/>
      <c r="HPZ10" s="4"/>
      <c r="HQC10" s="34"/>
      <c r="HQD10" s="34"/>
      <c r="HQF10" s="34"/>
      <c r="HQG10" s="72"/>
      <c r="HQH10" s="63"/>
      <c r="HQI10" s="34"/>
      <c r="HQJ10" s="64"/>
      <c r="HQK10" s="4"/>
      <c r="HQL10" s="65"/>
      <c r="HQM10" s="4"/>
      <c r="HQN10" s="4"/>
      <c r="HQO10" s="4"/>
      <c r="HQR10" s="34"/>
      <c r="HQS10" s="34"/>
      <c r="HQU10" s="34"/>
      <c r="HQV10" s="72"/>
      <c r="HQW10" s="63"/>
      <c r="HQX10" s="34"/>
      <c r="HQY10" s="64"/>
      <c r="HQZ10" s="4"/>
      <c r="HRA10" s="65"/>
      <c r="HRB10" s="4"/>
      <c r="HRC10" s="4"/>
      <c r="HRD10" s="4"/>
      <c r="HRG10" s="34"/>
      <c r="HRH10" s="34"/>
      <c r="HRJ10" s="34"/>
      <c r="HRK10" s="72"/>
      <c r="HRL10" s="63"/>
      <c r="HRM10" s="34"/>
      <c r="HRN10" s="64"/>
      <c r="HRO10" s="4"/>
      <c r="HRP10" s="65"/>
      <c r="HRQ10" s="4"/>
      <c r="HRR10" s="4"/>
      <c r="HRS10" s="4"/>
      <c r="HRV10" s="34"/>
      <c r="HRW10" s="34"/>
      <c r="HRY10" s="34"/>
      <c r="HRZ10" s="72"/>
      <c r="HSA10" s="63"/>
      <c r="HSB10" s="34"/>
      <c r="HSC10" s="64"/>
      <c r="HSD10" s="4"/>
      <c r="HSE10" s="65"/>
      <c r="HSF10" s="4"/>
      <c r="HSG10" s="4"/>
      <c r="HSH10" s="4"/>
      <c r="HSK10" s="34"/>
      <c r="HSL10" s="34"/>
      <c r="HSN10" s="34"/>
      <c r="HSO10" s="72"/>
      <c r="HSP10" s="63"/>
      <c r="HSQ10" s="34"/>
      <c r="HSR10" s="64"/>
      <c r="HSS10" s="4"/>
      <c r="HST10" s="65"/>
      <c r="HSU10" s="4"/>
      <c r="HSV10" s="4"/>
      <c r="HSW10" s="4"/>
      <c r="HSZ10" s="34"/>
      <c r="HTA10" s="34"/>
      <c r="HTC10" s="34"/>
      <c r="HTD10" s="72"/>
      <c r="HTE10" s="63"/>
      <c r="HTF10" s="34"/>
      <c r="HTG10" s="64"/>
      <c r="HTH10" s="4"/>
      <c r="HTI10" s="65"/>
      <c r="HTJ10" s="4"/>
      <c r="HTK10" s="4"/>
      <c r="HTL10" s="4"/>
      <c r="HTO10" s="34"/>
      <c r="HTP10" s="34"/>
      <c r="HTR10" s="34"/>
      <c r="HTS10" s="72"/>
      <c r="HTT10" s="63"/>
      <c r="HTU10" s="34"/>
      <c r="HTV10" s="64"/>
      <c r="HTW10" s="4"/>
      <c r="HTX10" s="65"/>
      <c r="HTY10" s="4"/>
      <c r="HTZ10" s="4"/>
      <c r="HUA10" s="4"/>
      <c r="HUD10" s="34"/>
      <c r="HUE10" s="34"/>
      <c r="HUG10" s="34"/>
      <c r="HUH10" s="72"/>
      <c r="HUI10" s="63"/>
      <c r="HUJ10" s="34"/>
      <c r="HUK10" s="64"/>
      <c r="HUL10" s="4"/>
      <c r="HUM10" s="65"/>
      <c r="HUN10" s="4"/>
      <c r="HUO10" s="4"/>
      <c r="HUP10" s="4"/>
      <c r="HUS10" s="34"/>
      <c r="HUT10" s="34"/>
      <c r="HUV10" s="34"/>
      <c r="HUW10" s="72"/>
      <c r="HUX10" s="63"/>
      <c r="HUY10" s="34"/>
      <c r="HUZ10" s="64"/>
      <c r="HVA10" s="4"/>
      <c r="HVB10" s="65"/>
      <c r="HVC10" s="4"/>
      <c r="HVD10" s="4"/>
      <c r="HVE10" s="4"/>
      <c r="HVH10" s="34"/>
      <c r="HVI10" s="34"/>
      <c r="HVK10" s="34"/>
      <c r="HVL10" s="72"/>
      <c r="HVM10" s="63"/>
      <c r="HVN10" s="34"/>
      <c r="HVO10" s="64"/>
      <c r="HVP10" s="4"/>
      <c r="HVQ10" s="65"/>
      <c r="HVR10" s="4"/>
      <c r="HVS10" s="4"/>
      <c r="HVT10" s="4"/>
      <c r="HVW10" s="34"/>
      <c r="HVX10" s="34"/>
      <c r="HVZ10" s="34"/>
      <c r="HWA10" s="72"/>
      <c r="HWB10" s="63"/>
      <c r="HWC10" s="34"/>
      <c r="HWD10" s="64"/>
      <c r="HWE10" s="4"/>
      <c r="HWF10" s="65"/>
      <c r="HWG10" s="4"/>
      <c r="HWH10" s="4"/>
      <c r="HWI10" s="4"/>
      <c r="HWL10" s="34"/>
      <c r="HWM10" s="34"/>
      <c r="HWO10" s="34"/>
      <c r="HWP10" s="72"/>
      <c r="HWQ10" s="63"/>
      <c r="HWR10" s="34"/>
      <c r="HWS10" s="64"/>
      <c r="HWT10" s="4"/>
      <c r="HWU10" s="65"/>
      <c r="HWV10" s="4"/>
      <c r="HWW10" s="4"/>
      <c r="HWX10" s="4"/>
      <c r="HXA10" s="34"/>
      <c r="HXB10" s="34"/>
      <c r="HXD10" s="34"/>
      <c r="HXE10" s="72"/>
      <c r="HXF10" s="63"/>
      <c r="HXG10" s="34"/>
      <c r="HXH10" s="64"/>
      <c r="HXI10" s="4"/>
      <c r="HXJ10" s="65"/>
      <c r="HXK10" s="4"/>
      <c r="HXL10" s="4"/>
      <c r="HXM10" s="4"/>
      <c r="HXP10" s="34"/>
      <c r="HXQ10" s="34"/>
      <c r="HXS10" s="34"/>
      <c r="HXT10" s="72"/>
      <c r="HXU10" s="63"/>
      <c r="HXV10" s="34"/>
      <c r="HXW10" s="64"/>
      <c r="HXX10" s="4"/>
      <c r="HXY10" s="65"/>
      <c r="HXZ10" s="4"/>
      <c r="HYA10" s="4"/>
      <c r="HYB10" s="4"/>
      <c r="HYE10" s="34"/>
      <c r="HYF10" s="34"/>
      <c r="HYH10" s="34"/>
      <c r="HYI10" s="72"/>
      <c r="HYJ10" s="63"/>
      <c r="HYK10" s="34"/>
      <c r="HYL10" s="64"/>
      <c r="HYM10" s="4"/>
      <c r="HYN10" s="65"/>
      <c r="HYO10" s="4"/>
      <c r="HYP10" s="4"/>
      <c r="HYQ10" s="4"/>
      <c r="HYT10" s="34"/>
      <c r="HYU10" s="34"/>
      <c r="HYW10" s="34"/>
      <c r="HYX10" s="72"/>
      <c r="HYY10" s="63"/>
      <c r="HYZ10" s="34"/>
      <c r="HZA10" s="64"/>
      <c r="HZB10" s="4"/>
      <c r="HZC10" s="65"/>
      <c r="HZD10" s="4"/>
      <c r="HZE10" s="4"/>
      <c r="HZF10" s="4"/>
      <c r="HZI10" s="34"/>
      <c r="HZJ10" s="34"/>
      <c r="HZL10" s="34"/>
      <c r="HZM10" s="72"/>
      <c r="HZN10" s="63"/>
      <c r="HZO10" s="34"/>
      <c r="HZP10" s="64"/>
      <c r="HZQ10" s="4"/>
      <c r="HZR10" s="65"/>
      <c r="HZS10" s="4"/>
      <c r="HZT10" s="4"/>
      <c r="HZU10" s="4"/>
      <c r="HZX10" s="34"/>
      <c r="HZY10" s="34"/>
      <c r="IAA10" s="34"/>
      <c r="IAB10" s="72"/>
      <c r="IAC10" s="63"/>
      <c r="IAD10" s="34"/>
      <c r="IAE10" s="64"/>
      <c r="IAF10" s="4"/>
      <c r="IAG10" s="65"/>
      <c r="IAH10" s="4"/>
      <c r="IAI10" s="4"/>
      <c r="IAJ10" s="4"/>
      <c r="IAM10" s="34"/>
      <c r="IAN10" s="34"/>
      <c r="IAP10" s="34"/>
      <c r="IAQ10" s="72"/>
      <c r="IAR10" s="63"/>
      <c r="IAS10" s="34"/>
      <c r="IAT10" s="64"/>
      <c r="IAU10" s="4"/>
      <c r="IAV10" s="65"/>
      <c r="IAW10" s="4"/>
      <c r="IAX10" s="4"/>
      <c r="IAY10" s="4"/>
      <c r="IBB10" s="34"/>
      <c r="IBC10" s="34"/>
      <c r="IBE10" s="34"/>
      <c r="IBF10" s="72"/>
      <c r="IBG10" s="63"/>
      <c r="IBH10" s="34"/>
      <c r="IBI10" s="64"/>
      <c r="IBJ10" s="4"/>
      <c r="IBK10" s="65"/>
      <c r="IBL10" s="4"/>
      <c r="IBM10" s="4"/>
      <c r="IBN10" s="4"/>
      <c r="IBQ10" s="34"/>
      <c r="IBR10" s="34"/>
      <c r="IBT10" s="34"/>
      <c r="IBU10" s="72"/>
      <c r="IBV10" s="63"/>
      <c r="IBW10" s="34"/>
      <c r="IBX10" s="64"/>
      <c r="IBY10" s="4"/>
      <c r="IBZ10" s="65"/>
      <c r="ICA10" s="4"/>
      <c r="ICB10" s="4"/>
      <c r="ICC10" s="4"/>
      <c r="ICF10" s="34"/>
      <c r="ICG10" s="34"/>
      <c r="ICI10" s="34"/>
      <c r="ICJ10" s="72"/>
      <c r="ICK10" s="63"/>
      <c r="ICL10" s="34"/>
      <c r="ICM10" s="64"/>
      <c r="ICN10" s="4"/>
      <c r="ICO10" s="65"/>
      <c r="ICP10" s="4"/>
      <c r="ICQ10" s="4"/>
      <c r="ICR10" s="4"/>
      <c r="ICU10" s="34"/>
      <c r="ICV10" s="34"/>
      <c r="ICX10" s="34"/>
      <c r="ICY10" s="72"/>
      <c r="ICZ10" s="63"/>
      <c r="IDA10" s="34"/>
      <c r="IDB10" s="64"/>
      <c r="IDC10" s="4"/>
      <c r="IDD10" s="65"/>
      <c r="IDE10" s="4"/>
      <c r="IDF10" s="4"/>
      <c r="IDG10" s="4"/>
      <c r="IDJ10" s="34"/>
      <c r="IDK10" s="34"/>
      <c r="IDM10" s="34"/>
      <c r="IDN10" s="72"/>
      <c r="IDO10" s="63"/>
      <c r="IDP10" s="34"/>
      <c r="IDQ10" s="64"/>
      <c r="IDR10" s="4"/>
      <c r="IDS10" s="65"/>
      <c r="IDT10" s="4"/>
      <c r="IDU10" s="4"/>
      <c r="IDV10" s="4"/>
      <c r="IDY10" s="34"/>
      <c r="IDZ10" s="34"/>
      <c r="IEB10" s="34"/>
      <c r="IEC10" s="72"/>
      <c r="IED10" s="63"/>
      <c r="IEE10" s="34"/>
      <c r="IEF10" s="64"/>
      <c r="IEG10" s="4"/>
      <c r="IEH10" s="65"/>
      <c r="IEI10" s="4"/>
      <c r="IEJ10" s="4"/>
      <c r="IEK10" s="4"/>
      <c r="IEN10" s="34"/>
      <c r="IEO10" s="34"/>
      <c r="IEQ10" s="34"/>
      <c r="IER10" s="72"/>
      <c r="IES10" s="63"/>
      <c r="IET10" s="34"/>
      <c r="IEU10" s="64"/>
      <c r="IEV10" s="4"/>
      <c r="IEW10" s="65"/>
      <c r="IEX10" s="4"/>
      <c r="IEY10" s="4"/>
      <c r="IEZ10" s="4"/>
      <c r="IFC10" s="34"/>
      <c r="IFD10" s="34"/>
      <c r="IFF10" s="34"/>
      <c r="IFG10" s="72"/>
      <c r="IFH10" s="63"/>
      <c r="IFI10" s="34"/>
      <c r="IFJ10" s="64"/>
      <c r="IFK10" s="4"/>
      <c r="IFL10" s="65"/>
      <c r="IFM10" s="4"/>
      <c r="IFN10" s="4"/>
      <c r="IFO10" s="4"/>
      <c r="IFR10" s="34"/>
      <c r="IFS10" s="34"/>
      <c r="IFU10" s="34"/>
      <c r="IFV10" s="72"/>
      <c r="IFW10" s="63"/>
      <c r="IFX10" s="34"/>
      <c r="IFY10" s="64"/>
      <c r="IFZ10" s="4"/>
      <c r="IGA10" s="65"/>
      <c r="IGB10" s="4"/>
      <c r="IGC10" s="4"/>
      <c r="IGD10" s="4"/>
      <c r="IGG10" s="34"/>
      <c r="IGH10" s="34"/>
      <c r="IGJ10" s="34"/>
      <c r="IGK10" s="72"/>
      <c r="IGL10" s="63"/>
      <c r="IGM10" s="34"/>
      <c r="IGN10" s="64"/>
      <c r="IGO10" s="4"/>
      <c r="IGP10" s="65"/>
      <c r="IGQ10" s="4"/>
      <c r="IGR10" s="4"/>
      <c r="IGS10" s="4"/>
      <c r="IGV10" s="34"/>
      <c r="IGW10" s="34"/>
      <c r="IGY10" s="34"/>
      <c r="IGZ10" s="72"/>
      <c r="IHA10" s="63"/>
      <c r="IHB10" s="34"/>
      <c r="IHC10" s="64"/>
      <c r="IHD10" s="4"/>
      <c r="IHE10" s="65"/>
      <c r="IHF10" s="4"/>
      <c r="IHG10" s="4"/>
      <c r="IHH10" s="4"/>
      <c r="IHK10" s="34"/>
      <c r="IHL10" s="34"/>
      <c r="IHN10" s="34"/>
      <c r="IHO10" s="72"/>
      <c r="IHP10" s="63"/>
      <c r="IHQ10" s="34"/>
      <c r="IHR10" s="64"/>
      <c r="IHS10" s="4"/>
      <c r="IHT10" s="65"/>
      <c r="IHU10" s="4"/>
      <c r="IHV10" s="4"/>
      <c r="IHW10" s="4"/>
      <c r="IHZ10" s="34"/>
      <c r="IIA10" s="34"/>
      <c r="IIC10" s="34"/>
      <c r="IID10" s="72"/>
      <c r="IIE10" s="63"/>
      <c r="IIF10" s="34"/>
      <c r="IIG10" s="64"/>
      <c r="IIH10" s="4"/>
      <c r="III10" s="65"/>
      <c r="IIJ10" s="4"/>
      <c r="IIK10" s="4"/>
      <c r="IIL10" s="4"/>
      <c r="IIO10" s="34"/>
      <c r="IIP10" s="34"/>
      <c r="IIR10" s="34"/>
      <c r="IIS10" s="72"/>
      <c r="IIT10" s="63"/>
      <c r="IIU10" s="34"/>
      <c r="IIV10" s="64"/>
      <c r="IIW10" s="4"/>
      <c r="IIX10" s="65"/>
      <c r="IIY10" s="4"/>
      <c r="IIZ10" s="4"/>
      <c r="IJA10" s="4"/>
      <c r="IJD10" s="34"/>
      <c r="IJE10" s="34"/>
      <c r="IJG10" s="34"/>
      <c r="IJH10" s="72"/>
      <c r="IJI10" s="63"/>
      <c r="IJJ10" s="34"/>
      <c r="IJK10" s="64"/>
      <c r="IJL10" s="4"/>
      <c r="IJM10" s="65"/>
      <c r="IJN10" s="4"/>
      <c r="IJO10" s="4"/>
      <c r="IJP10" s="4"/>
      <c r="IJS10" s="34"/>
      <c r="IJT10" s="34"/>
      <c r="IJV10" s="34"/>
      <c r="IJW10" s="72"/>
      <c r="IJX10" s="63"/>
      <c r="IJY10" s="34"/>
      <c r="IJZ10" s="64"/>
      <c r="IKA10" s="4"/>
      <c r="IKB10" s="65"/>
      <c r="IKC10" s="4"/>
      <c r="IKD10" s="4"/>
      <c r="IKE10" s="4"/>
      <c r="IKH10" s="34"/>
      <c r="IKI10" s="34"/>
      <c r="IKK10" s="34"/>
      <c r="IKL10" s="72"/>
      <c r="IKM10" s="63"/>
      <c r="IKN10" s="34"/>
      <c r="IKO10" s="64"/>
      <c r="IKP10" s="4"/>
      <c r="IKQ10" s="65"/>
      <c r="IKR10" s="4"/>
      <c r="IKS10" s="4"/>
      <c r="IKT10" s="4"/>
      <c r="IKW10" s="34"/>
      <c r="IKX10" s="34"/>
      <c r="IKZ10" s="34"/>
      <c r="ILA10" s="72"/>
      <c r="ILB10" s="63"/>
      <c r="ILC10" s="34"/>
      <c r="ILD10" s="64"/>
      <c r="ILE10" s="4"/>
      <c r="ILF10" s="65"/>
      <c r="ILG10" s="4"/>
      <c r="ILH10" s="4"/>
      <c r="ILI10" s="4"/>
      <c r="ILL10" s="34"/>
      <c r="ILM10" s="34"/>
      <c r="ILO10" s="34"/>
      <c r="ILP10" s="72"/>
      <c r="ILQ10" s="63"/>
      <c r="ILR10" s="34"/>
      <c r="ILS10" s="64"/>
      <c r="ILT10" s="4"/>
      <c r="ILU10" s="65"/>
      <c r="ILV10" s="4"/>
      <c r="ILW10" s="4"/>
      <c r="ILX10" s="4"/>
      <c r="IMA10" s="34"/>
      <c r="IMB10" s="34"/>
      <c r="IMD10" s="34"/>
      <c r="IME10" s="72"/>
      <c r="IMF10" s="63"/>
      <c r="IMG10" s="34"/>
      <c r="IMH10" s="64"/>
      <c r="IMI10" s="4"/>
      <c r="IMJ10" s="65"/>
      <c r="IMK10" s="4"/>
      <c r="IML10" s="4"/>
      <c r="IMM10" s="4"/>
      <c r="IMP10" s="34"/>
      <c r="IMQ10" s="34"/>
      <c r="IMS10" s="34"/>
      <c r="IMT10" s="72"/>
      <c r="IMU10" s="63"/>
      <c r="IMV10" s="34"/>
      <c r="IMW10" s="64"/>
      <c r="IMX10" s="4"/>
      <c r="IMY10" s="65"/>
      <c r="IMZ10" s="4"/>
      <c r="INA10" s="4"/>
      <c r="INB10" s="4"/>
      <c r="INE10" s="34"/>
      <c r="INF10" s="34"/>
      <c r="INH10" s="34"/>
      <c r="INI10" s="72"/>
      <c r="INJ10" s="63"/>
      <c r="INK10" s="34"/>
      <c r="INL10" s="64"/>
      <c r="INM10" s="4"/>
      <c r="INN10" s="65"/>
      <c r="INO10" s="4"/>
      <c r="INP10" s="4"/>
      <c r="INQ10" s="4"/>
      <c r="INT10" s="34"/>
      <c r="INU10" s="34"/>
      <c r="INW10" s="34"/>
      <c r="INX10" s="72"/>
      <c r="INY10" s="63"/>
      <c r="INZ10" s="34"/>
      <c r="IOA10" s="64"/>
      <c r="IOB10" s="4"/>
      <c r="IOC10" s="65"/>
      <c r="IOD10" s="4"/>
      <c r="IOE10" s="4"/>
      <c r="IOF10" s="4"/>
      <c r="IOI10" s="34"/>
      <c r="IOJ10" s="34"/>
      <c r="IOL10" s="34"/>
      <c r="IOM10" s="72"/>
      <c r="ION10" s="63"/>
      <c r="IOO10" s="34"/>
      <c r="IOP10" s="64"/>
      <c r="IOQ10" s="4"/>
      <c r="IOR10" s="65"/>
      <c r="IOS10" s="4"/>
      <c r="IOT10" s="4"/>
      <c r="IOU10" s="4"/>
      <c r="IOX10" s="34"/>
      <c r="IOY10" s="34"/>
      <c r="IPA10" s="34"/>
      <c r="IPB10" s="72"/>
      <c r="IPC10" s="63"/>
      <c r="IPD10" s="34"/>
      <c r="IPE10" s="64"/>
      <c r="IPF10" s="4"/>
      <c r="IPG10" s="65"/>
      <c r="IPH10" s="4"/>
      <c r="IPI10" s="4"/>
      <c r="IPJ10" s="4"/>
      <c r="IPM10" s="34"/>
      <c r="IPN10" s="34"/>
      <c r="IPP10" s="34"/>
      <c r="IPQ10" s="72"/>
      <c r="IPR10" s="63"/>
      <c r="IPS10" s="34"/>
      <c r="IPT10" s="64"/>
      <c r="IPU10" s="4"/>
      <c r="IPV10" s="65"/>
      <c r="IPW10" s="4"/>
      <c r="IPX10" s="4"/>
      <c r="IPY10" s="4"/>
      <c r="IQB10" s="34"/>
      <c r="IQC10" s="34"/>
      <c r="IQE10" s="34"/>
      <c r="IQF10" s="72"/>
      <c r="IQG10" s="63"/>
      <c r="IQH10" s="34"/>
      <c r="IQI10" s="64"/>
      <c r="IQJ10" s="4"/>
      <c r="IQK10" s="65"/>
      <c r="IQL10" s="4"/>
      <c r="IQM10" s="4"/>
      <c r="IQN10" s="4"/>
      <c r="IQQ10" s="34"/>
      <c r="IQR10" s="34"/>
      <c r="IQT10" s="34"/>
      <c r="IQU10" s="72"/>
      <c r="IQV10" s="63"/>
      <c r="IQW10" s="34"/>
      <c r="IQX10" s="64"/>
      <c r="IQY10" s="4"/>
      <c r="IQZ10" s="65"/>
      <c r="IRA10" s="4"/>
      <c r="IRB10" s="4"/>
      <c r="IRC10" s="4"/>
      <c r="IRF10" s="34"/>
      <c r="IRG10" s="34"/>
      <c r="IRI10" s="34"/>
      <c r="IRJ10" s="72"/>
      <c r="IRK10" s="63"/>
      <c r="IRL10" s="34"/>
      <c r="IRM10" s="64"/>
      <c r="IRN10" s="4"/>
      <c r="IRO10" s="65"/>
      <c r="IRP10" s="4"/>
      <c r="IRQ10" s="4"/>
      <c r="IRR10" s="4"/>
      <c r="IRU10" s="34"/>
      <c r="IRV10" s="34"/>
      <c r="IRX10" s="34"/>
      <c r="IRY10" s="72"/>
      <c r="IRZ10" s="63"/>
      <c r="ISA10" s="34"/>
      <c r="ISB10" s="64"/>
      <c r="ISC10" s="4"/>
      <c r="ISD10" s="65"/>
      <c r="ISE10" s="4"/>
      <c r="ISF10" s="4"/>
      <c r="ISG10" s="4"/>
      <c r="ISJ10" s="34"/>
      <c r="ISK10" s="34"/>
      <c r="ISM10" s="34"/>
      <c r="ISN10" s="72"/>
      <c r="ISO10" s="63"/>
      <c r="ISP10" s="34"/>
      <c r="ISQ10" s="64"/>
      <c r="ISR10" s="4"/>
      <c r="ISS10" s="65"/>
      <c r="IST10" s="4"/>
      <c r="ISU10" s="4"/>
      <c r="ISV10" s="4"/>
      <c r="ISY10" s="34"/>
      <c r="ISZ10" s="34"/>
      <c r="ITB10" s="34"/>
      <c r="ITC10" s="72"/>
      <c r="ITD10" s="63"/>
      <c r="ITE10" s="34"/>
      <c r="ITF10" s="64"/>
      <c r="ITG10" s="4"/>
      <c r="ITH10" s="65"/>
      <c r="ITI10" s="4"/>
      <c r="ITJ10" s="4"/>
      <c r="ITK10" s="4"/>
      <c r="ITN10" s="34"/>
      <c r="ITO10" s="34"/>
      <c r="ITQ10" s="34"/>
      <c r="ITR10" s="72"/>
      <c r="ITS10" s="63"/>
      <c r="ITT10" s="34"/>
      <c r="ITU10" s="64"/>
      <c r="ITV10" s="4"/>
      <c r="ITW10" s="65"/>
      <c r="ITX10" s="4"/>
      <c r="ITY10" s="4"/>
      <c r="ITZ10" s="4"/>
      <c r="IUC10" s="34"/>
      <c r="IUD10" s="34"/>
      <c r="IUF10" s="34"/>
      <c r="IUG10" s="72"/>
      <c r="IUH10" s="63"/>
      <c r="IUI10" s="34"/>
      <c r="IUJ10" s="64"/>
      <c r="IUK10" s="4"/>
      <c r="IUL10" s="65"/>
      <c r="IUM10" s="4"/>
      <c r="IUN10" s="4"/>
      <c r="IUO10" s="4"/>
      <c r="IUR10" s="34"/>
      <c r="IUS10" s="34"/>
      <c r="IUU10" s="34"/>
      <c r="IUV10" s="72"/>
      <c r="IUW10" s="63"/>
      <c r="IUX10" s="34"/>
      <c r="IUY10" s="64"/>
      <c r="IUZ10" s="4"/>
      <c r="IVA10" s="65"/>
      <c r="IVB10" s="4"/>
      <c r="IVC10" s="4"/>
      <c r="IVD10" s="4"/>
      <c r="IVG10" s="34"/>
      <c r="IVH10" s="34"/>
      <c r="IVJ10" s="34"/>
      <c r="IVK10" s="72"/>
      <c r="IVL10" s="63"/>
      <c r="IVM10" s="34"/>
      <c r="IVN10" s="64"/>
      <c r="IVO10" s="4"/>
      <c r="IVP10" s="65"/>
      <c r="IVQ10" s="4"/>
      <c r="IVR10" s="4"/>
      <c r="IVS10" s="4"/>
      <c r="IVV10" s="34"/>
      <c r="IVW10" s="34"/>
      <c r="IVY10" s="34"/>
      <c r="IVZ10" s="72"/>
      <c r="IWA10" s="63"/>
      <c r="IWB10" s="34"/>
      <c r="IWC10" s="64"/>
      <c r="IWD10" s="4"/>
      <c r="IWE10" s="65"/>
      <c r="IWF10" s="4"/>
      <c r="IWG10" s="4"/>
      <c r="IWH10" s="4"/>
      <c r="IWK10" s="34"/>
      <c r="IWL10" s="34"/>
      <c r="IWN10" s="34"/>
      <c r="IWO10" s="72"/>
      <c r="IWP10" s="63"/>
      <c r="IWQ10" s="34"/>
      <c r="IWR10" s="64"/>
      <c r="IWS10" s="4"/>
      <c r="IWT10" s="65"/>
      <c r="IWU10" s="4"/>
      <c r="IWV10" s="4"/>
      <c r="IWW10" s="4"/>
      <c r="IWZ10" s="34"/>
      <c r="IXA10" s="34"/>
      <c r="IXC10" s="34"/>
      <c r="IXD10" s="72"/>
      <c r="IXE10" s="63"/>
      <c r="IXF10" s="34"/>
      <c r="IXG10" s="64"/>
      <c r="IXH10" s="4"/>
      <c r="IXI10" s="65"/>
      <c r="IXJ10" s="4"/>
      <c r="IXK10" s="4"/>
      <c r="IXL10" s="4"/>
      <c r="IXO10" s="34"/>
      <c r="IXP10" s="34"/>
      <c r="IXR10" s="34"/>
      <c r="IXS10" s="72"/>
      <c r="IXT10" s="63"/>
      <c r="IXU10" s="34"/>
      <c r="IXV10" s="64"/>
      <c r="IXW10" s="4"/>
      <c r="IXX10" s="65"/>
      <c r="IXY10" s="4"/>
      <c r="IXZ10" s="4"/>
      <c r="IYA10" s="4"/>
      <c r="IYD10" s="34"/>
      <c r="IYE10" s="34"/>
      <c r="IYG10" s="34"/>
      <c r="IYH10" s="72"/>
      <c r="IYI10" s="63"/>
      <c r="IYJ10" s="34"/>
      <c r="IYK10" s="64"/>
      <c r="IYL10" s="4"/>
      <c r="IYM10" s="65"/>
      <c r="IYN10" s="4"/>
      <c r="IYO10" s="4"/>
      <c r="IYP10" s="4"/>
      <c r="IYS10" s="34"/>
      <c r="IYT10" s="34"/>
      <c r="IYV10" s="34"/>
      <c r="IYW10" s="72"/>
      <c r="IYX10" s="63"/>
      <c r="IYY10" s="34"/>
      <c r="IYZ10" s="64"/>
      <c r="IZA10" s="4"/>
      <c r="IZB10" s="65"/>
      <c r="IZC10" s="4"/>
      <c r="IZD10" s="4"/>
      <c r="IZE10" s="4"/>
      <c r="IZH10" s="34"/>
      <c r="IZI10" s="34"/>
      <c r="IZK10" s="34"/>
      <c r="IZL10" s="72"/>
      <c r="IZM10" s="63"/>
      <c r="IZN10" s="34"/>
      <c r="IZO10" s="64"/>
      <c r="IZP10" s="4"/>
      <c r="IZQ10" s="65"/>
      <c r="IZR10" s="4"/>
      <c r="IZS10" s="4"/>
      <c r="IZT10" s="4"/>
      <c r="IZW10" s="34"/>
      <c r="IZX10" s="34"/>
      <c r="IZZ10" s="34"/>
      <c r="JAA10" s="72"/>
      <c r="JAB10" s="63"/>
      <c r="JAC10" s="34"/>
      <c r="JAD10" s="64"/>
      <c r="JAE10" s="4"/>
      <c r="JAF10" s="65"/>
      <c r="JAG10" s="4"/>
      <c r="JAH10" s="4"/>
      <c r="JAI10" s="4"/>
      <c r="JAL10" s="34"/>
      <c r="JAM10" s="34"/>
      <c r="JAO10" s="34"/>
      <c r="JAP10" s="72"/>
      <c r="JAQ10" s="63"/>
      <c r="JAR10" s="34"/>
      <c r="JAS10" s="64"/>
      <c r="JAT10" s="4"/>
      <c r="JAU10" s="65"/>
      <c r="JAV10" s="4"/>
      <c r="JAW10" s="4"/>
      <c r="JAX10" s="4"/>
      <c r="JBA10" s="34"/>
      <c r="JBB10" s="34"/>
      <c r="JBD10" s="34"/>
      <c r="JBE10" s="72"/>
      <c r="JBF10" s="63"/>
      <c r="JBG10" s="34"/>
      <c r="JBH10" s="64"/>
      <c r="JBI10" s="4"/>
      <c r="JBJ10" s="65"/>
      <c r="JBK10" s="4"/>
      <c r="JBL10" s="4"/>
      <c r="JBM10" s="4"/>
      <c r="JBP10" s="34"/>
      <c r="JBQ10" s="34"/>
      <c r="JBS10" s="34"/>
      <c r="JBT10" s="72"/>
      <c r="JBU10" s="63"/>
      <c r="JBV10" s="34"/>
      <c r="JBW10" s="64"/>
      <c r="JBX10" s="4"/>
      <c r="JBY10" s="65"/>
      <c r="JBZ10" s="4"/>
      <c r="JCA10" s="4"/>
      <c r="JCB10" s="4"/>
      <c r="JCE10" s="34"/>
      <c r="JCF10" s="34"/>
      <c r="JCH10" s="34"/>
      <c r="JCI10" s="72"/>
      <c r="JCJ10" s="63"/>
      <c r="JCK10" s="34"/>
      <c r="JCL10" s="64"/>
      <c r="JCM10" s="4"/>
      <c r="JCN10" s="65"/>
      <c r="JCO10" s="4"/>
      <c r="JCP10" s="4"/>
      <c r="JCQ10" s="4"/>
      <c r="JCT10" s="34"/>
      <c r="JCU10" s="34"/>
      <c r="JCW10" s="34"/>
      <c r="JCX10" s="72"/>
      <c r="JCY10" s="63"/>
      <c r="JCZ10" s="34"/>
      <c r="JDA10" s="64"/>
      <c r="JDB10" s="4"/>
      <c r="JDC10" s="65"/>
      <c r="JDD10" s="4"/>
      <c r="JDE10" s="4"/>
      <c r="JDF10" s="4"/>
      <c r="JDI10" s="34"/>
      <c r="JDJ10" s="34"/>
      <c r="JDL10" s="34"/>
      <c r="JDM10" s="72"/>
      <c r="JDN10" s="63"/>
      <c r="JDO10" s="34"/>
      <c r="JDP10" s="64"/>
      <c r="JDQ10" s="4"/>
      <c r="JDR10" s="65"/>
      <c r="JDS10" s="4"/>
      <c r="JDT10" s="4"/>
      <c r="JDU10" s="4"/>
      <c r="JDX10" s="34"/>
      <c r="JDY10" s="34"/>
      <c r="JEA10" s="34"/>
      <c r="JEB10" s="72"/>
      <c r="JEC10" s="63"/>
      <c r="JED10" s="34"/>
      <c r="JEE10" s="64"/>
      <c r="JEF10" s="4"/>
      <c r="JEG10" s="65"/>
      <c r="JEH10" s="4"/>
      <c r="JEI10" s="4"/>
      <c r="JEJ10" s="4"/>
      <c r="JEM10" s="34"/>
      <c r="JEN10" s="34"/>
      <c r="JEP10" s="34"/>
      <c r="JEQ10" s="72"/>
      <c r="JER10" s="63"/>
      <c r="JES10" s="34"/>
      <c r="JET10" s="64"/>
      <c r="JEU10" s="4"/>
      <c r="JEV10" s="65"/>
      <c r="JEW10" s="4"/>
      <c r="JEX10" s="4"/>
      <c r="JEY10" s="4"/>
      <c r="JFB10" s="34"/>
      <c r="JFC10" s="34"/>
      <c r="JFE10" s="34"/>
      <c r="JFF10" s="72"/>
      <c r="JFG10" s="63"/>
      <c r="JFH10" s="34"/>
      <c r="JFI10" s="64"/>
      <c r="JFJ10" s="4"/>
      <c r="JFK10" s="65"/>
      <c r="JFL10" s="4"/>
      <c r="JFM10" s="4"/>
      <c r="JFN10" s="4"/>
      <c r="JFQ10" s="34"/>
      <c r="JFR10" s="34"/>
      <c r="JFT10" s="34"/>
      <c r="JFU10" s="72"/>
      <c r="JFV10" s="63"/>
      <c r="JFW10" s="34"/>
      <c r="JFX10" s="64"/>
      <c r="JFY10" s="4"/>
      <c r="JFZ10" s="65"/>
      <c r="JGA10" s="4"/>
      <c r="JGB10" s="4"/>
      <c r="JGC10" s="4"/>
      <c r="JGF10" s="34"/>
      <c r="JGG10" s="34"/>
      <c r="JGI10" s="34"/>
      <c r="JGJ10" s="72"/>
      <c r="JGK10" s="63"/>
      <c r="JGL10" s="34"/>
      <c r="JGM10" s="64"/>
      <c r="JGN10" s="4"/>
      <c r="JGO10" s="65"/>
      <c r="JGP10" s="4"/>
      <c r="JGQ10" s="4"/>
      <c r="JGR10" s="4"/>
      <c r="JGU10" s="34"/>
      <c r="JGV10" s="34"/>
      <c r="JGX10" s="34"/>
      <c r="JGY10" s="72"/>
      <c r="JGZ10" s="63"/>
      <c r="JHA10" s="34"/>
      <c r="JHB10" s="64"/>
      <c r="JHC10" s="4"/>
      <c r="JHD10" s="65"/>
      <c r="JHE10" s="4"/>
      <c r="JHF10" s="4"/>
      <c r="JHG10" s="4"/>
      <c r="JHJ10" s="34"/>
      <c r="JHK10" s="34"/>
      <c r="JHM10" s="34"/>
      <c r="JHN10" s="72"/>
      <c r="JHO10" s="63"/>
      <c r="JHP10" s="34"/>
      <c r="JHQ10" s="64"/>
      <c r="JHR10" s="4"/>
      <c r="JHS10" s="65"/>
      <c r="JHT10" s="4"/>
      <c r="JHU10" s="4"/>
      <c r="JHV10" s="4"/>
      <c r="JHY10" s="34"/>
      <c r="JHZ10" s="34"/>
      <c r="JIB10" s="34"/>
      <c r="JIC10" s="72"/>
      <c r="JID10" s="63"/>
      <c r="JIE10" s="34"/>
      <c r="JIF10" s="64"/>
      <c r="JIG10" s="4"/>
      <c r="JIH10" s="65"/>
      <c r="JII10" s="4"/>
      <c r="JIJ10" s="4"/>
      <c r="JIK10" s="4"/>
      <c r="JIN10" s="34"/>
      <c r="JIO10" s="34"/>
      <c r="JIQ10" s="34"/>
      <c r="JIR10" s="72"/>
      <c r="JIS10" s="63"/>
      <c r="JIT10" s="34"/>
      <c r="JIU10" s="64"/>
      <c r="JIV10" s="4"/>
      <c r="JIW10" s="65"/>
      <c r="JIX10" s="4"/>
      <c r="JIY10" s="4"/>
      <c r="JIZ10" s="4"/>
      <c r="JJC10" s="34"/>
      <c r="JJD10" s="34"/>
      <c r="JJF10" s="34"/>
      <c r="JJG10" s="72"/>
      <c r="JJH10" s="63"/>
      <c r="JJI10" s="34"/>
      <c r="JJJ10" s="64"/>
      <c r="JJK10" s="4"/>
      <c r="JJL10" s="65"/>
      <c r="JJM10" s="4"/>
      <c r="JJN10" s="4"/>
      <c r="JJO10" s="4"/>
      <c r="JJR10" s="34"/>
      <c r="JJS10" s="34"/>
      <c r="JJU10" s="34"/>
      <c r="JJV10" s="72"/>
      <c r="JJW10" s="63"/>
      <c r="JJX10" s="34"/>
      <c r="JJY10" s="64"/>
      <c r="JJZ10" s="4"/>
      <c r="JKA10" s="65"/>
      <c r="JKB10" s="4"/>
      <c r="JKC10" s="4"/>
      <c r="JKD10" s="4"/>
      <c r="JKG10" s="34"/>
      <c r="JKH10" s="34"/>
      <c r="JKJ10" s="34"/>
      <c r="JKK10" s="72"/>
      <c r="JKL10" s="63"/>
      <c r="JKM10" s="34"/>
      <c r="JKN10" s="64"/>
      <c r="JKO10" s="4"/>
      <c r="JKP10" s="65"/>
      <c r="JKQ10" s="4"/>
      <c r="JKR10" s="4"/>
      <c r="JKS10" s="4"/>
      <c r="JKV10" s="34"/>
      <c r="JKW10" s="34"/>
      <c r="JKY10" s="34"/>
      <c r="JKZ10" s="72"/>
      <c r="JLA10" s="63"/>
      <c r="JLB10" s="34"/>
      <c r="JLC10" s="64"/>
      <c r="JLD10" s="4"/>
      <c r="JLE10" s="65"/>
      <c r="JLF10" s="4"/>
      <c r="JLG10" s="4"/>
      <c r="JLH10" s="4"/>
      <c r="JLK10" s="34"/>
      <c r="JLL10" s="34"/>
      <c r="JLN10" s="34"/>
      <c r="JLO10" s="72"/>
      <c r="JLP10" s="63"/>
      <c r="JLQ10" s="34"/>
      <c r="JLR10" s="64"/>
      <c r="JLS10" s="4"/>
      <c r="JLT10" s="65"/>
      <c r="JLU10" s="4"/>
      <c r="JLV10" s="4"/>
      <c r="JLW10" s="4"/>
      <c r="JLZ10" s="34"/>
      <c r="JMA10" s="34"/>
      <c r="JMC10" s="34"/>
      <c r="JMD10" s="72"/>
      <c r="JME10" s="63"/>
      <c r="JMF10" s="34"/>
      <c r="JMG10" s="64"/>
      <c r="JMH10" s="4"/>
      <c r="JMI10" s="65"/>
      <c r="JMJ10" s="4"/>
      <c r="JMK10" s="4"/>
      <c r="JML10" s="4"/>
      <c r="JMO10" s="34"/>
      <c r="JMP10" s="34"/>
      <c r="JMR10" s="34"/>
      <c r="JMS10" s="72"/>
      <c r="JMT10" s="63"/>
      <c r="JMU10" s="34"/>
      <c r="JMV10" s="64"/>
      <c r="JMW10" s="4"/>
      <c r="JMX10" s="65"/>
      <c r="JMY10" s="4"/>
      <c r="JMZ10" s="4"/>
      <c r="JNA10" s="4"/>
      <c r="JND10" s="34"/>
      <c r="JNE10" s="34"/>
      <c r="JNG10" s="34"/>
      <c r="JNH10" s="72"/>
      <c r="JNI10" s="63"/>
      <c r="JNJ10" s="34"/>
      <c r="JNK10" s="64"/>
      <c r="JNL10" s="4"/>
      <c r="JNM10" s="65"/>
      <c r="JNN10" s="4"/>
      <c r="JNO10" s="4"/>
      <c r="JNP10" s="4"/>
      <c r="JNS10" s="34"/>
      <c r="JNT10" s="34"/>
      <c r="JNV10" s="34"/>
      <c r="JNW10" s="72"/>
      <c r="JNX10" s="63"/>
      <c r="JNY10" s="34"/>
      <c r="JNZ10" s="64"/>
      <c r="JOA10" s="4"/>
      <c r="JOB10" s="65"/>
      <c r="JOC10" s="4"/>
      <c r="JOD10" s="4"/>
      <c r="JOE10" s="4"/>
      <c r="JOH10" s="34"/>
      <c r="JOI10" s="34"/>
      <c r="JOK10" s="34"/>
      <c r="JOL10" s="72"/>
      <c r="JOM10" s="63"/>
      <c r="JON10" s="34"/>
      <c r="JOO10" s="64"/>
      <c r="JOP10" s="4"/>
      <c r="JOQ10" s="65"/>
      <c r="JOR10" s="4"/>
      <c r="JOS10" s="4"/>
      <c r="JOT10" s="4"/>
      <c r="JOW10" s="34"/>
      <c r="JOX10" s="34"/>
      <c r="JOZ10" s="34"/>
      <c r="JPA10" s="72"/>
      <c r="JPB10" s="63"/>
      <c r="JPC10" s="34"/>
      <c r="JPD10" s="64"/>
      <c r="JPE10" s="4"/>
      <c r="JPF10" s="65"/>
      <c r="JPG10" s="4"/>
      <c r="JPH10" s="4"/>
      <c r="JPI10" s="4"/>
      <c r="JPL10" s="34"/>
      <c r="JPM10" s="34"/>
      <c r="JPO10" s="34"/>
      <c r="JPP10" s="72"/>
      <c r="JPQ10" s="63"/>
      <c r="JPR10" s="34"/>
      <c r="JPS10" s="64"/>
      <c r="JPT10" s="4"/>
      <c r="JPU10" s="65"/>
      <c r="JPV10" s="4"/>
      <c r="JPW10" s="4"/>
      <c r="JPX10" s="4"/>
      <c r="JQA10" s="34"/>
      <c r="JQB10" s="34"/>
      <c r="JQD10" s="34"/>
      <c r="JQE10" s="72"/>
      <c r="JQF10" s="63"/>
      <c r="JQG10" s="34"/>
      <c r="JQH10" s="64"/>
      <c r="JQI10" s="4"/>
      <c r="JQJ10" s="65"/>
      <c r="JQK10" s="4"/>
      <c r="JQL10" s="4"/>
      <c r="JQM10" s="4"/>
      <c r="JQP10" s="34"/>
      <c r="JQQ10" s="34"/>
      <c r="JQS10" s="34"/>
      <c r="JQT10" s="72"/>
      <c r="JQU10" s="63"/>
      <c r="JQV10" s="34"/>
      <c r="JQW10" s="64"/>
      <c r="JQX10" s="4"/>
      <c r="JQY10" s="65"/>
      <c r="JQZ10" s="4"/>
      <c r="JRA10" s="4"/>
      <c r="JRB10" s="4"/>
      <c r="JRE10" s="34"/>
      <c r="JRF10" s="34"/>
      <c r="JRH10" s="34"/>
      <c r="JRI10" s="72"/>
      <c r="JRJ10" s="63"/>
      <c r="JRK10" s="34"/>
      <c r="JRL10" s="64"/>
      <c r="JRM10" s="4"/>
      <c r="JRN10" s="65"/>
      <c r="JRO10" s="4"/>
      <c r="JRP10" s="4"/>
      <c r="JRQ10" s="4"/>
      <c r="JRT10" s="34"/>
      <c r="JRU10" s="34"/>
      <c r="JRW10" s="34"/>
      <c r="JRX10" s="72"/>
      <c r="JRY10" s="63"/>
      <c r="JRZ10" s="34"/>
      <c r="JSA10" s="64"/>
      <c r="JSB10" s="4"/>
      <c r="JSC10" s="65"/>
      <c r="JSD10" s="4"/>
      <c r="JSE10" s="4"/>
      <c r="JSF10" s="4"/>
      <c r="JSI10" s="34"/>
      <c r="JSJ10" s="34"/>
      <c r="JSL10" s="34"/>
      <c r="JSM10" s="72"/>
      <c r="JSN10" s="63"/>
      <c r="JSO10" s="34"/>
      <c r="JSP10" s="64"/>
      <c r="JSQ10" s="4"/>
      <c r="JSR10" s="65"/>
      <c r="JSS10" s="4"/>
      <c r="JST10" s="4"/>
      <c r="JSU10" s="4"/>
      <c r="JSX10" s="34"/>
      <c r="JSY10" s="34"/>
      <c r="JTA10" s="34"/>
      <c r="JTB10" s="72"/>
      <c r="JTC10" s="63"/>
      <c r="JTD10" s="34"/>
      <c r="JTE10" s="64"/>
      <c r="JTF10" s="4"/>
      <c r="JTG10" s="65"/>
      <c r="JTH10" s="4"/>
      <c r="JTI10" s="4"/>
      <c r="JTJ10" s="4"/>
      <c r="JTM10" s="34"/>
      <c r="JTN10" s="34"/>
      <c r="JTP10" s="34"/>
      <c r="JTQ10" s="72"/>
      <c r="JTR10" s="63"/>
      <c r="JTS10" s="34"/>
      <c r="JTT10" s="64"/>
      <c r="JTU10" s="4"/>
      <c r="JTV10" s="65"/>
      <c r="JTW10" s="4"/>
      <c r="JTX10" s="4"/>
      <c r="JTY10" s="4"/>
      <c r="JUB10" s="34"/>
      <c r="JUC10" s="34"/>
      <c r="JUE10" s="34"/>
      <c r="JUF10" s="72"/>
      <c r="JUG10" s="63"/>
      <c r="JUH10" s="34"/>
      <c r="JUI10" s="64"/>
      <c r="JUJ10" s="4"/>
      <c r="JUK10" s="65"/>
      <c r="JUL10" s="4"/>
      <c r="JUM10" s="4"/>
      <c r="JUN10" s="4"/>
      <c r="JUQ10" s="34"/>
      <c r="JUR10" s="34"/>
      <c r="JUT10" s="34"/>
      <c r="JUU10" s="72"/>
      <c r="JUV10" s="63"/>
      <c r="JUW10" s="34"/>
      <c r="JUX10" s="64"/>
      <c r="JUY10" s="4"/>
      <c r="JUZ10" s="65"/>
      <c r="JVA10" s="4"/>
      <c r="JVB10" s="4"/>
      <c r="JVC10" s="4"/>
      <c r="JVF10" s="34"/>
      <c r="JVG10" s="34"/>
      <c r="JVI10" s="34"/>
      <c r="JVJ10" s="72"/>
      <c r="JVK10" s="63"/>
      <c r="JVL10" s="34"/>
      <c r="JVM10" s="64"/>
      <c r="JVN10" s="4"/>
      <c r="JVO10" s="65"/>
      <c r="JVP10" s="4"/>
      <c r="JVQ10" s="4"/>
      <c r="JVR10" s="4"/>
      <c r="JVU10" s="34"/>
      <c r="JVV10" s="34"/>
      <c r="JVX10" s="34"/>
      <c r="JVY10" s="72"/>
      <c r="JVZ10" s="63"/>
      <c r="JWA10" s="34"/>
      <c r="JWB10" s="64"/>
      <c r="JWC10" s="4"/>
      <c r="JWD10" s="65"/>
      <c r="JWE10" s="4"/>
      <c r="JWF10" s="4"/>
      <c r="JWG10" s="4"/>
      <c r="JWJ10" s="34"/>
      <c r="JWK10" s="34"/>
      <c r="JWM10" s="34"/>
      <c r="JWN10" s="72"/>
      <c r="JWO10" s="63"/>
      <c r="JWP10" s="34"/>
      <c r="JWQ10" s="64"/>
      <c r="JWR10" s="4"/>
      <c r="JWS10" s="65"/>
      <c r="JWT10" s="4"/>
      <c r="JWU10" s="4"/>
      <c r="JWV10" s="4"/>
      <c r="JWY10" s="34"/>
      <c r="JWZ10" s="34"/>
      <c r="JXB10" s="34"/>
      <c r="JXC10" s="72"/>
      <c r="JXD10" s="63"/>
      <c r="JXE10" s="34"/>
      <c r="JXF10" s="64"/>
      <c r="JXG10" s="4"/>
      <c r="JXH10" s="65"/>
      <c r="JXI10" s="4"/>
      <c r="JXJ10" s="4"/>
      <c r="JXK10" s="4"/>
      <c r="JXN10" s="34"/>
      <c r="JXO10" s="34"/>
      <c r="JXQ10" s="34"/>
      <c r="JXR10" s="72"/>
      <c r="JXS10" s="63"/>
      <c r="JXT10" s="34"/>
      <c r="JXU10" s="64"/>
      <c r="JXV10" s="4"/>
      <c r="JXW10" s="65"/>
      <c r="JXX10" s="4"/>
      <c r="JXY10" s="4"/>
      <c r="JXZ10" s="4"/>
      <c r="JYC10" s="34"/>
      <c r="JYD10" s="34"/>
      <c r="JYF10" s="34"/>
      <c r="JYG10" s="72"/>
      <c r="JYH10" s="63"/>
      <c r="JYI10" s="34"/>
      <c r="JYJ10" s="64"/>
      <c r="JYK10" s="4"/>
      <c r="JYL10" s="65"/>
      <c r="JYM10" s="4"/>
      <c r="JYN10" s="4"/>
      <c r="JYO10" s="4"/>
      <c r="JYR10" s="34"/>
      <c r="JYS10" s="34"/>
      <c r="JYU10" s="34"/>
      <c r="JYV10" s="72"/>
      <c r="JYW10" s="63"/>
      <c r="JYX10" s="34"/>
      <c r="JYY10" s="64"/>
      <c r="JYZ10" s="4"/>
      <c r="JZA10" s="65"/>
      <c r="JZB10" s="4"/>
      <c r="JZC10" s="4"/>
      <c r="JZD10" s="4"/>
      <c r="JZG10" s="34"/>
      <c r="JZH10" s="34"/>
      <c r="JZJ10" s="34"/>
      <c r="JZK10" s="72"/>
      <c r="JZL10" s="63"/>
      <c r="JZM10" s="34"/>
      <c r="JZN10" s="64"/>
      <c r="JZO10" s="4"/>
      <c r="JZP10" s="65"/>
      <c r="JZQ10" s="4"/>
      <c r="JZR10" s="4"/>
      <c r="JZS10" s="4"/>
      <c r="JZV10" s="34"/>
      <c r="JZW10" s="34"/>
      <c r="JZY10" s="34"/>
      <c r="JZZ10" s="72"/>
      <c r="KAA10" s="63"/>
      <c r="KAB10" s="34"/>
      <c r="KAC10" s="64"/>
      <c r="KAD10" s="4"/>
      <c r="KAE10" s="65"/>
      <c r="KAF10" s="4"/>
      <c r="KAG10" s="4"/>
      <c r="KAH10" s="4"/>
      <c r="KAK10" s="34"/>
      <c r="KAL10" s="34"/>
      <c r="KAN10" s="34"/>
      <c r="KAO10" s="72"/>
      <c r="KAP10" s="63"/>
      <c r="KAQ10" s="34"/>
      <c r="KAR10" s="64"/>
      <c r="KAS10" s="4"/>
      <c r="KAT10" s="65"/>
      <c r="KAU10" s="4"/>
      <c r="KAV10" s="4"/>
      <c r="KAW10" s="4"/>
      <c r="KAZ10" s="34"/>
      <c r="KBA10" s="34"/>
      <c r="KBC10" s="34"/>
      <c r="KBD10" s="72"/>
      <c r="KBE10" s="63"/>
      <c r="KBF10" s="34"/>
      <c r="KBG10" s="64"/>
      <c r="KBH10" s="4"/>
      <c r="KBI10" s="65"/>
      <c r="KBJ10" s="4"/>
      <c r="KBK10" s="4"/>
      <c r="KBL10" s="4"/>
      <c r="KBO10" s="34"/>
      <c r="KBP10" s="34"/>
      <c r="KBR10" s="34"/>
      <c r="KBS10" s="72"/>
      <c r="KBT10" s="63"/>
      <c r="KBU10" s="34"/>
      <c r="KBV10" s="64"/>
      <c r="KBW10" s="4"/>
      <c r="KBX10" s="65"/>
      <c r="KBY10" s="4"/>
      <c r="KBZ10" s="4"/>
      <c r="KCA10" s="4"/>
      <c r="KCD10" s="34"/>
      <c r="KCE10" s="34"/>
      <c r="KCG10" s="34"/>
      <c r="KCH10" s="72"/>
      <c r="KCI10" s="63"/>
      <c r="KCJ10" s="34"/>
      <c r="KCK10" s="64"/>
      <c r="KCL10" s="4"/>
      <c r="KCM10" s="65"/>
      <c r="KCN10" s="4"/>
      <c r="KCO10" s="4"/>
      <c r="KCP10" s="4"/>
      <c r="KCS10" s="34"/>
      <c r="KCT10" s="34"/>
      <c r="KCV10" s="34"/>
      <c r="KCW10" s="72"/>
      <c r="KCX10" s="63"/>
      <c r="KCY10" s="34"/>
      <c r="KCZ10" s="64"/>
      <c r="KDA10" s="4"/>
      <c r="KDB10" s="65"/>
      <c r="KDC10" s="4"/>
      <c r="KDD10" s="4"/>
      <c r="KDE10" s="4"/>
      <c r="KDH10" s="34"/>
      <c r="KDI10" s="34"/>
      <c r="KDK10" s="34"/>
      <c r="KDL10" s="72"/>
      <c r="KDM10" s="63"/>
      <c r="KDN10" s="34"/>
      <c r="KDO10" s="64"/>
      <c r="KDP10" s="4"/>
      <c r="KDQ10" s="65"/>
      <c r="KDR10" s="4"/>
      <c r="KDS10" s="4"/>
      <c r="KDT10" s="4"/>
      <c r="KDW10" s="34"/>
      <c r="KDX10" s="34"/>
      <c r="KDZ10" s="34"/>
      <c r="KEA10" s="72"/>
      <c r="KEB10" s="63"/>
      <c r="KEC10" s="34"/>
      <c r="KED10" s="64"/>
      <c r="KEE10" s="4"/>
      <c r="KEF10" s="65"/>
      <c r="KEG10" s="4"/>
      <c r="KEH10" s="4"/>
      <c r="KEI10" s="4"/>
      <c r="KEL10" s="34"/>
      <c r="KEM10" s="34"/>
      <c r="KEO10" s="34"/>
      <c r="KEP10" s="72"/>
      <c r="KEQ10" s="63"/>
      <c r="KER10" s="34"/>
      <c r="KES10" s="64"/>
      <c r="KET10" s="4"/>
      <c r="KEU10" s="65"/>
      <c r="KEV10" s="4"/>
      <c r="KEW10" s="4"/>
      <c r="KEX10" s="4"/>
      <c r="KFA10" s="34"/>
      <c r="KFB10" s="34"/>
      <c r="KFD10" s="34"/>
      <c r="KFE10" s="72"/>
      <c r="KFF10" s="63"/>
      <c r="KFG10" s="34"/>
      <c r="KFH10" s="64"/>
      <c r="KFI10" s="4"/>
      <c r="KFJ10" s="65"/>
      <c r="KFK10" s="4"/>
      <c r="KFL10" s="4"/>
      <c r="KFM10" s="4"/>
      <c r="KFP10" s="34"/>
      <c r="KFQ10" s="34"/>
      <c r="KFS10" s="34"/>
      <c r="KFT10" s="72"/>
      <c r="KFU10" s="63"/>
      <c r="KFV10" s="34"/>
      <c r="KFW10" s="64"/>
      <c r="KFX10" s="4"/>
      <c r="KFY10" s="65"/>
      <c r="KFZ10" s="4"/>
      <c r="KGA10" s="4"/>
      <c r="KGB10" s="4"/>
      <c r="KGE10" s="34"/>
      <c r="KGF10" s="34"/>
      <c r="KGH10" s="34"/>
      <c r="KGI10" s="72"/>
      <c r="KGJ10" s="63"/>
      <c r="KGK10" s="34"/>
      <c r="KGL10" s="64"/>
      <c r="KGM10" s="4"/>
      <c r="KGN10" s="65"/>
      <c r="KGO10" s="4"/>
      <c r="KGP10" s="4"/>
      <c r="KGQ10" s="4"/>
      <c r="KGT10" s="34"/>
      <c r="KGU10" s="34"/>
      <c r="KGW10" s="34"/>
      <c r="KGX10" s="72"/>
      <c r="KGY10" s="63"/>
      <c r="KGZ10" s="34"/>
      <c r="KHA10" s="64"/>
      <c r="KHB10" s="4"/>
      <c r="KHC10" s="65"/>
      <c r="KHD10" s="4"/>
      <c r="KHE10" s="4"/>
      <c r="KHF10" s="4"/>
      <c r="KHI10" s="34"/>
      <c r="KHJ10" s="34"/>
      <c r="KHL10" s="34"/>
      <c r="KHM10" s="72"/>
      <c r="KHN10" s="63"/>
      <c r="KHO10" s="34"/>
      <c r="KHP10" s="64"/>
      <c r="KHQ10" s="4"/>
      <c r="KHR10" s="65"/>
      <c r="KHS10" s="4"/>
      <c r="KHT10" s="4"/>
      <c r="KHU10" s="4"/>
      <c r="KHX10" s="34"/>
      <c r="KHY10" s="34"/>
      <c r="KIA10" s="34"/>
      <c r="KIB10" s="72"/>
      <c r="KIC10" s="63"/>
      <c r="KID10" s="34"/>
      <c r="KIE10" s="64"/>
      <c r="KIF10" s="4"/>
      <c r="KIG10" s="65"/>
      <c r="KIH10" s="4"/>
      <c r="KII10" s="4"/>
      <c r="KIJ10" s="4"/>
      <c r="KIM10" s="34"/>
      <c r="KIN10" s="34"/>
      <c r="KIP10" s="34"/>
      <c r="KIQ10" s="72"/>
      <c r="KIR10" s="63"/>
      <c r="KIS10" s="34"/>
      <c r="KIT10" s="64"/>
      <c r="KIU10" s="4"/>
      <c r="KIV10" s="65"/>
      <c r="KIW10" s="4"/>
      <c r="KIX10" s="4"/>
      <c r="KIY10" s="4"/>
      <c r="KJB10" s="34"/>
      <c r="KJC10" s="34"/>
      <c r="KJE10" s="34"/>
      <c r="KJF10" s="72"/>
      <c r="KJG10" s="63"/>
      <c r="KJH10" s="34"/>
      <c r="KJI10" s="64"/>
      <c r="KJJ10" s="4"/>
      <c r="KJK10" s="65"/>
      <c r="KJL10" s="4"/>
      <c r="KJM10" s="4"/>
      <c r="KJN10" s="4"/>
      <c r="KJQ10" s="34"/>
      <c r="KJR10" s="34"/>
      <c r="KJT10" s="34"/>
      <c r="KJU10" s="72"/>
      <c r="KJV10" s="63"/>
      <c r="KJW10" s="34"/>
      <c r="KJX10" s="64"/>
      <c r="KJY10" s="4"/>
      <c r="KJZ10" s="65"/>
      <c r="KKA10" s="4"/>
      <c r="KKB10" s="4"/>
      <c r="KKC10" s="4"/>
      <c r="KKF10" s="34"/>
      <c r="KKG10" s="34"/>
      <c r="KKI10" s="34"/>
      <c r="KKJ10" s="72"/>
      <c r="KKK10" s="63"/>
      <c r="KKL10" s="34"/>
      <c r="KKM10" s="64"/>
      <c r="KKN10" s="4"/>
      <c r="KKO10" s="65"/>
      <c r="KKP10" s="4"/>
      <c r="KKQ10" s="4"/>
      <c r="KKR10" s="4"/>
      <c r="KKU10" s="34"/>
      <c r="KKV10" s="34"/>
      <c r="KKX10" s="34"/>
      <c r="KKY10" s="72"/>
      <c r="KKZ10" s="63"/>
      <c r="KLA10" s="34"/>
      <c r="KLB10" s="64"/>
      <c r="KLC10" s="4"/>
      <c r="KLD10" s="65"/>
      <c r="KLE10" s="4"/>
      <c r="KLF10" s="4"/>
      <c r="KLG10" s="4"/>
      <c r="KLJ10" s="34"/>
      <c r="KLK10" s="34"/>
      <c r="KLM10" s="34"/>
      <c r="KLN10" s="72"/>
      <c r="KLO10" s="63"/>
      <c r="KLP10" s="34"/>
      <c r="KLQ10" s="64"/>
      <c r="KLR10" s="4"/>
      <c r="KLS10" s="65"/>
      <c r="KLT10" s="4"/>
      <c r="KLU10" s="4"/>
      <c r="KLV10" s="4"/>
      <c r="KLY10" s="34"/>
      <c r="KLZ10" s="34"/>
      <c r="KMB10" s="34"/>
      <c r="KMC10" s="72"/>
      <c r="KMD10" s="63"/>
      <c r="KME10" s="34"/>
      <c r="KMF10" s="64"/>
      <c r="KMG10" s="4"/>
      <c r="KMH10" s="65"/>
      <c r="KMI10" s="4"/>
      <c r="KMJ10" s="4"/>
      <c r="KMK10" s="4"/>
      <c r="KMN10" s="34"/>
      <c r="KMO10" s="34"/>
      <c r="KMQ10" s="34"/>
      <c r="KMR10" s="72"/>
      <c r="KMS10" s="63"/>
      <c r="KMT10" s="34"/>
      <c r="KMU10" s="64"/>
      <c r="KMV10" s="4"/>
      <c r="KMW10" s="65"/>
      <c r="KMX10" s="4"/>
      <c r="KMY10" s="4"/>
      <c r="KMZ10" s="4"/>
      <c r="KNC10" s="34"/>
      <c r="KND10" s="34"/>
      <c r="KNF10" s="34"/>
      <c r="KNG10" s="72"/>
      <c r="KNH10" s="63"/>
      <c r="KNI10" s="34"/>
      <c r="KNJ10" s="64"/>
      <c r="KNK10" s="4"/>
      <c r="KNL10" s="65"/>
      <c r="KNM10" s="4"/>
      <c r="KNN10" s="4"/>
      <c r="KNO10" s="4"/>
      <c r="KNR10" s="34"/>
      <c r="KNS10" s="34"/>
      <c r="KNU10" s="34"/>
      <c r="KNV10" s="72"/>
      <c r="KNW10" s="63"/>
      <c r="KNX10" s="34"/>
      <c r="KNY10" s="64"/>
      <c r="KNZ10" s="4"/>
      <c r="KOA10" s="65"/>
      <c r="KOB10" s="4"/>
      <c r="KOC10" s="4"/>
      <c r="KOD10" s="4"/>
      <c r="KOG10" s="34"/>
      <c r="KOH10" s="34"/>
      <c r="KOJ10" s="34"/>
      <c r="KOK10" s="72"/>
      <c r="KOL10" s="63"/>
      <c r="KOM10" s="34"/>
      <c r="KON10" s="64"/>
      <c r="KOO10" s="4"/>
      <c r="KOP10" s="65"/>
      <c r="KOQ10" s="4"/>
      <c r="KOR10" s="4"/>
      <c r="KOS10" s="4"/>
      <c r="KOV10" s="34"/>
      <c r="KOW10" s="34"/>
      <c r="KOY10" s="34"/>
      <c r="KOZ10" s="72"/>
      <c r="KPA10" s="63"/>
      <c r="KPB10" s="34"/>
      <c r="KPC10" s="64"/>
      <c r="KPD10" s="4"/>
      <c r="KPE10" s="65"/>
      <c r="KPF10" s="4"/>
      <c r="KPG10" s="4"/>
      <c r="KPH10" s="4"/>
      <c r="KPK10" s="34"/>
      <c r="KPL10" s="34"/>
      <c r="KPN10" s="34"/>
      <c r="KPO10" s="72"/>
      <c r="KPP10" s="63"/>
      <c r="KPQ10" s="34"/>
      <c r="KPR10" s="64"/>
      <c r="KPS10" s="4"/>
      <c r="KPT10" s="65"/>
      <c r="KPU10" s="4"/>
      <c r="KPV10" s="4"/>
      <c r="KPW10" s="4"/>
      <c r="KPZ10" s="34"/>
      <c r="KQA10" s="34"/>
      <c r="KQC10" s="34"/>
      <c r="KQD10" s="72"/>
      <c r="KQE10" s="63"/>
      <c r="KQF10" s="34"/>
      <c r="KQG10" s="64"/>
      <c r="KQH10" s="4"/>
      <c r="KQI10" s="65"/>
      <c r="KQJ10" s="4"/>
      <c r="KQK10" s="4"/>
      <c r="KQL10" s="4"/>
      <c r="KQO10" s="34"/>
      <c r="KQP10" s="34"/>
      <c r="KQR10" s="34"/>
      <c r="KQS10" s="72"/>
      <c r="KQT10" s="63"/>
      <c r="KQU10" s="34"/>
      <c r="KQV10" s="64"/>
      <c r="KQW10" s="4"/>
      <c r="KQX10" s="65"/>
      <c r="KQY10" s="4"/>
      <c r="KQZ10" s="4"/>
      <c r="KRA10" s="4"/>
      <c r="KRD10" s="34"/>
      <c r="KRE10" s="34"/>
      <c r="KRG10" s="34"/>
      <c r="KRH10" s="72"/>
      <c r="KRI10" s="63"/>
      <c r="KRJ10" s="34"/>
      <c r="KRK10" s="64"/>
      <c r="KRL10" s="4"/>
      <c r="KRM10" s="65"/>
      <c r="KRN10" s="4"/>
      <c r="KRO10" s="4"/>
      <c r="KRP10" s="4"/>
      <c r="KRS10" s="34"/>
      <c r="KRT10" s="34"/>
      <c r="KRV10" s="34"/>
      <c r="KRW10" s="72"/>
      <c r="KRX10" s="63"/>
      <c r="KRY10" s="34"/>
      <c r="KRZ10" s="64"/>
      <c r="KSA10" s="4"/>
      <c r="KSB10" s="65"/>
      <c r="KSC10" s="4"/>
      <c r="KSD10" s="4"/>
      <c r="KSE10" s="4"/>
      <c r="KSH10" s="34"/>
      <c r="KSI10" s="34"/>
      <c r="KSK10" s="34"/>
      <c r="KSL10" s="72"/>
      <c r="KSM10" s="63"/>
      <c r="KSN10" s="34"/>
      <c r="KSO10" s="64"/>
      <c r="KSP10" s="4"/>
      <c r="KSQ10" s="65"/>
      <c r="KSR10" s="4"/>
      <c r="KSS10" s="4"/>
      <c r="KST10" s="4"/>
      <c r="KSW10" s="34"/>
      <c r="KSX10" s="34"/>
      <c r="KSZ10" s="34"/>
      <c r="KTA10" s="72"/>
      <c r="KTB10" s="63"/>
      <c r="KTC10" s="34"/>
      <c r="KTD10" s="64"/>
      <c r="KTE10" s="4"/>
      <c r="KTF10" s="65"/>
      <c r="KTG10" s="4"/>
      <c r="KTH10" s="4"/>
      <c r="KTI10" s="4"/>
      <c r="KTL10" s="34"/>
      <c r="KTM10" s="34"/>
      <c r="KTO10" s="34"/>
      <c r="KTP10" s="72"/>
      <c r="KTQ10" s="63"/>
      <c r="KTR10" s="34"/>
      <c r="KTS10" s="64"/>
      <c r="KTT10" s="4"/>
      <c r="KTU10" s="65"/>
      <c r="KTV10" s="4"/>
      <c r="KTW10" s="4"/>
      <c r="KTX10" s="4"/>
      <c r="KUA10" s="34"/>
      <c r="KUB10" s="34"/>
      <c r="KUD10" s="34"/>
      <c r="KUE10" s="72"/>
      <c r="KUF10" s="63"/>
      <c r="KUG10" s="34"/>
      <c r="KUH10" s="64"/>
      <c r="KUI10" s="4"/>
      <c r="KUJ10" s="65"/>
      <c r="KUK10" s="4"/>
      <c r="KUL10" s="4"/>
      <c r="KUM10" s="4"/>
      <c r="KUP10" s="34"/>
      <c r="KUQ10" s="34"/>
      <c r="KUS10" s="34"/>
      <c r="KUT10" s="72"/>
      <c r="KUU10" s="63"/>
      <c r="KUV10" s="34"/>
      <c r="KUW10" s="64"/>
      <c r="KUX10" s="4"/>
      <c r="KUY10" s="65"/>
      <c r="KUZ10" s="4"/>
      <c r="KVA10" s="4"/>
      <c r="KVB10" s="4"/>
      <c r="KVE10" s="34"/>
      <c r="KVF10" s="34"/>
      <c r="KVH10" s="34"/>
      <c r="KVI10" s="72"/>
      <c r="KVJ10" s="63"/>
      <c r="KVK10" s="34"/>
      <c r="KVL10" s="64"/>
      <c r="KVM10" s="4"/>
      <c r="KVN10" s="65"/>
      <c r="KVO10" s="4"/>
      <c r="KVP10" s="4"/>
      <c r="KVQ10" s="4"/>
      <c r="KVT10" s="34"/>
      <c r="KVU10" s="34"/>
      <c r="KVW10" s="34"/>
      <c r="KVX10" s="72"/>
      <c r="KVY10" s="63"/>
      <c r="KVZ10" s="34"/>
      <c r="KWA10" s="64"/>
      <c r="KWB10" s="4"/>
      <c r="KWC10" s="65"/>
      <c r="KWD10" s="4"/>
      <c r="KWE10" s="4"/>
      <c r="KWF10" s="4"/>
      <c r="KWI10" s="34"/>
      <c r="KWJ10" s="34"/>
      <c r="KWL10" s="34"/>
      <c r="KWM10" s="72"/>
      <c r="KWN10" s="63"/>
      <c r="KWO10" s="34"/>
      <c r="KWP10" s="64"/>
      <c r="KWQ10" s="4"/>
      <c r="KWR10" s="65"/>
      <c r="KWS10" s="4"/>
      <c r="KWT10" s="4"/>
      <c r="KWU10" s="4"/>
      <c r="KWX10" s="34"/>
      <c r="KWY10" s="34"/>
      <c r="KXA10" s="34"/>
      <c r="KXB10" s="72"/>
      <c r="KXC10" s="63"/>
      <c r="KXD10" s="34"/>
      <c r="KXE10" s="64"/>
      <c r="KXF10" s="4"/>
      <c r="KXG10" s="65"/>
      <c r="KXH10" s="4"/>
      <c r="KXI10" s="4"/>
      <c r="KXJ10" s="4"/>
      <c r="KXM10" s="34"/>
      <c r="KXN10" s="34"/>
      <c r="KXP10" s="34"/>
      <c r="KXQ10" s="72"/>
      <c r="KXR10" s="63"/>
      <c r="KXS10" s="34"/>
      <c r="KXT10" s="64"/>
      <c r="KXU10" s="4"/>
      <c r="KXV10" s="65"/>
      <c r="KXW10" s="4"/>
      <c r="KXX10" s="4"/>
      <c r="KXY10" s="4"/>
      <c r="KYB10" s="34"/>
      <c r="KYC10" s="34"/>
      <c r="KYE10" s="34"/>
      <c r="KYF10" s="72"/>
      <c r="KYG10" s="63"/>
      <c r="KYH10" s="34"/>
      <c r="KYI10" s="64"/>
      <c r="KYJ10" s="4"/>
      <c r="KYK10" s="65"/>
      <c r="KYL10" s="4"/>
      <c r="KYM10" s="4"/>
      <c r="KYN10" s="4"/>
      <c r="KYQ10" s="34"/>
      <c r="KYR10" s="34"/>
      <c r="KYT10" s="34"/>
      <c r="KYU10" s="72"/>
      <c r="KYV10" s="63"/>
      <c r="KYW10" s="34"/>
      <c r="KYX10" s="64"/>
      <c r="KYY10" s="4"/>
      <c r="KYZ10" s="65"/>
      <c r="KZA10" s="4"/>
      <c r="KZB10" s="4"/>
      <c r="KZC10" s="4"/>
      <c r="KZF10" s="34"/>
      <c r="KZG10" s="34"/>
      <c r="KZI10" s="34"/>
      <c r="KZJ10" s="72"/>
      <c r="KZK10" s="63"/>
      <c r="KZL10" s="34"/>
      <c r="KZM10" s="64"/>
      <c r="KZN10" s="4"/>
      <c r="KZO10" s="65"/>
      <c r="KZP10" s="4"/>
      <c r="KZQ10" s="4"/>
      <c r="KZR10" s="4"/>
      <c r="KZU10" s="34"/>
      <c r="KZV10" s="34"/>
      <c r="KZX10" s="34"/>
      <c r="KZY10" s="72"/>
      <c r="KZZ10" s="63"/>
      <c r="LAA10" s="34"/>
      <c r="LAB10" s="64"/>
      <c r="LAC10" s="4"/>
      <c r="LAD10" s="65"/>
      <c r="LAE10" s="4"/>
      <c r="LAF10" s="4"/>
      <c r="LAG10" s="4"/>
      <c r="LAJ10" s="34"/>
      <c r="LAK10" s="34"/>
      <c r="LAM10" s="34"/>
      <c r="LAN10" s="72"/>
      <c r="LAO10" s="63"/>
      <c r="LAP10" s="34"/>
      <c r="LAQ10" s="64"/>
      <c r="LAR10" s="4"/>
      <c r="LAS10" s="65"/>
      <c r="LAT10" s="4"/>
      <c r="LAU10" s="4"/>
      <c r="LAV10" s="4"/>
      <c r="LAY10" s="34"/>
      <c r="LAZ10" s="34"/>
      <c r="LBB10" s="34"/>
      <c r="LBC10" s="72"/>
      <c r="LBD10" s="63"/>
      <c r="LBE10" s="34"/>
      <c r="LBF10" s="64"/>
      <c r="LBG10" s="4"/>
      <c r="LBH10" s="65"/>
      <c r="LBI10" s="4"/>
      <c r="LBJ10" s="4"/>
      <c r="LBK10" s="4"/>
      <c r="LBN10" s="34"/>
      <c r="LBO10" s="34"/>
      <c r="LBQ10" s="34"/>
      <c r="LBR10" s="72"/>
      <c r="LBS10" s="63"/>
      <c r="LBT10" s="34"/>
      <c r="LBU10" s="64"/>
      <c r="LBV10" s="4"/>
      <c r="LBW10" s="65"/>
      <c r="LBX10" s="4"/>
      <c r="LBY10" s="4"/>
      <c r="LBZ10" s="4"/>
      <c r="LCC10" s="34"/>
      <c r="LCD10" s="34"/>
      <c r="LCF10" s="34"/>
      <c r="LCG10" s="72"/>
      <c r="LCH10" s="63"/>
      <c r="LCI10" s="34"/>
      <c r="LCJ10" s="64"/>
      <c r="LCK10" s="4"/>
      <c r="LCL10" s="65"/>
      <c r="LCM10" s="4"/>
      <c r="LCN10" s="4"/>
      <c r="LCO10" s="4"/>
      <c r="LCR10" s="34"/>
      <c r="LCS10" s="34"/>
      <c r="LCU10" s="34"/>
      <c r="LCV10" s="72"/>
      <c r="LCW10" s="63"/>
      <c r="LCX10" s="34"/>
      <c r="LCY10" s="64"/>
      <c r="LCZ10" s="4"/>
      <c r="LDA10" s="65"/>
      <c r="LDB10" s="4"/>
      <c r="LDC10" s="4"/>
      <c r="LDD10" s="4"/>
      <c r="LDG10" s="34"/>
      <c r="LDH10" s="34"/>
      <c r="LDJ10" s="34"/>
      <c r="LDK10" s="72"/>
      <c r="LDL10" s="63"/>
      <c r="LDM10" s="34"/>
      <c r="LDN10" s="64"/>
      <c r="LDO10" s="4"/>
      <c r="LDP10" s="65"/>
      <c r="LDQ10" s="4"/>
      <c r="LDR10" s="4"/>
      <c r="LDS10" s="4"/>
      <c r="LDV10" s="34"/>
      <c r="LDW10" s="34"/>
      <c r="LDY10" s="34"/>
      <c r="LDZ10" s="72"/>
      <c r="LEA10" s="63"/>
      <c r="LEB10" s="34"/>
      <c r="LEC10" s="64"/>
      <c r="LED10" s="4"/>
      <c r="LEE10" s="65"/>
      <c r="LEF10" s="4"/>
      <c r="LEG10" s="4"/>
      <c r="LEH10" s="4"/>
      <c r="LEK10" s="34"/>
      <c r="LEL10" s="34"/>
      <c r="LEN10" s="34"/>
      <c r="LEO10" s="72"/>
      <c r="LEP10" s="63"/>
      <c r="LEQ10" s="34"/>
      <c r="LER10" s="64"/>
      <c r="LES10" s="4"/>
      <c r="LET10" s="65"/>
      <c r="LEU10" s="4"/>
      <c r="LEV10" s="4"/>
      <c r="LEW10" s="4"/>
      <c r="LEZ10" s="34"/>
      <c r="LFA10" s="34"/>
      <c r="LFC10" s="34"/>
      <c r="LFD10" s="72"/>
      <c r="LFE10" s="63"/>
      <c r="LFF10" s="34"/>
      <c r="LFG10" s="64"/>
      <c r="LFH10" s="4"/>
      <c r="LFI10" s="65"/>
      <c r="LFJ10" s="4"/>
      <c r="LFK10" s="4"/>
      <c r="LFL10" s="4"/>
      <c r="LFO10" s="34"/>
      <c r="LFP10" s="34"/>
      <c r="LFR10" s="34"/>
      <c r="LFS10" s="72"/>
      <c r="LFT10" s="63"/>
      <c r="LFU10" s="34"/>
      <c r="LFV10" s="64"/>
      <c r="LFW10" s="4"/>
      <c r="LFX10" s="65"/>
      <c r="LFY10" s="4"/>
      <c r="LFZ10" s="4"/>
      <c r="LGA10" s="4"/>
      <c r="LGD10" s="34"/>
      <c r="LGE10" s="34"/>
      <c r="LGG10" s="34"/>
      <c r="LGH10" s="72"/>
      <c r="LGI10" s="63"/>
      <c r="LGJ10" s="34"/>
      <c r="LGK10" s="64"/>
      <c r="LGL10" s="4"/>
      <c r="LGM10" s="65"/>
      <c r="LGN10" s="4"/>
      <c r="LGO10" s="4"/>
      <c r="LGP10" s="4"/>
      <c r="LGS10" s="34"/>
      <c r="LGT10" s="34"/>
      <c r="LGV10" s="34"/>
      <c r="LGW10" s="72"/>
      <c r="LGX10" s="63"/>
      <c r="LGY10" s="34"/>
      <c r="LGZ10" s="64"/>
      <c r="LHA10" s="4"/>
      <c r="LHB10" s="65"/>
      <c r="LHC10" s="4"/>
      <c r="LHD10" s="4"/>
      <c r="LHE10" s="4"/>
      <c r="LHH10" s="34"/>
      <c r="LHI10" s="34"/>
      <c r="LHK10" s="34"/>
      <c r="LHL10" s="72"/>
      <c r="LHM10" s="63"/>
      <c r="LHN10" s="34"/>
      <c r="LHO10" s="64"/>
      <c r="LHP10" s="4"/>
      <c r="LHQ10" s="65"/>
      <c r="LHR10" s="4"/>
      <c r="LHS10" s="4"/>
      <c r="LHT10" s="4"/>
      <c r="LHW10" s="34"/>
      <c r="LHX10" s="34"/>
      <c r="LHZ10" s="34"/>
      <c r="LIA10" s="72"/>
      <c r="LIB10" s="63"/>
      <c r="LIC10" s="34"/>
      <c r="LID10" s="64"/>
      <c r="LIE10" s="4"/>
      <c r="LIF10" s="65"/>
      <c r="LIG10" s="4"/>
      <c r="LIH10" s="4"/>
      <c r="LII10" s="4"/>
      <c r="LIL10" s="34"/>
      <c r="LIM10" s="34"/>
      <c r="LIO10" s="34"/>
      <c r="LIP10" s="72"/>
      <c r="LIQ10" s="63"/>
      <c r="LIR10" s="34"/>
      <c r="LIS10" s="64"/>
      <c r="LIT10" s="4"/>
      <c r="LIU10" s="65"/>
      <c r="LIV10" s="4"/>
      <c r="LIW10" s="4"/>
      <c r="LIX10" s="4"/>
      <c r="LJA10" s="34"/>
      <c r="LJB10" s="34"/>
      <c r="LJD10" s="34"/>
      <c r="LJE10" s="72"/>
      <c r="LJF10" s="63"/>
      <c r="LJG10" s="34"/>
      <c r="LJH10" s="64"/>
      <c r="LJI10" s="4"/>
      <c r="LJJ10" s="65"/>
      <c r="LJK10" s="4"/>
      <c r="LJL10" s="4"/>
      <c r="LJM10" s="4"/>
      <c r="LJP10" s="34"/>
      <c r="LJQ10" s="34"/>
      <c r="LJS10" s="34"/>
      <c r="LJT10" s="72"/>
      <c r="LJU10" s="63"/>
      <c r="LJV10" s="34"/>
      <c r="LJW10" s="64"/>
      <c r="LJX10" s="4"/>
      <c r="LJY10" s="65"/>
      <c r="LJZ10" s="4"/>
      <c r="LKA10" s="4"/>
      <c r="LKB10" s="4"/>
      <c r="LKE10" s="34"/>
      <c r="LKF10" s="34"/>
      <c r="LKH10" s="34"/>
      <c r="LKI10" s="72"/>
      <c r="LKJ10" s="63"/>
      <c r="LKK10" s="34"/>
      <c r="LKL10" s="64"/>
      <c r="LKM10" s="4"/>
      <c r="LKN10" s="65"/>
      <c r="LKO10" s="4"/>
      <c r="LKP10" s="4"/>
      <c r="LKQ10" s="4"/>
      <c r="LKT10" s="34"/>
      <c r="LKU10" s="34"/>
      <c r="LKW10" s="34"/>
      <c r="LKX10" s="72"/>
      <c r="LKY10" s="63"/>
      <c r="LKZ10" s="34"/>
      <c r="LLA10" s="64"/>
      <c r="LLB10" s="4"/>
      <c r="LLC10" s="65"/>
      <c r="LLD10" s="4"/>
      <c r="LLE10" s="4"/>
      <c r="LLF10" s="4"/>
      <c r="LLI10" s="34"/>
      <c r="LLJ10" s="34"/>
      <c r="LLL10" s="34"/>
      <c r="LLM10" s="72"/>
      <c r="LLN10" s="63"/>
      <c r="LLO10" s="34"/>
      <c r="LLP10" s="64"/>
      <c r="LLQ10" s="4"/>
      <c r="LLR10" s="65"/>
      <c r="LLS10" s="4"/>
      <c r="LLT10" s="4"/>
      <c r="LLU10" s="4"/>
      <c r="LLX10" s="34"/>
      <c r="LLY10" s="34"/>
      <c r="LMA10" s="34"/>
      <c r="LMB10" s="72"/>
      <c r="LMC10" s="63"/>
      <c r="LMD10" s="34"/>
      <c r="LME10" s="64"/>
      <c r="LMF10" s="4"/>
      <c r="LMG10" s="65"/>
      <c r="LMH10" s="4"/>
      <c r="LMI10" s="4"/>
      <c r="LMJ10" s="4"/>
      <c r="LMM10" s="34"/>
      <c r="LMN10" s="34"/>
      <c r="LMP10" s="34"/>
      <c r="LMQ10" s="72"/>
      <c r="LMR10" s="63"/>
      <c r="LMS10" s="34"/>
      <c r="LMT10" s="64"/>
      <c r="LMU10" s="4"/>
      <c r="LMV10" s="65"/>
      <c r="LMW10" s="4"/>
      <c r="LMX10" s="4"/>
      <c r="LMY10" s="4"/>
      <c r="LNB10" s="34"/>
      <c r="LNC10" s="34"/>
      <c r="LNE10" s="34"/>
      <c r="LNF10" s="72"/>
      <c r="LNG10" s="63"/>
      <c r="LNH10" s="34"/>
      <c r="LNI10" s="64"/>
      <c r="LNJ10" s="4"/>
      <c r="LNK10" s="65"/>
      <c r="LNL10" s="4"/>
      <c r="LNM10" s="4"/>
      <c r="LNN10" s="4"/>
      <c r="LNQ10" s="34"/>
      <c r="LNR10" s="34"/>
      <c r="LNT10" s="34"/>
      <c r="LNU10" s="72"/>
      <c r="LNV10" s="63"/>
      <c r="LNW10" s="34"/>
      <c r="LNX10" s="64"/>
      <c r="LNY10" s="4"/>
      <c r="LNZ10" s="65"/>
      <c r="LOA10" s="4"/>
      <c r="LOB10" s="4"/>
      <c r="LOC10" s="4"/>
      <c r="LOF10" s="34"/>
      <c r="LOG10" s="34"/>
      <c r="LOI10" s="34"/>
      <c r="LOJ10" s="72"/>
      <c r="LOK10" s="63"/>
      <c r="LOL10" s="34"/>
      <c r="LOM10" s="64"/>
      <c r="LON10" s="4"/>
      <c r="LOO10" s="65"/>
      <c r="LOP10" s="4"/>
      <c r="LOQ10" s="4"/>
      <c r="LOR10" s="4"/>
      <c r="LOU10" s="34"/>
      <c r="LOV10" s="34"/>
      <c r="LOX10" s="34"/>
      <c r="LOY10" s="72"/>
      <c r="LOZ10" s="63"/>
      <c r="LPA10" s="34"/>
      <c r="LPB10" s="64"/>
      <c r="LPC10" s="4"/>
      <c r="LPD10" s="65"/>
      <c r="LPE10" s="4"/>
      <c r="LPF10" s="4"/>
      <c r="LPG10" s="4"/>
      <c r="LPJ10" s="34"/>
      <c r="LPK10" s="34"/>
      <c r="LPM10" s="34"/>
      <c r="LPN10" s="72"/>
      <c r="LPO10" s="63"/>
      <c r="LPP10" s="34"/>
      <c r="LPQ10" s="64"/>
      <c r="LPR10" s="4"/>
      <c r="LPS10" s="65"/>
      <c r="LPT10" s="4"/>
      <c r="LPU10" s="4"/>
      <c r="LPV10" s="4"/>
      <c r="LPY10" s="34"/>
      <c r="LPZ10" s="34"/>
      <c r="LQB10" s="34"/>
      <c r="LQC10" s="72"/>
      <c r="LQD10" s="63"/>
      <c r="LQE10" s="34"/>
      <c r="LQF10" s="64"/>
      <c r="LQG10" s="4"/>
      <c r="LQH10" s="65"/>
      <c r="LQI10" s="4"/>
      <c r="LQJ10" s="4"/>
      <c r="LQK10" s="4"/>
      <c r="LQN10" s="34"/>
      <c r="LQO10" s="34"/>
      <c r="LQQ10" s="34"/>
      <c r="LQR10" s="72"/>
      <c r="LQS10" s="63"/>
      <c r="LQT10" s="34"/>
      <c r="LQU10" s="64"/>
      <c r="LQV10" s="4"/>
      <c r="LQW10" s="65"/>
      <c r="LQX10" s="4"/>
      <c r="LQY10" s="4"/>
      <c r="LQZ10" s="4"/>
      <c r="LRC10" s="34"/>
      <c r="LRD10" s="34"/>
      <c r="LRF10" s="34"/>
      <c r="LRG10" s="72"/>
      <c r="LRH10" s="63"/>
      <c r="LRI10" s="34"/>
      <c r="LRJ10" s="64"/>
      <c r="LRK10" s="4"/>
      <c r="LRL10" s="65"/>
      <c r="LRM10" s="4"/>
      <c r="LRN10" s="4"/>
      <c r="LRO10" s="4"/>
      <c r="LRR10" s="34"/>
      <c r="LRS10" s="34"/>
      <c r="LRU10" s="34"/>
      <c r="LRV10" s="72"/>
      <c r="LRW10" s="63"/>
      <c r="LRX10" s="34"/>
      <c r="LRY10" s="64"/>
      <c r="LRZ10" s="4"/>
      <c r="LSA10" s="65"/>
      <c r="LSB10" s="4"/>
      <c r="LSC10" s="4"/>
      <c r="LSD10" s="4"/>
      <c r="LSG10" s="34"/>
      <c r="LSH10" s="34"/>
      <c r="LSJ10" s="34"/>
      <c r="LSK10" s="72"/>
      <c r="LSL10" s="63"/>
      <c r="LSM10" s="34"/>
      <c r="LSN10" s="64"/>
      <c r="LSO10" s="4"/>
      <c r="LSP10" s="65"/>
      <c r="LSQ10" s="4"/>
      <c r="LSR10" s="4"/>
      <c r="LSS10" s="4"/>
      <c r="LSV10" s="34"/>
      <c r="LSW10" s="34"/>
      <c r="LSY10" s="34"/>
      <c r="LSZ10" s="72"/>
      <c r="LTA10" s="63"/>
      <c r="LTB10" s="34"/>
      <c r="LTC10" s="64"/>
      <c r="LTD10" s="4"/>
      <c r="LTE10" s="65"/>
      <c r="LTF10" s="4"/>
      <c r="LTG10" s="4"/>
      <c r="LTH10" s="4"/>
      <c r="LTK10" s="34"/>
      <c r="LTL10" s="34"/>
      <c r="LTN10" s="34"/>
      <c r="LTO10" s="72"/>
      <c r="LTP10" s="63"/>
      <c r="LTQ10" s="34"/>
      <c r="LTR10" s="64"/>
      <c r="LTS10" s="4"/>
      <c r="LTT10" s="65"/>
      <c r="LTU10" s="4"/>
      <c r="LTV10" s="4"/>
      <c r="LTW10" s="4"/>
      <c r="LTZ10" s="34"/>
      <c r="LUA10" s="34"/>
      <c r="LUC10" s="34"/>
      <c r="LUD10" s="72"/>
      <c r="LUE10" s="63"/>
      <c r="LUF10" s="34"/>
      <c r="LUG10" s="64"/>
      <c r="LUH10" s="4"/>
      <c r="LUI10" s="65"/>
      <c r="LUJ10" s="4"/>
      <c r="LUK10" s="4"/>
      <c r="LUL10" s="4"/>
      <c r="LUO10" s="34"/>
      <c r="LUP10" s="34"/>
      <c r="LUR10" s="34"/>
      <c r="LUS10" s="72"/>
      <c r="LUT10" s="63"/>
      <c r="LUU10" s="34"/>
      <c r="LUV10" s="64"/>
      <c r="LUW10" s="4"/>
      <c r="LUX10" s="65"/>
      <c r="LUY10" s="4"/>
      <c r="LUZ10" s="4"/>
      <c r="LVA10" s="4"/>
      <c r="LVD10" s="34"/>
      <c r="LVE10" s="34"/>
      <c r="LVG10" s="34"/>
      <c r="LVH10" s="72"/>
      <c r="LVI10" s="63"/>
      <c r="LVJ10" s="34"/>
      <c r="LVK10" s="64"/>
      <c r="LVL10" s="4"/>
      <c r="LVM10" s="65"/>
      <c r="LVN10" s="4"/>
      <c r="LVO10" s="4"/>
      <c r="LVP10" s="4"/>
      <c r="LVS10" s="34"/>
      <c r="LVT10" s="34"/>
      <c r="LVV10" s="34"/>
      <c r="LVW10" s="72"/>
      <c r="LVX10" s="63"/>
      <c r="LVY10" s="34"/>
      <c r="LVZ10" s="64"/>
      <c r="LWA10" s="4"/>
      <c r="LWB10" s="65"/>
      <c r="LWC10" s="4"/>
      <c r="LWD10" s="4"/>
      <c r="LWE10" s="4"/>
      <c r="LWH10" s="34"/>
      <c r="LWI10" s="34"/>
      <c r="LWK10" s="34"/>
      <c r="LWL10" s="72"/>
      <c r="LWM10" s="63"/>
      <c r="LWN10" s="34"/>
      <c r="LWO10" s="64"/>
      <c r="LWP10" s="4"/>
      <c r="LWQ10" s="65"/>
      <c r="LWR10" s="4"/>
      <c r="LWS10" s="4"/>
      <c r="LWT10" s="4"/>
      <c r="LWW10" s="34"/>
      <c r="LWX10" s="34"/>
      <c r="LWZ10" s="34"/>
      <c r="LXA10" s="72"/>
      <c r="LXB10" s="63"/>
      <c r="LXC10" s="34"/>
      <c r="LXD10" s="64"/>
      <c r="LXE10" s="4"/>
      <c r="LXF10" s="65"/>
      <c r="LXG10" s="4"/>
      <c r="LXH10" s="4"/>
      <c r="LXI10" s="4"/>
      <c r="LXL10" s="34"/>
      <c r="LXM10" s="34"/>
      <c r="LXO10" s="34"/>
      <c r="LXP10" s="72"/>
      <c r="LXQ10" s="63"/>
      <c r="LXR10" s="34"/>
      <c r="LXS10" s="64"/>
      <c r="LXT10" s="4"/>
      <c r="LXU10" s="65"/>
      <c r="LXV10" s="4"/>
      <c r="LXW10" s="4"/>
      <c r="LXX10" s="4"/>
      <c r="LYA10" s="34"/>
      <c r="LYB10" s="34"/>
      <c r="LYD10" s="34"/>
      <c r="LYE10" s="72"/>
      <c r="LYF10" s="63"/>
      <c r="LYG10" s="34"/>
      <c r="LYH10" s="64"/>
      <c r="LYI10" s="4"/>
      <c r="LYJ10" s="65"/>
      <c r="LYK10" s="4"/>
      <c r="LYL10" s="4"/>
      <c r="LYM10" s="4"/>
      <c r="LYP10" s="34"/>
      <c r="LYQ10" s="34"/>
      <c r="LYS10" s="34"/>
      <c r="LYT10" s="72"/>
      <c r="LYU10" s="63"/>
      <c r="LYV10" s="34"/>
      <c r="LYW10" s="64"/>
      <c r="LYX10" s="4"/>
      <c r="LYY10" s="65"/>
      <c r="LYZ10" s="4"/>
      <c r="LZA10" s="4"/>
      <c r="LZB10" s="4"/>
      <c r="LZE10" s="34"/>
      <c r="LZF10" s="34"/>
      <c r="LZH10" s="34"/>
      <c r="LZI10" s="72"/>
      <c r="LZJ10" s="63"/>
      <c r="LZK10" s="34"/>
      <c r="LZL10" s="64"/>
      <c r="LZM10" s="4"/>
      <c r="LZN10" s="65"/>
      <c r="LZO10" s="4"/>
      <c r="LZP10" s="4"/>
      <c r="LZQ10" s="4"/>
      <c r="LZT10" s="34"/>
      <c r="LZU10" s="34"/>
      <c r="LZW10" s="34"/>
      <c r="LZX10" s="72"/>
      <c r="LZY10" s="63"/>
      <c r="LZZ10" s="34"/>
      <c r="MAA10" s="64"/>
      <c r="MAB10" s="4"/>
      <c r="MAC10" s="65"/>
      <c r="MAD10" s="4"/>
      <c r="MAE10" s="4"/>
      <c r="MAF10" s="4"/>
      <c r="MAI10" s="34"/>
      <c r="MAJ10" s="34"/>
      <c r="MAL10" s="34"/>
      <c r="MAM10" s="72"/>
      <c r="MAN10" s="63"/>
      <c r="MAO10" s="34"/>
      <c r="MAP10" s="64"/>
      <c r="MAQ10" s="4"/>
      <c r="MAR10" s="65"/>
      <c r="MAS10" s="4"/>
      <c r="MAT10" s="4"/>
      <c r="MAU10" s="4"/>
      <c r="MAX10" s="34"/>
      <c r="MAY10" s="34"/>
      <c r="MBA10" s="34"/>
      <c r="MBB10" s="72"/>
      <c r="MBC10" s="63"/>
      <c r="MBD10" s="34"/>
      <c r="MBE10" s="64"/>
      <c r="MBF10" s="4"/>
      <c r="MBG10" s="65"/>
      <c r="MBH10" s="4"/>
      <c r="MBI10" s="4"/>
      <c r="MBJ10" s="4"/>
      <c r="MBM10" s="34"/>
      <c r="MBN10" s="34"/>
      <c r="MBP10" s="34"/>
      <c r="MBQ10" s="72"/>
      <c r="MBR10" s="63"/>
      <c r="MBS10" s="34"/>
      <c r="MBT10" s="64"/>
      <c r="MBU10" s="4"/>
      <c r="MBV10" s="65"/>
      <c r="MBW10" s="4"/>
      <c r="MBX10" s="4"/>
      <c r="MBY10" s="4"/>
      <c r="MCB10" s="34"/>
      <c r="MCC10" s="34"/>
      <c r="MCE10" s="34"/>
      <c r="MCF10" s="72"/>
      <c r="MCG10" s="63"/>
      <c r="MCH10" s="34"/>
      <c r="MCI10" s="64"/>
      <c r="MCJ10" s="4"/>
      <c r="MCK10" s="65"/>
      <c r="MCL10" s="4"/>
      <c r="MCM10" s="4"/>
      <c r="MCN10" s="4"/>
      <c r="MCQ10" s="34"/>
      <c r="MCR10" s="34"/>
      <c r="MCT10" s="34"/>
      <c r="MCU10" s="72"/>
      <c r="MCV10" s="63"/>
      <c r="MCW10" s="34"/>
      <c r="MCX10" s="64"/>
      <c r="MCY10" s="4"/>
      <c r="MCZ10" s="65"/>
      <c r="MDA10" s="4"/>
      <c r="MDB10" s="4"/>
      <c r="MDC10" s="4"/>
      <c r="MDF10" s="34"/>
      <c r="MDG10" s="34"/>
      <c r="MDI10" s="34"/>
      <c r="MDJ10" s="72"/>
      <c r="MDK10" s="63"/>
      <c r="MDL10" s="34"/>
      <c r="MDM10" s="64"/>
      <c r="MDN10" s="4"/>
      <c r="MDO10" s="65"/>
      <c r="MDP10" s="4"/>
      <c r="MDQ10" s="4"/>
      <c r="MDR10" s="4"/>
      <c r="MDU10" s="34"/>
      <c r="MDV10" s="34"/>
      <c r="MDX10" s="34"/>
      <c r="MDY10" s="72"/>
      <c r="MDZ10" s="63"/>
      <c r="MEA10" s="34"/>
      <c r="MEB10" s="64"/>
      <c r="MEC10" s="4"/>
      <c r="MED10" s="65"/>
      <c r="MEE10" s="4"/>
      <c r="MEF10" s="4"/>
      <c r="MEG10" s="4"/>
      <c r="MEJ10" s="34"/>
      <c r="MEK10" s="34"/>
      <c r="MEM10" s="34"/>
      <c r="MEN10" s="72"/>
      <c r="MEO10" s="63"/>
      <c r="MEP10" s="34"/>
      <c r="MEQ10" s="64"/>
      <c r="MER10" s="4"/>
      <c r="MES10" s="65"/>
      <c r="MET10" s="4"/>
      <c r="MEU10" s="4"/>
      <c r="MEV10" s="4"/>
      <c r="MEY10" s="34"/>
      <c r="MEZ10" s="34"/>
      <c r="MFB10" s="34"/>
      <c r="MFC10" s="72"/>
      <c r="MFD10" s="63"/>
      <c r="MFE10" s="34"/>
      <c r="MFF10" s="64"/>
      <c r="MFG10" s="4"/>
      <c r="MFH10" s="65"/>
      <c r="MFI10" s="4"/>
      <c r="MFJ10" s="4"/>
      <c r="MFK10" s="4"/>
      <c r="MFN10" s="34"/>
      <c r="MFO10" s="34"/>
      <c r="MFQ10" s="34"/>
      <c r="MFR10" s="72"/>
      <c r="MFS10" s="63"/>
      <c r="MFT10" s="34"/>
      <c r="MFU10" s="64"/>
      <c r="MFV10" s="4"/>
      <c r="MFW10" s="65"/>
      <c r="MFX10" s="4"/>
      <c r="MFY10" s="4"/>
      <c r="MFZ10" s="4"/>
      <c r="MGC10" s="34"/>
      <c r="MGD10" s="34"/>
      <c r="MGF10" s="34"/>
      <c r="MGG10" s="72"/>
      <c r="MGH10" s="63"/>
      <c r="MGI10" s="34"/>
      <c r="MGJ10" s="64"/>
      <c r="MGK10" s="4"/>
      <c r="MGL10" s="65"/>
      <c r="MGM10" s="4"/>
      <c r="MGN10" s="4"/>
      <c r="MGO10" s="4"/>
      <c r="MGR10" s="34"/>
      <c r="MGS10" s="34"/>
      <c r="MGU10" s="34"/>
      <c r="MGV10" s="72"/>
      <c r="MGW10" s="63"/>
      <c r="MGX10" s="34"/>
      <c r="MGY10" s="64"/>
      <c r="MGZ10" s="4"/>
      <c r="MHA10" s="65"/>
      <c r="MHB10" s="4"/>
      <c r="MHC10" s="4"/>
      <c r="MHD10" s="4"/>
      <c r="MHG10" s="34"/>
      <c r="MHH10" s="34"/>
      <c r="MHJ10" s="34"/>
      <c r="MHK10" s="72"/>
      <c r="MHL10" s="63"/>
      <c r="MHM10" s="34"/>
      <c r="MHN10" s="64"/>
      <c r="MHO10" s="4"/>
      <c r="MHP10" s="65"/>
      <c r="MHQ10" s="4"/>
      <c r="MHR10" s="4"/>
      <c r="MHS10" s="4"/>
      <c r="MHV10" s="34"/>
      <c r="MHW10" s="34"/>
      <c r="MHY10" s="34"/>
      <c r="MHZ10" s="72"/>
      <c r="MIA10" s="63"/>
      <c r="MIB10" s="34"/>
      <c r="MIC10" s="64"/>
      <c r="MID10" s="4"/>
      <c r="MIE10" s="65"/>
      <c r="MIF10" s="4"/>
      <c r="MIG10" s="4"/>
      <c r="MIH10" s="4"/>
      <c r="MIK10" s="34"/>
      <c r="MIL10" s="34"/>
      <c r="MIN10" s="34"/>
      <c r="MIO10" s="72"/>
      <c r="MIP10" s="63"/>
      <c r="MIQ10" s="34"/>
      <c r="MIR10" s="64"/>
      <c r="MIS10" s="4"/>
      <c r="MIT10" s="65"/>
      <c r="MIU10" s="4"/>
      <c r="MIV10" s="4"/>
      <c r="MIW10" s="4"/>
      <c r="MIZ10" s="34"/>
      <c r="MJA10" s="34"/>
      <c r="MJC10" s="34"/>
      <c r="MJD10" s="72"/>
      <c r="MJE10" s="63"/>
      <c r="MJF10" s="34"/>
      <c r="MJG10" s="64"/>
      <c r="MJH10" s="4"/>
      <c r="MJI10" s="65"/>
      <c r="MJJ10" s="4"/>
      <c r="MJK10" s="4"/>
      <c r="MJL10" s="4"/>
      <c r="MJO10" s="34"/>
      <c r="MJP10" s="34"/>
      <c r="MJR10" s="34"/>
      <c r="MJS10" s="72"/>
      <c r="MJT10" s="63"/>
      <c r="MJU10" s="34"/>
      <c r="MJV10" s="64"/>
      <c r="MJW10" s="4"/>
      <c r="MJX10" s="65"/>
      <c r="MJY10" s="4"/>
      <c r="MJZ10" s="4"/>
      <c r="MKA10" s="4"/>
      <c r="MKD10" s="34"/>
      <c r="MKE10" s="34"/>
      <c r="MKG10" s="34"/>
      <c r="MKH10" s="72"/>
      <c r="MKI10" s="63"/>
      <c r="MKJ10" s="34"/>
      <c r="MKK10" s="64"/>
      <c r="MKL10" s="4"/>
      <c r="MKM10" s="65"/>
      <c r="MKN10" s="4"/>
      <c r="MKO10" s="4"/>
      <c r="MKP10" s="4"/>
      <c r="MKS10" s="34"/>
      <c r="MKT10" s="34"/>
      <c r="MKV10" s="34"/>
      <c r="MKW10" s="72"/>
      <c r="MKX10" s="63"/>
      <c r="MKY10" s="34"/>
      <c r="MKZ10" s="64"/>
      <c r="MLA10" s="4"/>
      <c r="MLB10" s="65"/>
      <c r="MLC10" s="4"/>
      <c r="MLD10" s="4"/>
      <c r="MLE10" s="4"/>
      <c r="MLH10" s="34"/>
      <c r="MLI10" s="34"/>
      <c r="MLK10" s="34"/>
      <c r="MLL10" s="72"/>
      <c r="MLM10" s="63"/>
      <c r="MLN10" s="34"/>
      <c r="MLO10" s="64"/>
      <c r="MLP10" s="4"/>
      <c r="MLQ10" s="65"/>
      <c r="MLR10" s="4"/>
      <c r="MLS10" s="4"/>
      <c r="MLT10" s="4"/>
      <c r="MLW10" s="34"/>
      <c r="MLX10" s="34"/>
      <c r="MLZ10" s="34"/>
      <c r="MMA10" s="72"/>
      <c r="MMB10" s="63"/>
      <c r="MMC10" s="34"/>
      <c r="MMD10" s="64"/>
      <c r="MME10" s="4"/>
      <c r="MMF10" s="65"/>
      <c r="MMG10" s="4"/>
      <c r="MMH10" s="4"/>
      <c r="MMI10" s="4"/>
      <c r="MML10" s="34"/>
      <c r="MMM10" s="34"/>
      <c r="MMO10" s="34"/>
      <c r="MMP10" s="72"/>
      <c r="MMQ10" s="63"/>
      <c r="MMR10" s="34"/>
      <c r="MMS10" s="64"/>
      <c r="MMT10" s="4"/>
      <c r="MMU10" s="65"/>
      <c r="MMV10" s="4"/>
      <c r="MMW10" s="4"/>
      <c r="MMX10" s="4"/>
      <c r="MNA10" s="34"/>
      <c r="MNB10" s="34"/>
      <c r="MND10" s="34"/>
      <c r="MNE10" s="72"/>
      <c r="MNF10" s="63"/>
      <c r="MNG10" s="34"/>
      <c r="MNH10" s="64"/>
      <c r="MNI10" s="4"/>
      <c r="MNJ10" s="65"/>
      <c r="MNK10" s="4"/>
      <c r="MNL10" s="4"/>
      <c r="MNM10" s="4"/>
      <c r="MNP10" s="34"/>
      <c r="MNQ10" s="34"/>
      <c r="MNS10" s="34"/>
      <c r="MNT10" s="72"/>
      <c r="MNU10" s="63"/>
      <c r="MNV10" s="34"/>
      <c r="MNW10" s="64"/>
      <c r="MNX10" s="4"/>
      <c r="MNY10" s="65"/>
      <c r="MNZ10" s="4"/>
      <c r="MOA10" s="4"/>
      <c r="MOB10" s="4"/>
      <c r="MOE10" s="34"/>
      <c r="MOF10" s="34"/>
      <c r="MOH10" s="34"/>
      <c r="MOI10" s="72"/>
      <c r="MOJ10" s="63"/>
      <c r="MOK10" s="34"/>
      <c r="MOL10" s="64"/>
      <c r="MOM10" s="4"/>
      <c r="MON10" s="65"/>
      <c r="MOO10" s="4"/>
      <c r="MOP10" s="4"/>
      <c r="MOQ10" s="4"/>
      <c r="MOT10" s="34"/>
      <c r="MOU10" s="34"/>
      <c r="MOW10" s="34"/>
      <c r="MOX10" s="72"/>
      <c r="MOY10" s="63"/>
      <c r="MOZ10" s="34"/>
      <c r="MPA10" s="64"/>
      <c r="MPB10" s="4"/>
      <c r="MPC10" s="65"/>
      <c r="MPD10" s="4"/>
      <c r="MPE10" s="4"/>
      <c r="MPF10" s="4"/>
      <c r="MPI10" s="34"/>
      <c r="MPJ10" s="34"/>
      <c r="MPL10" s="34"/>
      <c r="MPM10" s="72"/>
      <c r="MPN10" s="63"/>
      <c r="MPO10" s="34"/>
      <c r="MPP10" s="64"/>
      <c r="MPQ10" s="4"/>
      <c r="MPR10" s="65"/>
      <c r="MPS10" s="4"/>
      <c r="MPT10" s="4"/>
      <c r="MPU10" s="4"/>
      <c r="MPX10" s="34"/>
      <c r="MPY10" s="34"/>
      <c r="MQA10" s="34"/>
      <c r="MQB10" s="72"/>
      <c r="MQC10" s="63"/>
      <c r="MQD10" s="34"/>
      <c r="MQE10" s="64"/>
      <c r="MQF10" s="4"/>
      <c r="MQG10" s="65"/>
      <c r="MQH10" s="4"/>
      <c r="MQI10" s="4"/>
      <c r="MQJ10" s="4"/>
      <c r="MQM10" s="34"/>
      <c r="MQN10" s="34"/>
      <c r="MQP10" s="34"/>
      <c r="MQQ10" s="72"/>
      <c r="MQR10" s="63"/>
      <c r="MQS10" s="34"/>
      <c r="MQT10" s="64"/>
      <c r="MQU10" s="4"/>
      <c r="MQV10" s="65"/>
      <c r="MQW10" s="4"/>
      <c r="MQX10" s="4"/>
      <c r="MQY10" s="4"/>
      <c r="MRB10" s="34"/>
      <c r="MRC10" s="34"/>
      <c r="MRE10" s="34"/>
      <c r="MRF10" s="72"/>
      <c r="MRG10" s="63"/>
      <c r="MRH10" s="34"/>
      <c r="MRI10" s="64"/>
      <c r="MRJ10" s="4"/>
      <c r="MRK10" s="65"/>
      <c r="MRL10" s="4"/>
      <c r="MRM10" s="4"/>
      <c r="MRN10" s="4"/>
      <c r="MRQ10" s="34"/>
      <c r="MRR10" s="34"/>
      <c r="MRT10" s="34"/>
      <c r="MRU10" s="72"/>
      <c r="MRV10" s="63"/>
      <c r="MRW10" s="34"/>
      <c r="MRX10" s="64"/>
      <c r="MRY10" s="4"/>
      <c r="MRZ10" s="65"/>
      <c r="MSA10" s="4"/>
      <c r="MSB10" s="4"/>
      <c r="MSC10" s="4"/>
      <c r="MSF10" s="34"/>
      <c r="MSG10" s="34"/>
      <c r="MSI10" s="34"/>
      <c r="MSJ10" s="72"/>
      <c r="MSK10" s="63"/>
      <c r="MSL10" s="34"/>
      <c r="MSM10" s="64"/>
      <c r="MSN10" s="4"/>
      <c r="MSO10" s="65"/>
      <c r="MSP10" s="4"/>
      <c r="MSQ10" s="4"/>
      <c r="MSR10" s="4"/>
      <c r="MSU10" s="34"/>
      <c r="MSV10" s="34"/>
      <c r="MSX10" s="34"/>
      <c r="MSY10" s="72"/>
      <c r="MSZ10" s="63"/>
      <c r="MTA10" s="34"/>
      <c r="MTB10" s="64"/>
      <c r="MTC10" s="4"/>
      <c r="MTD10" s="65"/>
      <c r="MTE10" s="4"/>
      <c r="MTF10" s="4"/>
      <c r="MTG10" s="4"/>
      <c r="MTJ10" s="34"/>
      <c r="MTK10" s="34"/>
      <c r="MTM10" s="34"/>
      <c r="MTN10" s="72"/>
      <c r="MTO10" s="63"/>
      <c r="MTP10" s="34"/>
      <c r="MTQ10" s="64"/>
      <c r="MTR10" s="4"/>
      <c r="MTS10" s="65"/>
      <c r="MTT10" s="4"/>
      <c r="MTU10" s="4"/>
      <c r="MTV10" s="4"/>
      <c r="MTY10" s="34"/>
      <c r="MTZ10" s="34"/>
      <c r="MUB10" s="34"/>
      <c r="MUC10" s="72"/>
      <c r="MUD10" s="63"/>
      <c r="MUE10" s="34"/>
      <c r="MUF10" s="64"/>
      <c r="MUG10" s="4"/>
      <c r="MUH10" s="65"/>
      <c r="MUI10" s="4"/>
      <c r="MUJ10" s="4"/>
      <c r="MUK10" s="4"/>
      <c r="MUN10" s="34"/>
      <c r="MUO10" s="34"/>
      <c r="MUQ10" s="34"/>
      <c r="MUR10" s="72"/>
      <c r="MUS10" s="63"/>
      <c r="MUT10" s="34"/>
      <c r="MUU10" s="64"/>
      <c r="MUV10" s="4"/>
      <c r="MUW10" s="65"/>
      <c r="MUX10" s="4"/>
      <c r="MUY10" s="4"/>
      <c r="MUZ10" s="4"/>
      <c r="MVC10" s="34"/>
      <c r="MVD10" s="34"/>
      <c r="MVF10" s="34"/>
      <c r="MVG10" s="72"/>
      <c r="MVH10" s="63"/>
      <c r="MVI10" s="34"/>
      <c r="MVJ10" s="64"/>
      <c r="MVK10" s="4"/>
      <c r="MVL10" s="65"/>
      <c r="MVM10" s="4"/>
      <c r="MVN10" s="4"/>
      <c r="MVO10" s="4"/>
      <c r="MVR10" s="34"/>
      <c r="MVS10" s="34"/>
      <c r="MVU10" s="34"/>
      <c r="MVV10" s="72"/>
      <c r="MVW10" s="63"/>
      <c r="MVX10" s="34"/>
      <c r="MVY10" s="64"/>
      <c r="MVZ10" s="4"/>
      <c r="MWA10" s="65"/>
      <c r="MWB10" s="4"/>
      <c r="MWC10" s="4"/>
      <c r="MWD10" s="4"/>
      <c r="MWG10" s="34"/>
      <c r="MWH10" s="34"/>
      <c r="MWJ10" s="34"/>
      <c r="MWK10" s="72"/>
      <c r="MWL10" s="63"/>
      <c r="MWM10" s="34"/>
      <c r="MWN10" s="64"/>
      <c r="MWO10" s="4"/>
      <c r="MWP10" s="65"/>
      <c r="MWQ10" s="4"/>
      <c r="MWR10" s="4"/>
      <c r="MWS10" s="4"/>
      <c r="MWV10" s="34"/>
      <c r="MWW10" s="34"/>
      <c r="MWY10" s="34"/>
      <c r="MWZ10" s="72"/>
      <c r="MXA10" s="63"/>
      <c r="MXB10" s="34"/>
      <c r="MXC10" s="64"/>
      <c r="MXD10" s="4"/>
      <c r="MXE10" s="65"/>
      <c r="MXF10" s="4"/>
      <c r="MXG10" s="4"/>
      <c r="MXH10" s="4"/>
      <c r="MXK10" s="34"/>
      <c r="MXL10" s="34"/>
      <c r="MXN10" s="34"/>
      <c r="MXO10" s="72"/>
      <c r="MXP10" s="63"/>
      <c r="MXQ10" s="34"/>
      <c r="MXR10" s="64"/>
      <c r="MXS10" s="4"/>
      <c r="MXT10" s="65"/>
      <c r="MXU10" s="4"/>
      <c r="MXV10" s="4"/>
      <c r="MXW10" s="4"/>
      <c r="MXZ10" s="34"/>
      <c r="MYA10" s="34"/>
      <c r="MYC10" s="34"/>
      <c r="MYD10" s="72"/>
      <c r="MYE10" s="63"/>
      <c r="MYF10" s="34"/>
      <c r="MYG10" s="64"/>
      <c r="MYH10" s="4"/>
      <c r="MYI10" s="65"/>
      <c r="MYJ10" s="4"/>
      <c r="MYK10" s="4"/>
      <c r="MYL10" s="4"/>
      <c r="MYO10" s="34"/>
      <c r="MYP10" s="34"/>
      <c r="MYR10" s="34"/>
      <c r="MYS10" s="72"/>
      <c r="MYT10" s="63"/>
      <c r="MYU10" s="34"/>
      <c r="MYV10" s="64"/>
      <c r="MYW10" s="4"/>
      <c r="MYX10" s="65"/>
      <c r="MYY10" s="4"/>
      <c r="MYZ10" s="4"/>
      <c r="MZA10" s="4"/>
      <c r="MZD10" s="34"/>
      <c r="MZE10" s="34"/>
      <c r="MZG10" s="34"/>
      <c r="MZH10" s="72"/>
      <c r="MZI10" s="63"/>
      <c r="MZJ10" s="34"/>
      <c r="MZK10" s="64"/>
      <c r="MZL10" s="4"/>
      <c r="MZM10" s="65"/>
      <c r="MZN10" s="4"/>
      <c r="MZO10" s="4"/>
      <c r="MZP10" s="4"/>
      <c r="MZS10" s="34"/>
      <c r="MZT10" s="34"/>
      <c r="MZV10" s="34"/>
      <c r="MZW10" s="72"/>
      <c r="MZX10" s="63"/>
      <c r="MZY10" s="34"/>
      <c r="MZZ10" s="64"/>
      <c r="NAA10" s="4"/>
      <c r="NAB10" s="65"/>
      <c r="NAC10" s="4"/>
      <c r="NAD10" s="4"/>
      <c r="NAE10" s="4"/>
      <c r="NAH10" s="34"/>
      <c r="NAI10" s="34"/>
      <c r="NAK10" s="34"/>
      <c r="NAL10" s="72"/>
      <c r="NAM10" s="63"/>
      <c r="NAN10" s="34"/>
      <c r="NAO10" s="64"/>
      <c r="NAP10" s="4"/>
      <c r="NAQ10" s="65"/>
      <c r="NAR10" s="4"/>
      <c r="NAS10" s="4"/>
      <c r="NAT10" s="4"/>
      <c r="NAW10" s="34"/>
      <c r="NAX10" s="34"/>
      <c r="NAZ10" s="34"/>
      <c r="NBA10" s="72"/>
      <c r="NBB10" s="63"/>
      <c r="NBC10" s="34"/>
      <c r="NBD10" s="64"/>
      <c r="NBE10" s="4"/>
      <c r="NBF10" s="65"/>
      <c r="NBG10" s="4"/>
      <c r="NBH10" s="4"/>
      <c r="NBI10" s="4"/>
      <c r="NBL10" s="34"/>
      <c r="NBM10" s="34"/>
      <c r="NBO10" s="34"/>
      <c r="NBP10" s="72"/>
      <c r="NBQ10" s="63"/>
      <c r="NBR10" s="34"/>
      <c r="NBS10" s="64"/>
      <c r="NBT10" s="4"/>
      <c r="NBU10" s="65"/>
      <c r="NBV10" s="4"/>
      <c r="NBW10" s="4"/>
      <c r="NBX10" s="4"/>
      <c r="NCA10" s="34"/>
      <c r="NCB10" s="34"/>
      <c r="NCD10" s="34"/>
      <c r="NCE10" s="72"/>
      <c r="NCF10" s="63"/>
      <c r="NCG10" s="34"/>
      <c r="NCH10" s="64"/>
      <c r="NCI10" s="4"/>
      <c r="NCJ10" s="65"/>
      <c r="NCK10" s="4"/>
      <c r="NCL10" s="4"/>
      <c r="NCM10" s="4"/>
      <c r="NCP10" s="34"/>
      <c r="NCQ10" s="34"/>
      <c r="NCS10" s="34"/>
      <c r="NCT10" s="72"/>
      <c r="NCU10" s="63"/>
      <c r="NCV10" s="34"/>
      <c r="NCW10" s="64"/>
      <c r="NCX10" s="4"/>
      <c r="NCY10" s="65"/>
      <c r="NCZ10" s="4"/>
      <c r="NDA10" s="4"/>
      <c r="NDB10" s="4"/>
      <c r="NDE10" s="34"/>
      <c r="NDF10" s="34"/>
      <c r="NDH10" s="34"/>
      <c r="NDI10" s="72"/>
      <c r="NDJ10" s="63"/>
      <c r="NDK10" s="34"/>
      <c r="NDL10" s="64"/>
      <c r="NDM10" s="4"/>
      <c r="NDN10" s="65"/>
      <c r="NDO10" s="4"/>
      <c r="NDP10" s="4"/>
      <c r="NDQ10" s="4"/>
      <c r="NDT10" s="34"/>
      <c r="NDU10" s="34"/>
      <c r="NDW10" s="34"/>
      <c r="NDX10" s="72"/>
      <c r="NDY10" s="63"/>
      <c r="NDZ10" s="34"/>
      <c r="NEA10" s="64"/>
      <c r="NEB10" s="4"/>
      <c r="NEC10" s="65"/>
      <c r="NED10" s="4"/>
      <c r="NEE10" s="4"/>
      <c r="NEF10" s="4"/>
      <c r="NEI10" s="34"/>
      <c r="NEJ10" s="34"/>
      <c r="NEL10" s="34"/>
      <c r="NEM10" s="72"/>
      <c r="NEN10" s="63"/>
      <c r="NEO10" s="34"/>
      <c r="NEP10" s="64"/>
      <c r="NEQ10" s="4"/>
      <c r="NER10" s="65"/>
      <c r="NES10" s="4"/>
      <c r="NET10" s="4"/>
      <c r="NEU10" s="4"/>
      <c r="NEX10" s="34"/>
      <c r="NEY10" s="34"/>
      <c r="NFA10" s="34"/>
      <c r="NFB10" s="72"/>
      <c r="NFC10" s="63"/>
      <c r="NFD10" s="34"/>
      <c r="NFE10" s="64"/>
      <c r="NFF10" s="4"/>
      <c r="NFG10" s="65"/>
      <c r="NFH10" s="4"/>
      <c r="NFI10" s="4"/>
      <c r="NFJ10" s="4"/>
      <c r="NFM10" s="34"/>
      <c r="NFN10" s="34"/>
      <c r="NFP10" s="34"/>
      <c r="NFQ10" s="72"/>
      <c r="NFR10" s="63"/>
      <c r="NFS10" s="34"/>
      <c r="NFT10" s="64"/>
      <c r="NFU10" s="4"/>
      <c r="NFV10" s="65"/>
      <c r="NFW10" s="4"/>
      <c r="NFX10" s="4"/>
      <c r="NFY10" s="4"/>
      <c r="NGB10" s="34"/>
      <c r="NGC10" s="34"/>
      <c r="NGE10" s="34"/>
      <c r="NGF10" s="72"/>
      <c r="NGG10" s="63"/>
      <c r="NGH10" s="34"/>
      <c r="NGI10" s="64"/>
      <c r="NGJ10" s="4"/>
      <c r="NGK10" s="65"/>
      <c r="NGL10" s="4"/>
      <c r="NGM10" s="4"/>
      <c r="NGN10" s="4"/>
      <c r="NGQ10" s="34"/>
      <c r="NGR10" s="34"/>
      <c r="NGT10" s="34"/>
      <c r="NGU10" s="72"/>
      <c r="NGV10" s="63"/>
      <c r="NGW10" s="34"/>
      <c r="NGX10" s="64"/>
      <c r="NGY10" s="4"/>
      <c r="NGZ10" s="65"/>
      <c r="NHA10" s="4"/>
      <c r="NHB10" s="4"/>
      <c r="NHC10" s="4"/>
      <c r="NHF10" s="34"/>
      <c r="NHG10" s="34"/>
      <c r="NHI10" s="34"/>
      <c r="NHJ10" s="72"/>
      <c r="NHK10" s="63"/>
      <c r="NHL10" s="34"/>
      <c r="NHM10" s="64"/>
      <c r="NHN10" s="4"/>
      <c r="NHO10" s="65"/>
      <c r="NHP10" s="4"/>
      <c r="NHQ10" s="4"/>
      <c r="NHR10" s="4"/>
      <c r="NHU10" s="34"/>
      <c r="NHV10" s="34"/>
      <c r="NHX10" s="34"/>
      <c r="NHY10" s="72"/>
      <c r="NHZ10" s="63"/>
      <c r="NIA10" s="34"/>
      <c r="NIB10" s="64"/>
      <c r="NIC10" s="4"/>
      <c r="NID10" s="65"/>
      <c r="NIE10" s="4"/>
      <c r="NIF10" s="4"/>
      <c r="NIG10" s="4"/>
      <c r="NIJ10" s="34"/>
      <c r="NIK10" s="34"/>
      <c r="NIM10" s="34"/>
      <c r="NIN10" s="72"/>
      <c r="NIO10" s="63"/>
      <c r="NIP10" s="34"/>
      <c r="NIQ10" s="64"/>
      <c r="NIR10" s="4"/>
      <c r="NIS10" s="65"/>
      <c r="NIT10" s="4"/>
      <c r="NIU10" s="4"/>
      <c r="NIV10" s="4"/>
      <c r="NIY10" s="34"/>
      <c r="NIZ10" s="34"/>
      <c r="NJB10" s="34"/>
      <c r="NJC10" s="72"/>
      <c r="NJD10" s="63"/>
      <c r="NJE10" s="34"/>
      <c r="NJF10" s="64"/>
      <c r="NJG10" s="4"/>
      <c r="NJH10" s="65"/>
      <c r="NJI10" s="4"/>
      <c r="NJJ10" s="4"/>
      <c r="NJK10" s="4"/>
      <c r="NJN10" s="34"/>
      <c r="NJO10" s="34"/>
      <c r="NJQ10" s="34"/>
      <c r="NJR10" s="72"/>
      <c r="NJS10" s="63"/>
      <c r="NJT10" s="34"/>
      <c r="NJU10" s="64"/>
      <c r="NJV10" s="4"/>
      <c r="NJW10" s="65"/>
      <c r="NJX10" s="4"/>
      <c r="NJY10" s="4"/>
      <c r="NJZ10" s="4"/>
      <c r="NKC10" s="34"/>
      <c r="NKD10" s="34"/>
      <c r="NKF10" s="34"/>
      <c r="NKG10" s="72"/>
      <c r="NKH10" s="63"/>
      <c r="NKI10" s="34"/>
      <c r="NKJ10" s="64"/>
      <c r="NKK10" s="4"/>
      <c r="NKL10" s="65"/>
      <c r="NKM10" s="4"/>
      <c r="NKN10" s="4"/>
      <c r="NKO10" s="4"/>
      <c r="NKR10" s="34"/>
      <c r="NKS10" s="34"/>
      <c r="NKU10" s="34"/>
      <c r="NKV10" s="72"/>
      <c r="NKW10" s="63"/>
      <c r="NKX10" s="34"/>
      <c r="NKY10" s="64"/>
      <c r="NKZ10" s="4"/>
      <c r="NLA10" s="65"/>
      <c r="NLB10" s="4"/>
      <c r="NLC10" s="4"/>
      <c r="NLD10" s="4"/>
      <c r="NLG10" s="34"/>
      <c r="NLH10" s="34"/>
      <c r="NLJ10" s="34"/>
      <c r="NLK10" s="72"/>
      <c r="NLL10" s="63"/>
      <c r="NLM10" s="34"/>
      <c r="NLN10" s="64"/>
      <c r="NLO10" s="4"/>
      <c r="NLP10" s="65"/>
      <c r="NLQ10" s="4"/>
      <c r="NLR10" s="4"/>
      <c r="NLS10" s="4"/>
      <c r="NLV10" s="34"/>
      <c r="NLW10" s="34"/>
      <c r="NLY10" s="34"/>
      <c r="NLZ10" s="72"/>
      <c r="NMA10" s="63"/>
      <c r="NMB10" s="34"/>
      <c r="NMC10" s="64"/>
      <c r="NMD10" s="4"/>
      <c r="NME10" s="65"/>
      <c r="NMF10" s="4"/>
      <c r="NMG10" s="4"/>
      <c r="NMH10" s="4"/>
      <c r="NMK10" s="34"/>
      <c r="NML10" s="34"/>
      <c r="NMN10" s="34"/>
      <c r="NMO10" s="72"/>
      <c r="NMP10" s="63"/>
      <c r="NMQ10" s="34"/>
      <c r="NMR10" s="64"/>
      <c r="NMS10" s="4"/>
      <c r="NMT10" s="65"/>
      <c r="NMU10" s="4"/>
      <c r="NMV10" s="4"/>
      <c r="NMW10" s="4"/>
      <c r="NMZ10" s="34"/>
      <c r="NNA10" s="34"/>
      <c r="NNC10" s="34"/>
      <c r="NND10" s="72"/>
      <c r="NNE10" s="63"/>
      <c r="NNF10" s="34"/>
      <c r="NNG10" s="64"/>
      <c r="NNH10" s="4"/>
      <c r="NNI10" s="65"/>
      <c r="NNJ10" s="4"/>
      <c r="NNK10" s="4"/>
      <c r="NNL10" s="4"/>
      <c r="NNO10" s="34"/>
      <c r="NNP10" s="34"/>
      <c r="NNR10" s="34"/>
      <c r="NNS10" s="72"/>
      <c r="NNT10" s="63"/>
      <c r="NNU10" s="34"/>
      <c r="NNV10" s="64"/>
      <c r="NNW10" s="4"/>
      <c r="NNX10" s="65"/>
      <c r="NNY10" s="4"/>
      <c r="NNZ10" s="4"/>
      <c r="NOA10" s="4"/>
      <c r="NOD10" s="34"/>
      <c r="NOE10" s="34"/>
      <c r="NOG10" s="34"/>
      <c r="NOH10" s="72"/>
      <c r="NOI10" s="63"/>
      <c r="NOJ10" s="34"/>
      <c r="NOK10" s="64"/>
      <c r="NOL10" s="4"/>
      <c r="NOM10" s="65"/>
      <c r="NON10" s="4"/>
      <c r="NOO10" s="4"/>
      <c r="NOP10" s="4"/>
      <c r="NOS10" s="34"/>
      <c r="NOT10" s="34"/>
      <c r="NOV10" s="34"/>
      <c r="NOW10" s="72"/>
      <c r="NOX10" s="63"/>
      <c r="NOY10" s="34"/>
      <c r="NOZ10" s="64"/>
      <c r="NPA10" s="4"/>
      <c r="NPB10" s="65"/>
      <c r="NPC10" s="4"/>
      <c r="NPD10" s="4"/>
      <c r="NPE10" s="4"/>
      <c r="NPH10" s="34"/>
      <c r="NPI10" s="34"/>
      <c r="NPK10" s="34"/>
      <c r="NPL10" s="72"/>
      <c r="NPM10" s="63"/>
      <c r="NPN10" s="34"/>
      <c r="NPO10" s="64"/>
      <c r="NPP10" s="4"/>
      <c r="NPQ10" s="65"/>
      <c r="NPR10" s="4"/>
      <c r="NPS10" s="4"/>
      <c r="NPT10" s="4"/>
      <c r="NPW10" s="34"/>
      <c r="NPX10" s="34"/>
      <c r="NPZ10" s="34"/>
      <c r="NQA10" s="72"/>
      <c r="NQB10" s="63"/>
      <c r="NQC10" s="34"/>
      <c r="NQD10" s="64"/>
      <c r="NQE10" s="4"/>
      <c r="NQF10" s="65"/>
      <c r="NQG10" s="4"/>
      <c r="NQH10" s="4"/>
      <c r="NQI10" s="4"/>
      <c r="NQL10" s="34"/>
      <c r="NQM10" s="34"/>
      <c r="NQO10" s="34"/>
      <c r="NQP10" s="72"/>
      <c r="NQQ10" s="63"/>
      <c r="NQR10" s="34"/>
      <c r="NQS10" s="64"/>
      <c r="NQT10" s="4"/>
      <c r="NQU10" s="65"/>
      <c r="NQV10" s="4"/>
      <c r="NQW10" s="4"/>
      <c r="NQX10" s="4"/>
      <c r="NRA10" s="34"/>
      <c r="NRB10" s="34"/>
      <c r="NRD10" s="34"/>
      <c r="NRE10" s="72"/>
      <c r="NRF10" s="63"/>
      <c r="NRG10" s="34"/>
      <c r="NRH10" s="64"/>
      <c r="NRI10" s="4"/>
      <c r="NRJ10" s="65"/>
      <c r="NRK10" s="4"/>
      <c r="NRL10" s="4"/>
      <c r="NRM10" s="4"/>
      <c r="NRP10" s="34"/>
      <c r="NRQ10" s="34"/>
      <c r="NRS10" s="34"/>
      <c r="NRT10" s="72"/>
      <c r="NRU10" s="63"/>
      <c r="NRV10" s="34"/>
      <c r="NRW10" s="64"/>
      <c r="NRX10" s="4"/>
      <c r="NRY10" s="65"/>
      <c r="NRZ10" s="4"/>
      <c r="NSA10" s="4"/>
      <c r="NSB10" s="4"/>
      <c r="NSE10" s="34"/>
      <c r="NSF10" s="34"/>
      <c r="NSH10" s="34"/>
      <c r="NSI10" s="72"/>
      <c r="NSJ10" s="63"/>
      <c r="NSK10" s="34"/>
      <c r="NSL10" s="64"/>
      <c r="NSM10" s="4"/>
      <c r="NSN10" s="65"/>
      <c r="NSO10" s="4"/>
      <c r="NSP10" s="4"/>
      <c r="NSQ10" s="4"/>
      <c r="NST10" s="34"/>
      <c r="NSU10" s="34"/>
      <c r="NSW10" s="34"/>
      <c r="NSX10" s="72"/>
      <c r="NSY10" s="63"/>
      <c r="NSZ10" s="34"/>
      <c r="NTA10" s="64"/>
      <c r="NTB10" s="4"/>
      <c r="NTC10" s="65"/>
      <c r="NTD10" s="4"/>
      <c r="NTE10" s="4"/>
      <c r="NTF10" s="4"/>
      <c r="NTI10" s="34"/>
      <c r="NTJ10" s="34"/>
      <c r="NTL10" s="34"/>
      <c r="NTM10" s="72"/>
      <c r="NTN10" s="63"/>
      <c r="NTO10" s="34"/>
      <c r="NTP10" s="64"/>
      <c r="NTQ10" s="4"/>
      <c r="NTR10" s="65"/>
      <c r="NTS10" s="4"/>
      <c r="NTT10" s="4"/>
      <c r="NTU10" s="4"/>
      <c r="NTX10" s="34"/>
      <c r="NTY10" s="34"/>
      <c r="NUA10" s="34"/>
      <c r="NUB10" s="72"/>
      <c r="NUC10" s="63"/>
      <c r="NUD10" s="34"/>
      <c r="NUE10" s="64"/>
      <c r="NUF10" s="4"/>
      <c r="NUG10" s="65"/>
      <c r="NUH10" s="4"/>
      <c r="NUI10" s="4"/>
      <c r="NUJ10" s="4"/>
      <c r="NUM10" s="34"/>
      <c r="NUN10" s="34"/>
      <c r="NUP10" s="34"/>
      <c r="NUQ10" s="72"/>
      <c r="NUR10" s="63"/>
      <c r="NUS10" s="34"/>
      <c r="NUT10" s="64"/>
      <c r="NUU10" s="4"/>
      <c r="NUV10" s="65"/>
      <c r="NUW10" s="4"/>
      <c r="NUX10" s="4"/>
      <c r="NUY10" s="4"/>
      <c r="NVB10" s="34"/>
      <c r="NVC10" s="34"/>
      <c r="NVE10" s="34"/>
      <c r="NVF10" s="72"/>
      <c r="NVG10" s="63"/>
      <c r="NVH10" s="34"/>
      <c r="NVI10" s="64"/>
      <c r="NVJ10" s="4"/>
      <c r="NVK10" s="65"/>
      <c r="NVL10" s="4"/>
      <c r="NVM10" s="4"/>
      <c r="NVN10" s="4"/>
      <c r="NVQ10" s="34"/>
      <c r="NVR10" s="34"/>
      <c r="NVT10" s="34"/>
      <c r="NVU10" s="72"/>
      <c r="NVV10" s="63"/>
      <c r="NVW10" s="34"/>
      <c r="NVX10" s="64"/>
      <c r="NVY10" s="4"/>
      <c r="NVZ10" s="65"/>
      <c r="NWA10" s="4"/>
      <c r="NWB10" s="4"/>
      <c r="NWC10" s="4"/>
      <c r="NWF10" s="34"/>
      <c r="NWG10" s="34"/>
      <c r="NWI10" s="34"/>
      <c r="NWJ10" s="72"/>
      <c r="NWK10" s="63"/>
      <c r="NWL10" s="34"/>
      <c r="NWM10" s="64"/>
      <c r="NWN10" s="4"/>
      <c r="NWO10" s="65"/>
      <c r="NWP10" s="4"/>
      <c r="NWQ10" s="4"/>
      <c r="NWR10" s="4"/>
      <c r="NWU10" s="34"/>
      <c r="NWV10" s="34"/>
      <c r="NWX10" s="34"/>
      <c r="NWY10" s="72"/>
      <c r="NWZ10" s="63"/>
      <c r="NXA10" s="34"/>
      <c r="NXB10" s="64"/>
      <c r="NXC10" s="4"/>
      <c r="NXD10" s="65"/>
      <c r="NXE10" s="4"/>
      <c r="NXF10" s="4"/>
      <c r="NXG10" s="4"/>
      <c r="NXJ10" s="34"/>
      <c r="NXK10" s="34"/>
      <c r="NXM10" s="34"/>
      <c r="NXN10" s="72"/>
      <c r="NXO10" s="63"/>
      <c r="NXP10" s="34"/>
      <c r="NXQ10" s="64"/>
      <c r="NXR10" s="4"/>
      <c r="NXS10" s="65"/>
      <c r="NXT10" s="4"/>
      <c r="NXU10" s="4"/>
      <c r="NXV10" s="4"/>
      <c r="NXY10" s="34"/>
      <c r="NXZ10" s="34"/>
      <c r="NYB10" s="34"/>
      <c r="NYC10" s="72"/>
      <c r="NYD10" s="63"/>
      <c r="NYE10" s="34"/>
      <c r="NYF10" s="64"/>
      <c r="NYG10" s="4"/>
      <c r="NYH10" s="65"/>
      <c r="NYI10" s="4"/>
      <c r="NYJ10" s="4"/>
      <c r="NYK10" s="4"/>
      <c r="NYN10" s="34"/>
      <c r="NYO10" s="34"/>
      <c r="NYQ10" s="34"/>
      <c r="NYR10" s="72"/>
      <c r="NYS10" s="63"/>
      <c r="NYT10" s="34"/>
      <c r="NYU10" s="64"/>
      <c r="NYV10" s="4"/>
      <c r="NYW10" s="65"/>
      <c r="NYX10" s="4"/>
      <c r="NYY10" s="4"/>
      <c r="NYZ10" s="4"/>
      <c r="NZC10" s="34"/>
      <c r="NZD10" s="34"/>
      <c r="NZF10" s="34"/>
      <c r="NZG10" s="72"/>
      <c r="NZH10" s="63"/>
      <c r="NZI10" s="34"/>
      <c r="NZJ10" s="64"/>
      <c r="NZK10" s="4"/>
      <c r="NZL10" s="65"/>
      <c r="NZM10" s="4"/>
      <c r="NZN10" s="4"/>
      <c r="NZO10" s="4"/>
      <c r="NZR10" s="34"/>
      <c r="NZS10" s="34"/>
      <c r="NZU10" s="34"/>
      <c r="NZV10" s="72"/>
      <c r="NZW10" s="63"/>
      <c r="NZX10" s="34"/>
      <c r="NZY10" s="64"/>
      <c r="NZZ10" s="4"/>
      <c r="OAA10" s="65"/>
      <c r="OAB10" s="4"/>
      <c r="OAC10" s="4"/>
      <c r="OAD10" s="4"/>
      <c r="OAG10" s="34"/>
      <c r="OAH10" s="34"/>
      <c r="OAJ10" s="34"/>
      <c r="OAK10" s="72"/>
      <c r="OAL10" s="63"/>
      <c r="OAM10" s="34"/>
      <c r="OAN10" s="64"/>
      <c r="OAO10" s="4"/>
      <c r="OAP10" s="65"/>
      <c r="OAQ10" s="4"/>
      <c r="OAR10" s="4"/>
      <c r="OAS10" s="4"/>
      <c r="OAV10" s="34"/>
      <c r="OAW10" s="34"/>
      <c r="OAY10" s="34"/>
      <c r="OAZ10" s="72"/>
      <c r="OBA10" s="63"/>
      <c r="OBB10" s="34"/>
      <c r="OBC10" s="64"/>
      <c r="OBD10" s="4"/>
      <c r="OBE10" s="65"/>
      <c r="OBF10" s="4"/>
      <c r="OBG10" s="4"/>
      <c r="OBH10" s="4"/>
      <c r="OBK10" s="34"/>
      <c r="OBL10" s="34"/>
      <c r="OBN10" s="34"/>
      <c r="OBO10" s="72"/>
      <c r="OBP10" s="63"/>
      <c r="OBQ10" s="34"/>
      <c r="OBR10" s="64"/>
      <c r="OBS10" s="4"/>
      <c r="OBT10" s="65"/>
      <c r="OBU10" s="4"/>
      <c r="OBV10" s="4"/>
      <c r="OBW10" s="4"/>
      <c r="OBZ10" s="34"/>
      <c r="OCA10" s="34"/>
      <c r="OCC10" s="34"/>
      <c r="OCD10" s="72"/>
      <c r="OCE10" s="63"/>
      <c r="OCF10" s="34"/>
      <c r="OCG10" s="64"/>
      <c r="OCH10" s="4"/>
      <c r="OCI10" s="65"/>
      <c r="OCJ10" s="4"/>
      <c r="OCK10" s="4"/>
      <c r="OCL10" s="4"/>
      <c r="OCO10" s="34"/>
      <c r="OCP10" s="34"/>
      <c r="OCR10" s="34"/>
      <c r="OCS10" s="72"/>
      <c r="OCT10" s="63"/>
      <c r="OCU10" s="34"/>
      <c r="OCV10" s="64"/>
      <c r="OCW10" s="4"/>
      <c r="OCX10" s="65"/>
      <c r="OCY10" s="4"/>
      <c r="OCZ10" s="4"/>
      <c r="ODA10" s="4"/>
      <c r="ODD10" s="34"/>
      <c r="ODE10" s="34"/>
      <c r="ODG10" s="34"/>
      <c r="ODH10" s="72"/>
      <c r="ODI10" s="63"/>
      <c r="ODJ10" s="34"/>
      <c r="ODK10" s="64"/>
      <c r="ODL10" s="4"/>
      <c r="ODM10" s="65"/>
      <c r="ODN10" s="4"/>
      <c r="ODO10" s="4"/>
      <c r="ODP10" s="4"/>
      <c r="ODS10" s="34"/>
      <c r="ODT10" s="34"/>
      <c r="ODV10" s="34"/>
      <c r="ODW10" s="72"/>
      <c r="ODX10" s="63"/>
      <c r="ODY10" s="34"/>
      <c r="ODZ10" s="64"/>
      <c r="OEA10" s="4"/>
      <c r="OEB10" s="65"/>
      <c r="OEC10" s="4"/>
      <c r="OED10" s="4"/>
      <c r="OEE10" s="4"/>
      <c r="OEH10" s="34"/>
      <c r="OEI10" s="34"/>
      <c r="OEK10" s="34"/>
      <c r="OEL10" s="72"/>
      <c r="OEM10" s="63"/>
      <c r="OEN10" s="34"/>
      <c r="OEO10" s="64"/>
      <c r="OEP10" s="4"/>
      <c r="OEQ10" s="65"/>
      <c r="OER10" s="4"/>
      <c r="OES10" s="4"/>
      <c r="OET10" s="4"/>
      <c r="OEW10" s="34"/>
      <c r="OEX10" s="34"/>
      <c r="OEZ10" s="34"/>
      <c r="OFA10" s="72"/>
      <c r="OFB10" s="63"/>
      <c r="OFC10" s="34"/>
      <c r="OFD10" s="64"/>
      <c r="OFE10" s="4"/>
      <c r="OFF10" s="65"/>
      <c r="OFG10" s="4"/>
      <c r="OFH10" s="4"/>
      <c r="OFI10" s="4"/>
      <c r="OFL10" s="34"/>
      <c r="OFM10" s="34"/>
      <c r="OFO10" s="34"/>
      <c r="OFP10" s="72"/>
      <c r="OFQ10" s="63"/>
      <c r="OFR10" s="34"/>
      <c r="OFS10" s="64"/>
      <c r="OFT10" s="4"/>
      <c r="OFU10" s="65"/>
      <c r="OFV10" s="4"/>
      <c r="OFW10" s="4"/>
      <c r="OFX10" s="4"/>
      <c r="OGA10" s="34"/>
      <c r="OGB10" s="34"/>
      <c r="OGD10" s="34"/>
      <c r="OGE10" s="72"/>
      <c r="OGF10" s="63"/>
      <c r="OGG10" s="34"/>
      <c r="OGH10" s="64"/>
      <c r="OGI10" s="4"/>
      <c r="OGJ10" s="65"/>
      <c r="OGK10" s="4"/>
      <c r="OGL10" s="4"/>
      <c r="OGM10" s="4"/>
      <c r="OGP10" s="34"/>
      <c r="OGQ10" s="34"/>
      <c r="OGS10" s="34"/>
      <c r="OGT10" s="72"/>
      <c r="OGU10" s="63"/>
      <c r="OGV10" s="34"/>
      <c r="OGW10" s="64"/>
      <c r="OGX10" s="4"/>
      <c r="OGY10" s="65"/>
      <c r="OGZ10" s="4"/>
      <c r="OHA10" s="4"/>
      <c r="OHB10" s="4"/>
      <c r="OHE10" s="34"/>
      <c r="OHF10" s="34"/>
      <c r="OHH10" s="34"/>
      <c r="OHI10" s="72"/>
      <c r="OHJ10" s="63"/>
      <c r="OHK10" s="34"/>
      <c r="OHL10" s="64"/>
      <c r="OHM10" s="4"/>
      <c r="OHN10" s="65"/>
      <c r="OHO10" s="4"/>
      <c r="OHP10" s="4"/>
      <c r="OHQ10" s="4"/>
      <c r="OHT10" s="34"/>
      <c r="OHU10" s="34"/>
      <c r="OHW10" s="34"/>
      <c r="OHX10" s="72"/>
      <c r="OHY10" s="63"/>
      <c r="OHZ10" s="34"/>
      <c r="OIA10" s="64"/>
      <c r="OIB10" s="4"/>
      <c r="OIC10" s="65"/>
      <c r="OID10" s="4"/>
      <c r="OIE10" s="4"/>
      <c r="OIF10" s="4"/>
      <c r="OII10" s="34"/>
      <c r="OIJ10" s="34"/>
      <c r="OIL10" s="34"/>
      <c r="OIM10" s="72"/>
      <c r="OIN10" s="63"/>
      <c r="OIO10" s="34"/>
      <c r="OIP10" s="64"/>
      <c r="OIQ10" s="4"/>
      <c r="OIR10" s="65"/>
      <c r="OIS10" s="4"/>
      <c r="OIT10" s="4"/>
      <c r="OIU10" s="4"/>
      <c r="OIX10" s="34"/>
      <c r="OIY10" s="34"/>
      <c r="OJA10" s="34"/>
      <c r="OJB10" s="72"/>
      <c r="OJC10" s="63"/>
      <c r="OJD10" s="34"/>
      <c r="OJE10" s="64"/>
      <c r="OJF10" s="4"/>
      <c r="OJG10" s="65"/>
      <c r="OJH10" s="4"/>
      <c r="OJI10" s="4"/>
      <c r="OJJ10" s="4"/>
      <c r="OJM10" s="34"/>
      <c r="OJN10" s="34"/>
      <c r="OJP10" s="34"/>
      <c r="OJQ10" s="72"/>
      <c r="OJR10" s="63"/>
      <c r="OJS10" s="34"/>
      <c r="OJT10" s="64"/>
      <c r="OJU10" s="4"/>
      <c r="OJV10" s="65"/>
      <c r="OJW10" s="4"/>
      <c r="OJX10" s="4"/>
      <c r="OJY10" s="4"/>
      <c r="OKB10" s="34"/>
      <c r="OKC10" s="34"/>
      <c r="OKE10" s="34"/>
      <c r="OKF10" s="72"/>
      <c r="OKG10" s="63"/>
      <c r="OKH10" s="34"/>
      <c r="OKI10" s="64"/>
      <c r="OKJ10" s="4"/>
      <c r="OKK10" s="65"/>
      <c r="OKL10" s="4"/>
      <c r="OKM10" s="4"/>
      <c r="OKN10" s="4"/>
      <c r="OKQ10" s="34"/>
      <c r="OKR10" s="34"/>
      <c r="OKT10" s="34"/>
      <c r="OKU10" s="72"/>
      <c r="OKV10" s="63"/>
      <c r="OKW10" s="34"/>
      <c r="OKX10" s="64"/>
      <c r="OKY10" s="4"/>
      <c r="OKZ10" s="65"/>
      <c r="OLA10" s="4"/>
      <c r="OLB10" s="4"/>
      <c r="OLC10" s="4"/>
      <c r="OLF10" s="34"/>
      <c r="OLG10" s="34"/>
      <c r="OLI10" s="34"/>
      <c r="OLJ10" s="72"/>
      <c r="OLK10" s="63"/>
      <c r="OLL10" s="34"/>
      <c r="OLM10" s="64"/>
      <c r="OLN10" s="4"/>
      <c r="OLO10" s="65"/>
      <c r="OLP10" s="4"/>
      <c r="OLQ10" s="4"/>
      <c r="OLR10" s="4"/>
      <c r="OLU10" s="34"/>
      <c r="OLV10" s="34"/>
      <c r="OLX10" s="34"/>
      <c r="OLY10" s="72"/>
      <c r="OLZ10" s="63"/>
      <c r="OMA10" s="34"/>
      <c r="OMB10" s="64"/>
      <c r="OMC10" s="4"/>
      <c r="OMD10" s="65"/>
      <c r="OME10" s="4"/>
      <c r="OMF10" s="4"/>
      <c r="OMG10" s="4"/>
      <c r="OMJ10" s="34"/>
      <c r="OMK10" s="34"/>
      <c r="OMM10" s="34"/>
      <c r="OMN10" s="72"/>
      <c r="OMO10" s="63"/>
      <c r="OMP10" s="34"/>
      <c r="OMQ10" s="64"/>
      <c r="OMR10" s="4"/>
      <c r="OMS10" s="65"/>
      <c r="OMT10" s="4"/>
      <c r="OMU10" s="4"/>
      <c r="OMV10" s="4"/>
      <c r="OMY10" s="34"/>
      <c r="OMZ10" s="34"/>
      <c r="ONB10" s="34"/>
      <c r="ONC10" s="72"/>
      <c r="OND10" s="63"/>
      <c r="ONE10" s="34"/>
      <c r="ONF10" s="64"/>
      <c r="ONG10" s="4"/>
      <c r="ONH10" s="65"/>
      <c r="ONI10" s="4"/>
      <c r="ONJ10" s="4"/>
      <c r="ONK10" s="4"/>
      <c r="ONN10" s="34"/>
      <c r="ONO10" s="34"/>
      <c r="ONQ10" s="34"/>
      <c r="ONR10" s="72"/>
      <c r="ONS10" s="63"/>
      <c r="ONT10" s="34"/>
      <c r="ONU10" s="64"/>
      <c r="ONV10" s="4"/>
      <c r="ONW10" s="65"/>
      <c r="ONX10" s="4"/>
      <c r="ONY10" s="4"/>
      <c r="ONZ10" s="4"/>
      <c r="OOC10" s="34"/>
      <c r="OOD10" s="34"/>
      <c r="OOF10" s="34"/>
      <c r="OOG10" s="72"/>
      <c r="OOH10" s="63"/>
      <c r="OOI10" s="34"/>
      <c r="OOJ10" s="64"/>
      <c r="OOK10" s="4"/>
      <c r="OOL10" s="65"/>
      <c r="OOM10" s="4"/>
      <c r="OON10" s="4"/>
      <c r="OOO10" s="4"/>
      <c r="OOR10" s="34"/>
      <c r="OOS10" s="34"/>
      <c r="OOU10" s="34"/>
      <c r="OOV10" s="72"/>
      <c r="OOW10" s="63"/>
      <c r="OOX10" s="34"/>
      <c r="OOY10" s="64"/>
      <c r="OOZ10" s="4"/>
      <c r="OPA10" s="65"/>
      <c r="OPB10" s="4"/>
      <c r="OPC10" s="4"/>
      <c r="OPD10" s="4"/>
      <c r="OPG10" s="34"/>
      <c r="OPH10" s="34"/>
      <c r="OPJ10" s="34"/>
      <c r="OPK10" s="72"/>
      <c r="OPL10" s="63"/>
      <c r="OPM10" s="34"/>
      <c r="OPN10" s="64"/>
      <c r="OPO10" s="4"/>
      <c r="OPP10" s="65"/>
      <c r="OPQ10" s="4"/>
      <c r="OPR10" s="4"/>
      <c r="OPS10" s="4"/>
      <c r="OPV10" s="34"/>
      <c r="OPW10" s="34"/>
      <c r="OPY10" s="34"/>
      <c r="OPZ10" s="72"/>
      <c r="OQA10" s="63"/>
      <c r="OQB10" s="34"/>
      <c r="OQC10" s="64"/>
      <c r="OQD10" s="4"/>
      <c r="OQE10" s="65"/>
      <c r="OQF10" s="4"/>
      <c r="OQG10" s="4"/>
      <c r="OQH10" s="4"/>
      <c r="OQK10" s="34"/>
      <c r="OQL10" s="34"/>
      <c r="OQN10" s="34"/>
      <c r="OQO10" s="72"/>
      <c r="OQP10" s="63"/>
      <c r="OQQ10" s="34"/>
      <c r="OQR10" s="64"/>
      <c r="OQS10" s="4"/>
      <c r="OQT10" s="65"/>
      <c r="OQU10" s="4"/>
      <c r="OQV10" s="4"/>
      <c r="OQW10" s="4"/>
      <c r="OQZ10" s="34"/>
      <c r="ORA10" s="34"/>
      <c r="ORC10" s="34"/>
      <c r="ORD10" s="72"/>
      <c r="ORE10" s="63"/>
      <c r="ORF10" s="34"/>
      <c r="ORG10" s="64"/>
      <c r="ORH10" s="4"/>
      <c r="ORI10" s="65"/>
      <c r="ORJ10" s="4"/>
      <c r="ORK10" s="4"/>
      <c r="ORL10" s="4"/>
      <c r="ORO10" s="34"/>
      <c r="ORP10" s="34"/>
      <c r="ORR10" s="34"/>
      <c r="ORS10" s="72"/>
      <c r="ORT10" s="63"/>
      <c r="ORU10" s="34"/>
      <c r="ORV10" s="64"/>
      <c r="ORW10" s="4"/>
      <c r="ORX10" s="65"/>
      <c r="ORY10" s="4"/>
      <c r="ORZ10" s="4"/>
      <c r="OSA10" s="4"/>
      <c r="OSD10" s="34"/>
      <c r="OSE10" s="34"/>
      <c r="OSG10" s="34"/>
      <c r="OSH10" s="72"/>
      <c r="OSI10" s="63"/>
      <c r="OSJ10" s="34"/>
      <c r="OSK10" s="64"/>
      <c r="OSL10" s="4"/>
      <c r="OSM10" s="65"/>
      <c r="OSN10" s="4"/>
      <c r="OSO10" s="4"/>
      <c r="OSP10" s="4"/>
      <c r="OSS10" s="34"/>
      <c r="OST10" s="34"/>
      <c r="OSV10" s="34"/>
      <c r="OSW10" s="72"/>
      <c r="OSX10" s="63"/>
      <c r="OSY10" s="34"/>
      <c r="OSZ10" s="64"/>
      <c r="OTA10" s="4"/>
      <c r="OTB10" s="65"/>
      <c r="OTC10" s="4"/>
      <c r="OTD10" s="4"/>
      <c r="OTE10" s="4"/>
      <c r="OTH10" s="34"/>
      <c r="OTI10" s="34"/>
      <c r="OTK10" s="34"/>
      <c r="OTL10" s="72"/>
      <c r="OTM10" s="63"/>
      <c r="OTN10" s="34"/>
      <c r="OTO10" s="64"/>
      <c r="OTP10" s="4"/>
      <c r="OTQ10" s="65"/>
      <c r="OTR10" s="4"/>
      <c r="OTS10" s="4"/>
      <c r="OTT10" s="4"/>
      <c r="OTW10" s="34"/>
      <c r="OTX10" s="34"/>
      <c r="OTZ10" s="34"/>
      <c r="OUA10" s="72"/>
      <c r="OUB10" s="63"/>
      <c r="OUC10" s="34"/>
      <c r="OUD10" s="64"/>
      <c r="OUE10" s="4"/>
      <c r="OUF10" s="65"/>
      <c r="OUG10" s="4"/>
      <c r="OUH10" s="4"/>
      <c r="OUI10" s="4"/>
      <c r="OUL10" s="34"/>
      <c r="OUM10" s="34"/>
      <c r="OUO10" s="34"/>
      <c r="OUP10" s="72"/>
      <c r="OUQ10" s="63"/>
      <c r="OUR10" s="34"/>
      <c r="OUS10" s="64"/>
      <c r="OUT10" s="4"/>
      <c r="OUU10" s="65"/>
      <c r="OUV10" s="4"/>
      <c r="OUW10" s="4"/>
      <c r="OUX10" s="4"/>
      <c r="OVA10" s="34"/>
      <c r="OVB10" s="34"/>
      <c r="OVD10" s="34"/>
      <c r="OVE10" s="72"/>
      <c r="OVF10" s="63"/>
      <c r="OVG10" s="34"/>
      <c r="OVH10" s="64"/>
      <c r="OVI10" s="4"/>
      <c r="OVJ10" s="65"/>
      <c r="OVK10" s="4"/>
      <c r="OVL10" s="4"/>
      <c r="OVM10" s="4"/>
      <c r="OVP10" s="34"/>
      <c r="OVQ10" s="34"/>
      <c r="OVS10" s="34"/>
      <c r="OVT10" s="72"/>
      <c r="OVU10" s="63"/>
      <c r="OVV10" s="34"/>
      <c r="OVW10" s="64"/>
      <c r="OVX10" s="4"/>
      <c r="OVY10" s="65"/>
      <c r="OVZ10" s="4"/>
      <c r="OWA10" s="4"/>
      <c r="OWB10" s="4"/>
      <c r="OWE10" s="34"/>
      <c r="OWF10" s="34"/>
      <c r="OWH10" s="34"/>
      <c r="OWI10" s="72"/>
      <c r="OWJ10" s="63"/>
      <c r="OWK10" s="34"/>
      <c r="OWL10" s="64"/>
      <c r="OWM10" s="4"/>
      <c r="OWN10" s="65"/>
      <c r="OWO10" s="4"/>
      <c r="OWP10" s="4"/>
      <c r="OWQ10" s="4"/>
      <c r="OWT10" s="34"/>
      <c r="OWU10" s="34"/>
      <c r="OWW10" s="34"/>
      <c r="OWX10" s="72"/>
      <c r="OWY10" s="63"/>
      <c r="OWZ10" s="34"/>
      <c r="OXA10" s="64"/>
      <c r="OXB10" s="4"/>
      <c r="OXC10" s="65"/>
      <c r="OXD10" s="4"/>
      <c r="OXE10" s="4"/>
      <c r="OXF10" s="4"/>
      <c r="OXI10" s="34"/>
      <c r="OXJ10" s="34"/>
      <c r="OXL10" s="34"/>
      <c r="OXM10" s="72"/>
      <c r="OXN10" s="63"/>
      <c r="OXO10" s="34"/>
      <c r="OXP10" s="64"/>
      <c r="OXQ10" s="4"/>
      <c r="OXR10" s="65"/>
      <c r="OXS10" s="4"/>
      <c r="OXT10" s="4"/>
      <c r="OXU10" s="4"/>
      <c r="OXX10" s="34"/>
      <c r="OXY10" s="34"/>
      <c r="OYA10" s="34"/>
      <c r="OYB10" s="72"/>
      <c r="OYC10" s="63"/>
      <c r="OYD10" s="34"/>
      <c r="OYE10" s="64"/>
      <c r="OYF10" s="4"/>
      <c r="OYG10" s="65"/>
      <c r="OYH10" s="4"/>
      <c r="OYI10" s="4"/>
      <c r="OYJ10" s="4"/>
      <c r="OYM10" s="34"/>
      <c r="OYN10" s="34"/>
      <c r="OYP10" s="34"/>
      <c r="OYQ10" s="72"/>
      <c r="OYR10" s="63"/>
      <c r="OYS10" s="34"/>
      <c r="OYT10" s="64"/>
      <c r="OYU10" s="4"/>
      <c r="OYV10" s="65"/>
      <c r="OYW10" s="4"/>
      <c r="OYX10" s="4"/>
      <c r="OYY10" s="4"/>
      <c r="OZB10" s="34"/>
      <c r="OZC10" s="34"/>
      <c r="OZE10" s="34"/>
      <c r="OZF10" s="72"/>
      <c r="OZG10" s="63"/>
      <c r="OZH10" s="34"/>
      <c r="OZI10" s="64"/>
      <c r="OZJ10" s="4"/>
      <c r="OZK10" s="65"/>
      <c r="OZL10" s="4"/>
      <c r="OZM10" s="4"/>
      <c r="OZN10" s="4"/>
      <c r="OZQ10" s="34"/>
      <c r="OZR10" s="34"/>
      <c r="OZT10" s="34"/>
      <c r="OZU10" s="72"/>
      <c r="OZV10" s="63"/>
      <c r="OZW10" s="34"/>
      <c r="OZX10" s="64"/>
      <c r="OZY10" s="4"/>
      <c r="OZZ10" s="65"/>
      <c r="PAA10" s="4"/>
      <c r="PAB10" s="4"/>
      <c r="PAC10" s="4"/>
      <c r="PAF10" s="34"/>
      <c r="PAG10" s="34"/>
      <c r="PAI10" s="34"/>
      <c r="PAJ10" s="72"/>
      <c r="PAK10" s="63"/>
      <c r="PAL10" s="34"/>
      <c r="PAM10" s="64"/>
      <c r="PAN10" s="4"/>
      <c r="PAO10" s="65"/>
      <c r="PAP10" s="4"/>
      <c r="PAQ10" s="4"/>
      <c r="PAR10" s="4"/>
      <c r="PAU10" s="34"/>
      <c r="PAV10" s="34"/>
      <c r="PAX10" s="34"/>
      <c r="PAY10" s="72"/>
      <c r="PAZ10" s="63"/>
      <c r="PBA10" s="34"/>
      <c r="PBB10" s="64"/>
      <c r="PBC10" s="4"/>
      <c r="PBD10" s="65"/>
      <c r="PBE10" s="4"/>
      <c r="PBF10" s="4"/>
      <c r="PBG10" s="4"/>
      <c r="PBJ10" s="34"/>
      <c r="PBK10" s="34"/>
      <c r="PBM10" s="34"/>
      <c r="PBN10" s="72"/>
      <c r="PBO10" s="63"/>
      <c r="PBP10" s="34"/>
      <c r="PBQ10" s="64"/>
      <c r="PBR10" s="4"/>
      <c r="PBS10" s="65"/>
      <c r="PBT10" s="4"/>
      <c r="PBU10" s="4"/>
      <c r="PBV10" s="4"/>
      <c r="PBY10" s="34"/>
      <c r="PBZ10" s="34"/>
      <c r="PCB10" s="34"/>
      <c r="PCC10" s="72"/>
      <c r="PCD10" s="63"/>
      <c r="PCE10" s="34"/>
      <c r="PCF10" s="64"/>
      <c r="PCG10" s="4"/>
      <c r="PCH10" s="65"/>
      <c r="PCI10" s="4"/>
      <c r="PCJ10" s="4"/>
      <c r="PCK10" s="4"/>
      <c r="PCN10" s="34"/>
      <c r="PCO10" s="34"/>
      <c r="PCQ10" s="34"/>
      <c r="PCR10" s="72"/>
      <c r="PCS10" s="63"/>
      <c r="PCT10" s="34"/>
      <c r="PCU10" s="64"/>
      <c r="PCV10" s="4"/>
      <c r="PCW10" s="65"/>
      <c r="PCX10" s="4"/>
      <c r="PCY10" s="4"/>
      <c r="PCZ10" s="4"/>
      <c r="PDC10" s="34"/>
      <c r="PDD10" s="34"/>
      <c r="PDF10" s="34"/>
      <c r="PDG10" s="72"/>
      <c r="PDH10" s="63"/>
      <c r="PDI10" s="34"/>
      <c r="PDJ10" s="64"/>
      <c r="PDK10" s="4"/>
      <c r="PDL10" s="65"/>
      <c r="PDM10" s="4"/>
      <c r="PDN10" s="4"/>
      <c r="PDO10" s="4"/>
      <c r="PDR10" s="34"/>
      <c r="PDS10" s="34"/>
      <c r="PDU10" s="34"/>
      <c r="PDV10" s="72"/>
      <c r="PDW10" s="63"/>
      <c r="PDX10" s="34"/>
      <c r="PDY10" s="64"/>
      <c r="PDZ10" s="4"/>
      <c r="PEA10" s="65"/>
      <c r="PEB10" s="4"/>
      <c r="PEC10" s="4"/>
      <c r="PED10" s="4"/>
      <c r="PEG10" s="34"/>
      <c r="PEH10" s="34"/>
      <c r="PEJ10" s="34"/>
      <c r="PEK10" s="72"/>
      <c r="PEL10" s="63"/>
      <c r="PEM10" s="34"/>
      <c r="PEN10" s="64"/>
      <c r="PEO10" s="4"/>
      <c r="PEP10" s="65"/>
      <c r="PEQ10" s="4"/>
      <c r="PER10" s="4"/>
      <c r="PES10" s="4"/>
      <c r="PEV10" s="34"/>
      <c r="PEW10" s="34"/>
      <c r="PEY10" s="34"/>
      <c r="PEZ10" s="72"/>
      <c r="PFA10" s="63"/>
      <c r="PFB10" s="34"/>
      <c r="PFC10" s="64"/>
      <c r="PFD10" s="4"/>
      <c r="PFE10" s="65"/>
      <c r="PFF10" s="4"/>
      <c r="PFG10" s="4"/>
      <c r="PFH10" s="4"/>
      <c r="PFK10" s="34"/>
      <c r="PFL10" s="34"/>
      <c r="PFN10" s="34"/>
      <c r="PFO10" s="72"/>
      <c r="PFP10" s="63"/>
      <c r="PFQ10" s="34"/>
      <c r="PFR10" s="64"/>
      <c r="PFS10" s="4"/>
      <c r="PFT10" s="65"/>
      <c r="PFU10" s="4"/>
      <c r="PFV10" s="4"/>
      <c r="PFW10" s="4"/>
      <c r="PFZ10" s="34"/>
      <c r="PGA10" s="34"/>
      <c r="PGC10" s="34"/>
      <c r="PGD10" s="72"/>
      <c r="PGE10" s="63"/>
      <c r="PGF10" s="34"/>
      <c r="PGG10" s="64"/>
      <c r="PGH10" s="4"/>
      <c r="PGI10" s="65"/>
      <c r="PGJ10" s="4"/>
      <c r="PGK10" s="4"/>
      <c r="PGL10" s="4"/>
      <c r="PGO10" s="34"/>
      <c r="PGP10" s="34"/>
      <c r="PGR10" s="34"/>
      <c r="PGS10" s="72"/>
      <c r="PGT10" s="63"/>
      <c r="PGU10" s="34"/>
      <c r="PGV10" s="64"/>
      <c r="PGW10" s="4"/>
      <c r="PGX10" s="65"/>
      <c r="PGY10" s="4"/>
      <c r="PGZ10" s="4"/>
      <c r="PHA10" s="4"/>
      <c r="PHD10" s="34"/>
      <c r="PHE10" s="34"/>
      <c r="PHG10" s="34"/>
      <c r="PHH10" s="72"/>
      <c r="PHI10" s="63"/>
      <c r="PHJ10" s="34"/>
      <c r="PHK10" s="64"/>
      <c r="PHL10" s="4"/>
      <c r="PHM10" s="65"/>
      <c r="PHN10" s="4"/>
      <c r="PHO10" s="4"/>
      <c r="PHP10" s="4"/>
      <c r="PHS10" s="34"/>
      <c r="PHT10" s="34"/>
      <c r="PHV10" s="34"/>
      <c r="PHW10" s="72"/>
      <c r="PHX10" s="63"/>
      <c r="PHY10" s="34"/>
      <c r="PHZ10" s="64"/>
      <c r="PIA10" s="4"/>
      <c r="PIB10" s="65"/>
      <c r="PIC10" s="4"/>
      <c r="PID10" s="4"/>
      <c r="PIE10" s="4"/>
      <c r="PIH10" s="34"/>
      <c r="PII10" s="34"/>
      <c r="PIK10" s="34"/>
      <c r="PIL10" s="72"/>
      <c r="PIM10" s="63"/>
      <c r="PIN10" s="34"/>
      <c r="PIO10" s="64"/>
      <c r="PIP10" s="4"/>
      <c r="PIQ10" s="65"/>
      <c r="PIR10" s="4"/>
      <c r="PIS10" s="4"/>
      <c r="PIT10" s="4"/>
      <c r="PIW10" s="34"/>
      <c r="PIX10" s="34"/>
      <c r="PIZ10" s="34"/>
      <c r="PJA10" s="72"/>
      <c r="PJB10" s="63"/>
      <c r="PJC10" s="34"/>
      <c r="PJD10" s="64"/>
      <c r="PJE10" s="4"/>
      <c r="PJF10" s="65"/>
      <c r="PJG10" s="4"/>
      <c r="PJH10" s="4"/>
      <c r="PJI10" s="4"/>
      <c r="PJL10" s="34"/>
      <c r="PJM10" s="34"/>
      <c r="PJO10" s="34"/>
      <c r="PJP10" s="72"/>
      <c r="PJQ10" s="63"/>
      <c r="PJR10" s="34"/>
      <c r="PJS10" s="64"/>
      <c r="PJT10" s="4"/>
      <c r="PJU10" s="65"/>
      <c r="PJV10" s="4"/>
      <c r="PJW10" s="4"/>
      <c r="PJX10" s="4"/>
      <c r="PKA10" s="34"/>
      <c r="PKB10" s="34"/>
      <c r="PKD10" s="34"/>
      <c r="PKE10" s="72"/>
      <c r="PKF10" s="63"/>
      <c r="PKG10" s="34"/>
      <c r="PKH10" s="64"/>
      <c r="PKI10" s="4"/>
      <c r="PKJ10" s="65"/>
      <c r="PKK10" s="4"/>
      <c r="PKL10" s="4"/>
      <c r="PKM10" s="4"/>
      <c r="PKP10" s="34"/>
      <c r="PKQ10" s="34"/>
      <c r="PKS10" s="34"/>
      <c r="PKT10" s="72"/>
      <c r="PKU10" s="63"/>
      <c r="PKV10" s="34"/>
      <c r="PKW10" s="64"/>
      <c r="PKX10" s="4"/>
      <c r="PKY10" s="65"/>
      <c r="PKZ10" s="4"/>
      <c r="PLA10" s="4"/>
      <c r="PLB10" s="4"/>
      <c r="PLE10" s="34"/>
      <c r="PLF10" s="34"/>
      <c r="PLH10" s="34"/>
      <c r="PLI10" s="72"/>
      <c r="PLJ10" s="63"/>
      <c r="PLK10" s="34"/>
      <c r="PLL10" s="64"/>
      <c r="PLM10" s="4"/>
      <c r="PLN10" s="65"/>
      <c r="PLO10" s="4"/>
      <c r="PLP10" s="4"/>
      <c r="PLQ10" s="4"/>
      <c r="PLT10" s="34"/>
      <c r="PLU10" s="34"/>
      <c r="PLW10" s="34"/>
      <c r="PLX10" s="72"/>
      <c r="PLY10" s="63"/>
      <c r="PLZ10" s="34"/>
      <c r="PMA10" s="64"/>
      <c r="PMB10" s="4"/>
      <c r="PMC10" s="65"/>
      <c r="PMD10" s="4"/>
      <c r="PME10" s="4"/>
      <c r="PMF10" s="4"/>
      <c r="PMI10" s="34"/>
      <c r="PMJ10" s="34"/>
      <c r="PML10" s="34"/>
      <c r="PMM10" s="72"/>
      <c r="PMN10" s="63"/>
      <c r="PMO10" s="34"/>
      <c r="PMP10" s="64"/>
      <c r="PMQ10" s="4"/>
      <c r="PMR10" s="65"/>
      <c r="PMS10" s="4"/>
      <c r="PMT10" s="4"/>
      <c r="PMU10" s="4"/>
      <c r="PMX10" s="34"/>
      <c r="PMY10" s="34"/>
      <c r="PNA10" s="34"/>
      <c r="PNB10" s="72"/>
      <c r="PNC10" s="63"/>
      <c r="PND10" s="34"/>
      <c r="PNE10" s="64"/>
      <c r="PNF10" s="4"/>
      <c r="PNG10" s="65"/>
      <c r="PNH10" s="4"/>
      <c r="PNI10" s="4"/>
      <c r="PNJ10" s="4"/>
      <c r="PNM10" s="34"/>
      <c r="PNN10" s="34"/>
      <c r="PNP10" s="34"/>
      <c r="PNQ10" s="72"/>
      <c r="PNR10" s="63"/>
      <c r="PNS10" s="34"/>
      <c r="PNT10" s="64"/>
      <c r="PNU10" s="4"/>
      <c r="PNV10" s="65"/>
      <c r="PNW10" s="4"/>
      <c r="PNX10" s="4"/>
      <c r="PNY10" s="4"/>
      <c r="POB10" s="34"/>
      <c r="POC10" s="34"/>
      <c r="POE10" s="34"/>
      <c r="POF10" s="72"/>
      <c r="POG10" s="63"/>
      <c r="POH10" s="34"/>
      <c r="POI10" s="64"/>
      <c r="POJ10" s="4"/>
      <c r="POK10" s="65"/>
      <c r="POL10" s="4"/>
      <c r="POM10" s="4"/>
      <c r="PON10" s="4"/>
      <c r="POQ10" s="34"/>
      <c r="POR10" s="34"/>
      <c r="POT10" s="34"/>
      <c r="POU10" s="72"/>
      <c r="POV10" s="63"/>
      <c r="POW10" s="34"/>
      <c r="POX10" s="64"/>
      <c r="POY10" s="4"/>
      <c r="POZ10" s="65"/>
      <c r="PPA10" s="4"/>
      <c r="PPB10" s="4"/>
      <c r="PPC10" s="4"/>
      <c r="PPF10" s="34"/>
      <c r="PPG10" s="34"/>
      <c r="PPI10" s="34"/>
      <c r="PPJ10" s="72"/>
      <c r="PPK10" s="63"/>
      <c r="PPL10" s="34"/>
      <c r="PPM10" s="64"/>
      <c r="PPN10" s="4"/>
      <c r="PPO10" s="65"/>
      <c r="PPP10" s="4"/>
      <c r="PPQ10" s="4"/>
      <c r="PPR10" s="4"/>
      <c r="PPU10" s="34"/>
      <c r="PPV10" s="34"/>
      <c r="PPX10" s="34"/>
      <c r="PPY10" s="72"/>
      <c r="PPZ10" s="63"/>
      <c r="PQA10" s="34"/>
      <c r="PQB10" s="64"/>
      <c r="PQC10" s="4"/>
      <c r="PQD10" s="65"/>
      <c r="PQE10" s="4"/>
      <c r="PQF10" s="4"/>
      <c r="PQG10" s="4"/>
      <c r="PQJ10" s="34"/>
      <c r="PQK10" s="34"/>
      <c r="PQM10" s="34"/>
      <c r="PQN10" s="72"/>
      <c r="PQO10" s="63"/>
      <c r="PQP10" s="34"/>
      <c r="PQQ10" s="64"/>
      <c r="PQR10" s="4"/>
      <c r="PQS10" s="65"/>
      <c r="PQT10" s="4"/>
      <c r="PQU10" s="4"/>
      <c r="PQV10" s="4"/>
      <c r="PQY10" s="34"/>
      <c r="PQZ10" s="34"/>
      <c r="PRB10" s="34"/>
      <c r="PRC10" s="72"/>
      <c r="PRD10" s="63"/>
      <c r="PRE10" s="34"/>
      <c r="PRF10" s="64"/>
      <c r="PRG10" s="4"/>
      <c r="PRH10" s="65"/>
      <c r="PRI10" s="4"/>
      <c r="PRJ10" s="4"/>
      <c r="PRK10" s="4"/>
      <c r="PRN10" s="34"/>
      <c r="PRO10" s="34"/>
      <c r="PRQ10" s="34"/>
      <c r="PRR10" s="72"/>
      <c r="PRS10" s="63"/>
      <c r="PRT10" s="34"/>
      <c r="PRU10" s="64"/>
      <c r="PRV10" s="4"/>
      <c r="PRW10" s="65"/>
      <c r="PRX10" s="4"/>
      <c r="PRY10" s="4"/>
      <c r="PRZ10" s="4"/>
      <c r="PSC10" s="34"/>
      <c r="PSD10" s="34"/>
      <c r="PSF10" s="34"/>
      <c r="PSG10" s="72"/>
      <c r="PSH10" s="63"/>
      <c r="PSI10" s="34"/>
      <c r="PSJ10" s="64"/>
      <c r="PSK10" s="4"/>
      <c r="PSL10" s="65"/>
      <c r="PSM10" s="4"/>
      <c r="PSN10" s="4"/>
      <c r="PSO10" s="4"/>
      <c r="PSR10" s="34"/>
      <c r="PSS10" s="34"/>
      <c r="PSU10" s="34"/>
      <c r="PSV10" s="72"/>
      <c r="PSW10" s="63"/>
      <c r="PSX10" s="34"/>
      <c r="PSY10" s="64"/>
      <c r="PSZ10" s="4"/>
      <c r="PTA10" s="65"/>
      <c r="PTB10" s="4"/>
      <c r="PTC10" s="4"/>
      <c r="PTD10" s="4"/>
      <c r="PTG10" s="34"/>
      <c r="PTH10" s="34"/>
      <c r="PTJ10" s="34"/>
      <c r="PTK10" s="72"/>
      <c r="PTL10" s="63"/>
      <c r="PTM10" s="34"/>
      <c r="PTN10" s="64"/>
      <c r="PTO10" s="4"/>
      <c r="PTP10" s="65"/>
      <c r="PTQ10" s="4"/>
      <c r="PTR10" s="4"/>
      <c r="PTS10" s="4"/>
      <c r="PTV10" s="34"/>
      <c r="PTW10" s="34"/>
      <c r="PTY10" s="34"/>
      <c r="PTZ10" s="72"/>
      <c r="PUA10" s="63"/>
      <c r="PUB10" s="34"/>
      <c r="PUC10" s="64"/>
      <c r="PUD10" s="4"/>
      <c r="PUE10" s="65"/>
      <c r="PUF10" s="4"/>
      <c r="PUG10" s="4"/>
      <c r="PUH10" s="4"/>
      <c r="PUK10" s="34"/>
      <c r="PUL10" s="34"/>
      <c r="PUN10" s="34"/>
      <c r="PUO10" s="72"/>
      <c r="PUP10" s="63"/>
      <c r="PUQ10" s="34"/>
      <c r="PUR10" s="64"/>
      <c r="PUS10" s="4"/>
      <c r="PUT10" s="65"/>
      <c r="PUU10" s="4"/>
      <c r="PUV10" s="4"/>
      <c r="PUW10" s="4"/>
      <c r="PUZ10" s="34"/>
      <c r="PVA10" s="34"/>
      <c r="PVC10" s="34"/>
      <c r="PVD10" s="72"/>
      <c r="PVE10" s="63"/>
      <c r="PVF10" s="34"/>
      <c r="PVG10" s="64"/>
      <c r="PVH10" s="4"/>
      <c r="PVI10" s="65"/>
      <c r="PVJ10" s="4"/>
      <c r="PVK10" s="4"/>
      <c r="PVL10" s="4"/>
      <c r="PVO10" s="34"/>
      <c r="PVP10" s="34"/>
      <c r="PVR10" s="34"/>
      <c r="PVS10" s="72"/>
      <c r="PVT10" s="63"/>
      <c r="PVU10" s="34"/>
      <c r="PVV10" s="64"/>
      <c r="PVW10" s="4"/>
      <c r="PVX10" s="65"/>
      <c r="PVY10" s="4"/>
      <c r="PVZ10" s="4"/>
      <c r="PWA10" s="4"/>
      <c r="PWD10" s="34"/>
      <c r="PWE10" s="34"/>
      <c r="PWG10" s="34"/>
      <c r="PWH10" s="72"/>
      <c r="PWI10" s="63"/>
      <c r="PWJ10" s="34"/>
      <c r="PWK10" s="64"/>
      <c r="PWL10" s="4"/>
      <c r="PWM10" s="65"/>
      <c r="PWN10" s="4"/>
      <c r="PWO10" s="4"/>
      <c r="PWP10" s="4"/>
      <c r="PWS10" s="34"/>
      <c r="PWT10" s="34"/>
      <c r="PWV10" s="34"/>
      <c r="PWW10" s="72"/>
      <c r="PWX10" s="63"/>
      <c r="PWY10" s="34"/>
      <c r="PWZ10" s="64"/>
      <c r="PXA10" s="4"/>
      <c r="PXB10" s="65"/>
      <c r="PXC10" s="4"/>
      <c r="PXD10" s="4"/>
      <c r="PXE10" s="4"/>
      <c r="PXH10" s="34"/>
      <c r="PXI10" s="34"/>
      <c r="PXK10" s="34"/>
      <c r="PXL10" s="72"/>
      <c r="PXM10" s="63"/>
      <c r="PXN10" s="34"/>
      <c r="PXO10" s="64"/>
      <c r="PXP10" s="4"/>
      <c r="PXQ10" s="65"/>
      <c r="PXR10" s="4"/>
      <c r="PXS10" s="4"/>
      <c r="PXT10" s="4"/>
      <c r="PXW10" s="34"/>
      <c r="PXX10" s="34"/>
      <c r="PXZ10" s="34"/>
      <c r="PYA10" s="72"/>
      <c r="PYB10" s="63"/>
      <c r="PYC10" s="34"/>
      <c r="PYD10" s="64"/>
      <c r="PYE10" s="4"/>
      <c r="PYF10" s="65"/>
      <c r="PYG10" s="4"/>
      <c r="PYH10" s="4"/>
      <c r="PYI10" s="4"/>
      <c r="PYL10" s="34"/>
      <c r="PYM10" s="34"/>
      <c r="PYO10" s="34"/>
      <c r="PYP10" s="72"/>
      <c r="PYQ10" s="63"/>
      <c r="PYR10" s="34"/>
      <c r="PYS10" s="64"/>
      <c r="PYT10" s="4"/>
      <c r="PYU10" s="65"/>
      <c r="PYV10" s="4"/>
      <c r="PYW10" s="4"/>
      <c r="PYX10" s="4"/>
      <c r="PZA10" s="34"/>
      <c r="PZB10" s="34"/>
      <c r="PZD10" s="34"/>
      <c r="PZE10" s="72"/>
      <c r="PZF10" s="63"/>
      <c r="PZG10" s="34"/>
      <c r="PZH10" s="64"/>
      <c r="PZI10" s="4"/>
      <c r="PZJ10" s="65"/>
      <c r="PZK10" s="4"/>
      <c r="PZL10" s="4"/>
      <c r="PZM10" s="4"/>
      <c r="PZP10" s="34"/>
      <c r="PZQ10" s="34"/>
      <c r="PZS10" s="34"/>
      <c r="PZT10" s="72"/>
      <c r="PZU10" s="63"/>
      <c r="PZV10" s="34"/>
      <c r="PZW10" s="64"/>
      <c r="PZX10" s="4"/>
      <c r="PZY10" s="65"/>
      <c r="PZZ10" s="4"/>
      <c r="QAA10" s="4"/>
      <c r="QAB10" s="4"/>
      <c r="QAE10" s="34"/>
      <c r="QAF10" s="34"/>
      <c r="QAH10" s="34"/>
      <c r="QAI10" s="72"/>
      <c r="QAJ10" s="63"/>
      <c r="QAK10" s="34"/>
      <c r="QAL10" s="64"/>
      <c r="QAM10" s="4"/>
      <c r="QAN10" s="65"/>
      <c r="QAO10" s="4"/>
      <c r="QAP10" s="4"/>
      <c r="QAQ10" s="4"/>
      <c r="QAT10" s="34"/>
      <c r="QAU10" s="34"/>
      <c r="QAW10" s="34"/>
      <c r="QAX10" s="72"/>
      <c r="QAY10" s="63"/>
      <c r="QAZ10" s="34"/>
      <c r="QBA10" s="64"/>
      <c r="QBB10" s="4"/>
      <c r="QBC10" s="65"/>
      <c r="QBD10" s="4"/>
      <c r="QBE10" s="4"/>
      <c r="QBF10" s="4"/>
      <c r="QBI10" s="34"/>
      <c r="QBJ10" s="34"/>
      <c r="QBL10" s="34"/>
      <c r="QBM10" s="72"/>
      <c r="QBN10" s="63"/>
      <c r="QBO10" s="34"/>
      <c r="QBP10" s="64"/>
      <c r="QBQ10" s="4"/>
      <c r="QBR10" s="65"/>
      <c r="QBS10" s="4"/>
      <c r="QBT10" s="4"/>
      <c r="QBU10" s="4"/>
      <c r="QBX10" s="34"/>
      <c r="QBY10" s="34"/>
      <c r="QCA10" s="34"/>
      <c r="QCB10" s="72"/>
      <c r="QCC10" s="63"/>
      <c r="QCD10" s="34"/>
      <c r="QCE10" s="64"/>
      <c r="QCF10" s="4"/>
      <c r="QCG10" s="65"/>
      <c r="QCH10" s="4"/>
      <c r="QCI10" s="4"/>
      <c r="QCJ10" s="4"/>
      <c r="QCM10" s="34"/>
      <c r="QCN10" s="34"/>
      <c r="QCP10" s="34"/>
      <c r="QCQ10" s="72"/>
      <c r="QCR10" s="63"/>
      <c r="QCS10" s="34"/>
      <c r="QCT10" s="64"/>
      <c r="QCU10" s="4"/>
      <c r="QCV10" s="65"/>
      <c r="QCW10" s="4"/>
      <c r="QCX10" s="4"/>
      <c r="QCY10" s="4"/>
      <c r="QDB10" s="34"/>
      <c r="QDC10" s="34"/>
      <c r="QDE10" s="34"/>
      <c r="QDF10" s="72"/>
      <c r="QDG10" s="63"/>
      <c r="QDH10" s="34"/>
      <c r="QDI10" s="64"/>
      <c r="QDJ10" s="4"/>
      <c r="QDK10" s="65"/>
      <c r="QDL10" s="4"/>
      <c r="QDM10" s="4"/>
      <c r="QDN10" s="4"/>
      <c r="QDQ10" s="34"/>
      <c r="QDR10" s="34"/>
      <c r="QDT10" s="34"/>
      <c r="QDU10" s="72"/>
      <c r="QDV10" s="63"/>
      <c r="QDW10" s="34"/>
      <c r="QDX10" s="64"/>
      <c r="QDY10" s="4"/>
      <c r="QDZ10" s="65"/>
      <c r="QEA10" s="4"/>
      <c r="QEB10" s="4"/>
      <c r="QEC10" s="4"/>
      <c r="QEF10" s="34"/>
      <c r="QEG10" s="34"/>
      <c r="QEI10" s="34"/>
      <c r="QEJ10" s="72"/>
      <c r="QEK10" s="63"/>
      <c r="QEL10" s="34"/>
      <c r="QEM10" s="64"/>
      <c r="QEN10" s="4"/>
      <c r="QEO10" s="65"/>
      <c r="QEP10" s="4"/>
      <c r="QEQ10" s="4"/>
      <c r="QER10" s="4"/>
      <c r="QEU10" s="34"/>
      <c r="QEV10" s="34"/>
      <c r="QEX10" s="34"/>
      <c r="QEY10" s="72"/>
      <c r="QEZ10" s="63"/>
      <c r="QFA10" s="34"/>
      <c r="QFB10" s="64"/>
      <c r="QFC10" s="4"/>
      <c r="QFD10" s="65"/>
      <c r="QFE10" s="4"/>
      <c r="QFF10" s="4"/>
      <c r="QFG10" s="4"/>
      <c r="QFJ10" s="34"/>
      <c r="QFK10" s="34"/>
      <c r="QFM10" s="34"/>
      <c r="QFN10" s="72"/>
      <c r="QFO10" s="63"/>
      <c r="QFP10" s="34"/>
      <c r="QFQ10" s="64"/>
      <c r="QFR10" s="4"/>
      <c r="QFS10" s="65"/>
      <c r="QFT10" s="4"/>
      <c r="QFU10" s="4"/>
      <c r="QFV10" s="4"/>
      <c r="QFY10" s="34"/>
      <c r="QFZ10" s="34"/>
      <c r="QGB10" s="34"/>
      <c r="QGC10" s="72"/>
      <c r="QGD10" s="63"/>
      <c r="QGE10" s="34"/>
      <c r="QGF10" s="64"/>
      <c r="QGG10" s="4"/>
      <c r="QGH10" s="65"/>
      <c r="QGI10" s="4"/>
      <c r="QGJ10" s="4"/>
      <c r="QGK10" s="4"/>
      <c r="QGN10" s="34"/>
      <c r="QGO10" s="34"/>
      <c r="QGQ10" s="34"/>
      <c r="QGR10" s="72"/>
      <c r="QGS10" s="63"/>
      <c r="QGT10" s="34"/>
      <c r="QGU10" s="64"/>
      <c r="QGV10" s="4"/>
      <c r="QGW10" s="65"/>
      <c r="QGX10" s="4"/>
      <c r="QGY10" s="4"/>
      <c r="QGZ10" s="4"/>
      <c r="QHC10" s="34"/>
      <c r="QHD10" s="34"/>
      <c r="QHF10" s="34"/>
      <c r="QHG10" s="72"/>
      <c r="QHH10" s="63"/>
      <c r="QHI10" s="34"/>
      <c r="QHJ10" s="64"/>
      <c r="QHK10" s="4"/>
      <c r="QHL10" s="65"/>
      <c r="QHM10" s="4"/>
      <c r="QHN10" s="4"/>
      <c r="QHO10" s="4"/>
      <c r="QHR10" s="34"/>
      <c r="QHS10" s="34"/>
      <c r="QHU10" s="34"/>
      <c r="QHV10" s="72"/>
      <c r="QHW10" s="63"/>
      <c r="QHX10" s="34"/>
      <c r="QHY10" s="64"/>
      <c r="QHZ10" s="4"/>
      <c r="QIA10" s="65"/>
      <c r="QIB10" s="4"/>
      <c r="QIC10" s="4"/>
      <c r="QID10" s="4"/>
      <c r="QIG10" s="34"/>
      <c r="QIH10" s="34"/>
      <c r="QIJ10" s="34"/>
      <c r="QIK10" s="72"/>
      <c r="QIL10" s="63"/>
      <c r="QIM10" s="34"/>
      <c r="QIN10" s="64"/>
      <c r="QIO10" s="4"/>
      <c r="QIP10" s="65"/>
      <c r="QIQ10" s="4"/>
      <c r="QIR10" s="4"/>
      <c r="QIS10" s="4"/>
      <c r="QIV10" s="34"/>
      <c r="QIW10" s="34"/>
      <c r="QIY10" s="34"/>
      <c r="QIZ10" s="72"/>
      <c r="QJA10" s="63"/>
      <c r="QJB10" s="34"/>
      <c r="QJC10" s="64"/>
      <c r="QJD10" s="4"/>
      <c r="QJE10" s="65"/>
      <c r="QJF10" s="4"/>
      <c r="QJG10" s="4"/>
      <c r="QJH10" s="4"/>
      <c r="QJK10" s="34"/>
      <c r="QJL10" s="34"/>
      <c r="QJN10" s="34"/>
      <c r="QJO10" s="72"/>
      <c r="QJP10" s="63"/>
      <c r="QJQ10" s="34"/>
      <c r="QJR10" s="64"/>
      <c r="QJS10" s="4"/>
      <c r="QJT10" s="65"/>
      <c r="QJU10" s="4"/>
      <c r="QJV10" s="4"/>
      <c r="QJW10" s="4"/>
      <c r="QJZ10" s="34"/>
      <c r="QKA10" s="34"/>
      <c r="QKC10" s="34"/>
      <c r="QKD10" s="72"/>
      <c r="QKE10" s="63"/>
      <c r="QKF10" s="34"/>
      <c r="QKG10" s="64"/>
      <c r="QKH10" s="4"/>
      <c r="QKI10" s="65"/>
      <c r="QKJ10" s="4"/>
      <c r="QKK10" s="4"/>
      <c r="QKL10" s="4"/>
      <c r="QKO10" s="34"/>
      <c r="QKP10" s="34"/>
      <c r="QKR10" s="34"/>
      <c r="QKS10" s="72"/>
      <c r="QKT10" s="63"/>
      <c r="QKU10" s="34"/>
      <c r="QKV10" s="64"/>
      <c r="QKW10" s="4"/>
      <c r="QKX10" s="65"/>
      <c r="QKY10" s="4"/>
      <c r="QKZ10" s="4"/>
      <c r="QLA10" s="4"/>
      <c r="QLD10" s="34"/>
      <c r="QLE10" s="34"/>
      <c r="QLG10" s="34"/>
      <c r="QLH10" s="72"/>
      <c r="QLI10" s="63"/>
      <c r="QLJ10" s="34"/>
      <c r="QLK10" s="64"/>
      <c r="QLL10" s="4"/>
      <c r="QLM10" s="65"/>
      <c r="QLN10" s="4"/>
      <c r="QLO10" s="4"/>
      <c r="QLP10" s="4"/>
      <c r="QLS10" s="34"/>
      <c r="QLT10" s="34"/>
      <c r="QLV10" s="34"/>
      <c r="QLW10" s="72"/>
      <c r="QLX10" s="63"/>
      <c r="QLY10" s="34"/>
      <c r="QLZ10" s="64"/>
      <c r="QMA10" s="4"/>
      <c r="QMB10" s="65"/>
      <c r="QMC10" s="4"/>
      <c r="QMD10" s="4"/>
      <c r="QME10" s="4"/>
      <c r="QMH10" s="34"/>
      <c r="QMI10" s="34"/>
      <c r="QMK10" s="34"/>
      <c r="QML10" s="72"/>
      <c r="QMM10" s="63"/>
      <c r="QMN10" s="34"/>
      <c r="QMO10" s="64"/>
      <c r="QMP10" s="4"/>
      <c r="QMQ10" s="65"/>
      <c r="QMR10" s="4"/>
      <c r="QMS10" s="4"/>
      <c r="QMT10" s="4"/>
      <c r="QMW10" s="34"/>
      <c r="QMX10" s="34"/>
      <c r="QMZ10" s="34"/>
      <c r="QNA10" s="72"/>
      <c r="QNB10" s="63"/>
      <c r="QNC10" s="34"/>
      <c r="QND10" s="64"/>
      <c r="QNE10" s="4"/>
      <c r="QNF10" s="65"/>
      <c r="QNG10" s="4"/>
      <c r="QNH10" s="4"/>
      <c r="QNI10" s="4"/>
      <c r="QNL10" s="34"/>
      <c r="QNM10" s="34"/>
      <c r="QNO10" s="34"/>
      <c r="QNP10" s="72"/>
      <c r="QNQ10" s="63"/>
      <c r="QNR10" s="34"/>
      <c r="QNS10" s="64"/>
      <c r="QNT10" s="4"/>
      <c r="QNU10" s="65"/>
      <c r="QNV10" s="4"/>
      <c r="QNW10" s="4"/>
      <c r="QNX10" s="4"/>
      <c r="QOA10" s="34"/>
      <c r="QOB10" s="34"/>
      <c r="QOD10" s="34"/>
      <c r="QOE10" s="72"/>
      <c r="QOF10" s="63"/>
      <c r="QOG10" s="34"/>
      <c r="QOH10" s="64"/>
      <c r="QOI10" s="4"/>
      <c r="QOJ10" s="65"/>
      <c r="QOK10" s="4"/>
      <c r="QOL10" s="4"/>
      <c r="QOM10" s="4"/>
      <c r="QOP10" s="34"/>
      <c r="QOQ10" s="34"/>
      <c r="QOS10" s="34"/>
      <c r="QOT10" s="72"/>
      <c r="QOU10" s="63"/>
      <c r="QOV10" s="34"/>
      <c r="QOW10" s="64"/>
      <c r="QOX10" s="4"/>
      <c r="QOY10" s="65"/>
      <c r="QOZ10" s="4"/>
      <c r="QPA10" s="4"/>
      <c r="QPB10" s="4"/>
      <c r="QPE10" s="34"/>
      <c r="QPF10" s="34"/>
      <c r="QPH10" s="34"/>
      <c r="QPI10" s="72"/>
      <c r="QPJ10" s="63"/>
      <c r="QPK10" s="34"/>
      <c r="QPL10" s="64"/>
      <c r="QPM10" s="4"/>
      <c r="QPN10" s="65"/>
      <c r="QPO10" s="4"/>
      <c r="QPP10" s="4"/>
      <c r="QPQ10" s="4"/>
      <c r="QPT10" s="34"/>
      <c r="QPU10" s="34"/>
      <c r="QPW10" s="34"/>
      <c r="QPX10" s="72"/>
      <c r="QPY10" s="63"/>
      <c r="QPZ10" s="34"/>
      <c r="QQA10" s="64"/>
      <c r="QQB10" s="4"/>
      <c r="QQC10" s="65"/>
      <c r="QQD10" s="4"/>
      <c r="QQE10" s="4"/>
      <c r="QQF10" s="4"/>
      <c r="QQI10" s="34"/>
      <c r="QQJ10" s="34"/>
      <c r="QQL10" s="34"/>
      <c r="QQM10" s="72"/>
      <c r="QQN10" s="63"/>
      <c r="QQO10" s="34"/>
      <c r="QQP10" s="64"/>
      <c r="QQQ10" s="4"/>
      <c r="QQR10" s="65"/>
      <c r="QQS10" s="4"/>
      <c r="QQT10" s="4"/>
      <c r="QQU10" s="4"/>
      <c r="QQX10" s="34"/>
      <c r="QQY10" s="34"/>
      <c r="QRA10" s="34"/>
      <c r="QRB10" s="72"/>
      <c r="QRC10" s="63"/>
      <c r="QRD10" s="34"/>
      <c r="QRE10" s="64"/>
      <c r="QRF10" s="4"/>
      <c r="QRG10" s="65"/>
      <c r="QRH10" s="4"/>
      <c r="QRI10" s="4"/>
      <c r="QRJ10" s="4"/>
      <c r="QRM10" s="34"/>
      <c r="QRN10" s="34"/>
      <c r="QRP10" s="34"/>
      <c r="QRQ10" s="72"/>
      <c r="QRR10" s="63"/>
      <c r="QRS10" s="34"/>
      <c r="QRT10" s="64"/>
      <c r="QRU10" s="4"/>
      <c r="QRV10" s="65"/>
      <c r="QRW10" s="4"/>
      <c r="QRX10" s="4"/>
      <c r="QRY10" s="4"/>
      <c r="QSB10" s="34"/>
      <c r="QSC10" s="34"/>
      <c r="QSE10" s="34"/>
      <c r="QSF10" s="72"/>
      <c r="QSG10" s="63"/>
      <c r="QSH10" s="34"/>
      <c r="QSI10" s="64"/>
      <c r="QSJ10" s="4"/>
      <c r="QSK10" s="65"/>
      <c r="QSL10" s="4"/>
      <c r="QSM10" s="4"/>
      <c r="QSN10" s="4"/>
      <c r="QSQ10" s="34"/>
      <c r="QSR10" s="34"/>
      <c r="QST10" s="34"/>
      <c r="QSU10" s="72"/>
      <c r="QSV10" s="63"/>
      <c r="QSW10" s="34"/>
      <c r="QSX10" s="64"/>
      <c r="QSY10" s="4"/>
      <c r="QSZ10" s="65"/>
      <c r="QTA10" s="4"/>
      <c r="QTB10" s="4"/>
      <c r="QTC10" s="4"/>
      <c r="QTF10" s="34"/>
      <c r="QTG10" s="34"/>
      <c r="QTI10" s="34"/>
      <c r="QTJ10" s="72"/>
      <c r="QTK10" s="63"/>
      <c r="QTL10" s="34"/>
      <c r="QTM10" s="64"/>
      <c r="QTN10" s="4"/>
      <c r="QTO10" s="65"/>
      <c r="QTP10" s="4"/>
      <c r="QTQ10" s="4"/>
      <c r="QTR10" s="4"/>
      <c r="QTU10" s="34"/>
      <c r="QTV10" s="34"/>
      <c r="QTX10" s="34"/>
      <c r="QTY10" s="72"/>
      <c r="QTZ10" s="63"/>
      <c r="QUA10" s="34"/>
      <c r="QUB10" s="64"/>
      <c r="QUC10" s="4"/>
      <c r="QUD10" s="65"/>
      <c r="QUE10" s="4"/>
      <c r="QUF10" s="4"/>
      <c r="QUG10" s="4"/>
      <c r="QUJ10" s="34"/>
      <c r="QUK10" s="34"/>
      <c r="QUM10" s="34"/>
      <c r="QUN10" s="72"/>
      <c r="QUO10" s="63"/>
      <c r="QUP10" s="34"/>
      <c r="QUQ10" s="64"/>
      <c r="QUR10" s="4"/>
      <c r="QUS10" s="65"/>
      <c r="QUT10" s="4"/>
      <c r="QUU10" s="4"/>
      <c r="QUV10" s="4"/>
      <c r="QUY10" s="34"/>
      <c r="QUZ10" s="34"/>
      <c r="QVB10" s="34"/>
      <c r="QVC10" s="72"/>
      <c r="QVD10" s="63"/>
      <c r="QVE10" s="34"/>
      <c r="QVF10" s="64"/>
      <c r="QVG10" s="4"/>
      <c r="QVH10" s="65"/>
      <c r="QVI10" s="4"/>
      <c r="QVJ10" s="4"/>
      <c r="QVK10" s="4"/>
      <c r="QVN10" s="34"/>
      <c r="QVO10" s="34"/>
      <c r="QVQ10" s="34"/>
      <c r="QVR10" s="72"/>
      <c r="QVS10" s="63"/>
      <c r="QVT10" s="34"/>
      <c r="QVU10" s="64"/>
      <c r="QVV10" s="4"/>
      <c r="QVW10" s="65"/>
      <c r="QVX10" s="4"/>
      <c r="QVY10" s="4"/>
      <c r="QVZ10" s="4"/>
      <c r="QWC10" s="34"/>
      <c r="QWD10" s="34"/>
      <c r="QWF10" s="34"/>
      <c r="QWG10" s="72"/>
      <c r="QWH10" s="63"/>
      <c r="QWI10" s="34"/>
      <c r="QWJ10" s="64"/>
      <c r="QWK10" s="4"/>
      <c r="QWL10" s="65"/>
      <c r="QWM10" s="4"/>
      <c r="QWN10" s="4"/>
      <c r="QWO10" s="4"/>
      <c r="QWR10" s="34"/>
      <c r="QWS10" s="34"/>
      <c r="QWU10" s="34"/>
      <c r="QWV10" s="72"/>
      <c r="QWW10" s="63"/>
      <c r="QWX10" s="34"/>
      <c r="QWY10" s="64"/>
      <c r="QWZ10" s="4"/>
      <c r="QXA10" s="65"/>
      <c r="QXB10" s="4"/>
      <c r="QXC10" s="4"/>
      <c r="QXD10" s="4"/>
      <c r="QXG10" s="34"/>
      <c r="QXH10" s="34"/>
      <c r="QXJ10" s="34"/>
      <c r="QXK10" s="72"/>
      <c r="QXL10" s="63"/>
      <c r="QXM10" s="34"/>
      <c r="QXN10" s="64"/>
      <c r="QXO10" s="4"/>
      <c r="QXP10" s="65"/>
      <c r="QXQ10" s="4"/>
      <c r="QXR10" s="4"/>
      <c r="QXS10" s="4"/>
      <c r="QXV10" s="34"/>
      <c r="QXW10" s="34"/>
      <c r="QXY10" s="34"/>
      <c r="QXZ10" s="72"/>
      <c r="QYA10" s="63"/>
      <c r="QYB10" s="34"/>
      <c r="QYC10" s="64"/>
      <c r="QYD10" s="4"/>
      <c r="QYE10" s="65"/>
      <c r="QYF10" s="4"/>
      <c r="QYG10" s="4"/>
      <c r="QYH10" s="4"/>
      <c r="QYK10" s="34"/>
      <c r="QYL10" s="34"/>
      <c r="QYN10" s="34"/>
      <c r="QYO10" s="72"/>
      <c r="QYP10" s="63"/>
      <c r="QYQ10" s="34"/>
      <c r="QYR10" s="64"/>
      <c r="QYS10" s="4"/>
      <c r="QYT10" s="65"/>
      <c r="QYU10" s="4"/>
      <c r="QYV10" s="4"/>
      <c r="QYW10" s="4"/>
      <c r="QYZ10" s="34"/>
      <c r="QZA10" s="34"/>
      <c r="QZC10" s="34"/>
      <c r="QZD10" s="72"/>
      <c r="QZE10" s="63"/>
      <c r="QZF10" s="34"/>
      <c r="QZG10" s="64"/>
      <c r="QZH10" s="4"/>
      <c r="QZI10" s="65"/>
      <c r="QZJ10" s="4"/>
      <c r="QZK10" s="4"/>
      <c r="QZL10" s="4"/>
      <c r="QZO10" s="34"/>
      <c r="QZP10" s="34"/>
      <c r="QZR10" s="34"/>
      <c r="QZS10" s="72"/>
      <c r="QZT10" s="63"/>
      <c r="QZU10" s="34"/>
      <c r="QZV10" s="64"/>
      <c r="QZW10" s="4"/>
      <c r="QZX10" s="65"/>
      <c r="QZY10" s="4"/>
      <c r="QZZ10" s="4"/>
      <c r="RAA10" s="4"/>
      <c r="RAD10" s="34"/>
      <c r="RAE10" s="34"/>
      <c r="RAG10" s="34"/>
      <c r="RAH10" s="72"/>
      <c r="RAI10" s="63"/>
      <c r="RAJ10" s="34"/>
      <c r="RAK10" s="64"/>
      <c r="RAL10" s="4"/>
      <c r="RAM10" s="65"/>
      <c r="RAN10" s="4"/>
      <c r="RAO10" s="4"/>
      <c r="RAP10" s="4"/>
      <c r="RAS10" s="34"/>
      <c r="RAT10" s="34"/>
      <c r="RAV10" s="34"/>
      <c r="RAW10" s="72"/>
      <c r="RAX10" s="63"/>
      <c r="RAY10" s="34"/>
      <c r="RAZ10" s="64"/>
      <c r="RBA10" s="4"/>
      <c r="RBB10" s="65"/>
      <c r="RBC10" s="4"/>
      <c r="RBD10" s="4"/>
      <c r="RBE10" s="4"/>
      <c r="RBH10" s="34"/>
      <c r="RBI10" s="34"/>
      <c r="RBK10" s="34"/>
      <c r="RBL10" s="72"/>
      <c r="RBM10" s="63"/>
      <c r="RBN10" s="34"/>
      <c r="RBO10" s="64"/>
      <c r="RBP10" s="4"/>
      <c r="RBQ10" s="65"/>
      <c r="RBR10" s="4"/>
      <c r="RBS10" s="4"/>
      <c r="RBT10" s="4"/>
      <c r="RBW10" s="34"/>
      <c r="RBX10" s="34"/>
      <c r="RBZ10" s="34"/>
      <c r="RCA10" s="72"/>
      <c r="RCB10" s="63"/>
      <c r="RCC10" s="34"/>
      <c r="RCD10" s="64"/>
      <c r="RCE10" s="4"/>
      <c r="RCF10" s="65"/>
      <c r="RCG10" s="4"/>
      <c r="RCH10" s="4"/>
      <c r="RCI10" s="4"/>
      <c r="RCL10" s="34"/>
      <c r="RCM10" s="34"/>
      <c r="RCO10" s="34"/>
      <c r="RCP10" s="72"/>
      <c r="RCQ10" s="63"/>
      <c r="RCR10" s="34"/>
      <c r="RCS10" s="64"/>
      <c r="RCT10" s="4"/>
      <c r="RCU10" s="65"/>
      <c r="RCV10" s="4"/>
      <c r="RCW10" s="4"/>
      <c r="RCX10" s="4"/>
      <c r="RDA10" s="34"/>
      <c r="RDB10" s="34"/>
      <c r="RDD10" s="34"/>
      <c r="RDE10" s="72"/>
      <c r="RDF10" s="63"/>
      <c r="RDG10" s="34"/>
      <c r="RDH10" s="64"/>
      <c r="RDI10" s="4"/>
      <c r="RDJ10" s="65"/>
      <c r="RDK10" s="4"/>
      <c r="RDL10" s="4"/>
      <c r="RDM10" s="4"/>
      <c r="RDP10" s="34"/>
      <c r="RDQ10" s="34"/>
      <c r="RDS10" s="34"/>
      <c r="RDT10" s="72"/>
      <c r="RDU10" s="63"/>
      <c r="RDV10" s="34"/>
      <c r="RDW10" s="64"/>
      <c r="RDX10" s="4"/>
      <c r="RDY10" s="65"/>
      <c r="RDZ10" s="4"/>
      <c r="REA10" s="4"/>
      <c r="REB10" s="4"/>
      <c r="REE10" s="34"/>
      <c r="REF10" s="34"/>
      <c r="REH10" s="34"/>
      <c r="REI10" s="72"/>
      <c r="REJ10" s="63"/>
      <c r="REK10" s="34"/>
      <c r="REL10" s="64"/>
      <c r="REM10" s="4"/>
      <c r="REN10" s="65"/>
      <c r="REO10" s="4"/>
      <c r="REP10" s="4"/>
      <c r="REQ10" s="4"/>
      <c r="RET10" s="34"/>
      <c r="REU10" s="34"/>
      <c r="REW10" s="34"/>
      <c r="REX10" s="72"/>
      <c r="REY10" s="63"/>
      <c r="REZ10" s="34"/>
      <c r="RFA10" s="64"/>
      <c r="RFB10" s="4"/>
      <c r="RFC10" s="65"/>
      <c r="RFD10" s="4"/>
      <c r="RFE10" s="4"/>
      <c r="RFF10" s="4"/>
      <c r="RFI10" s="34"/>
      <c r="RFJ10" s="34"/>
      <c r="RFL10" s="34"/>
      <c r="RFM10" s="72"/>
      <c r="RFN10" s="63"/>
      <c r="RFO10" s="34"/>
      <c r="RFP10" s="64"/>
      <c r="RFQ10" s="4"/>
      <c r="RFR10" s="65"/>
      <c r="RFS10" s="4"/>
      <c r="RFT10" s="4"/>
      <c r="RFU10" s="4"/>
      <c r="RFX10" s="34"/>
      <c r="RFY10" s="34"/>
      <c r="RGA10" s="34"/>
      <c r="RGB10" s="72"/>
      <c r="RGC10" s="63"/>
      <c r="RGD10" s="34"/>
      <c r="RGE10" s="64"/>
      <c r="RGF10" s="4"/>
      <c r="RGG10" s="65"/>
      <c r="RGH10" s="4"/>
      <c r="RGI10" s="4"/>
      <c r="RGJ10" s="4"/>
      <c r="RGM10" s="34"/>
      <c r="RGN10" s="34"/>
      <c r="RGP10" s="34"/>
      <c r="RGQ10" s="72"/>
      <c r="RGR10" s="63"/>
      <c r="RGS10" s="34"/>
      <c r="RGT10" s="64"/>
      <c r="RGU10" s="4"/>
      <c r="RGV10" s="65"/>
      <c r="RGW10" s="4"/>
      <c r="RGX10" s="4"/>
      <c r="RGY10" s="4"/>
      <c r="RHB10" s="34"/>
      <c r="RHC10" s="34"/>
      <c r="RHE10" s="34"/>
      <c r="RHF10" s="72"/>
      <c r="RHG10" s="63"/>
      <c r="RHH10" s="34"/>
      <c r="RHI10" s="64"/>
      <c r="RHJ10" s="4"/>
      <c r="RHK10" s="65"/>
      <c r="RHL10" s="4"/>
      <c r="RHM10" s="4"/>
      <c r="RHN10" s="4"/>
      <c r="RHQ10" s="34"/>
      <c r="RHR10" s="34"/>
      <c r="RHT10" s="34"/>
      <c r="RHU10" s="72"/>
      <c r="RHV10" s="63"/>
      <c r="RHW10" s="34"/>
      <c r="RHX10" s="64"/>
      <c r="RHY10" s="4"/>
      <c r="RHZ10" s="65"/>
      <c r="RIA10" s="4"/>
      <c r="RIB10" s="4"/>
      <c r="RIC10" s="4"/>
      <c r="RIF10" s="34"/>
      <c r="RIG10" s="34"/>
      <c r="RII10" s="34"/>
      <c r="RIJ10" s="72"/>
      <c r="RIK10" s="63"/>
      <c r="RIL10" s="34"/>
      <c r="RIM10" s="64"/>
      <c r="RIN10" s="4"/>
      <c r="RIO10" s="65"/>
      <c r="RIP10" s="4"/>
      <c r="RIQ10" s="4"/>
      <c r="RIR10" s="4"/>
      <c r="RIU10" s="34"/>
      <c r="RIV10" s="34"/>
      <c r="RIX10" s="34"/>
      <c r="RIY10" s="72"/>
      <c r="RIZ10" s="63"/>
      <c r="RJA10" s="34"/>
      <c r="RJB10" s="64"/>
      <c r="RJC10" s="4"/>
      <c r="RJD10" s="65"/>
      <c r="RJE10" s="4"/>
      <c r="RJF10" s="4"/>
      <c r="RJG10" s="4"/>
      <c r="RJJ10" s="34"/>
      <c r="RJK10" s="34"/>
      <c r="RJM10" s="34"/>
      <c r="RJN10" s="72"/>
      <c r="RJO10" s="63"/>
      <c r="RJP10" s="34"/>
      <c r="RJQ10" s="64"/>
      <c r="RJR10" s="4"/>
      <c r="RJS10" s="65"/>
      <c r="RJT10" s="4"/>
      <c r="RJU10" s="4"/>
      <c r="RJV10" s="4"/>
      <c r="RJY10" s="34"/>
      <c r="RJZ10" s="34"/>
      <c r="RKB10" s="34"/>
      <c r="RKC10" s="72"/>
      <c r="RKD10" s="63"/>
      <c r="RKE10" s="34"/>
      <c r="RKF10" s="64"/>
      <c r="RKG10" s="4"/>
      <c r="RKH10" s="65"/>
      <c r="RKI10" s="4"/>
      <c r="RKJ10" s="4"/>
      <c r="RKK10" s="4"/>
      <c r="RKN10" s="34"/>
      <c r="RKO10" s="34"/>
      <c r="RKQ10" s="34"/>
      <c r="RKR10" s="72"/>
      <c r="RKS10" s="63"/>
      <c r="RKT10" s="34"/>
      <c r="RKU10" s="64"/>
      <c r="RKV10" s="4"/>
      <c r="RKW10" s="65"/>
      <c r="RKX10" s="4"/>
      <c r="RKY10" s="4"/>
      <c r="RKZ10" s="4"/>
      <c r="RLC10" s="34"/>
      <c r="RLD10" s="34"/>
      <c r="RLF10" s="34"/>
      <c r="RLG10" s="72"/>
      <c r="RLH10" s="63"/>
      <c r="RLI10" s="34"/>
      <c r="RLJ10" s="64"/>
      <c r="RLK10" s="4"/>
      <c r="RLL10" s="65"/>
      <c r="RLM10" s="4"/>
      <c r="RLN10" s="4"/>
      <c r="RLO10" s="4"/>
      <c r="RLR10" s="34"/>
      <c r="RLS10" s="34"/>
      <c r="RLU10" s="34"/>
      <c r="RLV10" s="72"/>
      <c r="RLW10" s="63"/>
      <c r="RLX10" s="34"/>
      <c r="RLY10" s="64"/>
      <c r="RLZ10" s="4"/>
      <c r="RMA10" s="65"/>
      <c r="RMB10" s="4"/>
      <c r="RMC10" s="4"/>
      <c r="RMD10" s="4"/>
      <c r="RMG10" s="34"/>
      <c r="RMH10" s="34"/>
      <c r="RMJ10" s="34"/>
      <c r="RMK10" s="72"/>
      <c r="RML10" s="63"/>
      <c r="RMM10" s="34"/>
      <c r="RMN10" s="64"/>
      <c r="RMO10" s="4"/>
      <c r="RMP10" s="65"/>
      <c r="RMQ10" s="4"/>
      <c r="RMR10" s="4"/>
      <c r="RMS10" s="4"/>
      <c r="RMV10" s="34"/>
      <c r="RMW10" s="34"/>
      <c r="RMY10" s="34"/>
      <c r="RMZ10" s="72"/>
      <c r="RNA10" s="63"/>
      <c r="RNB10" s="34"/>
      <c r="RNC10" s="64"/>
      <c r="RND10" s="4"/>
      <c r="RNE10" s="65"/>
      <c r="RNF10" s="4"/>
      <c r="RNG10" s="4"/>
      <c r="RNH10" s="4"/>
      <c r="RNK10" s="34"/>
      <c r="RNL10" s="34"/>
      <c r="RNN10" s="34"/>
      <c r="RNO10" s="72"/>
      <c r="RNP10" s="63"/>
      <c r="RNQ10" s="34"/>
      <c r="RNR10" s="64"/>
      <c r="RNS10" s="4"/>
      <c r="RNT10" s="65"/>
      <c r="RNU10" s="4"/>
      <c r="RNV10" s="4"/>
      <c r="RNW10" s="4"/>
      <c r="RNZ10" s="34"/>
      <c r="ROA10" s="34"/>
      <c r="ROC10" s="34"/>
      <c r="ROD10" s="72"/>
      <c r="ROE10" s="63"/>
      <c r="ROF10" s="34"/>
      <c r="ROG10" s="64"/>
      <c r="ROH10" s="4"/>
      <c r="ROI10" s="65"/>
      <c r="ROJ10" s="4"/>
      <c r="ROK10" s="4"/>
      <c r="ROL10" s="4"/>
      <c r="ROO10" s="34"/>
      <c r="ROP10" s="34"/>
      <c r="ROR10" s="34"/>
      <c r="ROS10" s="72"/>
      <c r="ROT10" s="63"/>
      <c r="ROU10" s="34"/>
      <c r="ROV10" s="64"/>
      <c r="ROW10" s="4"/>
      <c r="ROX10" s="65"/>
      <c r="ROY10" s="4"/>
      <c r="ROZ10" s="4"/>
      <c r="RPA10" s="4"/>
      <c r="RPD10" s="34"/>
      <c r="RPE10" s="34"/>
      <c r="RPG10" s="34"/>
      <c r="RPH10" s="72"/>
      <c r="RPI10" s="63"/>
      <c r="RPJ10" s="34"/>
      <c r="RPK10" s="64"/>
      <c r="RPL10" s="4"/>
      <c r="RPM10" s="65"/>
      <c r="RPN10" s="4"/>
      <c r="RPO10" s="4"/>
      <c r="RPP10" s="4"/>
      <c r="RPS10" s="34"/>
      <c r="RPT10" s="34"/>
      <c r="RPV10" s="34"/>
      <c r="RPW10" s="72"/>
      <c r="RPX10" s="63"/>
      <c r="RPY10" s="34"/>
      <c r="RPZ10" s="64"/>
      <c r="RQA10" s="4"/>
      <c r="RQB10" s="65"/>
      <c r="RQC10" s="4"/>
      <c r="RQD10" s="4"/>
      <c r="RQE10" s="4"/>
      <c r="RQH10" s="34"/>
      <c r="RQI10" s="34"/>
      <c r="RQK10" s="34"/>
      <c r="RQL10" s="72"/>
      <c r="RQM10" s="63"/>
      <c r="RQN10" s="34"/>
      <c r="RQO10" s="64"/>
      <c r="RQP10" s="4"/>
      <c r="RQQ10" s="65"/>
      <c r="RQR10" s="4"/>
      <c r="RQS10" s="4"/>
      <c r="RQT10" s="4"/>
      <c r="RQW10" s="34"/>
      <c r="RQX10" s="34"/>
      <c r="RQZ10" s="34"/>
      <c r="RRA10" s="72"/>
      <c r="RRB10" s="63"/>
      <c r="RRC10" s="34"/>
      <c r="RRD10" s="64"/>
      <c r="RRE10" s="4"/>
      <c r="RRF10" s="65"/>
      <c r="RRG10" s="4"/>
      <c r="RRH10" s="4"/>
      <c r="RRI10" s="4"/>
      <c r="RRL10" s="34"/>
      <c r="RRM10" s="34"/>
      <c r="RRO10" s="34"/>
      <c r="RRP10" s="72"/>
      <c r="RRQ10" s="63"/>
      <c r="RRR10" s="34"/>
      <c r="RRS10" s="64"/>
      <c r="RRT10" s="4"/>
      <c r="RRU10" s="65"/>
      <c r="RRV10" s="4"/>
      <c r="RRW10" s="4"/>
      <c r="RRX10" s="4"/>
      <c r="RSA10" s="34"/>
      <c r="RSB10" s="34"/>
      <c r="RSD10" s="34"/>
      <c r="RSE10" s="72"/>
      <c r="RSF10" s="63"/>
      <c r="RSG10" s="34"/>
      <c r="RSH10" s="64"/>
      <c r="RSI10" s="4"/>
      <c r="RSJ10" s="65"/>
      <c r="RSK10" s="4"/>
      <c r="RSL10" s="4"/>
      <c r="RSM10" s="4"/>
      <c r="RSP10" s="34"/>
      <c r="RSQ10" s="34"/>
      <c r="RSS10" s="34"/>
      <c r="RST10" s="72"/>
      <c r="RSU10" s="63"/>
      <c r="RSV10" s="34"/>
      <c r="RSW10" s="64"/>
      <c r="RSX10" s="4"/>
      <c r="RSY10" s="65"/>
      <c r="RSZ10" s="4"/>
      <c r="RTA10" s="4"/>
      <c r="RTB10" s="4"/>
      <c r="RTE10" s="34"/>
      <c r="RTF10" s="34"/>
      <c r="RTH10" s="34"/>
      <c r="RTI10" s="72"/>
      <c r="RTJ10" s="63"/>
      <c r="RTK10" s="34"/>
      <c r="RTL10" s="64"/>
      <c r="RTM10" s="4"/>
      <c r="RTN10" s="65"/>
      <c r="RTO10" s="4"/>
      <c r="RTP10" s="4"/>
      <c r="RTQ10" s="4"/>
      <c r="RTT10" s="34"/>
      <c r="RTU10" s="34"/>
      <c r="RTW10" s="34"/>
      <c r="RTX10" s="72"/>
      <c r="RTY10" s="63"/>
      <c r="RTZ10" s="34"/>
      <c r="RUA10" s="64"/>
      <c r="RUB10" s="4"/>
      <c r="RUC10" s="65"/>
      <c r="RUD10" s="4"/>
      <c r="RUE10" s="4"/>
      <c r="RUF10" s="4"/>
      <c r="RUI10" s="34"/>
      <c r="RUJ10" s="34"/>
      <c r="RUL10" s="34"/>
      <c r="RUM10" s="72"/>
      <c r="RUN10" s="63"/>
      <c r="RUO10" s="34"/>
      <c r="RUP10" s="64"/>
      <c r="RUQ10" s="4"/>
      <c r="RUR10" s="65"/>
      <c r="RUS10" s="4"/>
      <c r="RUT10" s="4"/>
      <c r="RUU10" s="4"/>
      <c r="RUX10" s="34"/>
      <c r="RUY10" s="34"/>
      <c r="RVA10" s="34"/>
      <c r="RVB10" s="72"/>
      <c r="RVC10" s="63"/>
      <c r="RVD10" s="34"/>
      <c r="RVE10" s="64"/>
      <c r="RVF10" s="4"/>
      <c r="RVG10" s="65"/>
      <c r="RVH10" s="4"/>
      <c r="RVI10" s="4"/>
      <c r="RVJ10" s="4"/>
      <c r="RVM10" s="34"/>
      <c r="RVN10" s="34"/>
      <c r="RVP10" s="34"/>
      <c r="RVQ10" s="72"/>
      <c r="RVR10" s="63"/>
      <c r="RVS10" s="34"/>
      <c r="RVT10" s="64"/>
      <c r="RVU10" s="4"/>
      <c r="RVV10" s="65"/>
      <c r="RVW10" s="4"/>
      <c r="RVX10" s="4"/>
      <c r="RVY10" s="4"/>
      <c r="RWB10" s="34"/>
      <c r="RWC10" s="34"/>
      <c r="RWE10" s="34"/>
      <c r="RWF10" s="72"/>
      <c r="RWG10" s="63"/>
      <c r="RWH10" s="34"/>
      <c r="RWI10" s="64"/>
      <c r="RWJ10" s="4"/>
      <c r="RWK10" s="65"/>
      <c r="RWL10" s="4"/>
      <c r="RWM10" s="4"/>
      <c r="RWN10" s="4"/>
      <c r="RWQ10" s="34"/>
      <c r="RWR10" s="34"/>
      <c r="RWT10" s="34"/>
      <c r="RWU10" s="72"/>
      <c r="RWV10" s="63"/>
      <c r="RWW10" s="34"/>
      <c r="RWX10" s="64"/>
      <c r="RWY10" s="4"/>
      <c r="RWZ10" s="65"/>
      <c r="RXA10" s="4"/>
      <c r="RXB10" s="4"/>
      <c r="RXC10" s="4"/>
      <c r="RXF10" s="34"/>
      <c r="RXG10" s="34"/>
      <c r="RXI10" s="34"/>
      <c r="RXJ10" s="72"/>
      <c r="RXK10" s="63"/>
      <c r="RXL10" s="34"/>
      <c r="RXM10" s="64"/>
      <c r="RXN10" s="4"/>
      <c r="RXO10" s="65"/>
      <c r="RXP10" s="4"/>
      <c r="RXQ10" s="4"/>
      <c r="RXR10" s="4"/>
      <c r="RXU10" s="34"/>
      <c r="RXV10" s="34"/>
      <c r="RXX10" s="34"/>
      <c r="RXY10" s="72"/>
      <c r="RXZ10" s="63"/>
      <c r="RYA10" s="34"/>
      <c r="RYB10" s="64"/>
      <c r="RYC10" s="4"/>
      <c r="RYD10" s="65"/>
      <c r="RYE10" s="4"/>
      <c r="RYF10" s="4"/>
      <c r="RYG10" s="4"/>
      <c r="RYJ10" s="34"/>
      <c r="RYK10" s="34"/>
      <c r="RYM10" s="34"/>
      <c r="RYN10" s="72"/>
      <c r="RYO10" s="63"/>
      <c r="RYP10" s="34"/>
      <c r="RYQ10" s="64"/>
      <c r="RYR10" s="4"/>
      <c r="RYS10" s="65"/>
      <c r="RYT10" s="4"/>
      <c r="RYU10" s="4"/>
      <c r="RYV10" s="4"/>
      <c r="RYY10" s="34"/>
      <c r="RYZ10" s="34"/>
      <c r="RZB10" s="34"/>
      <c r="RZC10" s="72"/>
      <c r="RZD10" s="63"/>
      <c r="RZE10" s="34"/>
      <c r="RZF10" s="64"/>
      <c r="RZG10" s="4"/>
      <c r="RZH10" s="65"/>
      <c r="RZI10" s="4"/>
      <c r="RZJ10" s="4"/>
      <c r="RZK10" s="4"/>
      <c r="RZN10" s="34"/>
      <c r="RZO10" s="34"/>
      <c r="RZQ10" s="34"/>
      <c r="RZR10" s="72"/>
      <c r="RZS10" s="63"/>
      <c r="RZT10" s="34"/>
      <c r="RZU10" s="64"/>
      <c r="RZV10" s="4"/>
      <c r="RZW10" s="65"/>
      <c r="RZX10" s="4"/>
      <c r="RZY10" s="4"/>
      <c r="RZZ10" s="4"/>
      <c r="SAC10" s="34"/>
      <c r="SAD10" s="34"/>
      <c r="SAF10" s="34"/>
      <c r="SAG10" s="72"/>
      <c r="SAH10" s="63"/>
      <c r="SAI10" s="34"/>
      <c r="SAJ10" s="64"/>
      <c r="SAK10" s="4"/>
      <c r="SAL10" s="65"/>
      <c r="SAM10" s="4"/>
      <c r="SAN10" s="4"/>
      <c r="SAO10" s="4"/>
      <c r="SAR10" s="34"/>
      <c r="SAS10" s="34"/>
      <c r="SAU10" s="34"/>
      <c r="SAV10" s="72"/>
      <c r="SAW10" s="63"/>
      <c r="SAX10" s="34"/>
      <c r="SAY10" s="64"/>
      <c r="SAZ10" s="4"/>
      <c r="SBA10" s="65"/>
      <c r="SBB10" s="4"/>
      <c r="SBC10" s="4"/>
      <c r="SBD10" s="4"/>
      <c r="SBG10" s="34"/>
      <c r="SBH10" s="34"/>
      <c r="SBJ10" s="34"/>
      <c r="SBK10" s="72"/>
      <c r="SBL10" s="63"/>
      <c r="SBM10" s="34"/>
      <c r="SBN10" s="64"/>
      <c r="SBO10" s="4"/>
      <c r="SBP10" s="65"/>
      <c r="SBQ10" s="4"/>
      <c r="SBR10" s="4"/>
      <c r="SBS10" s="4"/>
      <c r="SBV10" s="34"/>
      <c r="SBW10" s="34"/>
      <c r="SBY10" s="34"/>
      <c r="SBZ10" s="72"/>
      <c r="SCA10" s="63"/>
      <c r="SCB10" s="34"/>
      <c r="SCC10" s="64"/>
      <c r="SCD10" s="4"/>
      <c r="SCE10" s="65"/>
      <c r="SCF10" s="4"/>
      <c r="SCG10" s="4"/>
      <c r="SCH10" s="4"/>
      <c r="SCK10" s="34"/>
      <c r="SCL10" s="34"/>
      <c r="SCN10" s="34"/>
      <c r="SCO10" s="72"/>
      <c r="SCP10" s="63"/>
      <c r="SCQ10" s="34"/>
      <c r="SCR10" s="64"/>
      <c r="SCS10" s="4"/>
      <c r="SCT10" s="65"/>
      <c r="SCU10" s="4"/>
      <c r="SCV10" s="4"/>
      <c r="SCW10" s="4"/>
      <c r="SCZ10" s="34"/>
      <c r="SDA10" s="34"/>
      <c r="SDC10" s="34"/>
      <c r="SDD10" s="72"/>
      <c r="SDE10" s="63"/>
      <c r="SDF10" s="34"/>
      <c r="SDG10" s="64"/>
      <c r="SDH10" s="4"/>
      <c r="SDI10" s="65"/>
      <c r="SDJ10" s="4"/>
      <c r="SDK10" s="4"/>
      <c r="SDL10" s="4"/>
      <c r="SDO10" s="34"/>
      <c r="SDP10" s="34"/>
      <c r="SDR10" s="34"/>
      <c r="SDS10" s="72"/>
      <c r="SDT10" s="63"/>
      <c r="SDU10" s="34"/>
      <c r="SDV10" s="64"/>
      <c r="SDW10" s="4"/>
      <c r="SDX10" s="65"/>
      <c r="SDY10" s="4"/>
      <c r="SDZ10" s="4"/>
      <c r="SEA10" s="4"/>
      <c r="SED10" s="34"/>
      <c r="SEE10" s="34"/>
      <c r="SEG10" s="34"/>
      <c r="SEH10" s="72"/>
      <c r="SEI10" s="63"/>
      <c r="SEJ10" s="34"/>
      <c r="SEK10" s="64"/>
      <c r="SEL10" s="4"/>
      <c r="SEM10" s="65"/>
      <c r="SEN10" s="4"/>
      <c r="SEO10" s="4"/>
      <c r="SEP10" s="4"/>
      <c r="SES10" s="34"/>
      <c r="SET10" s="34"/>
      <c r="SEV10" s="34"/>
      <c r="SEW10" s="72"/>
      <c r="SEX10" s="63"/>
      <c r="SEY10" s="34"/>
      <c r="SEZ10" s="64"/>
      <c r="SFA10" s="4"/>
      <c r="SFB10" s="65"/>
      <c r="SFC10" s="4"/>
      <c r="SFD10" s="4"/>
      <c r="SFE10" s="4"/>
      <c r="SFH10" s="34"/>
      <c r="SFI10" s="34"/>
      <c r="SFK10" s="34"/>
      <c r="SFL10" s="72"/>
      <c r="SFM10" s="63"/>
      <c r="SFN10" s="34"/>
      <c r="SFO10" s="64"/>
      <c r="SFP10" s="4"/>
      <c r="SFQ10" s="65"/>
      <c r="SFR10" s="4"/>
      <c r="SFS10" s="4"/>
      <c r="SFT10" s="4"/>
      <c r="SFW10" s="34"/>
      <c r="SFX10" s="34"/>
      <c r="SFZ10" s="34"/>
      <c r="SGA10" s="72"/>
      <c r="SGB10" s="63"/>
      <c r="SGC10" s="34"/>
      <c r="SGD10" s="64"/>
      <c r="SGE10" s="4"/>
      <c r="SGF10" s="65"/>
      <c r="SGG10" s="4"/>
      <c r="SGH10" s="4"/>
      <c r="SGI10" s="4"/>
      <c r="SGL10" s="34"/>
      <c r="SGM10" s="34"/>
      <c r="SGO10" s="34"/>
      <c r="SGP10" s="72"/>
      <c r="SGQ10" s="63"/>
      <c r="SGR10" s="34"/>
      <c r="SGS10" s="64"/>
      <c r="SGT10" s="4"/>
      <c r="SGU10" s="65"/>
      <c r="SGV10" s="4"/>
      <c r="SGW10" s="4"/>
      <c r="SGX10" s="4"/>
      <c r="SHA10" s="34"/>
      <c r="SHB10" s="34"/>
      <c r="SHD10" s="34"/>
      <c r="SHE10" s="72"/>
      <c r="SHF10" s="63"/>
      <c r="SHG10" s="34"/>
      <c r="SHH10" s="64"/>
      <c r="SHI10" s="4"/>
      <c r="SHJ10" s="65"/>
      <c r="SHK10" s="4"/>
      <c r="SHL10" s="4"/>
      <c r="SHM10" s="4"/>
      <c r="SHP10" s="34"/>
      <c r="SHQ10" s="34"/>
      <c r="SHS10" s="34"/>
      <c r="SHT10" s="72"/>
      <c r="SHU10" s="63"/>
      <c r="SHV10" s="34"/>
      <c r="SHW10" s="64"/>
      <c r="SHX10" s="4"/>
      <c r="SHY10" s="65"/>
      <c r="SHZ10" s="4"/>
      <c r="SIA10" s="4"/>
      <c r="SIB10" s="4"/>
      <c r="SIE10" s="34"/>
      <c r="SIF10" s="34"/>
      <c r="SIH10" s="34"/>
      <c r="SII10" s="72"/>
      <c r="SIJ10" s="63"/>
      <c r="SIK10" s="34"/>
      <c r="SIL10" s="64"/>
      <c r="SIM10" s="4"/>
      <c r="SIN10" s="65"/>
      <c r="SIO10" s="4"/>
      <c r="SIP10" s="4"/>
      <c r="SIQ10" s="4"/>
      <c r="SIT10" s="34"/>
      <c r="SIU10" s="34"/>
      <c r="SIW10" s="34"/>
      <c r="SIX10" s="72"/>
      <c r="SIY10" s="63"/>
      <c r="SIZ10" s="34"/>
      <c r="SJA10" s="64"/>
      <c r="SJB10" s="4"/>
      <c r="SJC10" s="65"/>
      <c r="SJD10" s="4"/>
      <c r="SJE10" s="4"/>
      <c r="SJF10" s="4"/>
      <c r="SJI10" s="34"/>
      <c r="SJJ10" s="34"/>
      <c r="SJL10" s="34"/>
      <c r="SJM10" s="72"/>
      <c r="SJN10" s="63"/>
      <c r="SJO10" s="34"/>
      <c r="SJP10" s="64"/>
      <c r="SJQ10" s="4"/>
      <c r="SJR10" s="65"/>
      <c r="SJS10" s="4"/>
      <c r="SJT10" s="4"/>
      <c r="SJU10" s="4"/>
      <c r="SJX10" s="34"/>
      <c r="SJY10" s="34"/>
      <c r="SKA10" s="34"/>
      <c r="SKB10" s="72"/>
      <c r="SKC10" s="63"/>
      <c r="SKD10" s="34"/>
      <c r="SKE10" s="64"/>
      <c r="SKF10" s="4"/>
      <c r="SKG10" s="65"/>
      <c r="SKH10" s="4"/>
      <c r="SKI10" s="4"/>
      <c r="SKJ10" s="4"/>
      <c r="SKM10" s="34"/>
      <c r="SKN10" s="34"/>
      <c r="SKP10" s="34"/>
      <c r="SKQ10" s="72"/>
      <c r="SKR10" s="63"/>
      <c r="SKS10" s="34"/>
      <c r="SKT10" s="64"/>
      <c r="SKU10" s="4"/>
      <c r="SKV10" s="65"/>
      <c r="SKW10" s="4"/>
      <c r="SKX10" s="4"/>
      <c r="SKY10" s="4"/>
      <c r="SLB10" s="34"/>
      <c r="SLC10" s="34"/>
      <c r="SLE10" s="34"/>
      <c r="SLF10" s="72"/>
      <c r="SLG10" s="63"/>
      <c r="SLH10" s="34"/>
      <c r="SLI10" s="64"/>
      <c r="SLJ10" s="4"/>
      <c r="SLK10" s="65"/>
      <c r="SLL10" s="4"/>
      <c r="SLM10" s="4"/>
      <c r="SLN10" s="4"/>
      <c r="SLQ10" s="34"/>
      <c r="SLR10" s="34"/>
      <c r="SLT10" s="34"/>
      <c r="SLU10" s="72"/>
      <c r="SLV10" s="63"/>
      <c r="SLW10" s="34"/>
      <c r="SLX10" s="64"/>
      <c r="SLY10" s="4"/>
      <c r="SLZ10" s="65"/>
      <c r="SMA10" s="4"/>
      <c r="SMB10" s="4"/>
      <c r="SMC10" s="4"/>
      <c r="SMF10" s="34"/>
      <c r="SMG10" s="34"/>
      <c r="SMI10" s="34"/>
      <c r="SMJ10" s="72"/>
      <c r="SMK10" s="63"/>
      <c r="SML10" s="34"/>
      <c r="SMM10" s="64"/>
      <c r="SMN10" s="4"/>
      <c r="SMO10" s="65"/>
      <c r="SMP10" s="4"/>
      <c r="SMQ10" s="4"/>
      <c r="SMR10" s="4"/>
      <c r="SMU10" s="34"/>
      <c r="SMV10" s="34"/>
      <c r="SMX10" s="34"/>
      <c r="SMY10" s="72"/>
      <c r="SMZ10" s="63"/>
      <c r="SNA10" s="34"/>
      <c r="SNB10" s="64"/>
      <c r="SNC10" s="4"/>
      <c r="SND10" s="65"/>
      <c r="SNE10" s="4"/>
      <c r="SNF10" s="4"/>
      <c r="SNG10" s="4"/>
      <c r="SNJ10" s="34"/>
      <c r="SNK10" s="34"/>
      <c r="SNM10" s="34"/>
      <c r="SNN10" s="72"/>
      <c r="SNO10" s="63"/>
      <c r="SNP10" s="34"/>
      <c r="SNQ10" s="64"/>
      <c r="SNR10" s="4"/>
      <c r="SNS10" s="65"/>
      <c r="SNT10" s="4"/>
      <c r="SNU10" s="4"/>
      <c r="SNV10" s="4"/>
      <c r="SNY10" s="34"/>
      <c r="SNZ10" s="34"/>
      <c r="SOB10" s="34"/>
      <c r="SOC10" s="72"/>
      <c r="SOD10" s="63"/>
      <c r="SOE10" s="34"/>
      <c r="SOF10" s="64"/>
      <c r="SOG10" s="4"/>
      <c r="SOH10" s="65"/>
      <c r="SOI10" s="4"/>
      <c r="SOJ10" s="4"/>
      <c r="SOK10" s="4"/>
      <c r="SON10" s="34"/>
      <c r="SOO10" s="34"/>
      <c r="SOQ10" s="34"/>
      <c r="SOR10" s="72"/>
      <c r="SOS10" s="63"/>
      <c r="SOT10" s="34"/>
      <c r="SOU10" s="64"/>
      <c r="SOV10" s="4"/>
      <c r="SOW10" s="65"/>
      <c r="SOX10" s="4"/>
      <c r="SOY10" s="4"/>
      <c r="SOZ10" s="4"/>
      <c r="SPC10" s="34"/>
      <c r="SPD10" s="34"/>
      <c r="SPF10" s="34"/>
      <c r="SPG10" s="72"/>
      <c r="SPH10" s="63"/>
      <c r="SPI10" s="34"/>
      <c r="SPJ10" s="64"/>
      <c r="SPK10" s="4"/>
      <c r="SPL10" s="65"/>
      <c r="SPM10" s="4"/>
      <c r="SPN10" s="4"/>
      <c r="SPO10" s="4"/>
      <c r="SPR10" s="34"/>
      <c r="SPS10" s="34"/>
      <c r="SPU10" s="34"/>
      <c r="SPV10" s="72"/>
      <c r="SPW10" s="63"/>
      <c r="SPX10" s="34"/>
      <c r="SPY10" s="64"/>
      <c r="SPZ10" s="4"/>
      <c r="SQA10" s="65"/>
      <c r="SQB10" s="4"/>
      <c r="SQC10" s="4"/>
      <c r="SQD10" s="4"/>
      <c r="SQG10" s="34"/>
      <c r="SQH10" s="34"/>
      <c r="SQJ10" s="34"/>
      <c r="SQK10" s="72"/>
      <c r="SQL10" s="63"/>
      <c r="SQM10" s="34"/>
      <c r="SQN10" s="64"/>
      <c r="SQO10" s="4"/>
      <c r="SQP10" s="65"/>
      <c r="SQQ10" s="4"/>
      <c r="SQR10" s="4"/>
      <c r="SQS10" s="4"/>
      <c r="SQV10" s="34"/>
      <c r="SQW10" s="34"/>
      <c r="SQY10" s="34"/>
      <c r="SQZ10" s="72"/>
      <c r="SRA10" s="63"/>
      <c r="SRB10" s="34"/>
      <c r="SRC10" s="64"/>
      <c r="SRD10" s="4"/>
      <c r="SRE10" s="65"/>
      <c r="SRF10" s="4"/>
      <c r="SRG10" s="4"/>
      <c r="SRH10" s="4"/>
      <c r="SRK10" s="34"/>
      <c r="SRL10" s="34"/>
      <c r="SRN10" s="34"/>
      <c r="SRO10" s="72"/>
      <c r="SRP10" s="63"/>
      <c r="SRQ10" s="34"/>
      <c r="SRR10" s="64"/>
      <c r="SRS10" s="4"/>
      <c r="SRT10" s="65"/>
      <c r="SRU10" s="4"/>
      <c r="SRV10" s="4"/>
      <c r="SRW10" s="4"/>
      <c r="SRZ10" s="34"/>
      <c r="SSA10" s="34"/>
      <c r="SSC10" s="34"/>
      <c r="SSD10" s="72"/>
      <c r="SSE10" s="63"/>
      <c r="SSF10" s="34"/>
      <c r="SSG10" s="64"/>
      <c r="SSH10" s="4"/>
      <c r="SSI10" s="65"/>
      <c r="SSJ10" s="4"/>
      <c r="SSK10" s="4"/>
      <c r="SSL10" s="4"/>
      <c r="SSO10" s="34"/>
      <c r="SSP10" s="34"/>
      <c r="SSR10" s="34"/>
      <c r="SSS10" s="72"/>
      <c r="SST10" s="63"/>
      <c r="SSU10" s="34"/>
      <c r="SSV10" s="64"/>
      <c r="SSW10" s="4"/>
      <c r="SSX10" s="65"/>
      <c r="SSY10" s="4"/>
      <c r="SSZ10" s="4"/>
      <c r="STA10" s="4"/>
      <c r="STD10" s="34"/>
      <c r="STE10" s="34"/>
      <c r="STG10" s="34"/>
      <c r="STH10" s="72"/>
      <c r="STI10" s="63"/>
      <c r="STJ10" s="34"/>
      <c r="STK10" s="64"/>
      <c r="STL10" s="4"/>
      <c r="STM10" s="65"/>
      <c r="STN10" s="4"/>
      <c r="STO10" s="4"/>
      <c r="STP10" s="4"/>
      <c r="STS10" s="34"/>
      <c r="STT10" s="34"/>
      <c r="STV10" s="34"/>
      <c r="STW10" s="72"/>
      <c r="STX10" s="63"/>
      <c r="STY10" s="34"/>
      <c r="STZ10" s="64"/>
      <c r="SUA10" s="4"/>
      <c r="SUB10" s="65"/>
      <c r="SUC10" s="4"/>
      <c r="SUD10" s="4"/>
      <c r="SUE10" s="4"/>
      <c r="SUH10" s="34"/>
      <c r="SUI10" s="34"/>
      <c r="SUK10" s="34"/>
      <c r="SUL10" s="72"/>
      <c r="SUM10" s="63"/>
      <c r="SUN10" s="34"/>
      <c r="SUO10" s="64"/>
      <c r="SUP10" s="4"/>
      <c r="SUQ10" s="65"/>
      <c r="SUR10" s="4"/>
      <c r="SUS10" s="4"/>
      <c r="SUT10" s="4"/>
      <c r="SUW10" s="34"/>
      <c r="SUX10" s="34"/>
      <c r="SUZ10" s="34"/>
      <c r="SVA10" s="72"/>
      <c r="SVB10" s="63"/>
      <c r="SVC10" s="34"/>
      <c r="SVD10" s="64"/>
      <c r="SVE10" s="4"/>
      <c r="SVF10" s="65"/>
      <c r="SVG10" s="4"/>
      <c r="SVH10" s="4"/>
      <c r="SVI10" s="4"/>
      <c r="SVL10" s="34"/>
      <c r="SVM10" s="34"/>
      <c r="SVO10" s="34"/>
      <c r="SVP10" s="72"/>
      <c r="SVQ10" s="63"/>
      <c r="SVR10" s="34"/>
      <c r="SVS10" s="64"/>
      <c r="SVT10" s="4"/>
      <c r="SVU10" s="65"/>
      <c r="SVV10" s="4"/>
      <c r="SVW10" s="4"/>
      <c r="SVX10" s="4"/>
      <c r="SWA10" s="34"/>
      <c r="SWB10" s="34"/>
      <c r="SWD10" s="34"/>
      <c r="SWE10" s="72"/>
      <c r="SWF10" s="63"/>
      <c r="SWG10" s="34"/>
      <c r="SWH10" s="64"/>
      <c r="SWI10" s="4"/>
      <c r="SWJ10" s="65"/>
      <c r="SWK10" s="4"/>
      <c r="SWL10" s="4"/>
      <c r="SWM10" s="4"/>
      <c r="SWP10" s="34"/>
      <c r="SWQ10" s="34"/>
      <c r="SWS10" s="34"/>
      <c r="SWT10" s="72"/>
      <c r="SWU10" s="63"/>
      <c r="SWV10" s="34"/>
      <c r="SWW10" s="64"/>
      <c r="SWX10" s="4"/>
      <c r="SWY10" s="65"/>
      <c r="SWZ10" s="4"/>
      <c r="SXA10" s="4"/>
      <c r="SXB10" s="4"/>
      <c r="SXE10" s="34"/>
      <c r="SXF10" s="34"/>
      <c r="SXH10" s="34"/>
      <c r="SXI10" s="72"/>
      <c r="SXJ10" s="63"/>
      <c r="SXK10" s="34"/>
      <c r="SXL10" s="64"/>
      <c r="SXM10" s="4"/>
      <c r="SXN10" s="65"/>
      <c r="SXO10" s="4"/>
      <c r="SXP10" s="4"/>
      <c r="SXQ10" s="4"/>
      <c r="SXT10" s="34"/>
      <c r="SXU10" s="34"/>
      <c r="SXW10" s="34"/>
      <c r="SXX10" s="72"/>
      <c r="SXY10" s="63"/>
      <c r="SXZ10" s="34"/>
      <c r="SYA10" s="64"/>
      <c r="SYB10" s="4"/>
      <c r="SYC10" s="65"/>
      <c r="SYD10" s="4"/>
      <c r="SYE10" s="4"/>
      <c r="SYF10" s="4"/>
      <c r="SYI10" s="34"/>
      <c r="SYJ10" s="34"/>
      <c r="SYL10" s="34"/>
      <c r="SYM10" s="72"/>
      <c r="SYN10" s="63"/>
      <c r="SYO10" s="34"/>
      <c r="SYP10" s="64"/>
      <c r="SYQ10" s="4"/>
      <c r="SYR10" s="65"/>
      <c r="SYS10" s="4"/>
      <c r="SYT10" s="4"/>
      <c r="SYU10" s="4"/>
      <c r="SYX10" s="34"/>
      <c r="SYY10" s="34"/>
      <c r="SZA10" s="34"/>
      <c r="SZB10" s="72"/>
      <c r="SZC10" s="63"/>
      <c r="SZD10" s="34"/>
      <c r="SZE10" s="64"/>
      <c r="SZF10" s="4"/>
      <c r="SZG10" s="65"/>
      <c r="SZH10" s="4"/>
      <c r="SZI10" s="4"/>
      <c r="SZJ10" s="4"/>
      <c r="SZM10" s="34"/>
      <c r="SZN10" s="34"/>
      <c r="SZP10" s="34"/>
      <c r="SZQ10" s="72"/>
      <c r="SZR10" s="63"/>
      <c r="SZS10" s="34"/>
      <c r="SZT10" s="64"/>
      <c r="SZU10" s="4"/>
      <c r="SZV10" s="65"/>
      <c r="SZW10" s="4"/>
      <c r="SZX10" s="4"/>
      <c r="SZY10" s="4"/>
      <c r="TAB10" s="34"/>
      <c r="TAC10" s="34"/>
      <c r="TAE10" s="34"/>
      <c r="TAF10" s="72"/>
      <c r="TAG10" s="63"/>
      <c r="TAH10" s="34"/>
      <c r="TAI10" s="64"/>
      <c r="TAJ10" s="4"/>
      <c r="TAK10" s="65"/>
      <c r="TAL10" s="4"/>
      <c r="TAM10" s="4"/>
      <c r="TAN10" s="4"/>
      <c r="TAQ10" s="34"/>
      <c r="TAR10" s="34"/>
      <c r="TAT10" s="34"/>
      <c r="TAU10" s="72"/>
      <c r="TAV10" s="63"/>
      <c r="TAW10" s="34"/>
      <c r="TAX10" s="64"/>
      <c r="TAY10" s="4"/>
      <c r="TAZ10" s="65"/>
      <c r="TBA10" s="4"/>
      <c r="TBB10" s="4"/>
      <c r="TBC10" s="4"/>
      <c r="TBF10" s="34"/>
      <c r="TBG10" s="34"/>
      <c r="TBI10" s="34"/>
      <c r="TBJ10" s="72"/>
      <c r="TBK10" s="63"/>
      <c r="TBL10" s="34"/>
      <c r="TBM10" s="64"/>
      <c r="TBN10" s="4"/>
      <c r="TBO10" s="65"/>
      <c r="TBP10" s="4"/>
      <c r="TBQ10" s="4"/>
      <c r="TBR10" s="4"/>
      <c r="TBU10" s="34"/>
      <c r="TBV10" s="34"/>
      <c r="TBX10" s="34"/>
      <c r="TBY10" s="72"/>
      <c r="TBZ10" s="63"/>
      <c r="TCA10" s="34"/>
      <c r="TCB10" s="64"/>
      <c r="TCC10" s="4"/>
      <c r="TCD10" s="65"/>
      <c r="TCE10" s="4"/>
      <c r="TCF10" s="4"/>
      <c r="TCG10" s="4"/>
      <c r="TCJ10" s="34"/>
      <c r="TCK10" s="34"/>
      <c r="TCM10" s="34"/>
      <c r="TCN10" s="72"/>
      <c r="TCO10" s="63"/>
      <c r="TCP10" s="34"/>
      <c r="TCQ10" s="64"/>
      <c r="TCR10" s="4"/>
      <c r="TCS10" s="65"/>
      <c r="TCT10" s="4"/>
      <c r="TCU10" s="4"/>
      <c r="TCV10" s="4"/>
      <c r="TCY10" s="34"/>
      <c r="TCZ10" s="34"/>
      <c r="TDB10" s="34"/>
      <c r="TDC10" s="72"/>
      <c r="TDD10" s="63"/>
      <c r="TDE10" s="34"/>
      <c r="TDF10" s="64"/>
      <c r="TDG10" s="4"/>
      <c r="TDH10" s="65"/>
      <c r="TDI10" s="4"/>
      <c r="TDJ10" s="4"/>
      <c r="TDK10" s="4"/>
      <c r="TDN10" s="34"/>
      <c r="TDO10" s="34"/>
      <c r="TDQ10" s="34"/>
      <c r="TDR10" s="72"/>
      <c r="TDS10" s="63"/>
      <c r="TDT10" s="34"/>
      <c r="TDU10" s="64"/>
      <c r="TDV10" s="4"/>
      <c r="TDW10" s="65"/>
      <c r="TDX10" s="4"/>
      <c r="TDY10" s="4"/>
      <c r="TDZ10" s="4"/>
      <c r="TEC10" s="34"/>
      <c r="TED10" s="34"/>
      <c r="TEF10" s="34"/>
      <c r="TEG10" s="72"/>
      <c r="TEH10" s="63"/>
      <c r="TEI10" s="34"/>
      <c r="TEJ10" s="64"/>
      <c r="TEK10" s="4"/>
      <c r="TEL10" s="65"/>
      <c r="TEM10" s="4"/>
      <c r="TEN10" s="4"/>
      <c r="TEO10" s="4"/>
      <c r="TER10" s="34"/>
      <c r="TES10" s="34"/>
      <c r="TEU10" s="34"/>
      <c r="TEV10" s="72"/>
      <c r="TEW10" s="63"/>
      <c r="TEX10" s="34"/>
      <c r="TEY10" s="64"/>
      <c r="TEZ10" s="4"/>
      <c r="TFA10" s="65"/>
      <c r="TFB10" s="4"/>
      <c r="TFC10" s="4"/>
      <c r="TFD10" s="4"/>
      <c r="TFG10" s="34"/>
      <c r="TFH10" s="34"/>
      <c r="TFJ10" s="34"/>
      <c r="TFK10" s="72"/>
      <c r="TFL10" s="63"/>
      <c r="TFM10" s="34"/>
      <c r="TFN10" s="64"/>
      <c r="TFO10" s="4"/>
      <c r="TFP10" s="65"/>
      <c r="TFQ10" s="4"/>
      <c r="TFR10" s="4"/>
      <c r="TFS10" s="4"/>
      <c r="TFV10" s="34"/>
      <c r="TFW10" s="34"/>
      <c r="TFY10" s="34"/>
      <c r="TFZ10" s="72"/>
      <c r="TGA10" s="63"/>
      <c r="TGB10" s="34"/>
      <c r="TGC10" s="64"/>
      <c r="TGD10" s="4"/>
      <c r="TGE10" s="65"/>
      <c r="TGF10" s="4"/>
      <c r="TGG10" s="4"/>
      <c r="TGH10" s="4"/>
      <c r="TGK10" s="34"/>
      <c r="TGL10" s="34"/>
      <c r="TGN10" s="34"/>
      <c r="TGO10" s="72"/>
      <c r="TGP10" s="63"/>
      <c r="TGQ10" s="34"/>
      <c r="TGR10" s="64"/>
      <c r="TGS10" s="4"/>
      <c r="TGT10" s="65"/>
      <c r="TGU10" s="4"/>
      <c r="TGV10" s="4"/>
      <c r="TGW10" s="4"/>
      <c r="TGZ10" s="34"/>
      <c r="THA10" s="34"/>
      <c r="THC10" s="34"/>
      <c r="THD10" s="72"/>
      <c r="THE10" s="63"/>
      <c r="THF10" s="34"/>
      <c r="THG10" s="64"/>
      <c r="THH10" s="4"/>
      <c r="THI10" s="65"/>
      <c r="THJ10" s="4"/>
      <c r="THK10" s="4"/>
      <c r="THL10" s="4"/>
      <c r="THO10" s="34"/>
      <c r="THP10" s="34"/>
      <c r="THR10" s="34"/>
      <c r="THS10" s="72"/>
      <c r="THT10" s="63"/>
      <c r="THU10" s="34"/>
      <c r="THV10" s="64"/>
      <c r="THW10" s="4"/>
      <c r="THX10" s="65"/>
      <c r="THY10" s="4"/>
      <c r="THZ10" s="4"/>
      <c r="TIA10" s="4"/>
      <c r="TID10" s="34"/>
      <c r="TIE10" s="34"/>
      <c r="TIG10" s="34"/>
      <c r="TIH10" s="72"/>
      <c r="TII10" s="63"/>
      <c r="TIJ10" s="34"/>
      <c r="TIK10" s="64"/>
      <c r="TIL10" s="4"/>
      <c r="TIM10" s="65"/>
      <c r="TIN10" s="4"/>
      <c r="TIO10" s="4"/>
      <c r="TIP10" s="4"/>
      <c r="TIS10" s="34"/>
      <c r="TIT10" s="34"/>
      <c r="TIV10" s="34"/>
      <c r="TIW10" s="72"/>
      <c r="TIX10" s="63"/>
      <c r="TIY10" s="34"/>
      <c r="TIZ10" s="64"/>
      <c r="TJA10" s="4"/>
      <c r="TJB10" s="65"/>
      <c r="TJC10" s="4"/>
      <c r="TJD10" s="4"/>
      <c r="TJE10" s="4"/>
      <c r="TJH10" s="34"/>
      <c r="TJI10" s="34"/>
      <c r="TJK10" s="34"/>
      <c r="TJL10" s="72"/>
      <c r="TJM10" s="63"/>
      <c r="TJN10" s="34"/>
      <c r="TJO10" s="64"/>
      <c r="TJP10" s="4"/>
      <c r="TJQ10" s="65"/>
      <c r="TJR10" s="4"/>
      <c r="TJS10" s="4"/>
      <c r="TJT10" s="4"/>
      <c r="TJW10" s="34"/>
      <c r="TJX10" s="34"/>
      <c r="TJZ10" s="34"/>
      <c r="TKA10" s="72"/>
      <c r="TKB10" s="63"/>
      <c r="TKC10" s="34"/>
      <c r="TKD10" s="64"/>
      <c r="TKE10" s="4"/>
      <c r="TKF10" s="65"/>
      <c r="TKG10" s="4"/>
      <c r="TKH10" s="4"/>
      <c r="TKI10" s="4"/>
      <c r="TKL10" s="34"/>
      <c r="TKM10" s="34"/>
      <c r="TKO10" s="34"/>
      <c r="TKP10" s="72"/>
      <c r="TKQ10" s="63"/>
      <c r="TKR10" s="34"/>
      <c r="TKS10" s="64"/>
      <c r="TKT10" s="4"/>
      <c r="TKU10" s="65"/>
      <c r="TKV10" s="4"/>
      <c r="TKW10" s="4"/>
      <c r="TKX10" s="4"/>
      <c r="TLA10" s="34"/>
      <c r="TLB10" s="34"/>
      <c r="TLD10" s="34"/>
      <c r="TLE10" s="72"/>
      <c r="TLF10" s="63"/>
      <c r="TLG10" s="34"/>
      <c r="TLH10" s="64"/>
      <c r="TLI10" s="4"/>
      <c r="TLJ10" s="65"/>
      <c r="TLK10" s="4"/>
      <c r="TLL10" s="4"/>
      <c r="TLM10" s="4"/>
      <c r="TLP10" s="34"/>
      <c r="TLQ10" s="34"/>
      <c r="TLS10" s="34"/>
      <c r="TLT10" s="72"/>
      <c r="TLU10" s="63"/>
      <c r="TLV10" s="34"/>
      <c r="TLW10" s="64"/>
      <c r="TLX10" s="4"/>
      <c r="TLY10" s="65"/>
      <c r="TLZ10" s="4"/>
      <c r="TMA10" s="4"/>
      <c r="TMB10" s="4"/>
      <c r="TME10" s="34"/>
      <c r="TMF10" s="34"/>
      <c r="TMH10" s="34"/>
      <c r="TMI10" s="72"/>
      <c r="TMJ10" s="63"/>
      <c r="TMK10" s="34"/>
      <c r="TML10" s="64"/>
      <c r="TMM10" s="4"/>
      <c r="TMN10" s="65"/>
      <c r="TMO10" s="4"/>
      <c r="TMP10" s="4"/>
      <c r="TMQ10" s="4"/>
      <c r="TMT10" s="34"/>
      <c r="TMU10" s="34"/>
      <c r="TMW10" s="34"/>
      <c r="TMX10" s="72"/>
      <c r="TMY10" s="63"/>
      <c r="TMZ10" s="34"/>
      <c r="TNA10" s="64"/>
      <c r="TNB10" s="4"/>
      <c r="TNC10" s="65"/>
      <c r="TND10" s="4"/>
      <c r="TNE10" s="4"/>
      <c r="TNF10" s="4"/>
      <c r="TNI10" s="34"/>
      <c r="TNJ10" s="34"/>
      <c r="TNL10" s="34"/>
      <c r="TNM10" s="72"/>
      <c r="TNN10" s="63"/>
      <c r="TNO10" s="34"/>
      <c r="TNP10" s="64"/>
      <c r="TNQ10" s="4"/>
      <c r="TNR10" s="65"/>
      <c r="TNS10" s="4"/>
      <c r="TNT10" s="4"/>
      <c r="TNU10" s="4"/>
      <c r="TNX10" s="34"/>
      <c r="TNY10" s="34"/>
      <c r="TOA10" s="34"/>
      <c r="TOB10" s="72"/>
      <c r="TOC10" s="63"/>
      <c r="TOD10" s="34"/>
      <c r="TOE10" s="64"/>
      <c r="TOF10" s="4"/>
      <c r="TOG10" s="65"/>
      <c r="TOH10" s="4"/>
      <c r="TOI10" s="4"/>
      <c r="TOJ10" s="4"/>
      <c r="TOM10" s="34"/>
      <c r="TON10" s="34"/>
      <c r="TOP10" s="34"/>
      <c r="TOQ10" s="72"/>
      <c r="TOR10" s="63"/>
      <c r="TOS10" s="34"/>
      <c r="TOT10" s="64"/>
      <c r="TOU10" s="4"/>
      <c r="TOV10" s="65"/>
      <c r="TOW10" s="4"/>
      <c r="TOX10" s="4"/>
      <c r="TOY10" s="4"/>
      <c r="TPB10" s="34"/>
      <c r="TPC10" s="34"/>
      <c r="TPE10" s="34"/>
      <c r="TPF10" s="72"/>
      <c r="TPG10" s="63"/>
      <c r="TPH10" s="34"/>
      <c r="TPI10" s="64"/>
      <c r="TPJ10" s="4"/>
      <c r="TPK10" s="65"/>
      <c r="TPL10" s="4"/>
      <c r="TPM10" s="4"/>
      <c r="TPN10" s="4"/>
      <c r="TPQ10" s="34"/>
      <c r="TPR10" s="34"/>
      <c r="TPT10" s="34"/>
      <c r="TPU10" s="72"/>
      <c r="TPV10" s="63"/>
      <c r="TPW10" s="34"/>
      <c r="TPX10" s="64"/>
      <c r="TPY10" s="4"/>
      <c r="TPZ10" s="65"/>
      <c r="TQA10" s="4"/>
      <c r="TQB10" s="4"/>
      <c r="TQC10" s="4"/>
      <c r="TQF10" s="34"/>
      <c r="TQG10" s="34"/>
      <c r="TQI10" s="34"/>
      <c r="TQJ10" s="72"/>
      <c r="TQK10" s="63"/>
      <c r="TQL10" s="34"/>
      <c r="TQM10" s="64"/>
      <c r="TQN10" s="4"/>
      <c r="TQO10" s="65"/>
      <c r="TQP10" s="4"/>
      <c r="TQQ10" s="4"/>
      <c r="TQR10" s="4"/>
      <c r="TQU10" s="34"/>
      <c r="TQV10" s="34"/>
      <c r="TQX10" s="34"/>
      <c r="TQY10" s="72"/>
      <c r="TQZ10" s="63"/>
      <c r="TRA10" s="34"/>
      <c r="TRB10" s="64"/>
      <c r="TRC10" s="4"/>
      <c r="TRD10" s="65"/>
      <c r="TRE10" s="4"/>
      <c r="TRF10" s="4"/>
      <c r="TRG10" s="4"/>
      <c r="TRJ10" s="34"/>
      <c r="TRK10" s="34"/>
      <c r="TRM10" s="34"/>
      <c r="TRN10" s="72"/>
      <c r="TRO10" s="63"/>
      <c r="TRP10" s="34"/>
      <c r="TRQ10" s="64"/>
      <c r="TRR10" s="4"/>
      <c r="TRS10" s="65"/>
      <c r="TRT10" s="4"/>
      <c r="TRU10" s="4"/>
      <c r="TRV10" s="4"/>
      <c r="TRY10" s="34"/>
      <c r="TRZ10" s="34"/>
      <c r="TSB10" s="34"/>
      <c r="TSC10" s="72"/>
      <c r="TSD10" s="63"/>
      <c r="TSE10" s="34"/>
      <c r="TSF10" s="64"/>
      <c r="TSG10" s="4"/>
      <c r="TSH10" s="65"/>
      <c r="TSI10" s="4"/>
      <c r="TSJ10" s="4"/>
      <c r="TSK10" s="4"/>
      <c r="TSN10" s="34"/>
      <c r="TSO10" s="34"/>
      <c r="TSQ10" s="34"/>
      <c r="TSR10" s="72"/>
      <c r="TSS10" s="63"/>
      <c r="TST10" s="34"/>
      <c r="TSU10" s="64"/>
      <c r="TSV10" s="4"/>
      <c r="TSW10" s="65"/>
      <c r="TSX10" s="4"/>
      <c r="TSY10" s="4"/>
      <c r="TSZ10" s="4"/>
      <c r="TTC10" s="34"/>
      <c r="TTD10" s="34"/>
      <c r="TTF10" s="34"/>
      <c r="TTG10" s="72"/>
      <c r="TTH10" s="63"/>
      <c r="TTI10" s="34"/>
      <c r="TTJ10" s="64"/>
      <c r="TTK10" s="4"/>
      <c r="TTL10" s="65"/>
      <c r="TTM10" s="4"/>
      <c r="TTN10" s="4"/>
      <c r="TTO10" s="4"/>
      <c r="TTR10" s="34"/>
      <c r="TTS10" s="34"/>
      <c r="TTU10" s="34"/>
      <c r="TTV10" s="72"/>
      <c r="TTW10" s="63"/>
      <c r="TTX10" s="34"/>
      <c r="TTY10" s="64"/>
      <c r="TTZ10" s="4"/>
      <c r="TUA10" s="65"/>
      <c r="TUB10" s="4"/>
      <c r="TUC10" s="4"/>
      <c r="TUD10" s="4"/>
      <c r="TUG10" s="34"/>
      <c r="TUH10" s="34"/>
      <c r="TUJ10" s="34"/>
      <c r="TUK10" s="72"/>
      <c r="TUL10" s="63"/>
      <c r="TUM10" s="34"/>
      <c r="TUN10" s="64"/>
      <c r="TUO10" s="4"/>
      <c r="TUP10" s="65"/>
      <c r="TUQ10" s="4"/>
      <c r="TUR10" s="4"/>
      <c r="TUS10" s="4"/>
      <c r="TUV10" s="34"/>
      <c r="TUW10" s="34"/>
      <c r="TUY10" s="34"/>
      <c r="TUZ10" s="72"/>
      <c r="TVA10" s="63"/>
      <c r="TVB10" s="34"/>
      <c r="TVC10" s="64"/>
      <c r="TVD10" s="4"/>
      <c r="TVE10" s="65"/>
      <c r="TVF10" s="4"/>
      <c r="TVG10" s="4"/>
      <c r="TVH10" s="4"/>
      <c r="TVK10" s="34"/>
      <c r="TVL10" s="34"/>
      <c r="TVN10" s="34"/>
      <c r="TVO10" s="72"/>
      <c r="TVP10" s="63"/>
      <c r="TVQ10" s="34"/>
      <c r="TVR10" s="64"/>
      <c r="TVS10" s="4"/>
      <c r="TVT10" s="65"/>
      <c r="TVU10" s="4"/>
      <c r="TVV10" s="4"/>
      <c r="TVW10" s="4"/>
      <c r="TVZ10" s="34"/>
      <c r="TWA10" s="34"/>
      <c r="TWC10" s="34"/>
      <c r="TWD10" s="72"/>
      <c r="TWE10" s="63"/>
      <c r="TWF10" s="34"/>
      <c r="TWG10" s="64"/>
      <c r="TWH10" s="4"/>
      <c r="TWI10" s="65"/>
      <c r="TWJ10" s="4"/>
      <c r="TWK10" s="4"/>
      <c r="TWL10" s="4"/>
      <c r="TWO10" s="34"/>
      <c r="TWP10" s="34"/>
      <c r="TWR10" s="34"/>
      <c r="TWS10" s="72"/>
      <c r="TWT10" s="63"/>
      <c r="TWU10" s="34"/>
      <c r="TWV10" s="64"/>
      <c r="TWW10" s="4"/>
      <c r="TWX10" s="65"/>
      <c r="TWY10" s="4"/>
      <c r="TWZ10" s="4"/>
      <c r="TXA10" s="4"/>
      <c r="TXD10" s="34"/>
      <c r="TXE10" s="34"/>
      <c r="TXG10" s="34"/>
      <c r="TXH10" s="72"/>
      <c r="TXI10" s="63"/>
      <c r="TXJ10" s="34"/>
      <c r="TXK10" s="64"/>
      <c r="TXL10" s="4"/>
      <c r="TXM10" s="65"/>
      <c r="TXN10" s="4"/>
      <c r="TXO10" s="4"/>
      <c r="TXP10" s="4"/>
      <c r="TXS10" s="34"/>
      <c r="TXT10" s="34"/>
      <c r="TXV10" s="34"/>
      <c r="TXW10" s="72"/>
      <c r="TXX10" s="63"/>
      <c r="TXY10" s="34"/>
      <c r="TXZ10" s="64"/>
      <c r="TYA10" s="4"/>
      <c r="TYB10" s="65"/>
      <c r="TYC10" s="4"/>
      <c r="TYD10" s="4"/>
      <c r="TYE10" s="4"/>
      <c r="TYH10" s="34"/>
      <c r="TYI10" s="34"/>
      <c r="TYK10" s="34"/>
      <c r="TYL10" s="72"/>
      <c r="TYM10" s="63"/>
      <c r="TYN10" s="34"/>
      <c r="TYO10" s="64"/>
      <c r="TYP10" s="4"/>
      <c r="TYQ10" s="65"/>
      <c r="TYR10" s="4"/>
      <c r="TYS10" s="4"/>
      <c r="TYT10" s="4"/>
      <c r="TYW10" s="34"/>
      <c r="TYX10" s="34"/>
      <c r="TYZ10" s="34"/>
      <c r="TZA10" s="72"/>
      <c r="TZB10" s="63"/>
      <c r="TZC10" s="34"/>
      <c r="TZD10" s="64"/>
      <c r="TZE10" s="4"/>
      <c r="TZF10" s="65"/>
      <c r="TZG10" s="4"/>
      <c r="TZH10" s="4"/>
      <c r="TZI10" s="4"/>
      <c r="TZL10" s="34"/>
      <c r="TZM10" s="34"/>
      <c r="TZO10" s="34"/>
      <c r="TZP10" s="72"/>
      <c r="TZQ10" s="63"/>
      <c r="TZR10" s="34"/>
      <c r="TZS10" s="64"/>
      <c r="TZT10" s="4"/>
      <c r="TZU10" s="65"/>
      <c r="TZV10" s="4"/>
      <c r="TZW10" s="4"/>
      <c r="TZX10" s="4"/>
      <c r="UAA10" s="34"/>
      <c r="UAB10" s="34"/>
      <c r="UAD10" s="34"/>
      <c r="UAE10" s="72"/>
      <c r="UAF10" s="63"/>
      <c r="UAG10" s="34"/>
      <c r="UAH10" s="64"/>
      <c r="UAI10" s="4"/>
      <c r="UAJ10" s="65"/>
      <c r="UAK10" s="4"/>
      <c r="UAL10" s="4"/>
      <c r="UAM10" s="4"/>
      <c r="UAP10" s="34"/>
      <c r="UAQ10" s="34"/>
      <c r="UAS10" s="34"/>
      <c r="UAT10" s="72"/>
      <c r="UAU10" s="63"/>
      <c r="UAV10" s="34"/>
      <c r="UAW10" s="64"/>
      <c r="UAX10" s="4"/>
      <c r="UAY10" s="65"/>
      <c r="UAZ10" s="4"/>
      <c r="UBA10" s="4"/>
      <c r="UBB10" s="4"/>
      <c r="UBE10" s="34"/>
      <c r="UBF10" s="34"/>
      <c r="UBH10" s="34"/>
      <c r="UBI10" s="72"/>
      <c r="UBJ10" s="63"/>
      <c r="UBK10" s="34"/>
      <c r="UBL10" s="64"/>
      <c r="UBM10" s="4"/>
      <c r="UBN10" s="65"/>
      <c r="UBO10" s="4"/>
      <c r="UBP10" s="4"/>
      <c r="UBQ10" s="4"/>
      <c r="UBT10" s="34"/>
      <c r="UBU10" s="34"/>
      <c r="UBW10" s="34"/>
      <c r="UBX10" s="72"/>
      <c r="UBY10" s="63"/>
      <c r="UBZ10" s="34"/>
      <c r="UCA10" s="64"/>
      <c r="UCB10" s="4"/>
      <c r="UCC10" s="65"/>
      <c r="UCD10" s="4"/>
      <c r="UCE10" s="4"/>
      <c r="UCF10" s="4"/>
      <c r="UCI10" s="34"/>
      <c r="UCJ10" s="34"/>
      <c r="UCL10" s="34"/>
      <c r="UCM10" s="72"/>
      <c r="UCN10" s="63"/>
      <c r="UCO10" s="34"/>
      <c r="UCP10" s="64"/>
      <c r="UCQ10" s="4"/>
      <c r="UCR10" s="65"/>
      <c r="UCS10" s="4"/>
      <c r="UCT10" s="4"/>
      <c r="UCU10" s="4"/>
      <c r="UCX10" s="34"/>
      <c r="UCY10" s="34"/>
      <c r="UDA10" s="34"/>
      <c r="UDB10" s="72"/>
      <c r="UDC10" s="63"/>
      <c r="UDD10" s="34"/>
      <c r="UDE10" s="64"/>
      <c r="UDF10" s="4"/>
      <c r="UDG10" s="65"/>
      <c r="UDH10" s="4"/>
      <c r="UDI10" s="4"/>
      <c r="UDJ10" s="4"/>
      <c r="UDM10" s="34"/>
      <c r="UDN10" s="34"/>
      <c r="UDP10" s="34"/>
      <c r="UDQ10" s="72"/>
      <c r="UDR10" s="63"/>
      <c r="UDS10" s="34"/>
      <c r="UDT10" s="64"/>
      <c r="UDU10" s="4"/>
      <c r="UDV10" s="65"/>
      <c r="UDW10" s="4"/>
      <c r="UDX10" s="4"/>
      <c r="UDY10" s="4"/>
      <c r="UEB10" s="34"/>
      <c r="UEC10" s="34"/>
      <c r="UEE10" s="34"/>
      <c r="UEF10" s="72"/>
      <c r="UEG10" s="63"/>
      <c r="UEH10" s="34"/>
      <c r="UEI10" s="64"/>
      <c r="UEJ10" s="4"/>
      <c r="UEK10" s="65"/>
      <c r="UEL10" s="4"/>
      <c r="UEM10" s="4"/>
      <c r="UEN10" s="4"/>
      <c r="UEQ10" s="34"/>
      <c r="UER10" s="34"/>
      <c r="UET10" s="34"/>
      <c r="UEU10" s="72"/>
      <c r="UEV10" s="63"/>
      <c r="UEW10" s="34"/>
      <c r="UEX10" s="64"/>
      <c r="UEY10" s="4"/>
      <c r="UEZ10" s="65"/>
      <c r="UFA10" s="4"/>
      <c r="UFB10" s="4"/>
      <c r="UFC10" s="4"/>
      <c r="UFF10" s="34"/>
      <c r="UFG10" s="34"/>
      <c r="UFI10" s="34"/>
      <c r="UFJ10" s="72"/>
      <c r="UFK10" s="63"/>
      <c r="UFL10" s="34"/>
      <c r="UFM10" s="64"/>
      <c r="UFN10" s="4"/>
      <c r="UFO10" s="65"/>
      <c r="UFP10" s="4"/>
      <c r="UFQ10" s="4"/>
      <c r="UFR10" s="4"/>
      <c r="UFU10" s="34"/>
      <c r="UFV10" s="34"/>
      <c r="UFX10" s="34"/>
      <c r="UFY10" s="72"/>
      <c r="UFZ10" s="63"/>
      <c r="UGA10" s="34"/>
      <c r="UGB10" s="64"/>
      <c r="UGC10" s="4"/>
      <c r="UGD10" s="65"/>
      <c r="UGE10" s="4"/>
      <c r="UGF10" s="4"/>
      <c r="UGG10" s="4"/>
      <c r="UGJ10" s="34"/>
      <c r="UGK10" s="34"/>
      <c r="UGM10" s="34"/>
      <c r="UGN10" s="72"/>
      <c r="UGO10" s="63"/>
      <c r="UGP10" s="34"/>
      <c r="UGQ10" s="64"/>
      <c r="UGR10" s="4"/>
      <c r="UGS10" s="65"/>
      <c r="UGT10" s="4"/>
      <c r="UGU10" s="4"/>
      <c r="UGV10" s="4"/>
      <c r="UGY10" s="34"/>
      <c r="UGZ10" s="34"/>
      <c r="UHB10" s="34"/>
      <c r="UHC10" s="72"/>
      <c r="UHD10" s="63"/>
      <c r="UHE10" s="34"/>
      <c r="UHF10" s="64"/>
      <c r="UHG10" s="4"/>
      <c r="UHH10" s="65"/>
      <c r="UHI10" s="4"/>
      <c r="UHJ10" s="4"/>
      <c r="UHK10" s="4"/>
      <c r="UHN10" s="34"/>
      <c r="UHO10" s="34"/>
      <c r="UHQ10" s="34"/>
      <c r="UHR10" s="72"/>
      <c r="UHS10" s="63"/>
      <c r="UHT10" s="34"/>
      <c r="UHU10" s="64"/>
      <c r="UHV10" s="4"/>
      <c r="UHW10" s="65"/>
      <c r="UHX10" s="4"/>
      <c r="UHY10" s="4"/>
      <c r="UHZ10" s="4"/>
      <c r="UIC10" s="34"/>
      <c r="UID10" s="34"/>
      <c r="UIF10" s="34"/>
      <c r="UIG10" s="72"/>
      <c r="UIH10" s="63"/>
      <c r="UII10" s="34"/>
      <c r="UIJ10" s="64"/>
      <c r="UIK10" s="4"/>
      <c r="UIL10" s="65"/>
      <c r="UIM10" s="4"/>
      <c r="UIN10" s="4"/>
      <c r="UIO10" s="4"/>
      <c r="UIR10" s="34"/>
      <c r="UIS10" s="34"/>
      <c r="UIU10" s="34"/>
      <c r="UIV10" s="72"/>
      <c r="UIW10" s="63"/>
      <c r="UIX10" s="34"/>
      <c r="UIY10" s="64"/>
      <c r="UIZ10" s="4"/>
      <c r="UJA10" s="65"/>
      <c r="UJB10" s="4"/>
      <c r="UJC10" s="4"/>
      <c r="UJD10" s="4"/>
      <c r="UJG10" s="34"/>
      <c r="UJH10" s="34"/>
      <c r="UJJ10" s="34"/>
      <c r="UJK10" s="72"/>
      <c r="UJL10" s="63"/>
      <c r="UJM10" s="34"/>
      <c r="UJN10" s="64"/>
      <c r="UJO10" s="4"/>
      <c r="UJP10" s="65"/>
      <c r="UJQ10" s="4"/>
      <c r="UJR10" s="4"/>
      <c r="UJS10" s="4"/>
      <c r="UJV10" s="34"/>
      <c r="UJW10" s="34"/>
      <c r="UJY10" s="34"/>
      <c r="UJZ10" s="72"/>
      <c r="UKA10" s="63"/>
      <c r="UKB10" s="34"/>
      <c r="UKC10" s="64"/>
      <c r="UKD10" s="4"/>
      <c r="UKE10" s="65"/>
      <c r="UKF10" s="4"/>
      <c r="UKG10" s="4"/>
      <c r="UKH10" s="4"/>
      <c r="UKK10" s="34"/>
      <c r="UKL10" s="34"/>
      <c r="UKN10" s="34"/>
      <c r="UKO10" s="72"/>
      <c r="UKP10" s="63"/>
      <c r="UKQ10" s="34"/>
      <c r="UKR10" s="64"/>
      <c r="UKS10" s="4"/>
      <c r="UKT10" s="65"/>
      <c r="UKU10" s="4"/>
      <c r="UKV10" s="4"/>
      <c r="UKW10" s="4"/>
      <c r="UKZ10" s="34"/>
      <c r="ULA10" s="34"/>
      <c r="ULC10" s="34"/>
      <c r="ULD10" s="72"/>
      <c r="ULE10" s="63"/>
      <c r="ULF10" s="34"/>
      <c r="ULG10" s="64"/>
      <c r="ULH10" s="4"/>
      <c r="ULI10" s="65"/>
      <c r="ULJ10" s="4"/>
      <c r="ULK10" s="4"/>
      <c r="ULL10" s="4"/>
      <c r="ULO10" s="34"/>
      <c r="ULP10" s="34"/>
      <c r="ULR10" s="34"/>
      <c r="ULS10" s="72"/>
      <c r="ULT10" s="63"/>
      <c r="ULU10" s="34"/>
      <c r="ULV10" s="64"/>
      <c r="ULW10" s="4"/>
      <c r="ULX10" s="65"/>
      <c r="ULY10" s="4"/>
      <c r="ULZ10" s="4"/>
      <c r="UMA10" s="4"/>
      <c r="UMD10" s="34"/>
      <c r="UME10" s="34"/>
      <c r="UMG10" s="34"/>
      <c r="UMH10" s="72"/>
      <c r="UMI10" s="63"/>
      <c r="UMJ10" s="34"/>
      <c r="UMK10" s="64"/>
      <c r="UML10" s="4"/>
      <c r="UMM10" s="65"/>
      <c r="UMN10" s="4"/>
      <c r="UMO10" s="4"/>
      <c r="UMP10" s="4"/>
      <c r="UMS10" s="34"/>
      <c r="UMT10" s="34"/>
      <c r="UMV10" s="34"/>
      <c r="UMW10" s="72"/>
      <c r="UMX10" s="63"/>
      <c r="UMY10" s="34"/>
      <c r="UMZ10" s="64"/>
      <c r="UNA10" s="4"/>
      <c r="UNB10" s="65"/>
      <c r="UNC10" s="4"/>
      <c r="UND10" s="4"/>
      <c r="UNE10" s="4"/>
      <c r="UNH10" s="34"/>
      <c r="UNI10" s="34"/>
      <c r="UNK10" s="34"/>
      <c r="UNL10" s="72"/>
      <c r="UNM10" s="63"/>
      <c r="UNN10" s="34"/>
      <c r="UNO10" s="64"/>
      <c r="UNP10" s="4"/>
      <c r="UNQ10" s="65"/>
      <c r="UNR10" s="4"/>
      <c r="UNS10" s="4"/>
      <c r="UNT10" s="4"/>
      <c r="UNW10" s="34"/>
      <c r="UNX10" s="34"/>
      <c r="UNZ10" s="34"/>
      <c r="UOA10" s="72"/>
      <c r="UOB10" s="63"/>
      <c r="UOC10" s="34"/>
      <c r="UOD10" s="64"/>
      <c r="UOE10" s="4"/>
      <c r="UOF10" s="65"/>
      <c r="UOG10" s="4"/>
      <c r="UOH10" s="4"/>
      <c r="UOI10" s="4"/>
      <c r="UOL10" s="34"/>
      <c r="UOM10" s="34"/>
      <c r="UOO10" s="34"/>
      <c r="UOP10" s="72"/>
      <c r="UOQ10" s="63"/>
      <c r="UOR10" s="34"/>
      <c r="UOS10" s="64"/>
      <c r="UOT10" s="4"/>
      <c r="UOU10" s="65"/>
      <c r="UOV10" s="4"/>
      <c r="UOW10" s="4"/>
      <c r="UOX10" s="4"/>
      <c r="UPA10" s="34"/>
      <c r="UPB10" s="34"/>
      <c r="UPD10" s="34"/>
      <c r="UPE10" s="72"/>
      <c r="UPF10" s="63"/>
      <c r="UPG10" s="34"/>
      <c r="UPH10" s="64"/>
      <c r="UPI10" s="4"/>
      <c r="UPJ10" s="65"/>
      <c r="UPK10" s="4"/>
      <c r="UPL10" s="4"/>
      <c r="UPM10" s="4"/>
      <c r="UPP10" s="34"/>
      <c r="UPQ10" s="34"/>
      <c r="UPS10" s="34"/>
      <c r="UPT10" s="72"/>
      <c r="UPU10" s="63"/>
      <c r="UPV10" s="34"/>
      <c r="UPW10" s="64"/>
      <c r="UPX10" s="4"/>
      <c r="UPY10" s="65"/>
      <c r="UPZ10" s="4"/>
      <c r="UQA10" s="4"/>
      <c r="UQB10" s="4"/>
      <c r="UQE10" s="34"/>
      <c r="UQF10" s="34"/>
      <c r="UQH10" s="34"/>
      <c r="UQI10" s="72"/>
      <c r="UQJ10" s="63"/>
      <c r="UQK10" s="34"/>
      <c r="UQL10" s="64"/>
      <c r="UQM10" s="4"/>
      <c r="UQN10" s="65"/>
      <c r="UQO10" s="4"/>
      <c r="UQP10" s="4"/>
      <c r="UQQ10" s="4"/>
      <c r="UQT10" s="34"/>
      <c r="UQU10" s="34"/>
      <c r="UQW10" s="34"/>
      <c r="UQX10" s="72"/>
      <c r="UQY10" s="63"/>
      <c r="UQZ10" s="34"/>
      <c r="URA10" s="64"/>
      <c r="URB10" s="4"/>
      <c r="URC10" s="65"/>
      <c r="URD10" s="4"/>
      <c r="URE10" s="4"/>
      <c r="URF10" s="4"/>
      <c r="URI10" s="34"/>
      <c r="URJ10" s="34"/>
      <c r="URL10" s="34"/>
      <c r="URM10" s="72"/>
      <c r="URN10" s="63"/>
      <c r="URO10" s="34"/>
      <c r="URP10" s="64"/>
      <c r="URQ10" s="4"/>
      <c r="URR10" s="65"/>
      <c r="URS10" s="4"/>
      <c r="URT10" s="4"/>
      <c r="URU10" s="4"/>
      <c r="URX10" s="34"/>
      <c r="URY10" s="34"/>
      <c r="USA10" s="34"/>
      <c r="USB10" s="72"/>
      <c r="USC10" s="63"/>
      <c r="USD10" s="34"/>
      <c r="USE10" s="64"/>
      <c r="USF10" s="4"/>
      <c r="USG10" s="65"/>
      <c r="USH10" s="4"/>
      <c r="USI10" s="4"/>
      <c r="USJ10" s="4"/>
      <c r="USM10" s="34"/>
      <c r="USN10" s="34"/>
      <c r="USP10" s="34"/>
      <c r="USQ10" s="72"/>
      <c r="USR10" s="63"/>
      <c r="USS10" s="34"/>
      <c r="UST10" s="64"/>
      <c r="USU10" s="4"/>
      <c r="USV10" s="65"/>
      <c r="USW10" s="4"/>
      <c r="USX10" s="4"/>
      <c r="USY10" s="4"/>
      <c r="UTB10" s="34"/>
      <c r="UTC10" s="34"/>
      <c r="UTE10" s="34"/>
      <c r="UTF10" s="72"/>
      <c r="UTG10" s="63"/>
      <c r="UTH10" s="34"/>
      <c r="UTI10" s="64"/>
      <c r="UTJ10" s="4"/>
      <c r="UTK10" s="65"/>
      <c r="UTL10" s="4"/>
      <c r="UTM10" s="4"/>
      <c r="UTN10" s="4"/>
      <c r="UTQ10" s="34"/>
      <c r="UTR10" s="34"/>
      <c r="UTT10" s="34"/>
      <c r="UTU10" s="72"/>
      <c r="UTV10" s="63"/>
      <c r="UTW10" s="34"/>
      <c r="UTX10" s="64"/>
      <c r="UTY10" s="4"/>
      <c r="UTZ10" s="65"/>
      <c r="UUA10" s="4"/>
      <c r="UUB10" s="4"/>
      <c r="UUC10" s="4"/>
      <c r="UUF10" s="34"/>
      <c r="UUG10" s="34"/>
      <c r="UUI10" s="34"/>
      <c r="UUJ10" s="72"/>
      <c r="UUK10" s="63"/>
      <c r="UUL10" s="34"/>
      <c r="UUM10" s="64"/>
      <c r="UUN10" s="4"/>
      <c r="UUO10" s="65"/>
      <c r="UUP10" s="4"/>
      <c r="UUQ10" s="4"/>
      <c r="UUR10" s="4"/>
      <c r="UUU10" s="34"/>
      <c r="UUV10" s="34"/>
      <c r="UUX10" s="34"/>
      <c r="UUY10" s="72"/>
      <c r="UUZ10" s="63"/>
      <c r="UVA10" s="34"/>
      <c r="UVB10" s="64"/>
      <c r="UVC10" s="4"/>
      <c r="UVD10" s="65"/>
      <c r="UVE10" s="4"/>
      <c r="UVF10" s="4"/>
      <c r="UVG10" s="4"/>
      <c r="UVJ10" s="34"/>
      <c r="UVK10" s="34"/>
      <c r="UVM10" s="34"/>
      <c r="UVN10" s="72"/>
      <c r="UVO10" s="63"/>
      <c r="UVP10" s="34"/>
      <c r="UVQ10" s="64"/>
      <c r="UVR10" s="4"/>
      <c r="UVS10" s="65"/>
      <c r="UVT10" s="4"/>
      <c r="UVU10" s="4"/>
      <c r="UVV10" s="4"/>
      <c r="UVY10" s="34"/>
      <c r="UVZ10" s="34"/>
      <c r="UWB10" s="34"/>
      <c r="UWC10" s="72"/>
      <c r="UWD10" s="63"/>
      <c r="UWE10" s="34"/>
      <c r="UWF10" s="64"/>
      <c r="UWG10" s="4"/>
      <c r="UWH10" s="65"/>
      <c r="UWI10" s="4"/>
      <c r="UWJ10" s="4"/>
      <c r="UWK10" s="4"/>
      <c r="UWN10" s="34"/>
      <c r="UWO10" s="34"/>
      <c r="UWQ10" s="34"/>
      <c r="UWR10" s="72"/>
      <c r="UWS10" s="63"/>
      <c r="UWT10" s="34"/>
      <c r="UWU10" s="64"/>
      <c r="UWV10" s="4"/>
      <c r="UWW10" s="65"/>
      <c r="UWX10" s="4"/>
      <c r="UWY10" s="4"/>
      <c r="UWZ10" s="4"/>
      <c r="UXC10" s="34"/>
      <c r="UXD10" s="34"/>
      <c r="UXF10" s="34"/>
      <c r="UXG10" s="72"/>
      <c r="UXH10" s="63"/>
      <c r="UXI10" s="34"/>
      <c r="UXJ10" s="64"/>
      <c r="UXK10" s="4"/>
      <c r="UXL10" s="65"/>
      <c r="UXM10" s="4"/>
      <c r="UXN10" s="4"/>
      <c r="UXO10" s="4"/>
      <c r="UXR10" s="34"/>
      <c r="UXS10" s="34"/>
      <c r="UXU10" s="34"/>
      <c r="UXV10" s="72"/>
      <c r="UXW10" s="63"/>
      <c r="UXX10" s="34"/>
      <c r="UXY10" s="64"/>
      <c r="UXZ10" s="4"/>
      <c r="UYA10" s="65"/>
      <c r="UYB10" s="4"/>
      <c r="UYC10" s="4"/>
      <c r="UYD10" s="4"/>
      <c r="UYG10" s="34"/>
      <c r="UYH10" s="34"/>
      <c r="UYJ10" s="34"/>
      <c r="UYK10" s="72"/>
      <c r="UYL10" s="63"/>
      <c r="UYM10" s="34"/>
      <c r="UYN10" s="64"/>
      <c r="UYO10" s="4"/>
      <c r="UYP10" s="65"/>
      <c r="UYQ10" s="4"/>
      <c r="UYR10" s="4"/>
      <c r="UYS10" s="4"/>
      <c r="UYV10" s="34"/>
      <c r="UYW10" s="34"/>
      <c r="UYY10" s="34"/>
      <c r="UYZ10" s="72"/>
      <c r="UZA10" s="63"/>
      <c r="UZB10" s="34"/>
      <c r="UZC10" s="64"/>
      <c r="UZD10" s="4"/>
      <c r="UZE10" s="65"/>
      <c r="UZF10" s="4"/>
      <c r="UZG10" s="4"/>
      <c r="UZH10" s="4"/>
      <c r="UZK10" s="34"/>
      <c r="UZL10" s="34"/>
      <c r="UZN10" s="34"/>
      <c r="UZO10" s="72"/>
      <c r="UZP10" s="63"/>
      <c r="UZQ10" s="34"/>
      <c r="UZR10" s="64"/>
      <c r="UZS10" s="4"/>
      <c r="UZT10" s="65"/>
      <c r="UZU10" s="4"/>
      <c r="UZV10" s="4"/>
      <c r="UZW10" s="4"/>
      <c r="UZZ10" s="34"/>
      <c r="VAA10" s="34"/>
      <c r="VAC10" s="34"/>
      <c r="VAD10" s="72"/>
      <c r="VAE10" s="63"/>
      <c r="VAF10" s="34"/>
      <c r="VAG10" s="64"/>
      <c r="VAH10" s="4"/>
      <c r="VAI10" s="65"/>
      <c r="VAJ10" s="4"/>
      <c r="VAK10" s="4"/>
      <c r="VAL10" s="4"/>
      <c r="VAO10" s="34"/>
      <c r="VAP10" s="34"/>
      <c r="VAR10" s="34"/>
      <c r="VAS10" s="72"/>
      <c r="VAT10" s="63"/>
      <c r="VAU10" s="34"/>
      <c r="VAV10" s="64"/>
      <c r="VAW10" s="4"/>
      <c r="VAX10" s="65"/>
      <c r="VAY10" s="4"/>
      <c r="VAZ10" s="4"/>
      <c r="VBA10" s="4"/>
      <c r="VBD10" s="34"/>
      <c r="VBE10" s="34"/>
      <c r="VBG10" s="34"/>
      <c r="VBH10" s="72"/>
      <c r="VBI10" s="63"/>
      <c r="VBJ10" s="34"/>
      <c r="VBK10" s="64"/>
      <c r="VBL10" s="4"/>
      <c r="VBM10" s="65"/>
      <c r="VBN10" s="4"/>
      <c r="VBO10" s="4"/>
      <c r="VBP10" s="4"/>
      <c r="VBS10" s="34"/>
      <c r="VBT10" s="34"/>
      <c r="VBV10" s="34"/>
      <c r="VBW10" s="72"/>
      <c r="VBX10" s="63"/>
      <c r="VBY10" s="34"/>
      <c r="VBZ10" s="64"/>
      <c r="VCA10" s="4"/>
      <c r="VCB10" s="65"/>
      <c r="VCC10" s="4"/>
      <c r="VCD10" s="4"/>
      <c r="VCE10" s="4"/>
      <c r="VCH10" s="34"/>
      <c r="VCI10" s="34"/>
      <c r="VCK10" s="34"/>
      <c r="VCL10" s="72"/>
      <c r="VCM10" s="63"/>
      <c r="VCN10" s="34"/>
      <c r="VCO10" s="64"/>
      <c r="VCP10" s="4"/>
      <c r="VCQ10" s="65"/>
      <c r="VCR10" s="4"/>
      <c r="VCS10" s="4"/>
      <c r="VCT10" s="4"/>
      <c r="VCW10" s="34"/>
      <c r="VCX10" s="34"/>
      <c r="VCZ10" s="34"/>
      <c r="VDA10" s="72"/>
      <c r="VDB10" s="63"/>
      <c r="VDC10" s="34"/>
      <c r="VDD10" s="64"/>
      <c r="VDE10" s="4"/>
      <c r="VDF10" s="65"/>
      <c r="VDG10" s="4"/>
      <c r="VDH10" s="4"/>
      <c r="VDI10" s="4"/>
      <c r="VDL10" s="34"/>
      <c r="VDM10" s="34"/>
      <c r="VDO10" s="34"/>
      <c r="VDP10" s="72"/>
      <c r="VDQ10" s="63"/>
      <c r="VDR10" s="34"/>
      <c r="VDS10" s="64"/>
      <c r="VDT10" s="4"/>
      <c r="VDU10" s="65"/>
      <c r="VDV10" s="4"/>
      <c r="VDW10" s="4"/>
      <c r="VDX10" s="4"/>
      <c r="VEA10" s="34"/>
      <c r="VEB10" s="34"/>
      <c r="VED10" s="34"/>
      <c r="VEE10" s="72"/>
      <c r="VEF10" s="63"/>
      <c r="VEG10" s="34"/>
      <c r="VEH10" s="64"/>
      <c r="VEI10" s="4"/>
      <c r="VEJ10" s="65"/>
      <c r="VEK10" s="4"/>
      <c r="VEL10" s="4"/>
      <c r="VEM10" s="4"/>
      <c r="VEP10" s="34"/>
      <c r="VEQ10" s="34"/>
      <c r="VES10" s="34"/>
      <c r="VET10" s="72"/>
      <c r="VEU10" s="63"/>
      <c r="VEV10" s="34"/>
      <c r="VEW10" s="64"/>
      <c r="VEX10" s="4"/>
      <c r="VEY10" s="65"/>
      <c r="VEZ10" s="4"/>
      <c r="VFA10" s="4"/>
      <c r="VFB10" s="4"/>
      <c r="VFE10" s="34"/>
      <c r="VFF10" s="34"/>
      <c r="VFH10" s="34"/>
      <c r="VFI10" s="72"/>
      <c r="VFJ10" s="63"/>
      <c r="VFK10" s="34"/>
      <c r="VFL10" s="64"/>
      <c r="VFM10" s="4"/>
      <c r="VFN10" s="65"/>
      <c r="VFO10" s="4"/>
      <c r="VFP10" s="4"/>
      <c r="VFQ10" s="4"/>
      <c r="VFT10" s="34"/>
      <c r="VFU10" s="34"/>
      <c r="VFW10" s="34"/>
      <c r="VFX10" s="72"/>
      <c r="VFY10" s="63"/>
      <c r="VFZ10" s="34"/>
      <c r="VGA10" s="64"/>
      <c r="VGB10" s="4"/>
      <c r="VGC10" s="65"/>
      <c r="VGD10" s="4"/>
      <c r="VGE10" s="4"/>
      <c r="VGF10" s="4"/>
      <c r="VGI10" s="34"/>
      <c r="VGJ10" s="34"/>
      <c r="VGL10" s="34"/>
      <c r="VGM10" s="72"/>
      <c r="VGN10" s="63"/>
      <c r="VGO10" s="34"/>
      <c r="VGP10" s="64"/>
      <c r="VGQ10" s="4"/>
      <c r="VGR10" s="65"/>
      <c r="VGS10" s="4"/>
      <c r="VGT10" s="4"/>
      <c r="VGU10" s="4"/>
      <c r="VGX10" s="34"/>
      <c r="VGY10" s="34"/>
      <c r="VHA10" s="34"/>
      <c r="VHB10" s="72"/>
      <c r="VHC10" s="63"/>
      <c r="VHD10" s="34"/>
      <c r="VHE10" s="64"/>
      <c r="VHF10" s="4"/>
      <c r="VHG10" s="65"/>
      <c r="VHH10" s="4"/>
      <c r="VHI10" s="4"/>
      <c r="VHJ10" s="4"/>
      <c r="VHM10" s="34"/>
      <c r="VHN10" s="34"/>
      <c r="VHP10" s="34"/>
      <c r="VHQ10" s="72"/>
      <c r="VHR10" s="63"/>
      <c r="VHS10" s="34"/>
      <c r="VHT10" s="64"/>
      <c r="VHU10" s="4"/>
      <c r="VHV10" s="65"/>
      <c r="VHW10" s="4"/>
      <c r="VHX10" s="4"/>
      <c r="VHY10" s="4"/>
      <c r="VIB10" s="34"/>
      <c r="VIC10" s="34"/>
      <c r="VIE10" s="34"/>
      <c r="VIF10" s="72"/>
      <c r="VIG10" s="63"/>
      <c r="VIH10" s="34"/>
      <c r="VII10" s="64"/>
      <c r="VIJ10" s="4"/>
      <c r="VIK10" s="65"/>
      <c r="VIL10" s="4"/>
      <c r="VIM10" s="4"/>
      <c r="VIN10" s="4"/>
      <c r="VIQ10" s="34"/>
      <c r="VIR10" s="34"/>
      <c r="VIT10" s="34"/>
      <c r="VIU10" s="72"/>
      <c r="VIV10" s="63"/>
      <c r="VIW10" s="34"/>
      <c r="VIX10" s="64"/>
      <c r="VIY10" s="4"/>
      <c r="VIZ10" s="65"/>
      <c r="VJA10" s="4"/>
      <c r="VJB10" s="4"/>
      <c r="VJC10" s="4"/>
      <c r="VJF10" s="34"/>
      <c r="VJG10" s="34"/>
      <c r="VJI10" s="34"/>
      <c r="VJJ10" s="72"/>
      <c r="VJK10" s="63"/>
      <c r="VJL10" s="34"/>
      <c r="VJM10" s="64"/>
      <c r="VJN10" s="4"/>
      <c r="VJO10" s="65"/>
      <c r="VJP10" s="4"/>
      <c r="VJQ10" s="4"/>
      <c r="VJR10" s="4"/>
      <c r="VJU10" s="34"/>
      <c r="VJV10" s="34"/>
      <c r="VJX10" s="34"/>
      <c r="VJY10" s="72"/>
      <c r="VJZ10" s="63"/>
      <c r="VKA10" s="34"/>
      <c r="VKB10" s="64"/>
      <c r="VKC10" s="4"/>
      <c r="VKD10" s="65"/>
      <c r="VKE10" s="4"/>
      <c r="VKF10" s="4"/>
      <c r="VKG10" s="4"/>
      <c r="VKJ10" s="34"/>
      <c r="VKK10" s="34"/>
      <c r="VKM10" s="34"/>
      <c r="VKN10" s="72"/>
      <c r="VKO10" s="63"/>
      <c r="VKP10" s="34"/>
      <c r="VKQ10" s="64"/>
      <c r="VKR10" s="4"/>
      <c r="VKS10" s="65"/>
      <c r="VKT10" s="4"/>
      <c r="VKU10" s="4"/>
      <c r="VKV10" s="4"/>
      <c r="VKY10" s="34"/>
      <c r="VKZ10" s="34"/>
      <c r="VLB10" s="34"/>
      <c r="VLC10" s="72"/>
      <c r="VLD10" s="63"/>
      <c r="VLE10" s="34"/>
      <c r="VLF10" s="64"/>
      <c r="VLG10" s="4"/>
      <c r="VLH10" s="65"/>
      <c r="VLI10" s="4"/>
      <c r="VLJ10" s="4"/>
      <c r="VLK10" s="4"/>
      <c r="VLN10" s="34"/>
      <c r="VLO10" s="34"/>
      <c r="VLQ10" s="34"/>
      <c r="VLR10" s="72"/>
      <c r="VLS10" s="63"/>
      <c r="VLT10" s="34"/>
      <c r="VLU10" s="64"/>
      <c r="VLV10" s="4"/>
      <c r="VLW10" s="65"/>
      <c r="VLX10" s="4"/>
      <c r="VLY10" s="4"/>
      <c r="VLZ10" s="4"/>
      <c r="VMC10" s="34"/>
      <c r="VMD10" s="34"/>
      <c r="VMF10" s="34"/>
      <c r="VMG10" s="72"/>
      <c r="VMH10" s="63"/>
      <c r="VMI10" s="34"/>
      <c r="VMJ10" s="64"/>
      <c r="VMK10" s="4"/>
      <c r="VML10" s="65"/>
      <c r="VMM10" s="4"/>
      <c r="VMN10" s="4"/>
      <c r="VMO10" s="4"/>
      <c r="VMR10" s="34"/>
      <c r="VMS10" s="34"/>
      <c r="VMU10" s="34"/>
      <c r="VMV10" s="72"/>
      <c r="VMW10" s="63"/>
      <c r="VMX10" s="34"/>
      <c r="VMY10" s="64"/>
      <c r="VMZ10" s="4"/>
      <c r="VNA10" s="65"/>
      <c r="VNB10" s="4"/>
      <c r="VNC10" s="4"/>
      <c r="VND10" s="4"/>
      <c r="VNG10" s="34"/>
      <c r="VNH10" s="34"/>
      <c r="VNJ10" s="34"/>
      <c r="VNK10" s="72"/>
      <c r="VNL10" s="63"/>
      <c r="VNM10" s="34"/>
      <c r="VNN10" s="64"/>
      <c r="VNO10" s="4"/>
      <c r="VNP10" s="65"/>
      <c r="VNQ10" s="4"/>
      <c r="VNR10" s="4"/>
      <c r="VNS10" s="4"/>
      <c r="VNV10" s="34"/>
      <c r="VNW10" s="34"/>
      <c r="VNY10" s="34"/>
      <c r="VNZ10" s="72"/>
      <c r="VOA10" s="63"/>
      <c r="VOB10" s="34"/>
      <c r="VOC10" s="64"/>
      <c r="VOD10" s="4"/>
      <c r="VOE10" s="65"/>
      <c r="VOF10" s="4"/>
      <c r="VOG10" s="4"/>
      <c r="VOH10" s="4"/>
      <c r="VOK10" s="34"/>
      <c r="VOL10" s="34"/>
      <c r="VON10" s="34"/>
      <c r="VOO10" s="72"/>
      <c r="VOP10" s="63"/>
      <c r="VOQ10" s="34"/>
      <c r="VOR10" s="64"/>
      <c r="VOS10" s="4"/>
      <c r="VOT10" s="65"/>
      <c r="VOU10" s="4"/>
      <c r="VOV10" s="4"/>
      <c r="VOW10" s="4"/>
      <c r="VOZ10" s="34"/>
      <c r="VPA10" s="34"/>
      <c r="VPC10" s="34"/>
      <c r="VPD10" s="72"/>
      <c r="VPE10" s="63"/>
      <c r="VPF10" s="34"/>
      <c r="VPG10" s="64"/>
      <c r="VPH10" s="4"/>
      <c r="VPI10" s="65"/>
      <c r="VPJ10" s="4"/>
      <c r="VPK10" s="4"/>
      <c r="VPL10" s="4"/>
      <c r="VPO10" s="34"/>
      <c r="VPP10" s="34"/>
      <c r="VPR10" s="34"/>
      <c r="VPS10" s="72"/>
      <c r="VPT10" s="63"/>
      <c r="VPU10" s="34"/>
      <c r="VPV10" s="64"/>
      <c r="VPW10" s="4"/>
      <c r="VPX10" s="65"/>
      <c r="VPY10" s="4"/>
      <c r="VPZ10" s="4"/>
      <c r="VQA10" s="4"/>
      <c r="VQD10" s="34"/>
      <c r="VQE10" s="34"/>
      <c r="VQG10" s="34"/>
      <c r="VQH10" s="72"/>
      <c r="VQI10" s="63"/>
      <c r="VQJ10" s="34"/>
      <c r="VQK10" s="64"/>
      <c r="VQL10" s="4"/>
      <c r="VQM10" s="65"/>
      <c r="VQN10" s="4"/>
      <c r="VQO10" s="4"/>
      <c r="VQP10" s="4"/>
      <c r="VQS10" s="34"/>
      <c r="VQT10" s="34"/>
      <c r="VQV10" s="34"/>
      <c r="VQW10" s="72"/>
      <c r="VQX10" s="63"/>
      <c r="VQY10" s="34"/>
      <c r="VQZ10" s="64"/>
      <c r="VRA10" s="4"/>
      <c r="VRB10" s="65"/>
      <c r="VRC10" s="4"/>
      <c r="VRD10" s="4"/>
      <c r="VRE10" s="4"/>
      <c r="VRH10" s="34"/>
      <c r="VRI10" s="34"/>
      <c r="VRK10" s="34"/>
      <c r="VRL10" s="72"/>
      <c r="VRM10" s="63"/>
      <c r="VRN10" s="34"/>
      <c r="VRO10" s="64"/>
      <c r="VRP10" s="4"/>
      <c r="VRQ10" s="65"/>
      <c r="VRR10" s="4"/>
      <c r="VRS10" s="4"/>
      <c r="VRT10" s="4"/>
      <c r="VRW10" s="34"/>
      <c r="VRX10" s="34"/>
      <c r="VRZ10" s="34"/>
      <c r="VSA10" s="72"/>
      <c r="VSB10" s="63"/>
      <c r="VSC10" s="34"/>
      <c r="VSD10" s="64"/>
      <c r="VSE10" s="4"/>
      <c r="VSF10" s="65"/>
      <c r="VSG10" s="4"/>
      <c r="VSH10" s="4"/>
      <c r="VSI10" s="4"/>
      <c r="VSL10" s="34"/>
      <c r="VSM10" s="34"/>
      <c r="VSO10" s="34"/>
      <c r="VSP10" s="72"/>
      <c r="VSQ10" s="63"/>
      <c r="VSR10" s="34"/>
      <c r="VSS10" s="64"/>
      <c r="VST10" s="4"/>
      <c r="VSU10" s="65"/>
      <c r="VSV10" s="4"/>
      <c r="VSW10" s="4"/>
      <c r="VSX10" s="4"/>
      <c r="VTA10" s="34"/>
      <c r="VTB10" s="34"/>
      <c r="VTD10" s="34"/>
      <c r="VTE10" s="72"/>
      <c r="VTF10" s="63"/>
      <c r="VTG10" s="34"/>
      <c r="VTH10" s="64"/>
      <c r="VTI10" s="4"/>
      <c r="VTJ10" s="65"/>
      <c r="VTK10" s="4"/>
      <c r="VTL10" s="4"/>
      <c r="VTM10" s="4"/>
      <c r="VTP10" s="34"/>
      <c r="VTQ10" s="34"/>
      <c r="VTS10" s="34"/>
      <c r="VTT10" s="72"/>
      <c r="VTU10" s="63"/>
      <c r="VTV10" s="34"/>
      <c r="VTW10" s="64"/>
      <c r="VTX10" s="4"/>
      <c r="VTY10" s="65"/>
      <c r="VTZ10" s="4"/>
      <c r="VUA10" s="4"/>
      <c r="VUB10" s="4"/>
      <c r="VUE10" s="34"/>
      <c r="VUF10" s="34"/>
      <c r="VUH10" s="34"/>
      <c r="VUI10" s="72"/>
      <c r="VUJ10" s="63"/>
      <c r="VUK10" s="34"/>
      <c r="VUL10" s="64"/>
      <c r="VUM10" s="4"/>
      <c r="VUN10" s="65"/>
      <c r="VUO10" s="4"/>
      <c r="VUP10" s="4"/>
      <c r="VUQ10" s="4"/>
      <c r="VUT10" s="34"/>
      <c r="VUU10" s="34"/>
      <c r="VUW10" s="34"/>
      <c r="VUX10" s="72"/>
      <c r="VUY10" s="63"/>
      <c r="VUZ10" s="34"/>
      <c r="VVA10" s="64"/>
      <c r="VVB10" s="4"/>
      <c r="VVC10" s="65"/>
      <c r="VVD10" s="4"/>
      <c r="VVE10" s="4"/>
      <c r="VVF10" s="4"/>
      <c r="VVI10" s="34"/>
      <c r="VVJ10" s="34"/>
      <c r="VVL10" s="34"/>
      <c r="VVM10" s="72"/>
      <c r="VVN10" s="63"/>
      <c r="VVO10" s="34"/>
      <c r="VVP10" s="64"/>
      <c r="VVQ10" s="4"/>
      <c r="VVR10" s="65"/>
      <c r="VVS10" s="4"/>
      <c r="VVT10" s="4"/>
      <c r="VVU10" s="4"/>
      <c r="VVX10" s="34"/>
      <c r="VVY10" s="34"/>
      <c r="VWA10" s="34"/>
      <c r="VWB10" s="72"/>
      <c r="VWC10" s="63"/>
      <c r="VWD10" s="34"/>
      <c r="VWE10" s="64"/>
      <c r="VWF10" s="4"/>
      <c r="VWG10" s="65"/>
      <c r="VWH10" s="4"/>
      <c r="VWI10" s="4"/>
      <c r="VWJ10" s="4"/>
      <c r="VWM10" s="34"/>
      <c r="VWN10" s="34"/>
      <c r="VWP10" s="34"/>
      <c r="VWQ10" s="72"/>
      <c r="VWR10" s="63"/>
      <c r="VWS10" s="34"/>
      <c r="VWT10" s="64"/>
      <c r="VWU10" s="4"/>
      <c r="VWV10" s="65"/>
      <c r="VWW10" s="4"/>
      <c r="VWX10" s="4"/>
      <c r="VWY10" s="4"/>
      <c r="VXB10" s="34"/>
      <c r="VXC10" s="34"/>
      <c r="VXE10" s="34"/>
      <c r="VXF10" s="72"/>
      <c r="VXG10" s="63"/>
      <c r="VXH10" s="34"/>
      <c r="VXI10" s="64"/>
      <c r="VXJ10" s="4"/>
      <c r="VXK10" s="65"/>
      <c r="VXL10" s="4"/>
      <c r="VXM10" s="4"/>
      <c r="VXN10" s="4"/>
      <c r="VXQ10" s="34"/>
      <c r="VXR10" s="34"/>
      <c r="VXT10" s="34"/>
      <c r="VXU10" s="72"/>
      <c r="VXV10" s="63"/>
      <c r="VXW10" s="34"/>
      <c r="VXX10" s="64"/>
      <c r="VXY10" s="4"/>
      <c r="VXZ10" s="65"/>
      <c r="VYA10" s="4"/>
      <c r="VYB10" s="4"/>
      <c r="VYC10" s="4"/>
      <c r="VYF10" s="34"/>
      <c r="VYG10" s="34"/>
      <c r="VYI10" s="34"/>
      <c r="VYJ10" s="72"/>
      <c r="VYK10" s="63"/>
      <c r="VYL10" s="34"/>
      <c r="VYM10" s="64"/>
      <c r="VYN10" s="4"/>
      <c r="VYO10" s="65"/>
      <c r="VYP10" s="4"/>
      <c r="VYQ10" s="4"/>
      <c r="VYR10" s="4"/>
      <c r="VYU10" s="34"/>
      <c r="VYV10" s="34"/>
      <c r="VYX10" s="34"/>
      <c r="VYY10" s="72"/>
      <c r="VYZ10" s="63"/>
      <c r="VZA10" s="34"/>
      <c r="VZB10" s="64"/>
      <c r="VZC10" s="4"/>
      <c r="VZD10" s="65"/>
      <c r="VZE10" s="4"/>
      <c r="VZF10" s="4"/>
      <c r="VZG10" s="4"/>
      <c r="VZJ10" s="34"/>
      <c r="VZK10" s="34"/>
      <c r="VZM10" s="34"/>
      <c r="VZN10" s="72"/>
      <c r="VZO10" s="63"/>
      <c r="VZP10" s="34"/>
      <c r="VZQ10" s="64"/>
      <c r="VZR10" s="4"/>
      <c r="VZS10" s="65"/>
      <c r="VZT10" s="4"/>
      <c r="VZU10" s="4"/>
      <c r="VZV10" s="4"/>
      <c r="VZY10" s="34"/>
      <c r="VZZ10" s="34"/>
      <c r="WAB10" s="34"/>
      <c r="WAC10" s="72"/>
      <c r="WAD10" s="63"/>
      <c r="WAE10" s="34"/>
      <c r="WAF10" s="64"/>
      <c r="WAG10" s="4"/>
      <c r="WAH10" s="65"/>
      <c r="WAI10" s="4"/>
      <c r="WAJ10" s="4"/>
      <c r="WAK10" s="4"/>
      <c r="WAN10" s="34"/>
      <c r="WAO10" s="34"/>
      <c r="WAQ10" s="34"/>
      <c r="WAR10" s="72"/>
      <c r="WAS10" s="63"/>
      <c r="WAT10" s="34"/>
      <c r="WAU10" s="64"/>
      <c r="WAV10" s="4"/>
      <c r="WAW10" s="65"/>
      <c r="WAX10" s="4"/>
      <c r="WAY10" s="4"/>
      <c r="WAZ10" s="4"/>
      <c r="WBC10" s="34"/>
      <c r="WBD10" s="34"/>
      <c r="WBF10" s="34"/>
      <c r="WBG10" s="72"/>
      <c r="WBH10" s="63"/>
      <c r="WBI10" s="34"/>
      <c r="WBJ10" s="64"/>
      <c r="WBK10" s="4"/>
      <c r="WBL10" s="65"/>
      <c r="WBM10" s="4"/>
      <c r="WBN10" s="4"/>
      <c r="WBO10" s="4"/>
      <c r="WBR10" s="34"/>
      <c r="WBS10" s="34"/>
      <c r="WBU10" s="34"/>
      <c r="WBV10" s="72"/>
      <c r="WBW10" s="63"/>
      <c r="WBX10" s="34"/>
      <c r="WBY10" s="64"/>
      <c r="WBZ10" s="4"/>
      <c r="WCA10" s="65"/>
      <c r="WCB10" s="4"/>
      <c r="WCC10" s="4"/>
      <c r="WCD10" s="4"/>
      <c r="WCG10" s="34"/>
      <c r="WCH10" s="34"/>
      <c r="WCJ10" s="34"/>
      <c r="WCK10" s="72"/>
      <c r="WCL10" s="63"/>
      <c r="WCM10" s="34"/>
      <c r="WCN10" s="64"/>
      <c r="WCO10" s="4"/>
      <c r="WCP10" s="65"/>
      <c r="WCQ10" s="4"/>
      <c r="WCR10" s="4"/>
      <c r="WCS10" s="4"/>
      <c r="WCV10" s="34"/>
      <c r="WCW10" s="34"/>
      <c r="WCY10" s="34"/>
      <c r="WCZ10" s="72"/>
      <c r="WDA10" s="63"/>
      <c r="WDB10" s="34"/>
      <c r="WDC10" s="64"/>
      <c r="WDD10" s="4"/>
      <c r="WDE10" s="65"/>
      <c r="WDF10" s="4"/>
      <c r="WDG10" s="4"/>
      <c r="WDH10" s="4"/>
      <c r="WDK10" s="34"/>
      <c r="WDL10" s="34"/>
      <c r="WDN10" s="34"/>
      <c r="WDO10" s="72"/>
      <c r="WDP10" s="63"/>
      <c r="WDQ10" s="34"/>
      <c r="WDR10" s="64"/>
      <c r="WDS10" s="4"/>
      <c r="WDT10" s="65"/>
      <c r="WDU10" s="4"/>
      <c r="WDV10" s="4"/>
      <c r="WDW10" s="4"/>
      <c r="WDZ10" s="34"/>
      <c r="WEA10" s="34"/>
      <c r="WEC10" s="34"/>
      <c r="WED10" s="72"/>
      <c r="WEE10" s="63"/>
      <c r="WEF10" s="34"/>
      <c r="WEG10" s="64"/>
      <c r="WEH10" s="4"/>
      <c r="WEI10" s="65"/>
      <c r="WEJ10" s="4"/>
      <c r="WEK10" s="4"/>
      <c r="WEL10" s="4"/>
      <c r="WEO10" s="34"/>
      <c r="WEP10" s="34"/>
      <c r="WER10" s="34"/>
      <c r="WES10" s="72"/>
      <c r="WET10" s="63"/>
      <c r="WEU10" s="34"/>
      <c r="WEV10" s="64"/>
      <c r="WEW10" s="4"/>
      <c r="WEX10" s="65"/>
      <c r="WEY10" s="4"/>
      <c r="WEZ10" s="4"/>
      <c r="WFA10" s="4"/>
      <c r="WFD10" s="34"/>
      <c r="WFE10" s="34"/>
      <c r="WFG10" s="34"/>
      <c r="WFH10" s="72"/>
      <c r="WFI10" s="63"/>
      <c r="WFJ10" s="34"/>
      <c r="WFK10" s="64"/>
      <c r="WFL10" s="4"/>
      <c r="WFM10" s="65"/>
      <c r="WFN10" s="4"/>
      <c r="WFO10" s="4"/>
      <c r="WFP10" s="4"/>
      <c r="WFS10" s="34"/>
      <c r="WFT10" s="34"/>
      <c r="WFV10" s="34"/>
      <c r="WFW10" s="72"/>
      <c r="WFX10" s="63"/>
      <c r="WFY10" s="34"/>
      <c r="WFZ10" s="64"/>
      <c r="WGA10" s="4"/>
      <c r="WGB10" s="65"/>
      <c r="WGC10" s="4"/>
      <c r="WGD10" s="4"/>
      <c r="WGE10" s="4"/>
      <c r="WGH10" s="34"/>
      <c r="WGI10" s="34"/>
      <c r="WGK10" s="34"/>
      <c r="WGL10" s="72"/>
      <c r="WGM10" s="63"/>
      <c r="WGN10" s="34"/>
      <c r="WGO10" s="64"/>
      <c r="WGP10" s="4"/>
      <c r="WGQ10" s="65"/>
      <c r="WGR10" s="4"/>
      <c r="WGS10" s="4"/>
      <c r="WGT10" s="4"/>
      <c r="WGW10" s="34"/>
      <c r="WGX10" s="34"/>
      <c r="WGZ10" s="34"/>
      <c r="WHA10" s="72"/>
      <c r="WHB10" s="63"/>
      <c r="WHC10" s="34"/>
      <c r="WHD10" s="64"/>
      <c r="WHE10" s="4"/>
      <c r="WHF10" s="65"/>
      <c r="WHG10" s="4"/>
      <c r="WHH10" s="4"/>
      <c r="WHI10" s="4"/>
      <c r="WHL10" s="34"/>
      <c r="WHM10" s="34"/>
      <c r="WHO10" s="34"/>
      <c r="WHP10" s="72"/>
      <c r="WHQ10" s="63"/>
      <c r="WHR10" s="34"/>
      <c r="WHS10" s="64"/>
      <c r="WHT10" s="4"/>
      <c r="WHU10" s="65"/>
      <c r="WHV10" s="4"/>
      <c r="WHW10" s="4"/>
      <c r="WHX10" s="4"/>
      <c r="WIA10" s="34"/>
      <c r="WIB10" s="34"/>
      <c r="WID10" s="34"/>
      <c r="WIE10" s="72"/>
      <c r="WIF10" s="63"/>
      <c r="WIG10" s="34"/>
      <c r="WIH10" s="64"/>
      <c r="WII10" s="4"/>
      <c r="WIJ10" s="65"/>
      <c r="WIK10" s="4"/>
      <c r="WIL10" s="4"/>
      <c r="WIM10" s="4"/>
      <c r="WIP10" s="34"/>
      <c r="WIQ10" s="34"/>
      <c r="WIS10" s="34"/>
      <c r="WIT10" s="72"/>
      <c r="WIU10" s="63"/>
      <c r="WIV10" s="34"/>
      <c r="WIW10" s="64"/>
      <c r="WIX10" s="4"/>
      <c r="WIY10" s="65"/>
      <c r="WIZ10" s="4"/>
      <c r="WJA10" s="4"/>
      <c r="WJB10" s="4"/>
      <c r="WJE10" s="34"/>
      <c r="WJF10" s="34"/>
      <c r="WJH10" s="34"/>
      <c r="WJI10" s="72"/>
      <c r="WJJ10" s="63"/>
      <c r="WJK10" s="34"/>
      <c r="WJL10" s="64"/>
      <c r="WJM10" s="4"/>
      <c r="WJN10" s="65"/>
      <c r="WJO10" s="4"/>
      <c r="WJP10" s="4"/>
      <c r="WJQ10" s="4"/>
      <c r="WJT10" s="34"/>
      <c r="WJU10" s="34"/>
      <c r="WJW10" s="34"/>
      <c r="WJX10" s="72"/>
      <c r="WJY10" s="63"/>
      <c r="WJZ10" s="34"/>
      <c r="WKA10" s="64"/>
      <c r="WKB10" s="4"/>
      <c r="WKC10" s="65"/>
      <c r="WKD10" s="4"/>
      <c r="WKE10" s="4"/>
      <c r="WKF10" s="4"/>
      <c r="WKI10" s="34"/>
      <c r="WKJ10" s="34"/>
      <c r="WKL10" s="34"/>
      <c r="WKM10" s="72"/>
      <c r="WKN10" s="63"/>
      <c r="WKO10" s="34"/>
      <c r="WKP10" s="64"/>
      <c r="WKQ10" s="4"/>
      <c r="WKR10" s="65"/>
      <c r="WKS10" s="4"/>
      <c r="WKT10" s="4"/>
      <c r="WKU10" s="4"/>
      <c r="WKX10" s="34"/>
      <c r="WKY10" s="34"/>
      <c r="WLA10" s="34"/>
      <c r="WLB10" s="72"/>
      <c r="WLC10" s="63"/>
      <c r="WLD10" s="34"/>
      <c r="WLE10" s="64"/>
      <c r="WLF10" s="4"/>
      <c r="WLG10" s="65"/>
      <c r="WLH10" s="4"/>
      <c r="WLI10" s="4"/>
      <c r="WLJ10" s="4"/>
      <c r="WLM10" s="34"/>
      <c r="WLN10" s="34"/>
      <c r="WLP10" s="34"/>
      <c r="WLQ10" s="72"/>
      <c r="WLR10" s="63"/>
      <c r="WLS10" s="34"/>
      <c r="WLT10" s="64"/>
      <c r="WLU10" s="4"/>
      <c r="WLV10" s="65"/>
      <c r="WLW10" s="4"/>
      <c r="WLX10" s="4"/>
      <c r="WLY10" s="4"/>
      <c r="WMB10" s="34"/>
      <c r="WMC10" s="34"/>
      <c r="WME10" s="34"/>
      <c r="WMF10" s="72"/>
      <c r="WMG10" s="63"/>
      <c r="WMH10" s="34"/>
      <c r="WMI10" s="64"/>
      <c r="WMJ10" s="4"/>
      <c r="WMK10" s="65"/>
      <c r="WML10" s="4"/>
      <c r="WMM10" s="4"/>
      <c r="WMN10" s="4"/>
      <c r="WMQ10" s="34"/>
      <c r="WMR10" s="34"/>
      <c r="WMT10" s="34"/>
      <c r="WMU10" s="72"/>
      <c r="WMV10" s="63"/>
      <c r="WMW10" s="34"/>
      <c r="WMX10" s="64"/>
      <c r="WMY10" s="4"/>
      <c r="WMZ10" s="65"/>
      <c r="WNA10" s="4"/>
      <c r="WNB10" s="4"/>
      <c r="WNC10" s="4"/>
      <c r="WNF10" s="34"/>
      <c r="WNG10" s="34"/>
      <c r="WNI10" s="34"/>
      <c r="WNJ10" s="72"/>
      <c r="WNK10" s="63"/>
      <c r="WNL10" s="34"/>
      <c r="WNM10" s="64"/>
      <c r="WNN10" s="4"/>
      <c r="WNO10" s="65"/>
      <c r="WNP10" s="4"/>
      <c r="WNQ10" s="4"/>
      <c r="WNR10" s="4"/>
      <c r="WNU10" s="34"/>
      <c r="WNV10" s="34"/>
      <c r="WNX10" s="34"/>
      <c r="WNY10" s="72"/>
      <c r="WNZ10" s="63"/>
      <c r="WOA10" s="34"/>
      <c r="WOB10" s="64"/>
      <c r="WOC10" s="4"/>
      <c r="WOD10" s="65"/>
      <c r="WOE10" s="4"/>
      <c r="WOF10" s="4"/>
      <c r="WOG10" s="4"/>
      <c r="WOJ10" s="34"/>
      <c r="WOK10" s="34"/>
      <c r="WOM10" s="34"/>
      <c r="WON10" s="72"/>
      <c r="WOO10" s="63"/>
      <c r="WOP10" s="34"/>
      <c r="WOQ10" s="64"/>
      <c r="WOR10" s="4"/>
      <c r="WOS10" s="65"/>
      <c r="WOT10" s="4"/>
      <c r="WOU10" s="4"/>
      <c r="WOV10" s="4"/>
      <c r="WOY10" s="34"/>
      <c r="WOZ10" s="34"/>
      <c r="WPB10" s="34"/>
      <c r="WPC10" s="72"/>
      <c r="WPD10" s="63"/>
      <c r="WPE10" s="34"/>
      <c r="WPF10" s="64"/>
      <c r="WPG10" s="4"/>
      <c r="WPH10" s="65"/>
      <c r="WPI10" s="4"/>
      <c r="WPJ10" s="4"/>
      <c r="WPK10" s="4"/>
      <c r="WPN10" s="34"/>
      <c r="WPO10" s="34"/>
      <c r="WPQ10" s="34"/>
      <c r="WPR10" s="72"/>
      <c r="WPS10" s="63"/>
      <c r="WPT10" s="34"/>
      <c r="WPU10" s="64"/>
      <c r="WPV10" s="4"/>
      <c r="WPW10" s="65"/>
      <c r="WPX10" s="4"/>
      <c r="WPY10" s="4"/>
      <c r="WPZ10" s="4"/>
      <c r="WQC10" s="34"/>
      <c r="WQD10" s="34"/>
      <c r="WQF10" s="34"/>
      <c r="WQG10" s="72"/>
      <c r="WQH10" s="63"/>
      <c r="WQI10" s="34"/>
      <c r="WQJ10" s="64"/>
      <c r="WQK10" s="4"/>
      <c r="WQL10" s="65"/>
      <c r="WQM10" s="4"/>
      <c r="WQN10" s="4"/>
      <c r="WQO10" s="4"/>
      <c r="WQR10" s="34"/>
      <c r="WQS10" s="34"/>
      <c r="WQU10" s="34"/>
      <c r="WQV10" s="72"/>
      <c r="WQW10" s="63"/>
      <c r="WQX10" s="34"/>
      <c r="WQY10" s="64"/>
      <c r="WQZ10" s="4"/>
      <c r="WRA10" s="65"/>
      <c r="WRB10" s="4"/>
      <c r="WRC10" s="4"/>
      <c r="WRD10" s="4"/>
      <c r="WRG10" s="34"/>
      <c r="WRH10" s="34"/>
      <c r="WRJ10" s="34"/>
      <c r="WRK10" s="72"/>
      <c r="WRL10" s="63"/>
      <c r="WRM10" s="34"/>
      <c r="WRN10" s="64"/>
      <c r="WRO10" s="4"/>
      <c r="WRP10" s="65"/>
      <c r="WRQ10" s="4"/>
      <c r="WRR10" s="4"/>
      <c r="WRS10" s="4"/>
      <c r="WRV10" s="34"/>
      <c r="WRW10" s="34"/>
      <c r="WRY10" s="34"/>
      <c r="WRZ10" s="72"/>
      <c r="WSA10" s="63"/>
      <c r="WSB10" s="34"/>
      <c r="WSC10" s="64"/>
      <c r="WSD10" s="4"/>
      <c r="WSE10" s="65"/>
      <c r="WSF10" s="4"/>
      <c r="WSG10" s="4"/>
      <c r="WSH10" s="4"/>
      <c r="WSK10" s="34"/>
      <c r="WSL10" s="34"/>
      <c r="WSN10" s="34"/>
      <c r="WSO10" s="72"/>
      <c r="WSP10" s="63"/>
      <c r="WSQ10" s="34"/>
      <c r="WSR10" s="64"/>
      <c r="WSS10" s="4"/>
      <c r="WST10" s="65"/>
      <c r="WSU10" s="4"/>
      <c r="WSV10" s="4"/>
      <c r="WSW10" s="4"/>
      <c r="WSZ10" s="34"/>
      <c r="WTA10" s="34"/>
      <c r="WTC10" s="34"/>
      <c r="WTD10" s="72"/>
      <c r="WTE10" s="63"/>
      <c r="WTF10" s="34"/>
      <c r="WTG10" s="64"/>
      <c r="WTH10" s="4"/>
      <c r="WTI10" s="65"/>
      <c r="WTJ10" s="4"/>
      <c r="WTK10" s="4"/>
      <c r="WTL10" s="4"/>
      <c r="WTO10" s="34"/>
      <c r="WTP10" s="34"/>
      <c r="WTR10" s="34"/>
      <c r="WTS10" s="72"/>
      <c r="WTT10" s="63"/>
      <c r="WTU10" s="34"/>
      <c r="WTV10" s="64"/>
      <c r="WTW10" s="4"/>
      <c r="WTX10" s="65"/>
      <c r="WTY10" s="4"/>
      <c r="WTZ10" s="4"/>
      <c r="WUA10" s="4"/>
      <c r="WUD10" s="34"/>
      <c r="WUE10" s="34"/>
      <c r="WUG10" s="34"/>
      <c r="WUH10" s="72"/>
      <c r="WUI10" s="63"/>
      <c r="WUJ10" s="34"/>
      <c r="WUK10" s="64"/>
      <c r="WUL10" s="4"/>
      <c r="WUM10" s="65"/>
      <c r="WUN10" s="4"/>
      <c r="WUO10" s="4"/>
      <c r="WUP10" s="4"/>
      <c r="WUS10" s="34"/>
      <c r="WUT10" s="34"/>
      <c r="WUV10" s="34"/>
      <c r="WUW10" s="72"/>
      <c r="WUX10" s="63"/>
      <c r="WUY10" s="34"/>
      <c r="WUZ10" s="64"/>
      <c r="WVA10" s="4"/>
      <c r="WVB10" s="65"/>
      <c r="WVC10" s="4"/>
      <c r="WVD10" s="4"/>
      <c r="WVE10" s="4"/>
      <c r="WVH10" s="34"/>
      <c r="WVI10" s="34"/>
      <c r="WVK10" s="34"/>
      <c r="WVL10" s="72"/>
      <c r="WVM10" s="63"/>
      <c r="WVN10" s="34"/>
      <c r="WVO10" s="64"/>
      <c r="WVP10" s="4"/>
      <c r="WVQ10" s="65"/>
      <c r="WVR10" s="4"/>
      <c r="WVS10" s="4"/>
      <c r="WVT10" s="4"/>
      <c r="WVW10" s="34"/>
      <c r="WVX10" s="34"/>
      <c r="WVZ10" s="34"/>
      <c r="WWA10" s="72"/>
      <c r="WWB10" s="63"/>
      <c r="WWC10" s="34"/>
      <c r="WWD10" s="64"/>
      <c r="WWE10" s="4"/>
      <c r="WWF10" s="65"/>
      <c r="WWG10" s="4"/>
      <c r="WWH10" s="4"/>
      <c r="WWI10" s="4"/>
      <c r="WWL10" s="34"/>
      <c r="WWM10" s="34"/>
      <c r="WWO10" s="34"/>
      <c r="WWP10" s="72"/>
      <c r="WWQ10" s="63"/>
      <c r="WWR10" s="34"/>
      <c r="WWS10" s="64"/>
      <c r="WWT10" s="4"/>
      <c r="WWU10" s="65"/>
      <c r="WWV10" s="4"/>
      <c r="WWW10" s="4"/>
      <c r="WWX10" s="4"/>
      <c r="WXA10" s="34"/>
      <c r="WXB10" s="34"/>
      <c r="WXD10" s="34"/>
      <c r="WXE10" s="72"/>
      <c r="WXF10" s="63"/>
      <c r="WXG10" s="34"/>
      <c r="WXH10" s="64"/>
      <c r="WXI10" s="4"/>
      <c r="WXJ10" s="65"/>
      <c r="WXK10" s="4"/>
      <c r="WXL10" s="4"/>
      <c r="WXM10" s="4"/>
      <c r="WXP10" s="34"/>
      <c r="WXQ10" s="34"/>
      <c r="WXS10" s="34"/>
      <c r="WXT10" s="72"/>
      <c r="WXU10" s="63"/>
      <c r="WXV10" s="34"/>
      <c r="WXW10" s="64"/>
      <c r="WXX10" s="4"/>
      <c r="WXY10" s="65"/>
      <c r="WXZ10" s="4"/>
      <c r="WYA10" s="4"/>
      <c r="WYB10" s="4"/>
      <c r="WYE10" s="34"/>
      <c r="WYF10" s="34"/>
      <c r="WYH10" s="34"/>
      <c r="WYI10" s="72"/>
      <c r="WYJ10" s="63"/>
      <c r="WYK10" s="34"/>
      <c r="WYL10" s="64"/>
      <c r="WYM10" s="4"/>
      <c r="WYN10" s="65"/>
      <c r="WYO10" s="4"/>
      <c r="WYP10" s="4"/>
      <c r="WYQ10" s="4"/>
      <c r="WYT10" s="34"/>
      <c r="WYU10" s="34"/>
      <c r="WYW10" s="34"/>
      <c r="WYX10" s="72"/>
      <c r="WYY10" s="63"/>
      <c r="WYZ10" s="34"/>
      <c r="WZA10" s="64"/>
      <c r="WZB10" s="4"/>
      <c r="WZC10" s="65"/>
      <c r="WZD10" s="4"/>
      <c r="WZE10" s="4"/>
      <c r="WZF10" s="4"/>
      <c r="WZI10" s="34"/>
      <c r="WZJ10" s="34"/>
      <c r="WZL10" s="34"/>
      <c r="WZM10" s="72"/>
      <c r="WZN10" s="63"/>
      <c r="WZO10" s="34"/>
      <c r="WZP10" s="64"/>
      <c r="WZQ10" s="4"/>
      <c r="WZR10" s="65"/>
      <c r="WZS10" s="4"/>
      <c r="WZT10" s="4"/>
      <c r="WZU10" s="4"/>
      <c r="WZX10" s="34"/>
      <c r="WZY10" s="34"/>
      <c r="XAA10" s="34"/>
      <c r="XAB10" s="72"/>
      <c r="XAC10" s="63"/>
      <c r="XAD10" s="34"/>
      <c r="XAE10" s="64"/>
      <c r="XAF10" s="4"/>
      <c r="XAG10" s="65"/>
      <c r="XAH10" s="4"/>
      <c r="XAI10" s="4"/>
      <c r="XAJ10" s="4"/>
      <c r="XAM10" s="34"/>
      <c r="XAN10" s="34"/>
      <c r="XAP10" s="34"/>
      <c r="XAQ10" s="72"/>
      <c r="XAR10" s="63"/>
      <c r="XAS10" s="34"/>
      <c r="XAT10" s="64"/>
      <c r="XAU10" s="4"/>
      <c r="XAV10" s="65"/>
      <c r="XAW10" s="4"/>
      <c r="XAX10" s="4"/>
      <c r="XAY10" s="4"/>
      <c r="XBB10" s="34"/>
      <c r="XBC10" s="34"/>
      <c r="XBE10" s="34"/>
      <c r="XBF10" s="72"/>
      <c r="XBG10" s="63"/>
      <c r="XBH10" s="34"/>
      <c r="XBI10" s="64"/>
      <c r="XBJ10" s="4"/>
      <c r="XBK10" s="65"/>
      <c r="XBL10" s="4"/>
      <c r="XBM10" s="4"/>
      <c r="XBN10" s="4"/>
      <c r="XBQ10" s="34"/>
      <c r="XBR10" s="34"/>
      <c r="XBT10" s="34"/>
      <c r="XBU10" s="72"/>
      <c r="XBV10" s="63"/>
      <c r="XBW10" s="34"/>
      <c r="XBX10" s="64"/>
      <c r="XBY10" s="4"/>
      <c r="XBZ10" s="65"/>
      <c r="XCA10" s="4"/>
      <c r="XCB10" s="4"/>
      <c r="XCC10" s="4"/>
      <c r="XCF10" s="34"/>
      <c r="XCG10" s="34"/>
      <c r="XCI10" s="34"/>
      <c r="XCJ10" s="72"/>
      <c r="XCK10" s="63"/>
      <c r="XCL10" s="34"/>
      <c r="XCM10" s="64"/>
      <c r="XCN10" s="4"/>
      <c r="XCO10" s="65"/>
      <c r="XCP10" s="4"/>
      <c r="XCQ10" s="4"/>
      <c r="XCR10" s="4"/>
      <c r="XCU10" s="34"/>
      <c r="XCV10" s="34"/>
      <c r="XCX10" s="34"/>
      <c r="XCY10" s="72"/>
      <c r="XCZ10" s="63"/>
      <c r="XDA10" s="34"/>
      <c r="XDB10" s="64"/>
      <c r="XDC10" s="4"/>
      <c r="XDD10" s="65"/>
      <c r="XDE10" s="4"/>
      <c r="XDF10" s="4"/>
      <c r="XDG10" s="4"/>
      <c r="XDJ10" s="34"/>
      <c r="XDK10" s="34"/>
      <c r="XDM10" s="34"/>
      <c r="XDN10" s="72"/>
      <c r="XDO10" s="63"/>
      <c r="XDP10" s="34"/>
      <c r="XDQ10" s="64"/>
      <c r="XDR10" s="4"/>
      <c r="XDS10" s="65"/>
      <c r="XDT10" s="4"/>
      <c r="XDU10" s="4"/>
      <c r="XDV10" s="4"/>
      <c r="XDY10" s="34"/>
      <c r="XDZ10" s="34"/>
      <c r="XEB10" s="34"/>
      <c r="XEC10" s="72"/>
      <c r="XED10" s="63"/>
      <c r="XEE10" s="34"/>
      <c r="XEF10" s="64"/>
      <c r="XEG10" s="4"/>
      <c r="XEH10" s="65"/>
      <c r="XEI10" s="4"/>
      <c r="XEJ10" s="4"/>
      <c r="XEK10" s="4"/>
      <c r="XEN10" s="34"/>
      <c r="XEO10" s="34"/>
      <c r="XEQ10" s="34"/>
      <c r="XER10" s="72"/>
      <c r="XES10" s="63"/>
      <c r="XET10" s="34"/>
      <c r="XEU10" s="64"/>
      <c r="XEV10" s="4"/>
      <c r="XEW10" s="65"/>
      <c r="XEX10" s="4"/>
      <c r="XEY10" s="4"/>
      <c r="XEZ10" s="4"/>
      <c r="XFC10" s="34"/>
      <c r="XFD10" s="34"/>
    </row>
    <row r="11" spans="1:1024 1026:4095 4098:5119 5121:8190 8193:15360 15363:16384" x14ac:dyDescent="0.3">
      <c r="A11">
        <v>0</v>
      </c>
      <c r="B11">
        <v>0</v>
      </c>
      <c r="C11" s="34">
        <v>-3.5769315156700468E-2</v>
      </c>
      <c r="D11" s="34">
        <v>-5.1073322825785437E-2</v>
      </c>
      <c r="E11">
        <v>6</v>
      </c>
      <c r="F11" s="63">
        <v>1.9300000000000001E-3</v>
      </c>
      <c r="G11" s="88">
        <v>-0.36610931515670142</v>
      </c>
      <c r="H11" s="34">
        <v>-0.32232992136859306</v>
      </c>
      <c r="I11" s="34">
        <v>0.54491017964071853</v>
      </c>
      <c r="J11" s="64">
        <v>0.56338028169014087</v>
      </c>
      <c r="K11" s="4">
        <v>0.47058823529411764</v>
      </c>
      <c r="L11" s="65">
        <v>0.51282051282051277</v>
      </c>
      <c r="M11" s="4">
        <v>0.53125</v>
      </c>
      <c r="N11" s="4">
        <v>0.62195121951219512</v>
      </c>
      <c r="O11" s="4">
        <v>0.5730337078651685</v>
      </c>
      <c r="R11" s="34"/>
      <c r="S11" s="34"/>
      <c r="U11" s="34"/>
      <c r="V11" s="72"/>
      <c r="W11" s="63"/>
      <c r="X11" s="34"/>
      <c r="Y11" s="64"/>
      <c r="Z11" s="4"/>
      <c r="AA11" s="65"/>
      <c r="AB11" s="4"/>
      <c r="AC11" s="4"/>
      <c r="AD11" s="4"/>
      <c r="AG11" s="34"/>
      <c r="AH11" s="34"/>
      <c r="AJ11" s="34"/>
      <c r="AK11" s="72"/>
      <c r="AL11" s="63"/>
      <c r="AM11" s="34"/>
      <c r="AN11" s="64"/>
      <c r="AO11" s="4"/>
      <c r="AP11" s="65"/>
      <c r="AQ11" s="4"/>
      <c r="AR11" s="4"/>
      <c r="AS11" s="4"/>
      <c r="AV11" s="34"/>
      <c r="AW11" s="34"/>
      <c r="AY11" s="34"/>
      <c r="AZ11" s="72"/>
      <c r="BA11" s="63"/>
      <c r="BB11" s="34"/>
      <c r="BC11" s="64"/>
      <c r="BD11" s="4"/>
      <c r="BE11" s="65"/>
      <c r="BF11" s="4"/>
      <c r="BG11" s="4"/>
      <c r="BH11" s="4"/>
      <c r="BK11" s="34"/>
      <c r="BL11" s="34"/>
      <c r="BN11" s="34"/>
      <c r="BO11" s="72"/>
      <c r="BP11" s="63"/>
      <c r="BQ11" s="34"/>
      <c r="BR11" s="64"/>
      <c r="BS11" s="4"/>
      <c r="BT11" s="65"/>
      <c r="BU11" s="4"/>
      <c r="BV11" s="4"/>
      <c r="BW11" s="4"/>
      <c r="BZ11" s="34"/>
      <c r="CA11" s="34"/>
      <c r="CC11" s="34"/>
      <c r="CD11" s="72"/>
      <c r="CE11" s="63"/>
      <c r="CF11" s="34"/>
      <c r="CG11" s="64"/>
      <c r="CH11" s="4"/>
      <c r="CI11" s="65"/>
      <c r="CJ11" s="4"/>
      <c r="CK11" s="4"/>
      <c r="CL11" s="4"/>
      <c r="CO11" s="34"/>
      <c r="CP11" s="34"/>
      <c r="CR11" s="34"/>
      <c r="CS11" s="72"/>
      <c r="CT11" s="63"/>
      <c r="CU11" s="34"/>
      <c r="CV11" s="64"/>
      <c r="CW11" s="4"/>
      <c r="CX11" s="65"/>
      <c r="CY11" s="4"/>
      <c r="CZ11" s="4"/>
      <c r="DA11" s="4"/>
      <c r="DD11" s="34"/>
      <c r="DE11" s="34"/>
      <c r="DG11" s="34"/>
      <c r="DH11" s="72"/>
      <c r="DI11" s="63"/>
      <c r="DJ11" s="34"/>
      <c r="DK11" s="64"/>
      <c r="DL11" s="4"/>
      <c r="DM11" s="65"/>
      <c r="DN11" s="4"/>
      <c r="DO11" s="4"/>
      <c r="DP11" s="4"/>
      <c r="DS11" s="34"/>
      <c r="DT11" s="34"/>
      <c r="DV11" s="34"/>
      <c r="DW11" s="72"/>
      <c r="DX11" s="63"/>
      <c r="DY11" s="34"/>
      <c r="DZ11" s="64"/>
      <c r="EA11" s="4"/>
      <c r="EB11" s="65"/>
      <c r="EC11" s="4"/>
      <c r="ED11" s="4"/>
      <c r="EE11" s="4"/>
      <c r="EH11" s="34"/>
      <c r="EI11" s="34"/>
      <c r="EK11" s="34"/>
      <c r="EL11" s="72"/>
      <c r="EM11" s="63"/>
      <c r="EN11" s="34"/>
      <c r="EO11" s="64"/>
      <c r="EP11" s="4"/>
      <c r="EQ11" s="65"/>
      <c r="ER11" s="4"/>
      <c r="ES11" s="4"/>
      <c r="ET11" s="4"/>
      <c r="EW11" s="34"/>
      <c r="EX11" s="34"/>
      <c r="EZ11" s="34"/>
      <c r="FA11" s="72"/>
      <c r="FB11" s="63"/>
      <c r="FC11" s="34"/>
      <c r="FD11" s="64"/>
      <c r="FE11" s="4"/>
      <c r="FF11" s="65"/>
      <c r="FG11" s="4"/>
      <c r="FH11" s="4"/>
      <c r="FI11" s="4"/>
      <c r="FL11" s="34"/>
      <c r="FM11" s="34"/>
      <c r="FO11" s="34"/>
      <c r="FP11" s="72"/>
      <c r="FQ11" s="63"/>
      <c r="FR11" s="34"/>
      <c r="FS11" s="64"/>
      <c r="FT11" s="4"/>
      <c r="FU11" s="65"/>
      <c r="FV11" s="4"/>
      <c r="FW11" s="4"/>
      <c r="FX11" s="4"/>
      <c r="GA11" s="34"/>
      <c r="GB11" s="34"/>
      <c r="GD11" s="34"/>
      <c r="GE11" s="72"/>
      <c r="GF11" s="63"/>
      <c r="GG11" s="34"/>
      <c r="GH11" s="64"/>
      <c r="GI11" s="4"/>
      <c r="GJ11" s="65"/>
      <c r="GK11" s="4"/>
      <c r="GL11" s="4"/>
      <c r="GM11" s="4"/>
      <c r="GP11" s="34"/>
      <c r="GQ11" s="34"/>
      <c r="GS11" s="34"/>
      <c r="GT11" s="72"/>
      <c r="GU11" s="63"/>
      <c r="GV11" s="34"/>
      <c r="GW11" s="64"/>
      <c r="GX11" s="4"/>
      <c r="GY11" s="65"/>
      <c r="GZ11" s="4"/>
      <c r="HA11" s="4"/>
      <c r="HB11" s="4"/>
      <c r="HE11" s="34"/>
      <c r="HF11" s="34"/>
      <c r="HH11" s="34"/>
      <c r="HI11" s="72"/>
      <c r="HJ11" s="63"/>
      <c r="HK11" s="34"/>
      <c r="HL11" s="64"/>
      <c r="HM11" s="4"/>
      <c r="HN11" s="65"/>
      <c r="HO11" s="4"/>
      <c r="HP11" s="4"/>
      <c r="HQ11" s="4"/>
      <c r="HT11" s="34"/>
      <c r="HU11" s="34"/>
      <c r="HW11" s="34"/>
      <c r="HX11" s="72"/>
      <c r="HY11" s="63"/>
      <c r="HZ11" s="34"/>
      <c r="IA11" s="64"/>
      <c r="IB11" s="4"/>
      <c r="IC11" s="65"/>
      <c r="ID11" s="4"/>
      <c r="IE11" s="4"/>
      <c r="IF11" s="4"/>
      <c r="II11" s="34"/>
      <c r="IJ11" s="34"/>
      <c r="IL11" s="34"/>
      <c r="IM11" s="72"/>
      <c r="IN11" s="63"/>
      <c r="IO11" s="34"/>
      <c r="IP11" s="64"/>
      <c r="IQ11" s="4"/>
      <c r="IR11" s="65"/>
      <c r="IS11" s="4"/>
      <c r="IT11" s="4"/>
      <c r="IU11" s="4"/>
      <c r="IX11" s="34"/>
      <c r="IY11" s="34"/>
      <c r="JA11" s="34"/>
      <c r="JB11" s="72"/>
      <c r="JC11" s="63"/>
      <c r="JD11" s="34"/>
      <c r="JE11" s="64"/>
      <c r="JF11" s="4"/>
      <c r="JG11" s="65"/>
      <c r="JH11" s="4"/>
      <c r="JI11" s="4"/>
      <c r="JJ11" s="4"/>
      <c r="JM11" s="34"/>
      <c r="JN11" s="34"/>
      <c r="JP11" s="34"/>
      <c r="JQ11" s="72"/>
      <c r="JR11" s="63"/>
      <c r="JS11" s="34"/>
      <c r="JT11" s="64"/>
      <c r="JU11" s="4"/>
      <c r="JV11" s="65"/>
      <c r="JW11" s="4"/>
      <c r="JX11" s="4"/>
      <c r="JY11" s="4"/>
      <c r="KB11" s="34"/>
      <c r="KC11" s="34"/>
      <c r="KE11" s="34"/>
      <c r="KF11" s="72"/>
      <c r="KG11" s="63"/>
      <c r="KH11" s="34"/>
      <c r="KI11" s="64"/>
      <c r="KJ11" s="4"/>
      <c r="KK11" s="65"/>
      <c r="KL11" s="4"/>
      <c r="KM11" s="4"/>
      <c r="KN11" s="4"/>
      <c r="KQ11" s="34"/>
      <c r="KR11" s="34"/>
      <c r="KT11" s="34"/>
      <c r="KU11" s="72"/>
      <c r="KV11" s="63"/>
      <c r="KW11" s="34"/>
      <c r="KX11" s="64"/>
      <c r="KY11" s="4"/>
      <c r="KZ11" s="65"/>
      <c r="LA11" s="4"/>
      <c r="LB11" s="4"/>
      <c r="LC11" s="4"/>
      <c r="LF11" s="34"/>
      <c r="LG11" s="34"/>
      <c r="LI11" s="34"/>
      <c r="LJ11" s="72"/>
      <c r="LK11" s="63"/>
      <c r="LL11" s="34"/>
      <c r="LM11" s="64"/>
      <c r="LN11" s="4"/>
      <c r="LO11" s="65"/>
      <c r="LP11" s="4"/>
      <c r="LQ11" s="4"/>
      <c r="LR11" s="4"/>
      <c r="LU11" s="34"/>
      <c r="LV11" s="34"/>
      <c r="LX11" s="34"/>
      <c r="LY11" s="72"/>
      <c r="LZ11" s="63"/>
      <c r="MA11" s="34"/>
      <c r="MB11" s="64"/>
      <c r="MC11" s="4"/>
      <c r="MD11" s="65"/>
      <c r="ME11" s="4"/>
      <c r="MF11" s="4"/>
      <c r="MG11" s="4"/>
      <c r="MJ11" s="34"/>
      <c r="MK11" s="34"/>
      <c r="MM11" s="34"/>
      <c r="MN11" s="72"/>
      <c r="MO11" s="63"/>
      <c r="MP11" s="34"/>
      <c r="MQ11" s="64"/>
      <c r="MR11" s="4"/>
      <c r="MS11" s="65"/>
      <c r="MT11" s="4"/>
      <c r="MU11" s="4"/>
      <c r="MV11" s="4"/>
      <c r="MY11" s="34"/>
      <c r="MZ11" s="34"/>
      <c r="NB11" s="34"/>
      <c r="NC11" s="72"/>
      <c r="ND11" s="63"/>
      <c r="NE11" s="34"/>
      <c r="NF11" s="64"/>
      <c r="NG11" s="4"/>
      <c r="NH11" s="65"/>
      <c r="NI11" s="4"/>
      <c r="NJ11" s="4"/>
      <c r="NK11" s="4"/>
      <c r="NN11" s="34"/>
      <c r="NO11" s="34"/>
      <c r="NQ11" s="34"/>
      <c r="NR11" s="72"/>
      <c r="NS11" s="63"/>
      <c r="NT11" s="34"/>
      <c r="NU11" s="64"/>
      <c r="NV11" s="4"/>
      <c r="NW11" s="65"/>
      <c r="NX11" s="4"/>
      <c r="NY11" s="4"/>
      <c r="NZ11" s="4"/>
      <c r="OC11" s="34"/>
      <c r="OD11" s="34"/>
      <c r="OF11" s="34"/>
      <c r="OG11" s="72"/>
      <c r="OH11" s="63"/>
      <c r="OI11" s="34"/>
      <c r="OJ11" s="64"/>
      <c r="OK11" s="4"/>
      <c r="OL11" s="65"/>
      <c r="OM11" s="4"/>
      <c r="ON11" s="4"/>
      <c r="OO11" s="4"/>
      <c r="OR11" s="34"/>
      <c r="OS11" s="34"/>
      <c r="OU11" s="34"/>
      <c r="OV11" s="72"/>
      <c r="OW11" s="63"/>
      <c r="OX11" s="34"/>
      <c r="OY11" s="64"/>
      <c r="OZ11" s="4"/>
      <c r="PA11" s="65"/>
      <c r="PB11" s="4"/>
      <c r="PC11" s="4"/>
      <c r="PD11" s="4"/>
      <c r="PG11" s="34"/>
      <c r="PH11" s="34"/>
      <c r="PJ11" s="34"/>
      <c r="PK11" s="72"/>
      <c r="PL11" s="63"/>
      <c r="PM11" s="34"/>
      <c r="PN11" s="64"/>
      <c r="PO11" s="4"/>
      <c r="PP11" s="65"/>
      <c r="PQ11" s="4"/>
      <c r="PR11" s="4"/>
      <c r="PS11" s="4"/>
      <c r="PV11" s="34"/>
      <c r="PW11" s="34"/>
      <c r="PY11" s="34"/>
      <c r="PZ11" s="72"/>
      <c r="QA11" s="63"/>
      <c r="QB11" s="34"/>
      <c r="QC11" s="64"/>
      <c r="QD11" s="4"/>
      <c r="QE11" s="65"/>
      <c r="QF11" s="4"/>
      <c r="QG11" s="4"/>
      <c r="QH11" s="4"/>
      <c r="QK11" s="34"/>
      <c r="QL11" s="34"/>
      <c r="QN11" s="34"/>
      <c r="QO11" s="72"/>
      <c r="QP11" s="63"/>
      <c r="QQ11" s="34"/>
      <c r="QR11" s="64"/>
      <c r="QS11" s="4"/>
      <c r="QT11" s="65"/>
      <c r="QU11" s="4"/>
      <c r="QV11" s="4"/>
      <c r="QW11" s="4"/>
      <c r="QZ11" s="34"/>
      <c r="RA11" s="34"/>
      <c r="RC11" s="34"/>
      <c r="RD11" s="72"/>
      <c r="RE11" s="63"/>
      <c r="RF11" s="34"/>
      <c r="RG11" s="64"/>
      <c r="RH11" s="4"/>
      <c r="RI11" s="65"/>
      <c r="RJ11" s="4"/>
      <c r="RK11" s="4"/>
      <c r="RL11" s="4"/>
      <c r="RO11" s="34"/>
      <c r="RP11" s="34"/>
      <c r="RR11" s="34"/>
      <c r="RS11" s="72"/>
      <c r="RT11" s="63"/>
      <c r="RU11" s="34"/>
      <c r="RV11" s="64"/>
      <c r="RW11" s="4"/>
      <c r="RX11" s="65"/>
      <c r="RY11" s="4"/>
      <c r="RZ11" s="4"/>
      <c r="SA11" s="4"/>
      <c r="SD11" s="34"/>
      <c r="SE11" s="34"/>
      <c r="SG11" s="34"/>
      <c r="SH11" s="72"/>
      <c r="SI11" s="63"/>
      <c r="SJ11" s="34"/>
      <c r="SK11" s="64"/>
      <c r="SL11" s="4"/>
      <c r="SM11" s="65"/>
      <c r="SN11" s="4"/>
      <c r="SO11" s="4"/>
      <c r="SP11" s="4"/>
      <c r="SS11" s="34"/>
      <c r="ST11" s="34"/>
      <c r="SV11" s="34"/>
      <c r="SW11" s="72"/>
      <c r="SX11" s="63"/>
      <c r="SY11" s="34"/>
      <c r="SZ11" s="64"/>
      <c r="TA11" s="4"/>
      <c r="TB11" s="65"/>
      <c r="TC11" s="4"/>
      <c r="TD11" s="4"/>
      <c r="TE11" s="4"/>
      <c r="TH11" s="34"/>
      <c r="TI11" s="34"/>
      <c r="TK11" s="34"/>
      <c r="TL11" s="72"/>
      <c r="TM11" s="63"/>
      <c r="TN11" s="34"/>
      <c r="TO11" s="64"/>
      <c r="TP11" s="4"/>
      <c r="TQ11" s="65"/>
      <c r="TR11" s="4"/>
      <c r="TS11" s="4"/>
      <c r="TT11" s="4"/>
      <c r="TW11" s="34"/>
      <c r="TX11" s="34"/>
      <c r="TZ11" s="34"/>
      <c r="UA11" s="72"/>
      <c r="UB11" s="63"/>
      <c r="UC11" s="34"/>
      <c r="UD11" s="64"/>
      <c r="UE11" s="4"/>
      <c r="UF11" s="65"/>
      <c r="UG11" s="4"/>
      <c r="UH11" s="4"/>
      <c r="UI11" s="4"/>
      <c r="UL11" s="34"/>
      <c r="UM11" s="34"/>
      <c r="UO11" s="34"/>
      <c r="UP11" s="72"/>
      <c r="UQ11" s="63"/>
      <c r="UR11" s="34"/>
      <c r="US11" s="64"/>
      <c r="UT11" s="4"/>
      <c r="UU11" s="65"/>
      <c r="UV11" s="4"/>
      <c r="UW11" s="4"/>
      <c r="UX11" s="4"/>
      <c r="VA11" s="34"/>
      <c r="VB11" s="34"/>
      <c r="VD11" s="34"/>
      <c r="VE11" s="72"/>
      <c r="VF11" s="63"/>
      <c r="VG11" s="34"/>
      <c r="VH11" s="64"/>
      <c r="VI11" s="4"/>
      <c r="VJ11" s="65"/>
      <c r="VK11" s="4"/>
      <c r="VL11" s="4"/>
      <c r="VM11" s="4"/>
      <c r="VP11" s="34"/>
      <c r="VQ11" s="34"/>
      <c r="VS11" s="34"/>
      <c r="VT11" s="72"/>
      <c r="VU11" s="63"/>
      <c r="VV11" s="34"/>
      <c r="VW11" s="64"/>
      <c r="VX11" s="4"/>
      <c r="VY11" s="65"/>
      <c r="VZ11" s="4"/>
      <c r="WA11" s="4"/>
      <c r="WB11" s="4"/>
      <c r="WE11" s="34"/>
      <c r="WF11" s="34"/>
      <c r="WH11" s="34"/>
      <c r="WI11" s="72"/>
      <c r="WJ11" s="63"/>
      <c r="WK11" s="34"/>
      <c r="WL11" s="64"/>
      <c r="WM11" s="4"/>
      <c r="WN11" s="65"/>
      <c r="WO11" s="4"/>
      <c r="WP11" s="4"/>
      <c r="WQ11" s="4"/>
      <c r="WT11" s="34"/>
      <c r="WU11" s="34"/>
      <c r="WW11" s="34"/>
      <c r="WX11" s="72"/>
      <c r="WY11" s="63"/>
      <c r="WZ11" s="34"/>
      <c r="XA11" s="64"/>
      <c r="XB11" s="4"/>
      <c r="XC11" s="65"/>
      <c r="XD11" s="4"/>
      <c r="XE11" s="4"/>
      <c r="XF11" s="4"/>
      <c r="XI11" s="34"/>
      <c r="XJ11" s="34"/>
      <c r="XL11" s="34"/>
      <c r="XM11" s="72"/>
      <c r="XN11" s="63"/>
      <c r="XO11" s="34"/>
      <c r="XP11" s="64"/>
      <c r="XQ11" s="4"/>
      <c r="XR11" s="65"/>
      <c r="XS11" s="4"/>
      <c r="XT11" s="4"/>
      <c r="XU11" s="4"/>
      <c r="XX11" s="34"/>
      <c r="XY11" s="34"/>
      <c r="YA11" s="34"/>
      <c r="YB11" s="72"/>
      <c r="YC11" s="63"/>
      <c r="YD11" s="34"/>
      <c r="YE11" s="64"/>
      <c r="YF11" s="4"/>
      <c r="YG11" s="65"/>
      <c r="YH11" s="4"/>
      <c r="YI11" s="4"/>
      <c r="YJ11" s="4"/>
      <c r="YM11" s="34"/>
      <c r="YN11" s="34"/>
      <c r="YP11" s="34"/>
      <c r="YQ11" s="72"/>
      <c r="YR11" s="63"/>
      <c r="YS11" s="34"/>
      <c r="YT11" s="64"/>
      <c r="YU11" s="4"/>
      <c r="YV11" s="65"/>
      <c r="YW11" s="4"/>
      <c r="YX11" s="4"/>
      <c r="YY11" s="4"/>
      <c r="ZB11" s="34"/>
      <c r="ZC11" s="34"/>
      <c r="ZE11" s="34"/>
      <c r="ZF11" s="72"/>
      <c r="ZG11" s="63"/>
      <c r="ZH11" s="34"/>
      <c r="ZI11" s="64"/>
      <c r="ZJ11" s="4"/>
      <c r="ZK11" s="65"/>
      <c r="ZL11" s="4"/>
      <c r="ZM11" s="4"/>
      <c r="ZN11" s="4"/>
      <c r="ZQ11" s="34"/>
      <c r="ZR11" s="34"/>
      <c r="ZT11" s="34"/>
      <c r="ZU11" s="72"/>
      <c r="ZV11" s="63"/>
      <c r="ZW11" s="34"/>
      <c r="ZX11" s="64"/>
      <c r="ZY11" s="4"/>
      <c r="ZZ11" s="65"/>
      <c r="AAA11" s="4"/>
      <c r="AAB11" s="4"/>
      <c r="AAC11" s="4"/>
      <c r="AAF11" s="34"/>
      <c r="AAG11" s="34"/>
      <c r="AAI11" s="34"/>
      <c r="AAJ11" s="72"/>
      <c r="AAK11" s="63"/>
      <c r="AAL11" s="34"/>
      <c r="AAM11" s="64"/>
      <c r="AAN11" s="4"/>
      <c r="AAO11" s="65"/>
      <c r="AAP11" s="4"/>
      <c r="AAQ11" s="4"/>
      <c r="AAR11" s="4"/>
      <c r="AAU11" s="34"/>
      <c r="AAV11" s="34"/>
      <c r="AAX11" s="34"/>
      <c r="AAY11" s="72"/>
      <c r="AAZ11" s="63"/>
      <c r="ABA11" s="34"/>
      <c r="ABB11" s="64"/>
      <c r="ABC11" s="4"/>
      <c r="ABD11" s="65"/>
      <c r="ABE11" s="4"/>
      <c r="ABF11" s="4"/>
      <c r="ABG11" s="4"/>
      <c r="ABJ11" s="34"/>
      <c r="ABK11" s="34"/>
      <c r="ABM11" s="34"/>
      <c r="ABN11" s="72"/>
      <c r="ABO11" s="63"/>
      <c r="ABP11" s="34"/>
      <c r="ABQ11" s="64"/>
      <c r="ABR11" s="4"/>
      <c r="ABS11" s="65"/>
      <c r="ABT11" s="4"/>
      <c r="ABU11" s="4"/>
      <c r="ABV11" s="4"/>
      <c r="ABY11" s="34"/>
      <c r="ABZ11" s="34"/>
      <c r="ACB11" s="34"/>
      <c r="ACC11" s="72"/>
      <c r="ACD11" s="63"/>
      <c r="ACE11" s="34"/>
      <c r="ACF11" s="64"/>
      <c r="ACG11" s="4"/>
      <c r="ACH11" s="65"/>
      <c r="ACI11" s="4"/>
      <c r="ACJ11" s="4"/>
      <c r="ACK11" s="4"/>
      <c r="ACN11" s="34"/>
      <c r="ACO11" s="34"/>
      <c r="ACQ11" s="34"/>
      <c r="ACR11" s="72"/>
      <c r="ACS11" s="63"/>
      <c r="ACT11" s="34"/>
      <c r="ACU11" s="64"/>
      <c r="ACV11" s="4"/>
      <c r="ACW11" s="65"/>
      <c r="ACX11" s="4"/>
      <c r="ACY11" s="4"/>
      <c r="ACZ11" s="4"/>
      <c r="ADC11" s="34"/>
      <c r="ADD11" s="34"/>
      <c r="ADF11" s="34"/>
      <c r="ADG11" s="72"/>
      <c r="ADH11" s="63"/>
      <c r="ADI11" s="34"/>
      <c r="ADJ11" s="64"/>
      <c r="ADK11" s="4"/>
      <c r="ADL11" s="65"/>
      <c r="ADM11" s="4"/>
      <c r="ADN11" s="4"/>
      <c r="ADO11" s="4"/>
      <c r="ADR11" s="34"/>
      <c r="ADS11" s="34"/>
      <c r="ADU11" s="34"/>
      <c r="ADV11" s="72"/>
      <c r="ADW11" s="63"/>
      <c r="ADX11" s="34"/>
      <c r="ADY11" s="64"/>
      <c r="ADZ11" s="4"/>
      <c r="AEA11" s="65"/>
      <c r="AEB11" s="4"/>
      <c r="AEC11" s="4"/>
      <c r="AED11" s="4"/>
      <c r="AEG11" s="34"/>
      <c r="AEH11" s="34"/>
      <c r="AEJ11" s="34"/>
      <c r="AEK11" s="72"/>
      <c r="AEL11" s="63"/>
      <c r="AEM11" s="34"/>
      <c r="AEN11" s="64"/>
      <c r="AEO11" s="4"/>
      <c r="AEP11" s="65"/>
      <c r="AEQ11" s="4"/>
      <c r="AER11" s="4"/>
      <c r="AES11" s="4"/>
      <c r="AEV11" s="34"/>
      <c r="AEW11" s="34"/>
      <c r="AEY11" s="34"/>
      <c r="AEZ11" s="72"/>
      <c r="AFA11" s="63"/>
      <c r="AFB11" s="34"/>
      <c r="AFC11" s="64"/>
      <c r="AFD11" s="4"/>
      <c r="AFE11" s="65"/>
      <c r="AFF11" s="4"/>
      <c r="AFG11" s="4"/>
      <c r="AFH11" s="4"/>
      <c r="AFK11" s="34"/>
      <c r="AFL11" s="34"/>
      <c r="AFN11" s="34"/>
      <c r="AFO11" s="72"/>
      <c r="AFP11" s="63"/>
      <c r="AFQ11" s="34"/>
      <c r="AFR11" s="64"/>
      <c r="AFS11" s="4"/>
      <c r="AFT11" s="65"/>
      <c r="AFU11" s="4"/>
      <c r="AFV11" s="4"/>
      <c r="AFW11" s="4"/>
      <c r="AFZ11" s="34"/>
      <c r="AGA11" s="34"/>
      <c r="AGC11" s="34"/>
      <c r="AGD11" s="72"/>
      <c r="AGE11" s="63"/>
      <c r="AGF11" s="34"/>
      <c r="AGG11" s="64"/>
      <c r="AGH11" s="4"/>
      <c r="AGI11" s="65"/>
      <c r="AGJ11" s="4"/>
      <c r="AGK11" s="4"/>
      <c r="AGL11" s="4"/>
      <c r="AGO11" s="34"/>
      <c r="AGP11" s="34"/>
      <c r="AGR11" s="34"/>
      <c r="AGS11" s="72"/>
      <c r="AGT11" s="63"/>
      <c r="AGU11" s="34"/>
      <c r="AGV11" s="64"/>
      <c r="AGW11" s="4"/>
      <c r="AGX11" s="65"/>
      <c r="AGY11" s="4"/>
      <c r="AGZ11" s="4"/>
      <c r="AHA11" s="4"/>
      <c r="AHD11" s="34"/>
      <c r="AHE11" s="34"/>
      <c r="AHG11" s="34"/>
      <c r="AHH11" s="72"/>
      <c r="AHI11" s="63"/>
      <c r="AHJ11" s="34"/>
      <c r="AHK11" s="64"/>
      <c r="AHL11" s="4"/>
      <c r="AHM11" s="65"/>
      <c r="AHN11" s="4"/>
      <c r="AHO11" s="4"/>
      <c r="AHP11" s="4"/>
      <c r="AHS11" s="34"/>
      <c r="AHT11" s="34"/>
      <c r="AHV11" s="34"/>
      <c r="AHW11" s="72"/>
      <c r="AHX11" s="63"/>
      <c r="AHY11" s="34"/>
      <c r="AHZ11" s="64"/>
      <c r="AIA11" s="4"/>
      <c r="AIB11" s="65"/>
      <c r="AIC11" s="4"/>
      <c r="AID11" s="4"/>
      <c r="AIE11" s="4"/>
      <c r="AIH11" s="34"/>
      <c r="AII11" s="34"/>
      <c r="AIK11" s="34"/>
      <c r="AIL11" s="72"/>
      <c r="AIM11" s="63"/>
      <c r="AIN11" s="34"/>
      <c r="AIO11" s="64"/>
      <c r="AIP11" s="4"/>
      <c r="AIQ11" s="65"/>
      <c r="AIR11" s="4"/>
      <c r="AIS11" s="4"/>
      <c r="AIT11" s="4"/>
      <c r="AIW11" s="34"/>
      <c r="AIX11" s="34"/>
      <c r="AIZ11" s="34"/>
      <c r="AJA11" s="72"/>
      <c r="AJB11" s="63"/>
      <c r="AJC11" s="34"/>
      <c r="AJD11" s="64"/>
      <c r="AJE11" s="4"/>
      <c r="AJF11" s="65"/>
      <c r="AJG11" s="4"/>
      <c r="AJH11" s="4"/>
      <c r="AJI11" s="4"/>
      <c r="AJL11" s="34"/>
      <c r="AJM11" s="34"/>
      <c r="AJO11" s="34"/>
      <c r="AJP11" s="72"/>
      <c r="AJQ11" s="63"/>
      <c r="AJR11" s="34"/>
      <c r="AJS11" s="64"/>
      <c r="AJT11" s="4"/>
      <c r="AJU11" s="65"/>
      <c r="AJV11" s="4"/>
      <c r="AJW11" s="4"/>
      <c r="AJX11" s="4"/>
      <c r="AKA11" s="34"/>
      <c r="AKB11" s="34"/>
      <c r="AKD11" s="34"/>
      <c r="AKE11" s="72"/>
      <c r="AKF11" s="63"/>
      <c r="AKG11" s="34"/>
      <c r="AKH11" s="64"/>
      <c r="AKI11" s="4"/>
      <c r="AKJ11" s="65"/>
      <c r="AKK11" s="4"/>
      <c r="AKL11" s="4"/>
      <c r="AKM11" s="4"/>
      <c r="AKP11" s="34"/>
      <c r="AKQ11" s="34"/>
      <c r="AKS11" s="34"/>
      <c r="AKT11" s="72"/>
      <c r="AKU11" s="63"/>
      <c r="AKV11" s="34"/>
      <c r="AKW11" s="64"/>
      <c r="AKX11" s="4"/>
      <c r="AKY11" s="65"/>
      <c r="AKZ11" s="4"/>
      <c r="ALA11" s="4"/>
      <c r="ALB11" s="4"/>
      <c r="ALE11" s="34"/>
      <c r="ALF11" s="34"/>
      <c r="ALH11" s="34"/>
      <c r="ALI11" s="72"/>
      <c r="ALJ11" s="63"/>
      <c r="ALK11" s="34"/>
      <c r="ALL11" s="64"/>
      <c r="ALM11" s="4"/>
      <c r="ALN11" s="65"/>
      <c r="ALO11" s="4"/>
      <c r="ALP11" s="4"/>
      <c r="ALQ11" s="4"/>
      <c r="ALT11" s="34"/>
      <c r="ALU11" s="34"/>
      <c r="ALW11" s="34"/>
      <c r="ALX11" s="72"/>
      <c r="ALY11" s="63"/>
      <c r="ALZ11" s="34"/>
      <c r="AMA11" s="64"/>
      <c r="AMB11" s="4"/>
      <c r="AMC11" s="65"/>
      <c r="AMD11" s="4"/>
      <c r="AME11" s="4"/>
      <c r="AMF11" s="4"/>
      <c r="AMI11" s="34"/>
      <c r="AMJ11" s="34"/>
      <c r="AML11" s="34"/>
      <c r="AMM11" s="72"/>
      <c r="AMN11" s="63"/>
      <c r="AMO11" s="34"/>
      <c r="AMP11" s="64"/>
      <c r="AMQ11" s="4"/>
      <c r="AMR11" s="65"/>
      <c r="AMS11" s="4"/>
      <c r="AMT11" s="4"/>
      <c r="AMU11" s="4"/>
      <c r="AMX11" s="34"/>
      <c r="AMY11" s="34"/>
      <c r="ANA11" s="34"/>
      <c r="ANB11" s="72"/>
      <c r="ANC11" s="63"/>
      <c r="AND11" s="34"/>
      <c r="ANE11" s="64"/>
      <c r="ANF11" s="4"/>
      <c r="ANG11" s="65"/>
      <c r="ANH11" s="4"/>
      <c r="ANI11" s="4"/>
      <c r="ANJ11" s="4"/>
      <c r="ANM11" s="34"/>
      <c r="ANN11" s="34"/>
      <c r="ANP11" s="34"/>
      <c r="ANQ11" s="72"/>
      <c r="ANR11" s="63"/>
      <c r="ANS11" s="34"/>
      <c r="ANT11" s="64"/>
      <c r="ANU11" s="4"/>
      <c r="ANV11" s="65"/>
      <c r="ANW11" s="4"/>
      <c r="ANX11" s="4"/>
      <c r="ANY11" s="4"/>
      <c r="AOB11" s="34"/>
      <c r="AOC11" s="34"/>
      <c r="AOE11" s="34"/>
      <c r="AOF11" s="72"/>
      <c r="AOG11" s="63"/>
      <c r="AOH11" s="34"/>
      <c r="AOI11" s="64"/>
      <c r="AOJ11" s="4"/>
      <c r="AOK11" s="65"/>
      <c r="AOL11" s="4"/>
      <c r="AOM11" s="4"/>
      <c r="AON11" s="4"/>
      <c r="AOQ11" s="34"/>
      <c r="AOR11" s="34"/>
      <c r="AOT11" s="34"/>
      <c r="AOU11" s="72"/>
      <c r="AOV11" s="63"/>
      <c r="AOW11" s="34"/>
      <c r="AOX11" s="64"/>
      <c r="AOY11" s="4"/>
      <c r="AOZ11" s="65"/>
      <c r="APA11" s="4"/>
      <c r="APB11" s="4"/>
      <c r="APC11" s="4"/>
      <c r="APF11" s="34"/>
      <c r="APG11" s="34"/>
      <c r="API11" s="34"/>
      <c r="APJ11" s="72"/>
      <c r="APK11" s="63"/>
      <c r="APL11" s="34"/>
      <c r="APM11" s="64"/>
      <c r="APN11" s="4"/>
      <c r="APO11" s="65"/>
      <c r="APP11" s="4"/>
      <c r="APQ11" s="4"/>
      <c r="APR11" s="4"/>
      <c r="APU11" s="34"/>
      <c r="APV11" s="34"/>
      <c r="APX11" s="34"/>
      <c r="APY11" s="72"/>
      <c r="APZ11" s="63"/>
      <c r="AQA11" s="34"/>
      <c r="AQB11" s="64"/>
      <c r="AQC11" s="4"/>
      <c r="AQD11" s="65"/>
      <c r="AQE11" s="4"/>
      <c r="AQF11" s="4"/>
      <c r="AQG11" s="4"/>
      <c r="AQJ11" s="34"/>
      <c r="AQK11" s="34"/>
      <c r="AQM11" s="34"/>
      <c r="AQN11" s="72"/>
      <c r="AQO11" s="63"/>
      <c r="AQP11" s="34"/>
      <c r="AQQ11" s="64"/>
      <c r="AQR11" s="4"/>
      <c r="AQS11" s="65"/>
      <c r="AQT11" s="4"/>
      <c r="AQU11" s="4"/>
      <c r="AQV11" s="4"/>
      <c r="AQY11" s="34"/>
      <c r="AQZ11" s="34"/>
      <c r="ARB11" s="34"/>
      <c r="ARC11" s="72"/>
      <c r="ARD11" s="63"/>
      <c r="ARE11" s="34"/>
      <c r="ARF11" s="64"/>
      <c r="ARG11" s="4"/>
      <c r="ARH11" s="65"/>
      <c r="ARI11" s="4"/>
      <c r="ARJ11" s="4"/>
      <c r="ARK11" s="4"/>
      <c r="ARN11" s="34"/>
      <c r="ARO11" s="34"/>
      <c r="ARQ11" s="34"/>
      <c r="ARR11" s="72"/>
      <c r="ARS11" s="63"/>
      <c r="ART11" s="34"/>
      <c r="ARU11" s="64"/>
      <c r="ARV11" s="4"/>
      <c r="ARW11" s="65"/>
      <c r="ARX11" s="4"/>
      <c r="ARY11" s="4"/>
      <c r="ARZ11" s="4"/>
      <c r="ASC11" s="34"/>
      <c r="ASD11" s="34"/>
      <c r="ASF11" s="34"/>
      <c r="ASG11" s="72"/>
      <c r="ASH11" s="63"/>
      <c r="ASI11" s="34"/>
      <c r="ASJ11" s="64"/>
      <c r="ASK11" s="4"/>
      <c r="ASL11" s="65"/>
      <c r="ASM11" s="4"/>
      <c r="ASN11" s="4"/>
      <c r="ASO11" s="4"/>
      <c r="ASR11" s="34"/>
      <c r="ASS11" s="34"/>
      <c r="ASU11" s="34"/>
      <c r="ASV11" s="72"/>
      <c r="ASW11" s="63"/>
      <c r="ASX11" s="34"/>
      <c r="ASY11" s="64"/>
      <c r="ASZ11" s="4"/>
      <c r="ATA11" s="65"/>
      <c r="ATB11" s="4"/>
      <c r="ATC11" s="4"/>
      <c r="ATD11" s="4"/>
      <c r="ATG11" s="34"/>
      <c r="ATH11" s="34"/>
      <c r="ATJ11" s="34"/>
      <c r="ATK11" s="72"/>
      <c r="ATL11" s="63"/>
      <c r="ATM11" s="34"/>
      <c r="ATN11" s="64"/>
      <c r="ATO11" s="4"/>
      <c r="ATP11" s="65"/>
      <c r="ATQ11" s="4"/>
      <c r="ATR11" s="4"/>
      <c r="ATS11" s="4"/>
      <c r="ATV11" s="34"/>
      <c r="ATW11" s="34"/>
      <c r="ATY11" s="34"/>
      <c r="ATZ11" s="72"/>
      <c r="AUA11" s="63"/>
      <c r="AUB11" s="34"/>
      <c r="AUC11" s="64"/>
      <c r="AUD11" s="4"/>
      <c r="AUE11" s="65"/>
      <c r="AUF11" s="4"/>
      <c r="AUG11" s="4"/>
      <c r="AUH11" s="4"/>
      <c r="AUK11" s="34"/>
      <c r="AUL11" s="34"/>
      <c r="AUN11" s="34"/>
      <c r="AUO11" s="72"/>
      <c r="AUP11" s="63"/>
      <c r="AUQ11" s="34"/>
      <c r="AUR11" s="64"/>
      <c r="AUS11" s="4"/>
      <c r="AUT11" s="65"/>
      <c r="AUU11" s="4"/>
      <c r="AUV11" s="4"/>
      <c r="AUW11" s="4"/>
      <c r="AUZ11" s="34"/>
      <c r="AVA11" s="34"/>
      <c r="AVC11" s="34"/>
      <c r="AVD11" s="72"/>
      <c r="AVE11" s="63"/>
      <c r="AVF11" s="34"/>
      <c r="AVG11" s="64"/>
      <c r="AVH11" s="4"/>
      <c r="AVI11" s="65"/>
      <c r="AVJ11" s="4"/>
      <c r="AVK11" s="4"/>
      <c r="AVL11" s="4"/>
      <c r="AVO11" s="34"/>
      <c r="AVP11" s="34"/>
      <c r="AVR11" s="34"/>
      <c r="AVS11" s="72"/>
      <c r="AVT11" s="63"/>
      <c r="AVU11" s="34"/>
      <c r="AVV11" s="64"/>
      <c r="AVW11" s="4"/>
      <c r="AVX11" s="65"/>
      <c r="AVY11" s="4"/>
      <c r="AVZ11" s="4"/>
      <c r="AWA11" s="4"/>
      <c r="AWD11" s="34"/>
      <c r="AWE11" s="34"/>
      <c r="AWG11" s="34"/>
      <c r="AWH11" s="72"/>
      <c r="AWI11" s="63"/>
      <c r="AWJ11" s="34"/>
      <c r="AWK11" s="64"/>
      <c r="AWL11" s="4"/>
      <c r="AWM11" s="65"/>
      <c r="AWN11" s="4"/>
      <c r="AWO11" s="4"/>
      <c r="AWP11" s="4"/>
      <c r="AWS11" s="34"/>
      <c r="AWT11" s="34"/>
      <c r="AWV11" s="34"/>
      <c r="AWW11" s="72"/>
      <c r="AWX11" s="63"/>
      <c r="AWY11" s="34"/>
      <c r="AWZ11" s="64"/>
      <c r="AXA11" s="4"/>
      <c r="AXB11" s="65"/>
      <c r="AXC11" s="4"/>
      <c r="AXD11" s="4"/>
      <c r="AXE11" s="4"/>
      <c r="AXH11" s="34"/>
      <c r="AXI11" s="34"/>
      <c r="AXK11" s="34"/>
      <c r="AXL11" s="72"/>
      <c r="AXM11" s="63"/>
      <c r="AXN11" s="34"/>
      <c r="AXO11" s="64"/>
      <c r="AXP11" s="4"/>
      <c r="AXQ11" s="65"/>
      <c r="AXR11" s="4"/>
      <c r="AXS11" s="4"/>
      <c r="AXT11" s="4"/>
      <c r="AXW11" s="34"/>
      <c r="AXX11" s="34"/>
      <c r="AXZ11" s="34"/>
      <c r="AYA11" s="72"/>
      <c r="AYB11" s="63"/>
      <c r="AYC11" s="34"/>
      <c r="AYD11" s="64"/>
      <c r="AYE11" s="4"/>
      <c r="AYF11" s="65"/>
      <c r="AYG11" s="4"/>
      <c r="AYH11" s="4"/>
      <c r="AYI11" s="4"/>
      <c r="AYL11" s="34"/>
      <c r="AYM11" s="34"/>
      <c r="AYO11" s="34"/>
      <c r="AYP11" s="72"/>
      <c r="AYQ11" s="63"/>
      <c r="AYR11" s="34"/>
      <c r="AYS11" s="64"/>
      <c r="AYT11" s="4"/>
      <c r="AYU11" s="65"/>
      <c r="AYV11" s="4"/>
      <c r="AYW11" s="4"/>
      <c r="AYX11" s="4"/>
      <c r="AZA11" s="34"/>
      <c r="AZB11" s="34"/>
      <c r="AZD11" s="34"/>
      <c r="AZE11" s="72"/>
      <c r="AZF11" s="63"/>
      <c r="AZG11" s="34"/>
      <c r="AZH11" s="64"/>
      <c r="AZI11" s="4"/>
      <c r="AZJ11" s="65"/>
      <c r="AZK11" s="4"/>
      <c r="AZL11" s="4"/>
      <c r="AZM11" s="4"/>
      <c r="AZP11" s="34"/>
      <c r="AZQ11" s="34"/>
      <c r="AZS11" s="34"/>
      <c r="AZT11" s="72"/>
      <c r="AZU11" s="63"/>
      <c r="AZV11" s="34"/>
      <c r="AZW11" s="64"/>
      <c r="AZX11" s="4"/>
      <c r="AZY11" s="65"/>
      <c r="AZZ11" s="4"/>
      <c r="BAA11" s="4"/>
      <c r="BAB11" s="4"/>
      <c r="BAE11" s="34"/>
      <c r="BAF11" s="34"/>
      <c r="BAH11" s="34"/>
      <c r="BAI11" s="72"/>
      <c r="BAJ11" s="63"/>
      <c r="BAK11" s="34"/>
      <c r="BAL11" s="64"/>
      <c r="BAM11" s="4"/>
      <c r="BAN11" s="65"/>
      <c r="BAO11" s="4"/>
      <c r="BAP11" s="4"/>
      <c r="BAQ11" s="4"/>
      <c r="BAT11" s="34"/>
      <c r="BAU11" s="34"/>
      <c r="BAW11" s="34"/>
      <c r="BAX11" s="72"/>
      <c r="BAY11" s="63"/>
      <c r="BAZ11" s="34"/>
      <c r="BBA11" s="64"/>
      <c r="BBB11" s="4"/>
      <c r="BBC11" s="65"/>
      <c r="BBD11" s="4"/>
      <c r="BBE11" s="4"/>
      <c r="BBF11" s="4"/>
      <c r="BBI11" s="34"/>
      <c r="BBJ11" s="34"/>
      <c r="BBL11" s="34"/>
      <c r="BBM11" s="72"/>
      <c r="BBN11" s="63"/>
      <c r="BBO11" s="34"/>
      <c r="BBP11" s="64"/>
      <c r="BBQ11" s="4"/>
      <c r="BBR11" s="65"/>
      <c r="BBS11" s="4"/>
      <c r="BBT11" s="4"/>
      <c r="BBU11" s="4"/>
      <c r="BBX11" s="34"/>
      <c r="BBY11" s="34"/>
      <c r="BCA11" s="34"/>
      <c r="BCB11" s="72"/>
      <c r="BCC11" s="63"/>
      <c r="BCD11" s="34"/>
      <c r="BCE11" s="64"/>
      <c r="BCF11" s="4"/>
      <c r="BCG11" s="65"/>
      <c r="BCH11" s="4"/>
      <c r="BCI11" s="4"/>
      <c r="BCJ11" s="4"/>
      <c r="BCM11" s="34"/>
      <c r="BCN11" s="34"/>
      <c r="BCP11" s="34"/>
      <c r="BCQ11" s="72"/>
      <c r="BCR11" s="63"/>
      <c r="BCS11" s="34"/>
      <c r="BCT11" s="64"/>
      <c r="BCU11" s="4"/>
      <c r="BCV11" s="65"/>
      <c r="BCW11" s="4"/>
      <c r="BCX11" s="4"/>
      <c r="BCY11" s="4"/>
      <c r="BDB11" s="34"/>
      <c r="BDC11" s="34"/>
      <c r="BDE11" s="34"/>
      <c r="BDF11" s="72"/>
      <c r="BDG11" s="63"/>
      <c r="BDH11" s="34"/>
      <c r="BDI11" s="64"/>
      <c r="BDJ11" s="4"/>
      <c r="BDK11" s="65"/>
      <c r="BDL11" s="4"/>
      <c r="BDM11" s="4"/>
      <c r="BDN11" s="4"/>
      <c r="BDQ11" s="34"/>
      <c r="BDR11" s="34"/>
      <c r="BDT11" s="34"/>
      <c r="BDU11" s="72"/>
      <c r="BDV11" s="63"/>
      <c r="BDW11" s="34"/>
      <c r="BDX11" s="64"/>
      <c r="BDY11" s="4"/>
      <c r="BDZ11" s="65"/>
      <c r="BEA11" s="4"/>
      <c r="BEB11" s="4"/>
      <c r="BEC11" s="4"/>
      <c r="BEF11" s="34"/>
      <c r="BEG11" s="34"/>
      <c r="BEI11" s="34"/>
      <c r="BEJ11" s="72"/>
      <c r="BEK11" s="63"/>
      <c r="BEL11" s="34"/>
      <c r="BEM11" s="64"/>
      <c r="BEN11" s="4"/>
      <c r="BEO11" s="65"/>
      <c r="BEP11" s="4"/>
      <c r="BEQ11" s="4"/>
      <c r="BER11" s="4"/>
      <c r="BEU11" s="34"/>
      <c r="BEV11" s="34"/>
      <c r="BEX11" s="34"/>
      <c r="BEY11" s="72"/>
      <c r="BEZ11" s="63"/>
      <c r="BFA11" s="34"/>
      <c r="BFB11" s="64"/>
      <c r="BFC11" s="4"/>
      <c r="BFD11" s="65"/>
      <c r="BFE11" s="4"/>
      <c r="BFF11" s="4"/>
      <c r="BFG11" s="4"/>
      <c r="BFJ11" s="34"/>
      <c r="BFK11" s="34"/>
      <c r="BFM11" s="34"/>
      <c r="BFN11" s="72"/>
      <c r="BFO11" s="63"/>
      <c r="BFP11" s="34"/>
      <c r="BFQ11" s="64"/>
      <c r="BFR11" s="4"/>
      <c r="BFS11" s="65"/>
      <c r="BFT11" s="4"/>
      <c r="BFU11" s="4"/>
      <c r="BFV11" s="4"/>
      <c r="BFY11" s="34"/>
      <c r="BFZ11" s="34"/>
      <c r="BGB11" s="34"/>
      <c r="BGC11" s="72"/>
      <c r="BGD11" s="63"/>
      <c r="BGE11" s="34"/>
      <c r="BGF11" s="64"/>
      <c r="BGG11" s="4"/>
      <c r="BGH11" s="65"/>
      <c r="BGI11" s="4"/>
      <c r="BGJ11" s="4"/>
      <c r="BGK11" s="4"/>
      <c r="BGN11" s="34"/>
      <c r="BGO11" s="34"/>
      <c r="BGQ11" s="34"/>
      <c r="BGR11" s="72"/>
      <c r="BGS11" s="63"/>
      <c r="BGT11" s="34"/>
      <c r="BGU11" s="64"/>
      <c r="BGV11" s="4"/>
      <c r="BGW11" s="65"/>
      <c r="BGX11" s="4"/>
      <c r="BGY11" s="4"/>
      <c r="BGZ11" s="4"/>
      <c r="BHC11" s="34"/>
      <c r="BHD11" s="34"/>
      <c r="BHF11" s="34"/>
      <c r="BHG11" s="72"/>
      <c r="BHH11" s="63"/>
      <c r="BHI11" s="34"/>
      <c r="BHJ11" s="64"/>
      <c r="BHK11" s="4"/>
      <c r="BHL11" s="65"/>
      <c r="BHM11" s="4"/>
      <c r="BHN11" s="4"/>
      <c r="BHO11" s="4"/>
      <c r="BHR11" s="34"/>
      <c r="BHS11" s="34"/>
      <c r="BHU11" s="34"/>
      <c r="BHV11" s="72"/>
      <c r="BHW11" s="63"/>
      <c r="BHX11" s="34"/>
      <c r="BHY11" s="64"/>
      <c r="BHZ11" s="4"/>
      <c r="BIA11" s="65"/>
      <c r="BIB11" s="4"/>
      <c r="BIC11" s="4"/>
      <c r="BID11" s="4"/>
      <c r="BIG11" s="34"/>
      <c r="BIH11" s="34"/>
      <c r="BIJ11" s="34"/>
      <c r="BIK11" s="72"/>
      <c r="BIL11" s="63"/>
      <c r="BIM11" s="34"/>
      <c r="BIN11" s="64"/>
      <c r="BIO11" s="4"/>
      <c r="BIP11" s="65"/>
      <c r="BIQ11" s="4"/>
      <c r="BIR11" s="4"/>
      <c r="BIS11" s="4"/>
      <c r="BIV11" s="34"/>
      <c r="BIW11" s="34"/>
      <c r="BIY11" s="34"/>
      <c r="BIZ11" s="72"/>
      <c r="BJA11" s="63"/>
      <c r="BJB11" s="34"/>
      <c r="BJC11" s="64"/>
      <c r="BJD11" s="4"/>
      <c r="BJE11" s="65"/>
      <c r="BJF11" s="4"/>
      <c r="BJG11" s="4"/>
      <c r="BJH11" s="4"/>
      <c r="BJK11" s="34"/>
      <c r="BJL11" s="34"/>
      <c r="BJN11" s="34"/>
      <c r="BJO11" s="72"/>
      <c r="BJP11" s="63"/>
      <c r="BJQ11" s="34"/>
      <c r="BJR11" s="64"/>
      <c r="BJS11" s="4"/>
      <c r="BJT11" s="65"/>
      <c r="BJU11" s="4"/>
      <c r="BJV11" s="4"/>
      <c r="BJW11" s="4"/>
      <c r="BJZ11" s="34"/>
      <c r="BKA11" s="34"/>
      <c r="BKC11" s="34"/>
      <c r="BKD11" s="72"/>
      <c r="BKE11" s="63"/>
      <c r="BKF11" s="34"/>
      <c r="BKG11" s="64"/>
      <c r="BKH11" s="4"/>
      <c r="BKI11" s="65"/>
      <c r="BKJ11" s="4"/>
      <c r="BKK11" s="4"/>
      <c r="BKL11" s="4"/>
      <c r="BKO11" s="34"/>
      <c r="BKP11" s="34"/>
      <c r="BKR11" s="34"/>
      <c r="BKS11" s="72"/>
      <c r="BKT11" s="63"/>
      <c r="BKU11" s="34"/>
      <c r="BKV11" s="64"/>
      <c r="BKW11" s="4"/>
      <c r="BKX11" s="65"/>
      <c r="BKY11" s="4"/>
      <c r="BKZ11" s="4"/>
      <c r="BLA11" s="4"/>
      <c r="BLD11" s="34"/>
      <c r="BLE11" s="34"/>
      <c r="BLG11" s="34"/>
      <c r="BLH11" s="72"/>
      <c r="BLI11" s="63"/>
      <c r="BLJ11" s="34"/>
      <c r="BLK11" s="64"/>
      <c r="BLL11" s="4"/>
      <c r="BLM11" s="65"/>
      <c r="BLN11" s="4"/>
      <c r="BLO11" s="4"/>
      <c r="BLP11" s="4"/>
      <c r="BLS11" s="34"/>
      <c r="BLT11" s="34"/>
      <c r="BLV11" s="34"/>
      <c r="BLW11" s="72"/>
      <c r="BLX11" s="63"/>
      <c r="BLY11" s="34"/>
      <c r="BLZ11" s="64"/>
      <c r="BMA11" s="4"/>
      <c r="BMB11" s="65"/>
      <c r="BMC11" s="4"/>
      <c r="BMD11" s="4"/>
      <c r="BME11" s="4"/>
      <c r="BMH11" s="34"/>
      <c r="BMI11" s="34"/>
      <c r="BMK11" s="34"/>
      <c r="BML11" s="72"/>
      <c r="BMM11" s="63"/>
      <c r="BMN11" s="34"/>
      <c r="BMO11" s="64"/>
      <c r="BMP11" s="4"/>
      <c r="BMQ11" s="65"/>
      <c r="BMR11" s="4"/>
      <c r="BMS11" s="4"/>
      <c r="BMT11" s="4"/>
      <c r="BMW11" s="34"/>
      <c r="BMX11" s="34"/>
      <c r="BMZ11" s="34"/>
      <c r="BNA11" s="72"/>
      <c r="BNB11" s="63"/>
      <c r="BNC11" s="34"/>
      <c r="BND11" s="64"/>
      <c r="BNE11" s="4"/>
      <c r="BNF11" s="65"/>
      <c r="BNG11" s="4"/>
      <c r="BNH11" s="4"/>
      <c r="BNI11" s="4"/>
      <c r="BNL11" s="34"/>
      <c r="BNM11" s="34"/>
      <c r="BNO11" s="34"/>
      <c r="BNP11" s="72"/>
      <c r="BNQ11" s="63"/>
      <c r="BNR11" s="34"/>
      <c r="BNS11" s="64"/>
      <c r="BNT11" s="4"/>
      <c r="BNU11" s="65"/>
      <c r="BNV11" s="4"/>
      <c r="BNW11" s="4"/>
      <c r="BNX11" s="4"/>
      <c r="BOA11" s="34"/>
      <c r="BOB11" s="34"/>
      <c r="BOD11" s="34"/>
      <c r="BOE11" s="72"/>
      <c r="BOF11" s="63"/>
      <c r="BOG11" s="34"/>
      <c r="BOH11" s="64"/>
      <c r="BOI11" s="4"/>
      <c r="BOJ11" s="65"/>
      <c r="BOK11" s="4"/>
      <c r="BOL11" s="4"/>
      <c r="BOM11" s="4"/>
      <c r="BOP11" s="34"/>
      <c r="BOQ11" s="34"/>
      <c r="BOS11" s="34"/>
      <c r="BOT11" s="72"/>
      <c r="BOU11" s="63"/>
      <c r="BOV11" s="34"/>
      <c r="BOW11" s="64"/>
      <c r="BOX11" s="4"/>
      <c r="BOY11" s="65"/>
      <c r="BOZ11" s="4"/>
      <c r="BPA11" s="4"/>
      <c r="BPB11" s="4"/>
      <c r="BPE11" s="34"/>
      <c r="BPF11" s="34"/>
      <c r="BPH11" s="34"/>
      <c r="BPI11" s="72"/>
      <c r="BPJ11" s="63"/>
      <c r="BPK11" s="34"/>
      <c r="BPL11" s="64"/>
      <c r="BPM11" s="4"/>
      <c r="BPN11" s="65"/>
      <c r="BPO11" s="4"/>
      <c r="BPP11" s="4"/>
      <c r="BPQ11" s="4"/>
      <c r="BPT11" s="34"/>
      <c r="BPU11" s="34"/>
      <c r="BPW11" s="34"/>
      <c r="BPX11" s="72"/>
      <c r="BPY11" s="63"/>
      <c r="BPZ11" s="34"/>
      <c r="BQA11" s="64"/>
      <c r="BQB11" s="4"/>
      <c r="BQC11" s="65"/>
      <c r="BQD11" s="4"/>
      <c r="BQE11" s="4"/>
      <c r="BQF11" s="4"/>
      <c r="BQI11" s="34"/>
      <c r="BQJ11" s="34"/>
      <c r="BQL11" s="34"/>
      <c r="BQM11" s="72"/>
      <c r="BQN11" s="63"/>
      <c r="BQO11" s="34"/>
      <c r="BQP11" s="64"/>
      <c r="BQQ11" s="4"/>
      <c r="BQR11" s="65"/>
      <c r="BQS11" s="4"/>
      <c r="BQT11" s="4"/>
      <c r="BQU11" s="4"/>
      <c r="BQX11" s="34"/>
      <c r="BQY11" s="34"/>
      <c r="BRA11" s="34"/>
      <c r="BRB11" s="72"/>
      <c r="BRC11" s="63"/>
      <c r="BRD11" s="34"/>
      <c r="BRE11" s="64"/>
      <c r="BRF11" s="4"/>
      <c r="BRG11" s="65"/>
      <c r="BRH11" s="4"/>
      <c r="BRI11" s="4"/>
      <c r="BRJ11" s="4"/>
      <c r="BRM11" s="34"/>
      <c r="BRN11" s="34"/>
      <c r="BRP11" s="34"/>
      <c r="BRQ11" s="72"/>
      <c r="BRR11" s="63"/>
      <c r="BRS11" s="34"/>
      <c r="BRT11" s="64"/>
      <c r="BRU11" s="4"/>
      <c r="BRV11" s="65"/>
      <c r="BRW11" s="4"/>
      <c r="BRX11" s="4"/>
      <c r="BRY11" s="4"/>
      <c r="BSB11" s="34"/>
      <c r="BSC11" s="34"/>
      <c r="BSE11" s="34"/>
      <c r="BSF11" s="72"/>
      <c r="BSG11" s="63"/>
      <c r="BSH11" s="34"/>
      <c r="BSI11" s="64"/>
      <c r="BSJ11" s="4"/>
      <c r="BSK11" s="65"/>
      <c r="BSL11" s="4"/>
      <c r="BSM11" s="4"/>
      <c r="BSN11" s="4"/>
      <c r="BSQ11" s="34"/>
      <c r="BSR11" s="34"/>
      <c r="BST11" s="34"/>
      <c r="BSU11" s="72"/>
      <c r="BSV11" s="63"/>
      <c r="BSW11" s="34"/>
      <c r="BSX11" s="64"/>
      <c r="BSY11" s="4"/>
      <c r="BSZ11" s="65"/>
      <c r="BTA11" s="4"/>
      <c r="BTB11" s="4"/>
      <c r="BTC11" s="4"/>
      <c r="BTF11" s="34"/>
      <c r="BTG11" s="34"/>
      <c r="BTI11" s="34"/>
      <c r="BTJ11" s="72"/>
      <c r="BTK11" s="63"/>
      <c r="BTL11" s="34"/>
      <c r="BTM11" s="64"/>
      <c r="BTN11" s="4"/>
      <c r="BTO11" s="65"/>
      <c r="BTP11" s="4"/>
      <c r="BTQ11" s="4"/>
      <c r="BTR11" s="4"/>
      <c r="BTU11" s="34"/>
      <c r="BTV11" s="34"/>
      <c r="BTX11" s="34"/>
      <c r="BTY11" s="72"/>
      <c r="BTZ11" s="63"/>
      <c r="BUA11" s="34"/>
      <c r="BUB11" s="64"/>
      <c r="BUC11" s="4"/>
      <c r="BUD11" s="65"/>
      <c r="BUE11" s="4"/>
      <c r="BUF11" s="4"/>
      <c r="BUG11" s="4"/>
      <c r="BUJ11" s="34"/>
      <c r="BUK11" s="34"/>
      <c r="BUM11" s="34"/>
      <c r="BUN11" s="72"/>
      <c r="BUO11" s="63"/>
      <c r="BUP11" s="34"/>
      <c r="BUQ11" s="64"/>
      <c r="BUR11" s="4"/>
      <c r="BUS11" s="65"/>
      <c r="BUT11" s="4"/>
      <c r="BUU11" s="4"/>
      <c r="BUV11" s="4"/>
      <c r="BUY11" s="34"/>
      <c r="BUZ11" s="34"/>
      <c r="BVB11" s="34"/>
      <c r="BVC11" s="72"/>
      <c r="BVD11" s="63"/>
      <c r="BVE11" s="34"/>
      <c r="BVF11" s="64"/>
      <c r="BVG11" s="4"/>
      <c r="BVH11" s="65"/>
      <c r="BVI11" s="4"/>
      <c r="BVJ11" s="4"/>
      <c r="BVK11" s="4"/>
      <c r="BVN11" s="34"/>
      <c r="BVO11" s="34"/>
      <c r="BVQ11" s="34"/>
      <c r="BVR11" s="72"/>
      <c r="BVS11" s="63"/>
      <c r="BVT11" s="34"/>
      <c r="BVU11" s="64"/>
      <c r="BVV11" s="4"/>
      <c r="BVW11" s="65"/>
      <c r="BVX11" s="4"/>
      <c r="BVY11" s="4"/>
      <c r="BVZ11" s="4"/>
      <c r="BWC11" s="34"/>
      <c r="BWD11" s="34"/>
      <c r="BWF11" s="34"/>
      <c r="BWG11" s="72"/>
      <c r="BWH11" s="63"/>
      <c r="BWI11" s="34"/>
      <c r="BWJ11" s="64"/>
      <c r="BWK11" s="4"/>
      <c r="BWL11" s="65"/>
      <c r="BWM11" s="4"/>
      <c r="BWN11" s="4"/>
      <c r="BWO11" s="4"/>
      <c r="BWR11" s="34"/>
      <c r="BWS11" s="34"/>
      <c r="BWU11" s="34"/>
      <c r="BWV11" s="72"/>
      <c r="BWW11" s="63"/>
      <c r="BWX11" s="34"/>
      <c r="BWY11" s="64"/>
      <c r="BWZ11" s="4"/>
      <c r="BXA11" s="65"/>
      <c r="BXB11" s="4"/>
      <c r="BXC11" s="4"/>
      <c r="BXD11" s="4"/>
      <c r="BXG11" s="34"/>
      <c r="BXH11" s="34"/>
      <c r="BXJ11" s="34"/>
      <c r="BXK11" s="72"/>
      <c r="BXL11" s="63"/>
      <c r="BXM11" s="34"/>
      <c r="BXN11" s="64"/>
      <c r="BXO11" s="4"/>
      <c r="BXP11" s="65"/>
      <c r="BXQ11" s="4"/>
      <c r="BXR11" s="4"/>
      <c r="BXS11" s="4"/>
      <c r="BXV11" s="34"/>
      <c r="BXW11" s="34"/>
      <c r="BXY11" s="34"/>
      <c r="BXZ11" s="72"/>
      <c r="BYA11" s="63"/>
      <c r="BYB11" s="34"/>
      <c r="BYC11" s="64"/>
      <c r="BYD11" s="4"/>
      <c r="BYE11" s="65"/>
      <c r="BYF11" s="4"/>
      <c r="BYG11" s="4"/>
      <c r="BYH11" s="4"/>
      <c r="BYK11" s="34"/>
      <c r="BYL11" s="34"/>
      <c r="BYN11" s="34"/>
      <c r="BYO11" s="72"/>
      <c r="BYP11" s="63"/>
      <c r="BYQ11" s="34"/>
      <c r="BYR11" s="64"/>
      <c r="BYS11" s="4"/>
      <c r="BYT11" s="65"/>
      <c r="BYU11" s="4"/>
      <c r="BYV11" s="4"/>
      <c r="BYW11" s="4"/>
      <c r="BYZ11" s="34"/>
      <c r="BZA11" s="34"/>
      <c r="BZC11" s="34"/>
      <c r="BZD11" s="72"/>
      <c r="BZE11" s="63"/>
      <c r="BZF11" s="34"/>
      <c r="BZG11" s="64"/>
      <c r="BZH11" s="4"/>
      <c r="BZI11" s="65"/>
      <c r="BZJ11" s="4"/>
      <c r="BZK11" s="4"/>
      <c r="BZL11" s="4"/>
      <c r="BZO11" s="34"/>
      <c r="BZP11" s="34"/>
      <c r="BZR11" s="34"/>
      <c r="BZS11" s="72"/>
      <c r="BZT11" s="63"/>
      <c r="BZU11" s="34"/>
      <c r="BZV11" s="64"/>
      <c r="BZW11" s="4"/>
      <c r="BZX11" s="65"/>
      <c r="BZY11" s="4"/>
      <c r="BZZ11" s="4"/>
      <c r="CAA11" s="4"/>
      <c r="CAD11" s="34"/>
      <c r="CAE11" s="34"/>
      <c r="CAG11" s="34"/>
      <c r="CAH11" s="72"/>
      <c r="CAI11" s="63"/>
      <c r="CAJ11" s="34"/>
      <c r="CAK11" s="64"/>
      <c r="CAL11" s="4"/>
      <c r="CAM11" s="65"/>
      <c r="CAN11" s="4"/>
      <c r="CAO11" s="4"/>
      <c r="CAP11" s="4"/>
      <c r="CAS11" s="34"/>
      <c r="CAT11" s="34"/>
      <c r="CAV11" s="34"/>
      <c r="CAW11" s="72"/>
      <c r="CAX11" s="63"/>
      <c r="CAY11" s="34"/>
      <c r="CAZ11" s="64"/>
      <c r="CBA11" s="4"/>
      <c r="CBB11" s="65"/>
      <c r="CBC11" s="4"/>
      <c r="CBD11" s="4"/>
      <c r="CBE11" s="4"/>
      <c r="CBH11" s="34"/>
      <c r="CBI11" s="34"/>
      <c r="CBK11" s="34"/>
      <c r="CBL11" s="72"/>
      <c r="CBM11" s="63"/>
      <c r="CBN11" s="34"/>
      <c r="CBO11" s="64"/>
      <c r="CBP11" s="4"/>
      <c r="CBQ11" s="65"/>
      <c r="CBR11" s="4"/>
      <c r="CBS11" s="4"/>
      <c r="CBT11" s="4"/>
      <c r="CBW11" s="34"/>
      <c r="CBX11" s="34"/>
      <c r="CBZ11" s="34"/>
      <c r="CCA11" s="72"/>
      <c r="CCB11" s="63"/>
      <c r="CCC11" s="34"/>
      <c r="CCD11" s="64"/>
      <c r="CCE11" s="4"/>
      <c r="CCF11" s="65"/>
      <c r="CCG11" s="4"/>
      <c r="CCH11" s="4"/>
      <c r="CCI11" s="4"/>
      <c r="CCL11" s="34"/>
      <c r="CCM11" s="34"/>
      <c r="CCO11" s="34"/>
      <c r="CCP11" s="72"/>
      <c r="CCQ11" s="63"/>
      <c r="CCR11" s="34"/>
      <c r="CCS11" s="64"/>
      <c r="CCT11" s="4"/>
      <c r="CCU11" s="65"/>
      <c r="CCV11" s="4"/>
      <c r="CCW11" s="4"/>
      <c r="CCX11" s="4"/>
      <c r="CDA11" s="34"/>
      <c r="CDB11" s="34"/>
      <c r="CDD11" s="34"/>
      <c r="CDE11" s="72"/>
      <c r="CDF11" s="63"/>
      <c r="CDG11" s="34"/>
      <c r="CDH11" s="64"/>
      <c r="CDI11" s="4"/>
      <c r="CDJ11" s="65"/>
      <c r="CDK11" s="4"/>
      <c r="CDL11" s="4"/>
      <c r="CDM11" s="4"/>
      <c r="CDP11" s="34"/>
      <c r="CDQ11" s="34"/>
      <c r="CDS11" s="34"/>
      <c r="CDT11" s="72"/>
      <c r="CDU11" s="63"/>
      <c r="CDV11" s="34"/>
      <c r="CDW11" s="64"/>
      <c r="CDX11" s="4"/>
      <c r="CDY11" s="65"/>
      <c r="CDZ11" s="4"/>
      <c r="CEA11" s="4"/>
      <c r="CEB11" s="4"/>
      <c r="CEE11" s="34"/>
      <c r="CEF11" s="34"/>
      <c r="CEH11" s="34"/>
      <c r="CEI11" s="72"/>
      <c r="CEJ11" s="63"/>
      <c r="CEK11" s="34"/>
      <c r="CEL11" s="64"/>
      <c r="CEM11" s="4"/>
      <c r="CEN11" s="65"/>
      <c r="CEO11" s="4"/>
      <c r="CEP11" s="4"/>
      <c r="CEQ11" s="4"/>
      <c r="CET11" s="34"/>
      <c r="CEU11" s="34"/>
      <c r="CEW11" s="34"/>
      <c r="CEX11" s="72"/>
      <c r="CEY11" s="63"/>
      <c r="CEZ11" s="34"/>
      <c r="CFA11" s="64"/>
      <c r="CFB11" s="4"/>
      <c r="CFC11" s="65"/>
      <c r="CFD11" s="4"/>
      <c r="CFE11" s="4"/>
      <c r="CFF11" s="4"/>
      <c r="CFI11" s="34"/>
      <c r="CFJ11" s="34"/>
      <c r="CFL11" s="34"/>
      <c r="CFM11" s="72"/>
      <c r="CFN11" s="63"/>
      <c r="CFO11" s="34"/>
      <c r="CFP11" s="64"/>
      <c r="CFQ11" s="4"/>
      <c r="CFR11" s="65"/>
      <c r="CFS11" s="4"/>
      <c r="CFT11" s="4"/>
      <c r="CFU11" s="4"/>
      <c r="CFX11" s="34"/>
      <c r="CFY11" s="34"/>
      <c r="CGA11" s="34"/>
      <c r="CGB11" s="72"/>
      <c r="CGC11" s="63"/>
      <c r="CGD11" s="34"/>
      <c r="CGE11" s="64"/>
      <c r="CGF11" s="4"/>
      <c r="CGG11" s="65"/>
      <c r="CGH11" s="4"/>
      <c r="CGI11" s="4"/>
      <c r="CGJ11" s="4"/>
      <c r="CGM11" s="34"/>
      <c r="CGN11" s="34"/>
      <c r="CGP11" s="34"/>
      <c r="CGQ11" s="72"/>
      <c r="CGR11" s="63"/>
      <c r="CGS11" s="34"/>
      <c r="CGT11" s="64"/>
      <c r="CGU11" s="4"/>
      <c r="CGV11" s="65"/>
      <c r="CGW11" s="4"/>
      <c r="CGX11" s="4"/>
      <c r="CGY11" s="4"/>
      <c r="CHB11" s="34"/>
      <c r="CHC11" s="34"/>
      <c r="CHE11" s="34"/>
      <c r="CHF11" s="72"/>
      <c r="CHG11" s="63"/>
      <c r="CHH11" s="34"/>
      <c r="CHI11" s="64"/>
      <c r="CHJ11" s="4"/>
      <c r="CHK11" s="65"/>
      <c r="CHL11" s="4"/>
      <c r="CHM11" s="4"/>
      <c r="CHN11" s="4"/>
      <c r="CHQ11" s="34"/>
      <c r="CHR11" s="34"/>
      <c r="CHT11" s="34"/>
      <c r="CHU11" s="72"/>
      <c r="CHV11" s="63"/>
      <c r="CHW11" s="34"/>
      <c r="CHX11" s="64"/>
      <c r="CHY11" s="4"/>
      <c r="CHZ11" s="65"/>
      <c r="CIA11" s="4"/>
      <c r="CIB11" s="4"/>
      <c r="CIC11" s="4"/>
      <c r="CIF11" s="34"/>
      <c r="CIG11" s="34"/>
      <c r="CII11" s="34"/>
      <c r="CIJ11" s="72"/>
      <c r="CIK11" s="63"/>
      <c r="CIL11" s="34"/>
      <c r="CIM11" s="64"/>
      <c r="CIN11" s="4"/>
      <c r="CIO11" s="65"/>
      <c r="CIP11" s="4"/>
      <c r="CIQ11" s="4"/>
      <c r="CIR11" s="4"/>
      <c r="CIU11" s="34"/>
      <c r="CIV11" s="34"/>
      <c r="CIX11" s="34"/>
      <c r="CIY11" s="72"/>
      <c r="CIZ11" s="63"/>
      <c r="CJA11" s="34"/>
      <c r="CJB11" s="64"/>
      <c r="CJC11" s="4"/>
      <c r="CJD11" s="65"/>
      <c r="CJE11" s="4"/>
      <c r="CJF11" s="4"/>
      <c r="CJG11" s="4"/>
      <c r="CJJ11" s="34"/>
      <c r="CJK11" s="34"/>
      <c r="CJM11" s="34"/>
      <c r="CJN11" s="72"/>
      <c r="CJO11" s="63"/>
      <c r="CJP11" s="34"/>
      <c r="CJQ11" s="64"/>
      <c r="CJR11" s="4"/>
      <c r="CJS11" s="65"/>
      <c r="CJT11" s="4"/>
      <c r="CJU11" s="4"/>
      <c r="CJV11" s="4"/>
      <c r="CJY11" s="34"/>
      <c r="CJZ11" s="34"/>
      <c r="CKB11" s="34"/>
      <c r="CKC11" s="72"/>
      <c r="CKD11" s="63"/>
      <c r="CKE11" s="34"/>
      <c r="CKF11" s="64"/>
      <c r="CKG11" s="4"/>
      <c r="CKH11" s="65"/>
      <c r="CKI11" s="4"/>
      <c r="CKJ11" s="4"/>
      <c r="CKK11" s="4"/>
      <c r="CKN11" s="34"/>
      <c r="CKO11" s="34"/>
      <c r="CKQ11" s="34"/>
      <c r="CKR11" s="72"/>
      <c r="CKS11" s="63"/>
      <c r="CKT11" s="34"/>
      <c r="CKU11" s="64"/>
      <c r="CKV11" s="4"/>
      <c r="CKW11" s="65"/>
      <c r="CKX11" s="4"/>
      <c r="CKY11" s="4"/>
      <c r="CKZ11" s="4"/>
      <c r="CLC11" s="34"/>
      <c r="CLD11" s="34"/>
      <c r="CLF11" s="34"/>
      <c r="CLG11" s="72"/>
      <c r="CLH11" s="63"/>
      <c r="CLI11" s="34"/>
      <c r="CLJ11" s="64"/>
      <c r="CLK11" s="4"/>
      <c r="CLL11" s="65"/>
      <c r="CLM11" s="4"/>
      <c r="CLN11" s="4"/>
      <c r="CLO11" s="4"/>
      <c r="CLR11" s="34"/>
      <c r="CLS11" s="34"/>
      <c r="CLU11" s="34"/>
      <c r="CLV11" s="72"/>
      <c r="CLW11" s="63"/>
      <c r="CLX11" s="34"/>
      <c r="CLY11" s="64"/>
      <c r="CLZ11" s="4"/>
      <c r="CMA11" s="65"/>
      <c r="CMB11" s="4"/>
      <c r="CMC11" s="4"/>
      <c r="CMD11" s="4"/>
      <c r="CMG11" s="34"/>
      <c r="CMH11" s="34"/>
      <c r="CMJ11" s="34"/>
      <c r="CMK11" s="72"/>
      <c r="CML11" s="63"/>
      <c r="CMM11" s="34"/>
      <c r="CMN11" s="64"/>
      <c r="CMO11" s="4"/>
      <c r="CMP11" s="65"/>
      <c r="CMQ11" s="4"/>
      <c r="CMR11" s="4"/>
      <c r="CMS11" s="4"/>
      <c r="CMV11" s="34"/>
      <c r="CMW11" s="34"/>
      <c r="CMY11" s="34"/>
      <c r="CMZ11" s="72"/>
      <c r="CNA11" s="63"/>
      <c r="CNB11" s="34"/>
      <c r="CNC11" s="64"/>
      <c r="CND11" s="4"/>
      <c r="CNE11" s="65"/>
      <c r="CNF11" s="4"/>
      <c r="CNG11" s="4"/>
      <c r="CNH11" s="4"/>
      <c r="CNK11" s="34"/>
      <c r="CNL11" s="34"/>
      <c r="CNN11" s="34"/>
      <c r="CNO11" s="72"/>
      <c r="CNP11" s="63"/>
      <c r="CNQ11" s="34"/>
      <c r="CNR11" s="64"/>
      <c r="CNS11" s="4"/>
      <c r="CNT11" s="65"/>
      <c r="CNU11" s="4"/>
      <c r="CNV11" s="4"/>
      <c r="CNW11" s="4"/>
      <c r="CNZ11" s="34"/>
      <c r="COA11" s="34"/>
      <c r="COC11" s="34"/>
      <c r="COD11" s="72"/>
      <c r="COE11" s="63"/>
      <c r="COF11" s="34"/>
      <c r="COG11" s="64"/>
      <c r="COH11" s="4"/>
      <c r="COI11" s="65"/>
      <c r="COJ11" s="4"/>
      <c r="COK11" s="4"/>
      <c r="COL11" s="4"/>
      <c r="COO11" s="34"/>
      <c r="COP11" s="34"/>
      <c r="COR11" s="34"/>
      <c r="COS11" s="72"/>
      <c r="COT11" s="63"/>
      <c r="COU11" s="34"/>
      <c r="COV11" s="64"/>
      <c r="COW11" s="4"/>
      <c r="COX11" s="65"/>
      <c r="COY11" s="4"/>
      <c r="COZ11" s="4"/>
      <c r="CPA11" s="4"/>
      <c r="CPD11" s="34"/>
      <c r="CPE11" s="34"/>
      <c r="CPG11" s="34"/>
      <c r="CPH11" s="72"/>
      <c r="CPI11" s="63"/>
      <c r="CPJ11" s="34"/>
      <c r="CPK11" s="64"/>
      <c r="CPL11" s="4"/>
      <c r="CPM11" s="65"/>
      <c r="CPN11" s="4"/>
      <c r="CPO11" s="4"/>
      <c r="CPP11" s="4"/>
      <c r="CPS11" s="34"/>
      <c r="CPT11" s="34"/>
      <c r="CPV11" s="34"/>
      <c r="CPW11" s="72"/>
      <c r="CPX11" s="63"/>
      <c r="CPY11" s="34"/>
      <c r="CPZ11" s="64"/>
      <c r="CQA11" s="4"/>
      <c r="CQB11" s="65"/>
      <c r="CQC11" s="4"/>
      <c r="CQD11" s="4"/>
      <c r="CQE11" s="4"/>
      <c r="CQH11" s="34"/>
      <c r="CQI11" s="34"/>
      <c r="CQK11" s="34"/>
      <c r="CQL11" s="72"/>
      <c r="CQM11" s="63"/>
      <c r="CQN11" s="34"/>
      <c r="CQO11" s="64"/>
      <c r="CQP11" s="4"/>
      <c r="CQQ11" s="65"/>
      <c r="CQR11" s="4"/>
      <c r="CQS11" s="4"/>
      <c r="CQT11" s="4"/>
      <c r="CQW11" s="34"/>
      <c r="CQX11" s="34"/>
      <c r="CQZ11" s="34"/>
      <c r="CRA11" s="72"/>
      <c r="CRB11" s="63"/>
      <c r="CRC11" s="34"/>
      <c r="CRD11" s="64"/>
      <c r="CRE11" s="4"/>
      <c r="CRF11" s="65"/>
      <c r="CRG11" s="4"/>
      <c r="CRH11" s="4"/>
      <c r="CRI11" s="4"/>
      <c r="CRL11" s="34"/>
      <c r="CRM11" s="34"/>
      <c r="CRO11" s="34"/>
      <c r="CRP11" s="72"/>
      <c r="CRQ11" s="63"/>
      <c r="CRR11" s="34"/>
      <c r="CRS11" s="64"/>
      <c r="CRT11" s="4"/>
      <c r="CRU11" s="65"/>
      <c r="CRV11" s="4"/>
      <c r="CRW11" s="4"/>
      <c r="CRX11" s="4"/>
      <c r="CSA11" s="34"/>
      <c r="CSB11" s="34"/>
      <c r="CSD11" s="34"/>
      <c r="CSE11" s="72"/>
      <c r="CSF11" s="63"/>
      <c r="CSG11" s="34"/>
      <c r="CSH11" s="64"/>
      <c r="CSI11" s="4"/>
      <c r="CSJ11" s="65"/>
      <c r="CSK11" s="4"/>
      <c r="CSL11" s="4"/>
      <c r="CSM11" s="4"/>
      <c r="CSP11" s="34"/>
      <c r="CSQ11" s="34"/>
      <c r="CSS11" s="34"/>
      <c r="CST11" s="72"/>
      <c r="CSU11" s="63"/>
      <c r="CSV11" s="34"/>
      <c r="CSW11" s="64"/>
      <c r="CSX11" s="4"/>
      <c r="CSY11" s="65"/>
      <c r="CSZ11" s="4"/>
      <c r="CTA11" s="4"/>
      <c r="CTB11" s="4"/>
      <c r="CTE11" s="34"/>
      <c r="CTF11" s="34"/>
      <c r="CTH11" s="34"/>
      <c r="CTI11" s="72"/>
      <c r="CTJ11" s="63"/>
      <c r="CTK11" s="34"/>
      <c r="CTL11" s="64"/>
      <c r="CTM11" s="4"/>
      <c r="CTN11" s="65"/>
      <c r="CTO11" s="4"/>
      <c r="CTP11" s="4"/>
      <c r="CTQ11" s="4"/>
      <c r="CTT11" s="34"/>
      <c r="CTU11" s="34"/>
      <c r="CTW11" s="34"/>
      <c r="CTX11" s="72"/>
      <c r="CTY11" s="63"/>
      <c r="CTZ11" s="34"/>
      <c r="CUA11" s="64"/>
      <c r="CUB11" s="4"/>
      <c r="CUC11" s="65"/>
      <c r="CUD11" s="4"/>
      <c r="CUE11" s="4"/>
      <c r="CUF11" s="4"/>
      <c r="CUI11" s="34"/>
      <c r="CUJ11" s="34"/>
      <c r="CUL11" s="34"/>
      <c r="CUM11" s="72"/>
      <c r="CUN11" s="63"/>
      <c r="CUO11" s="34"/>
      <c r="CUP11" s="64"/>
      <c r="CUQ11" s="4"/>
      <c r="CUR11" s="65"/>
      <c r="CUS11" s="4"/>
      <c r="CUT11" s="4"/>
      <c r="CUU11" s="4"/>
      <c r="CUX11" s="34"/>
      <c r="CUY11" s="34"/>
      <c r="CVA11" s="34"/>
      <c r="CVB11" s="72"/>
      <c r="CVC11" s="63"/>
      <c r="CVD11" s="34"/>
      <c r="CVE11" s="64"/>
      <c r="CVF11" s="4"/>
      <c r="CVG11" s="65"/>
      <c r="CVH11" s="4"/>
      <c r="CVI11" s="4"/>
      <c r="CVJ11" s="4"/>
      <c r="CVM11" s="34"/>
      <c r="CVN11" s="34"/>
      <c r="CVP11" s="34"/>
      <c r="CVQ11" s="72"/>
      <c r="CVR11" s="63"/>
      <c r="CVS11" s="34"/>
      <c r="CVT11" s="64"/>
      <c r="CVU11" s="4"/>
      <c r="CVV11" s="65"/>
      <c r="CVW11" s="4"/>
      <c r="CVX11" s="4"/>
      <c r="CVY11" s="4"/>
      <c r="CWB11" s="34"/>
      <c r="CWC11" s="34"/>
      <c r="CWE11" s="34"/>
      <c r="CWF11" s="72"/>
      <c r="CWG11" s="63"/>
      <c r="CWH11" s="34"/>
      <c r="CWI11" s="64"/>
      <c r="CWJ11" s="4"/>
      <c r="CWK11" s="65"/>
      <c r="CWL11" s="4"/>
      <c r="CWM11" s="4"/>
      <c r="CWN11" s="4"/>
      <c r="CWQ11" s="34"/>
      <c r="CWR11" s="34"/>
      <c r="CWT11" s="34"/>
      <c r="CWU11" s="72"/>
      <c r="CWV11" s="63"/>
      <c r="CWW11" s="34"/>
      <c r="CWX11" s="64"/>
      <c r="CWY11" s="4"/>
      <c r="CWZ11" s="65"/>
      <c r="CXA11" s="4"/>
      <c r="CXB11" s="4"/>
      <c r="CXC11" s="4"/>
      <c r="CXF11" s="34"/>
      <c r="CXG11" s="34"/>
      <c r="CXI11" s="34"/>
      <c r="CXJ11" s="72"/>
      <c r="CXK11" s="63"/>
      <c r="CXL11" s="34"/>
      <c r="CXM11" s="64"/>
      <c r="CXN11" s="4"/>
      <c r="CXO11" s="65"/>
      <c r="CXP11" s="4"/>
      <c r="CXQ11" s="4"/>
      <c r="CXR11" s="4"/>
      <c r="CXU11" s="34"/>
      <c r="CXV11" s="34"/>
      <c r="CXX11" s="34"/>
      <c r="CXY11" s="72"/>
      <c r="CXZ11" s="63"/>
      <c r="CYA11" s="34"/>
      <c r="CYB11" s="64"/>
      <c r="CYC11" s="4"/>
      <c r="CYD11" s="65"/>
      <c r="CYE11" s="4"/>
      <c r="CYF11" s="4"/>
      <c r="CYG11" s="4"/>
      <c r="CYJ11" s="34"/>
      <c r="CYK11" s="34"/>
      <c r="CYM11" s="34"/>
      <c r="CYN11" s="72"/>
      <c r="CYO11" s="63"/>
      <c r="CYP11" s="34"/>
      <c r="CYQ11" s="64"/>
      <c r="CYR11" s="4"/>
      <c r="CYS11" s="65"/>
      <c r="CYT11" s="4"/>
      <c r="CYU11" s="4"/>
      <c r="CYV11" s="4"/>
      <c r="CYY11" s="34"/>
      <c r="CYZ11" s="34"/>
      <c r="CZB11" s="34"/>
      <c r="CZC11" s="72"/>
      <c r="CZD11" s="63"/>
      <c r="CZE11" s="34"/>
      <c r="CZF11" s="64"/>
      <c r="CZG11" s="4"/>
      <c r="CZH11" s="65"/>
      <c r="CZI11" s="4"/>
      <c r="CZJ11" s="4"/>
      <c r="CZK11" s="4"/>
      <c r="CZN11" s="34"/>
      <c r="CZO11" s="34"/>
      <c r="CZQ11" s="34"/>
      <c r="CZR11" s="72"/>
      <c r="CZS11" s="63"/>
      <c r="CZT11" s="34"/>
      <c r="CZU11" s="64"/>
      <c r="CZV11" s="4"/>
      <c r="CZW11" s="65"/>
      <c r="CZX11" s="4"/>
      <c r="CZY11" s="4"/>
      <c r="CZZ11" s="4"/>
      <c r="DAC11" s="34"/>
      <c r="DAD11" s="34"/>
      <c r="DAF11" s="34"/>
      <c r="DAG11" s="72"/>
      <c r="DAH11" s="63"/>
      <c r="DAI11" s="34"/>
      <c r="DAJ11" s="64"/>
      <c r="DAK11" s="4"/>
      <c r="DAL11" s="65"/>
      <c r="DAM11" s="4"/>
      <c r="DAN11" s="4"/>
      <c r="DAO11" s="4"/>
      <c r="DAR11" s="34"/>
      <c r="DAS11" s="34"/>
      <c r="DAU11" s="34"/>
      <c r="DAV11" s="72"/>
      <c r="DAW11" s="63"/>
      <c r="DAX11" s="34"/>
      <c r="DAY11" s="64"/>
      <c r="DAZ11" s="4"/>
      <c r="DBA11" s="65"/>
      <c r="DBB11" s="4"/>
      <c r="DBC11" s="4"/>
      <c r="DBD11" s="4"/>
      <c r="DBG11" s="34"/>
      <c r="DBH11" s="34"/>
      <c r="DBJ11" s="34"/>
      <c r="DBK11" s="72"/>
      <c r="DBL11" s="63"/>
      <c r="DBM11" s="34"/>
      <c r="DBN11" s="64"/>
      <c r="DBO11" s="4"/>
      <c r="DBP11" s="65"/>
      <c r="DBQ11" s="4"/>
      <c r="DBR11" s="4"/>
      <c r="DBS11" s="4"/>
      <c r="DBV11" s="34"/>
      <c r="DBW11" s="34"/>
      <c r="DBY11" s="34"/>
      <c r="DBZ11" s="72"/>
      <c r="DCA11" s="63"/>
      <c r="DCB11" s="34"/>
      <c r="DCC11" s="64"/>
      <c r="DCD11" s="4"/>
      <c r="DCE11" s="65"/>
      <c r="DCF11" s="4"/>
      <c r="DCG11" s="4"/>
      <c r="DCH11" s="4"/>
      <c r="DCK11" s="34"/>
      <c r="DCL11" s="34"/>
      <c r="DCN11" s="34"/>
      <c r="DCO11" s="72"/>
      <c r="DCP11" s="63"/>
      <c r="DCQ11" s="34"/>
      <c r="DCR11" s="64"/>
      <c r="DCS11" s="4"/>
      <c r="DCT11" s="65"/>
      <c r="DCU11" s="4"/>
      <c r="DCV11" s="4"/>
      <c r="DCW11" s="4"/>
      <c r="DCZ11" s="34"/>
      <c r="DDA11" s="34"/>
      <c r="DDC11" s="34"/>
      <c r="DDD11" s="72"/>
      <c r="DDE11" s="63"/>
      <c r="DDF11" s="34"/>
      <c r="DDG11" s="64"/>
      <c r="DDH11" s="4"/>
      <c r="DDI11" s="65"/>
      <c r="DDJ11" s="4"/>
      <c r="DDK11" s="4"/>
      <c r="DDL11" s="4"/>
      <c r="DDO11" s="34"/>
      <c r="DDP11" s="34"/>
      <c r="DDR11" s="34"/>
      <c r="DDS11" s="72"/>
      <c r="DDT11" s="63"/>
      <c r="DDU11" s="34"/>
      <c r="DDV11" s="64"/>
      <c r="DDW11" s="4"/>
      <c r="DDX11" s="65"/>
      <c r="DDY11" s="4"/>
      <c r="DDZ11" s="4"/>
      <c r="DEA11" s="4"/>
      <c r="DED11" s="34"/>
      <c r="DEE11" s="34"/>
      <c r="DEG11" s="34"/>
      <c r="DEH11" s="72"/>
      <c r="DEI11" s="63"/>
      <c r="DEJ11" s="34"/>
      <c r="DEK11" s="64"/>
      <c r="DEL11" s="4"/>
      <c r="DEM11" s="65"/>
      <c r="DEN11" s="4"/>
      <c r="DEO11" s="4"/>
      <c r="DEP11" s="4"/>
      <c r="DES11" s="34"/>
      <c r="DET11" s="34"/>
      <c r="DEV11" s="34"/>
      <c r="DEW11" s="72"/>
      <c r="DEX11" s="63"/>
      <c r="DEY11" s="34"/>
      <c r="DEZ11" s="64"/>
      <c r="DFA11" s="4"/>
      <c r="DFB11" s="65"/>
      <c r="DFC11" s="4"/>
      <c r="DFD11" s="4"/>
      <c r="DFE11" s="4"/>
      <c r="DFH11" s="34"/>
      <c r="DFI11" s="34"/>
      <c r="DFK11" s="34"/>
      <c r="DFL11" s="72"/>
      <c r="DFM11" s="63"/>
      <c r="DFN11" s="34"/>
      <c r="DFO11" s="64"/>
      <c r="DFP11" s="4"/>
      <c r="DFQ11" s="65"/>
      <c r="DFR11" s="4"/>
      <c r="DFS11" s="4"/>
      <c r="DFT11" s="4"/>
      <c r="DFW11" s="34"/>
      <c r="DFX11" s="34"/>
      <c r="DFZ11" s="34"/>
      <c r="DGA11" s="72"/>
      <c r="DGB11" s="63"/>
      <c r="DGC11" s="34"/>
      <c r="DGD11" s="64"/>
      <c r="DGE11" s="4"/>
      <c r="DGF11" s="65"/>
      <c r="DGG11" s="4"/>
      <c r="DGH11" s="4"/>
      <c r="DGI11" s="4"/>
      <c r="DGL11" s="34"/>
      <c r="DGM11" s="34"/>
      <c r="DGO11" s="34"/>
      <c r="DGP11" s="72"/>
      <c r="DGQ11" s="63"/>
      <c r="DGR11" s="34"/>
      <c r="DGS11" s="64"/>
      <c r="DGT11" s="4"/>
      <c r="DGU11" s="65"/>
      <c r="DGV11" s="4"/>
      <c r="DGW11" s="4"/>
      <c r="DGX11" s="4"/>
      <c r="DHA11" s="34"/>
      <c r="DHB11" s="34"/>
      <c r="DHD11" s="34"/>
      <c r="DHE11" s="72"/>
      <c r="DHF11" s="63"/>
      <c r="DHG11" s="34"/>
      <c r="DHH11" s="64"/>
      <c r="DHI11" s="4"/>
      <c r="DHJ11" s="65"/>
      <c r="DHK11" s="4"/>
      <c r="DHL11" s="4"/>
      <c r="DHM11" s="4"/>
      <c r="DHP11" s="34"/>
      <c r="DHQ11" s="34"/>
      <c r="DHS11" s="34"/>
      <c r="DHT11" s="72"/>
      <c r="DHU11" s="63"/>
      <c r="DHV11" s="34"/>
      <c r="DHW11" s="64"/>
      <c r="DHX11" s="4"/>
      <c r="DHY11" s="65"/>
      <c r="DHZ11" s="4"/>
      <c r="DIA11" s="4"/>
      <c r="DIB11" s="4"/>
      <c r="DIE11" s="34"/>
      <c r="DIF11" s="34"/>
      <c r="DIH11" s="34"/>
      <c r="DII11" s="72"/>
      <c r="DIJ11" s="63"/>
      <c r="DIK11" s="34"/>
      <c r="DIL11" s="64"/>
      <c r="DIM11" s="4"/>
      <c r="DIN11" s="65"/>
      <c r="DIO11" s="4"/>
      <c r="DIP11" s="4"/>
      <c r="DIQ11" s="4"/>
      <c r="DIT11" s="34"/>
      <c r="DIU11" s="34"/>
      <c r="DIW11" s="34"/>
      <c r="DIX11" s="72"/>
      <c r="DIY11" s="63"/>
      <c r="DIZ11" s="34"/>
      <c r="DJA11" s="64"/>
      <c r="DJB11" s="4"/>
      <c r="DJC11" s="65"/>
      <c r="DJD11" s="4"/>
      <c r="DJE11" s="4"/>
      <c r="DJF11" s="4"/>
      <c r="DJI11" s="34"/>
      <c r="DJJ11" s="34"/>
      <c r="DJL11" s="34"/>
      <c r="DJM11" s="72"/>
      <c r="DJN11" s="63"/>
      <c r="DJO11" s="34"/>
      <c r="DJP11" s="64"/>
      <c r="DJQ11" s="4"/>
      <c r="DJR11" s="65"/>
      <c r="DJS11" s="4"/>
      <c r="DJT11" s="4"/>
      <c r="DJU11" s="4"/>
      <c r="DJX11" s="34"/>
      <c r="DJY11" s="34"/>
      <c r="DKA11" s="34"/>
      <c r="DKB11" s="72"/>
      <c r="DKC11" s="63"/>
      <c r="DKD11" s="34"/>
      <c r="DKE11" s="64"/>
      <c r="DKF11" s="4"/>
      <c r="DKG11" s="65"/>
      <c r="DKH11" s="4"/>
      <c r="DKI11" s="4"/>
      <c r="DKJ11" s="4"/>
      <c r="DKM11" s="34"/>
      <c r="DKN11" s="34"/>
      <c r="DKP11" s="34"/>
      <c r="DKQ11" s="72"/>
      <c r="DKR11" s="63"/>
      <c r="DKS11" s="34"/>
      <c r="DKT11" s="64"/>
      <c r="DKU11" s="4"/>
      <c r="DKV11" s="65"/>
      <c r="DKW11" s="4"/>
      <c r="DKX11" s="4"/>
      <c r="DKY11" s="4"/>
      <c r="DLB11" s="34"/>
      <c r="DLC11" s="34"/>
      <c r="DLE11" s="34"/>
      <c r="DLF11" s="72"/>
      <c r="DLG11" s="63"/>
      <c r="DLH11" s="34"/>
      <c r="DLI11" s="64"/>
      <c r="DLJ11" s="4"/>
      <c r="DLK11" s="65"/>
      <c r="DLL11" s="4"/>
      <c r="DLM11" s="4"/>
      <c r="DLN11" s="4"/>
      <c r="DLQ11" s="34"/>
      <c r="DLR11" s="34"/>
      <c r="DLT11" s="34"/>
      <c r="DLU11" s="72"/>
      <c r="DLV11" s="63"/>
      <c r="DLW11" s="34"/>
      <c r="DLX11" s="64"/>
      <c r="DLY11" s="4"/>
      <c r="DLZ11" s="65"/>
      <c r="DMA11" s="4"/>
      <c r="DMB11" s="4"/>
      <c r="DMC11" s="4"/>
      <c r="DMF11" s="34"/>
      <c r="DMG11" s="34"/>
      <c r="DMI11" s="34"/>
      <c r="DMJ11" s="72"/>
      <c r="DMK11" s="63"/>
      <c r="DML11" s="34"/>
      <c r="DMM11" s="64"/>
      <c r="DMN11" s="4"/>
      <c r="DMO11" s="65"/>
      <c r="DMP11" s="4"/>
      <c r="DMQ11" s="4"/>
      <c r="DMR11" s="4"/>
      <c r="DMU11" s="34"/>
      <c r="DMV11" s="34"/>
      <c r="DMX11" s="34"/>
      <c r="DMY11" s="72"/>
      <c r="DMZ11" s="63"/>
      <c r="DNA11" s="34"/>
      <c r="DNB11" s="64"/>
      <c r="DNC11" s="4"/>
      <c r="DND11" s="65"/>
      <c r="DNE11" s="4"/>
      <c r="DNF11" s="4"/>
      <c r="DNG11" s="4"/>
      <c r="DNJ11" s="34"/>
      <c r="DNK11" s="34"/>
      <c r="DNM11" s="34"/>
      <c r="DNN11" s="72"/>
      <c r="DNO11" s="63"/>
      <c r="DNP11" s="34"/>
      <c r="DNQ11" s="64"/>
      <c r="DNR11" s="4"/>
      <c r="DNS11" s="65"/>
      <c r="DNT11" s="4"/>
      <c r="DNU11" s="4"/>
      <c r="DNV11" s="4"/>
      <c r="DNY11" s="34"/>
      <c r="DNZ11" s="34"/>
      <c r="DOB11" s="34"/>
      <c r="DOC11" s="72"/>
      <c r="DOD11" s="63"/>
      <c r="DOE11" s="34"/>
      <c r="DOF11" s="64"/>
      <c r="DOG11" s="4"/>
      <c r="DOH11" s="65"/>
      <c r="DOI11" s="4"/>
      <c r="DOJ11" s="4"/>
      <c r="DOK11" s="4"/>
      <c r="DON11" s="34"/>
      <c r="DOO11" s="34"/>
      <c r="DOQ11" s="34"/>
      <c r="DOR11" s="72"/>
      <c r="DOS11" s="63"/>
      <c r="DOT11" s="34"/>
      <c r="DOU11" s="64"/>
      <c r="DOV11" s="4"/>
      <c r="DOW11" s="65"/>
      <c r="DOX11" s="4"/>
      <c r="DOY11" s="4"/>
      <c r="DOZ11" s="4"/>
      <c r="DPC11" s="34"/>
      <c r="DPD11" s="34"/>
      <c r="DPF11" s="34"/>
      <c r="DPG11" s="72"/>
      <c r="DPH11" s="63"/>
      <c r="DPI11" s="34"/>
      <c r="DPJ11" s="64"/>
      <c r="DPK11" s="4"/>
      <c r="DPL11" s="65"/>
      <c r="DPM11" s="4"/>
      <c r="DPN11" s="4"/>
      <c r="DPO11" s="4"/>
      <c r="DPR11" s="34"/>
      <c r="DPS11" s="34"/>
      <c r="DPU11" s="34"/>
      <c r="DPV11" s="72"/>
      <c r="DPW11" s="63"/>
      <c r="DPX11" s="34"/>
      <c r="DPY11" s="64"/>
      <c r="DPZ11" s="4"/>
      <c r="DQA11" s="65"/>
      <c r="DQB11" s="4"/>
      <c r="DQC11" s="4"/>
      <c r="DQD11" s="4"/>
      <c r="DQG11" s="34"/>
      <c r="DQH11" s="34"/>
      <c r="DQJ11" s="34"/>
      <c r="DQK11" s="72"/>
      <c r="DQL11" s="63"/>
      <c r="DQM11" s="34"/>
      <c r="DQN11" s="64"/>
      <c r="DQO11" s="4"/>
      <c r="DQP11" s="65"/>
      <c r="DQQ11" s="4"/>
      <c r="DQR11" s="4"/>
      <c r="DQS11" s="4"/>
      <c r="DQV11" s="34"/>
      <c r="DQW11" s="34"/>
      <c r="DQY11" s="34"/>
      <c r="DQZ11" s="72"/>
      <c r="DRA11" s="63"/>
      <c r="DRB11" s="34"/>
      <c r="DRC11" s="64"/>
      <c r="DRD11" s="4"/>
      <c r="DRE11" s="65"/>
      <c r="DRF11" s="4"/>
      <c r="DRG11" s="4"/>
      <c r="DRH11" s="4"/>
      <c r="DRK11" s="34"/>
      <c r="DRL11" s="34"/>
      <c r="DRN11" s="34"/>
      <c r="DRO11" s="72"/>
      <c r="DRP11" s="63"/>
      <c r="DRQ11" s="34"/>
      <c r="DRR11" s="64"/>
      <c r="DRS11" s="4"/>
      <c r="DRT11" s="65"/>
      <c r="DRU11" s="4"/>
      <c r="DRV11" s="4"/>
      <c r="DRW11" s="4"/>
      <c r="DRZ11" s="34"/>
      <c r="DSA11" s="34"/>
      <c r="DSC11" s="34"/>
      <c r="DSD11" s="72"/>
      <c r="DSE11" s="63"/>
      <c r="DSF11" s="34"/>
      <c r="DSG11" s="64"/>
      <c r="DSH11" s="4"/>
      <c r="DSI11" s="65"/>
      <c r="DSJ11" s="4"/>
      <c r="DSK11" s="4"/>
      <c r="DSL11" s="4"/>
      <c r="DSO11" s="34"/>
      <c r="DSP11" s="34"/>
      <c r="DSR11" s="34"/>
      <c r="DSS11" s="72"/>
      <c r="DST11" s="63"/>
      <c r="DSU11" s="34"/>
      <c r="DSV11" s="64"/>
      <c r="DSW11" s="4"/>
      <c r="DSX11" s="65"/>
      <c r="DSY11" s="4"/>
      <c r="DSZ11" s="4"/>
      <c r="DTA11" s="4"/>
      <c r="DTD11" s="34"/>
      <c r="DTE11" s="34"/>
      <c r="DTG11" s="34"/>
      <c r="DTH11" s="72"/>
      <c r="DTI11" s="63"/>
      <c r="DTJ11" s="34"/>
      <c r="DTK11" s="64"/>
      <c r="DTL11" s="4"/>
      <c r="DTM11" s="65"/>
      <c r="DTN11" s="4"/>
      <c r="DTO11" s="4"/>
      <c r="DTP11" s="4"/>
      <c r="DTS11" s="34"/>
      <c r="DTT11" s="34"/>
      <c r="DTV11" s="34"/>
      <c r="DTW11" s="72"/>
      <c r="DTX11" s="63"/>
      <c r="DTY11" s="34"/>
      <c r="DTZ11" s="64"/>
      <c r="DUA11" s="4"/>
      <c r="DUB11" s="65"/>
      <c r="DUC11" s="4"/>
      <c r="DUD11" s="4"/>
      <c r="DUE11" s="4"/>
      <c r="DUH11" s="34"/>
      <c r="DUI11" s="34"/>
      <c r="DUK11" s="34"/>
      <c r="DUL11" s="72"/>
      <c r="DUM11" s="63"/>
      <c r="DUN11" s="34"/>
      <c r="DUO11" s="64"/>
      <c r="DUP11" s="4"/>
      <c r="DUQ11" s="65"/>
      <c r="DUR11" s="4"/>
      <c r="DUS11" s="4"/>
      <c r="DUT11" s="4"/>
      <c r="DUW11" s="34"/>
      <c r="DUX11" s="34"/>
      <c r="DUZ11" s="34"/>
      <c r="DVA11" s="72"/>
      <c r="DVB11" s="63"/>
      <c r="DVC11" s="34"/>
      <c r="DVD11" s="64"/>
      <c r="DVE11" s="4"/>
      <c r="DVF11" s="65"/>
      <c r="DVG11" s="4"/>
      <c r="DVH11" s="4"/>
      <c r="DVI11" s="4"/>
      <c r="DVL11" s="34"/>
      <c r="DVM11" s="34"/>
      <c r="DVO11" s="34"/>
      <c r="DVP11" s="72"/>
      <c r="DVQ11" s="63"/>
      <c r="DVR11" s="34"/>
      <c r="DVS11" s="64"/>
      <c r="DVT11" s="4"/>
      <c r="DVU11" s="65"/>
      <c r="DVV11" s="4"/>
      <c r="DVW11" s="4"/>
      <c r="DVX11" s="4"/>
      <c r="DWA11" s="34"/>
      <c r="DWB11" s="34"/>
      <c r="DWD11" s="34"/>
      <c r="DWE11" s="72"/>
      <c r="DWF11" s="63"/>
      <c r="DWG11" s="34"/>
      <c r="DWH11" s="64"/>
      <c r="DWI11" s="4"/>
      <c r="DWJ11" s="65"/>
      <c r="DWK11" s="4"/>
      <c r="DWL11" s="4"/>
      <c r="DWM11" s="4"/>
      <c r="DWP11" s="34"/>
      <c r="DWQ11" s="34"/>
      <c r="DWS11" s="34"/>
      <c r="DWT11" s="72"/>
      <c r="DWU11" s="63"/>
      <c r="DWV11" s="34"/>
      <c r="DWW11" s="64"/>
      <c r="DWX11" s="4"/>
      <c r="DWY11" s="65"/>
      <c r="DWZ11" s="4"/>
      <c r="DXA11" s="4"/>
      <c r="DXB11" s="4"/>
      <c r="DXE11" s="34"/>
      <c r="DXF11" s="34"/>
      <c r="DXH11" s="34"/>
      <c r="DXI11" s="72"/>
      <c r="DXJ11" s="63"/>
      <c r="DXK11" s="34"/>
      <c r="DXL11" s="64"/>
      <c r="DXM11" s="4"/>
      <c r="DXN11" s="65"/>
      <c r="DXO11" s="4"/>
      <c r="DXP11" s="4"/>
      <c r="DXQ11" s="4"/>
      <c r="DXT11" s="34"/>
      <c r="DXU11" s="34"/>
      <c r="DXW11" s="34"/>
      <c r="DXX11" s="72"/>
      <c r="DXY11" s="63"/>
      <c r="DXZ11" s="34"/>
      <c r="DYA11" s="64"/>
      <c r="DYB11" s="4"/>
      <c r="DYC11" s="65"/>
      <c r="DYD11" s="4"/>
      <c r="DYE11" s="4"/>
      <c r="DYF11" s="4"/>
      <c r="DYI11" s="34"/>
      <c r="DYJ11" s="34"/>
      <c r="DYL11" s="34"/>
      <c r="DYM11" s="72"/>
      <c r="DYN11" s="63"/>
      <c r="DYO11" s="34"/>
      <c r="DYP11" s="64"/>
      <c r="DYQ11" s="4"/>
      <c r="DYR11" s="65"/>
      <c r="DYS11" s="4"/>
      <c r="DYT11" s="4"/>
      <c r="DYU11" s="4"/>
      <c r="DYX11" s="34"/>
      <c r="DYY11" s="34"/>
      <c r="DZA11" s="34"/>
      <c r="DZB11" s="72"/>
      <c r="DZC11" s="63"/>
      <c r="DZD11" s="34"/>
      <c r="DZE11" s="64"/>
      <c r="DZF11" s="4"/>
      <c r="DZG11" s="65"/>
      <c r="DZH11" s="4"/>
      <c r="DZI11" s="4"/>
      <c r="DZJ11" s="4"/>
      <c r="DZM11" s="34"/>
      <c r="DZN11" s="34"/>
      <c r="DZP11" s="34"/>
      <c r="DZQ11" s="72"/>
      <c r="DZR11" s="63"/>
      <c r="DZS11" s="34"/>
      <c r="DZT11" s="64"/>
      <c r="DZU11" s="4"/>
      <c r="DZV11" s="65"/>
      <c r="DZW11" s="4"/>
      <c r="DZX11" s="4"/>
      <c r="DZY11" s="4"/>
      <c r="EAB11" s="34"/>
      <c r="EAC11" s="34"/>
      <c r="EAE11" s="34"/>
      <c r="EAF11" s="72"/>
      <c r="EAG11" s="63"/>
      <c r="EAH11" s="34"/>
      <c r="EAI11" s="64"/>
      <c r="EAJ11" s="4"/>
      <c r="EAK11" s="65"/>
      <c r="EAL11" s="4"/>
      <c r="EAM11" s="4"/>
      <c r="EAN11" s="4"/>
      <c r="EAQ11" s="34"/>
      <c r="EAR11" s="34"/>
      <c r="EAT11" s="34"/>
      <c r="EAU11" s="72"/>
      <c r="EAV11" s="63"/>
      <c r="EAW11" s="34"/>
      <c r="EAX11" s="64"/>
      <c r="EAY11" s="4"/>
      <c r="EAZ11" s="65"/>
      <c r="EBA11" s="4"/>
      <c r="EBB11" s="4"/>
      <c r="EBC11" s="4"/>
      <c r="EBF11" s="34"/>
      <c r="EBG11" s="34"/>
      <c r="EBI11" s="34"/>
      <c r="EBJ11" s="72"/>
      <c r="EBK11" s="63"/>
      <c r="EBL11" s="34"/>
      <c r="EBM11" s="64"/>
      <c r="EBN11" s="4"/>
      <c r="EBO11" s="65"/>
      <c r="EBP11" s="4"/>
      <c r="EBQ11" s="4"/>
      <c r="EBR11" s="4"/>
      <c r="EBU11" s="34"/>
      <c r="EBV11" s="34"/>
      <c r="EBX11" s="34"/>
      <c r="EBY11" s="72"/>
      <c r="EBZ11" s="63"/>
      <c r="ECA11" s="34"/>
      <c r="ECB11" s="64"/>
      <c r="ECC11" s="4"/>
      <c r="ECD11" s="65"/>
      <c r="ECE11" s="4"/>
      <c r="ECF11" s="4"/>
      <c r="ECG11" s="4"/>
      <c r="ECJ11" s="34"/>
      <c r="ECK11" s="34"/>
      <c r="ECM11" s="34"/>
      <c r="ECN11" s="72"/>
      <c r="ECO11" s="63"/>
      <c r="ECP11" s="34"/>
      <c r="ECQ11" s="64"/>
      <c r="ECR11" s="4"/>
      <c r="ECS11" s="65"/>
      <c r="ECT11" s="4"/>
      <c r="ECU11" s="4"/>
      <c r="ECV11" s="4"/>
      <c r="ECY11" s="34"/>
      <c r="ECZ11" s="34"/>
      <c r="EDB11" s="34"/>
      <c r="EDC11" s="72"/>
      <c r="EDD11" s="63"/>
      <c r="EDE11" s="34"/>
      <c r="EDF11" s="64"/>
      <c r="EDG11" s="4"/>
      <c r="EDH11" s="65"/>
      <c r="EDI11" s="4"/>
      <c r="EDJ11" s="4"/>
      <c r="EDK11" s="4"/>
      <c r="EDN11" s="34"/>
      <c r="EDO11" s="34"/>
      <c r="EDQ11" s="34"/>
      <c r="EDR11" s="72"/>
      <c r="EDS11" s="63"/>
      <c r="EDT11" s="34"/>
      <c r="EDU11" s="64"/>
      <c r="EDV11" s="4"/>
      <c r="EDW11" s="65"/>
      <c r="EDX11" s="4"/>
      <c r="EDY11" s="4"/>
      <c r="EDZ11" s="4"/>
      <c r="EEC11" s="34"/>
      <c r="EED11" s="34"/>
      <c r="EEF11" s="34"/>
      <c r="EEG11" s="72"/>
      <c r="EEH11" s="63"/>
      <c r="EEI11" s="34"/>
      <c r="EEJ11" s="64"/>
      <c r="EEK11" s="4"/>
      <c r="EEL11" s="65"/>
      <c r="EEM11" s="4"/>
      <c r="EEN11" s="4"/>
      <c r="EEO11" s="4"/>
      <c r="EER11" s="34"/>
      <c r="EES11" s="34"/>
      <c r="EEU11" s="34"/>
      <c r="EEV11" s="72"/>
      <c r="EEW11" s="63"/>
      <c r="EEX11" s="34"/>
      <c r="EEY11" s="64"/>
      <c r="EEZ11" s="4"/>
      <c r="EFA11" s="65"/>
      <c r="EFB11" s="4"/>
      <c r="EFC11" s="4"/>
      <c r="EFD11" s="4"/>
      <c r="EFG11" s="34"/>
      <c r="EFH11" s="34"/>
      <c r="EFJ11" s="34"/>
      <c r="EFK11" s="72"/>
      <c r="EFL11" s="63"/>
      <c r="EFM11" s="34"/>
      <c r="EFN11" s="64"/>
      <c r="EFO11" s="4"/>
      <c r="EFP11" s="65"/>
      <c r="EFQ11" s="4"/>
      <c r="EFR11" s="4"/>
      <c r="EFS11" s="4"/>
      <c r="EFV11" s="34"/>
      <c r="EFW11" s="34"/>
      <c r="EFY11" s="34"/>
      <c r="EFZ11" s="72"/>
      <c r="EGA11" s="63"/>
      <c r="EGB11" s="34"/>
      <c r="EGC11" s="64"/>
      <c r="EGD11" s="4"/>
      <c r="EGE11" s="65"/>
      <c r="EGF11" s="4"/>
      <c r="EGG11" s="4"/>
      <c r="EGH11" s="4"/>
      <c r="EGK11" s="34"/>
      <c r="EGL11" s="34"/>
      <c r="EGN11" s="34"/>
      <c r="EGO11" s="72"/>
      <c r="EGP11" s="63"/>
      <c r="EGQ11" s="34"/>
      <c r="EGR11" s="64"/>
      <c r="EGS11" s="4"/>
      <c r="EGT11" s="65"/>
      <c r="EGU11" s="4"/>
      <c r="EGV11" s="4"/>
      <c r="EGW11" s="4"/>
      <c r="EGZ11" s="34"/>
      <c r="EHA11" s="34"/>
      <c r="EHC11" s="34"/>
      <c r="EHD11" s="72"/>
      <c r="EHE11" s="63"/>
      <c r="EHF11" s="34"/>
      <c r="EHG11" s="64"/>
      <c r="EHH11" s="4"/>
      <c r="EHI11" s="65"/>
      <c r="EHJ11" s="4"/>
      <c r="EHK11" s="4"/>
      <c r="EHL11" s="4"/>
      <c r="EHO11" s="34"/>
      <c r="EHP11" s="34"/>
      <c r="EHR11" s="34"/>
      <c r="EHS11" s="72"/>
      <c r="EHT11" s="63"/>
      <c r="EHU11" s="34"/>
      <c r="EHV11" s="64"/>
      <c r="EHW11" s="4"/>
      <c r="EHX11" s="65"/>
      <c r="EHY11" s="4"/>
      <c r="EHZ11" s="4"/>
      <c r="EIA11" s="4"/>
      <c r="EID11" s="34"/>
      <c r="EIE11" s="34"/>
      <c r="EIG11" s="34"/>
      <c r="EIH11" s="72"/>
      <c r="EII11" s="63"/>
      <c r="EIJ11" s="34"/>
      <c r="EIK11" s="64"/>
      <c r="EIL11" s="4"/>
      <c r="EIM11" s="65"/>
      <c r="EIN11" s="4"/>
      <c r="EIO11" s="4"/>
      <c r="EIP11" s="4"/>
      <c r="EIS11" s="34"/>
      <c r="EIT11" s="34"/>
      <c r="EIV11" s="34"/>
      <c r="EIW11" s="72"/>
      <c r="EIX11" s="63"/>
      <c r="EIY11" s="34"/>
      <c r="EIZ11" s="64"/>
      <c r="EJA11" s="4"/>
      <c r="EJB11" s="65"/>
      <c r="EJC11" s="4"/>
      <c r="EJD11" s="4"/>
      <c r="EJE11" s="4"/>
      <c r="EJH11" s="34"/>
      <c r="EJI11" s="34"/>
      <c r="EJK11" s="34"/>
      <c r="EJL11" s="72"/>
      <c r="EJM11" s="63"/>
      <c r="EJN11" s="34"/>
      <c r="EJO11" s="64"/>
      <c r="EJP11" s="4"/>
      <c r="EJQ11" s="65"/>
      <c r="EJR11" s="4"/>
      <c r="EJS11" s="4"/>
      <c r="EJT11" s="4"/>
      <c r="EJW11" s="34"/>
      <c r="EJX11" s="34"/>
      <c r="EJZ11" s="34"/>
      <c r="EKA11" s="72"/>
      <c r="EKB11" s="63"/>
      <c r="EKC11" s="34"/>
      <c r="EKD11" s="64"/>
      <c r="EKE11" s="4"/>
      <c r="EKF11" s="65"/>
      <c r="EKG11" s="4"/>
      <c r="EKH11" s="4"/>
      <c r="EKI11" s="4"/>
      <c r="EKL11" s="34"/>
      <c r="EKM11" s="34"/>
      <c r="EKO11" s="34"/>
      <c r="EKP11" s="72"/>
      <c r="EKQ11" s="63"/>
      <c r="EKR11" s="34"/>
      <c r="EKS11" s="64"/>
      <c r="EKT11" s="4"/>
      <c r="EKU11" s="65"/>
      <c r="EKV11" s="4"/>
      <c r="EKW11" s="4"/>
      <c r="EKX11" s="4"/>
      <c r="ELA11" s="34"/>
      <c r="ELB11" s="34"/>
      <c r="ELD11" s="34"/>
      <c r="ELE11" s="72"/>
      <c r="ELF11" s="63"/>
      <c r="ELG11" s="34"/>
      <c r="ELH11" s="64"/>
      <c r="ELI11" s="4"/>
      <c r="ELJ11" s="65"/>
      <c r="ELK11" s="4"/>
      <c r="ELL11" s="4"/>
      <c r="ELM11" s="4"/>
      <c r="ELP11" s="34"/>
      <c r="ELQ11" s="34"/>
      <c r="ELS11" s="34"/>
      <c r="ELT11" s="72"/>
      <c r="ELU11" s="63"/>
      <c r="ELV11" s="34"/>
      <c r="ELW11" s="64"/>
      <c r="ELX11" s="4"/>
      <c r="ELY11" s="65"/>
      <c r="ELZ11" s="4"/>
      <c r="EMA11" s="4"/>
      <c r="EMB11" s="4"/>
      <c r="EME11" s="34"/>
      <c r="EMF11" s="34"/>
      <c r="EMH11" s="34"/>
      <c r="EMI11" s="72"/>
      <c r="EMJ11" s="63"/>
      <c r="EMK11" s="34"/>
      <c r="EML11" s="64"/>
      <c r="EMM11" s="4"/>
      <c r="EMN11" s="65"/>
      <c r="EMO11" s="4"/>
      <c r="EMP11" s="4"/>
      <c r="EMQ11" s="4"/>
      <c r="EMT11" s="34"/>
      <c r="EMU11" s="34"/>
      <c r="EMW11" s="34"/>
      <c r="EMX11" s="72"/>
      <c r="EMY11" s="63"/>
      <c r="EMZ11" s="34"/>
      <c r="ENA11" s="64"/>
      <c r="ENB11" s="4"/>
      <c r="ENC11" s="65"/>
      <c r="END11" s="4"/>
      <c r="ENE11" s="4"/>
      <c r="ENF11" s="4"/>
      <c r="ENI11" s="34"/>
      <c r="ENJ11" s="34"/>
      <c r="ENL11" s="34"/>
      <c r="ENM11" s="72"/>
      <c r="ENN11" s="63"/>
      <c r="ENO11" s="34"/>
      <c r="ENP11" s="64"/>
      <c r="ENQ11" s="4"/>
      <c r="ENR11" s="65"/>
      <c r="ENS11" s="4"/>
      <c r="ENT11" s="4"/>
      <c r="ENU11" s="4"/>
      <c r="ENX11" s="34"/>
      <c r="ENY11" s="34"/>
      <c r="EOA11" s="34"/>
      <c r="EOB11" s="72"/>
      <c r="EOC11" s="63"/>
      <c r="EOD11" s="34"/>
      <c r="EOE11" s="64"/>
      <c r="EOF11" s="4"/>
      <c r="EOG11" s="65"/>
      <c r="EOH11" s="4"/>
      <c r="EOI11" s="4"/>
      <c r="EOJ11" s="4"/>
      <c r="EOM11" s="34"/>
      <c r="EON11" s="34"/>
      <c r="EOP11" s="34"/>
      <c r="EOQ11" s="72"/>
      <c r="EOR11" s="63"/>
      <c r="EOS11" s="34"/>
      <c r="EOT11" s="64"/>
      <c r="EOU11" s="4"/>
      <c r="EOV11" s="65"/>
      <c r="EOW11" s="4"/>
      <c r="EOX11" s="4"/>
      <c r="EOY11" s="4"/>
      <c r="EPB11" s="34"/>
      <c r="EPC11" s="34"/>
      <c r="EPE11" s="34"/>
      <c r="EPF11" s="72"/>
      <c r="EPG11" s="63"/>
      <c r="EPH11" s="34"/>
      <c r="EPI11" s="64"/>
      <c r="EPJ11" s="4"/>
      <c r="EPK11" s="65"/>
      <c r="EPL11" s="4"/>
      <c r="EPM11" s="4"/>
      <c r="EPN11" s="4"/>
      <c r="EPQ11" s="34"/>
      <c r="EPR11" s="34"/>
      <c r="EPT11" s="34"/>
      <c r="EPU11" s="72"/>
      <c r="EPV11" s="63"/>
      <c r="EPW11" s="34"/>
      <c r="EPX11" s="64"/>
      <c r="EPY11" s="4"/>
      <c r="EPZ11" s="65"/>
      <c r="EQA11" s="4"/>
      <c r="EQB11" s="4"/>
      <c r="EQC11" s="4"/>
      <c r="EQF11" s="34"/>
      <c r="EQG11" s="34"/>
      <c r="EQI11" s="34"/>
      <c r="EQJ11" s="72"/>
      <c r="EQK11" s="63"/>
      <c r="EQL11" s="34"/>
      <c r="EQM11" s="64"/>
      <c r="EQN11" s="4"/>
      <c r="EQO11" s="65"/>
      <c r="EQP11" s="4"/>
      <c r="EQQ11" s="4"/>
      <c r="EQR11" s="4"/>
      <c r="EQU11" s="34"/>
      <c r="EQV11" s="34"/>
      <c r="EQX11" s="34"/>
      <c r="EQY11" s="72"/>
      <c r="EQZ11" s="63"/>
      <c r="ERA11" s="34"/>
      <c r="ERB11" s="64"/>
      <c r="ERC11" s="4"/>
      <c r="ERD11" s="65"/>
      <c r="ERE11" s="4"/>
      <c r="ERF11" s="4"/>
      <c r="ERG11" s="4"/>
      <c r="ERJ11" s="34"/>
      <c r="ERK11" s="34"/>
      <c r="ERM11" s="34"/>
      <c r="ERN11" s="72"/>
      <c r="ERO11" s="63"/>
      <c r="ERP11" s="34"/>
      <c r="ERQ11" s="64"/>
      <c r="ERR11" s="4"/>
      <c r="ERS11" s="65"/>
      <c r="ERT11" s="4"/>
      <c r="ERU11" s="4"/>
      <c r="ERV11" s="4"/>
      <c r="ERY11" s="34"/>
      <c r="ERZ11" s="34"/>
      <c r="ESB11" s="34"/>
      <c r="ESC11" s="72"/>
      <c r="ESD11" s="63"/>
      <c r="ESE11" s="34"/>
      <c r="ESF11" s="64"/>
      <c r="ESG11" s="4"/>
      <c r="ESH11" s="65"/>
      <c r="ESI11" s="4"/>
      <c r="ESJ11" s="4"/>
      <c r="ESK11" s="4"/>
      <c r="ESN11" s="34"/>
      <c r="ESO11" s="34"/>
      <c r="ESQ11" s="34"/>
      <c r="ESR11" s="72"/>
      <c r="ESS11" s="63"/>
      <c r="EST11" s="34"/>
      <c r="ESU11" s="64"/>
      <c r="ESV11" s="4"/>
      <c r="ESW11" s="65"/>
      <c r="ESX11" s="4"/>
      <c r="ESY11" s="4"/>
      <c r="ESZ11" s="4"/>
      <c r="ETC11" s="34"/>
      <c r="ETD11" s="34"/>
      <c r="ETF11" s="34"/>
      <c r="ETG11" s="72"/>
      <c r="ETH11" s="63"/>
      <c r="ETI11" s="34"/>
      <c r="ETJ11" s="64"/>
      <c r="ETK11" s="4"/>
      <c r="ETL11" s="65"/>
      <c r="ETM11" s="4"/>
      <c r="ETN11" s="4"/>
      <c r="ETO11" s="4"/>
      <c r="ETR11" s="34"/>
      <c r="ETS11" s="34"/>
      <c r="ETU11" s="34"/>
      <c r="ETV11" s="72"/>
      <c r="ETW11" s="63"/>
      <c r="ETX11" s="34"/>
      <c r="ETY11" s="64"/>
      <c r="ETZ11" s="4"/>
      <c r="EUA11" s="65"/>
      <c r="EUB11" s="4"/>
      <c r="EUC11" s="4"/>
      <c r="EUD11" s="4"/>
      <c r="EUG11" s="34"/>
      <c r="EUH11" s="34"/>
      <c r="EUJ11" s="34"/>
      <c r="EUK11" s="72"/>
      <c r="EUL11" s="63"/>
      <c r="EUM11" s="34"/>
      <c r="EUN11" s="64"/>
      <c r="EUO11" s="4"/>
      <c r="EUP11" s="65"/>
      <c r="EUQ11" s="4"/>
      <c r="EUR11" s="4"/>
      <c r="EUS11" s="4"/>
      <c r="EUV11" s="34"/>
      <c r="EUW11" s="34"/>
      <c r="EUY11" s="34"/>
      <c r="EUZ11" s="72"/>
      <c r="EVA11" s="63"/>
      <c r="EVB11" s="34"/>
      <c r="EVC11" s="64"/>
      <c r="EVD11" s="4"/>
      <c r="EVE11" s="65"/>
      <c r="EVF11" s="4"/>
      <c r="EVG11" s="4"/>
      <c r="EVH11" s="4"/>
      <c r="EVK11" s="34"/>
      <c r="EVL11" s="34"/>
      <c r="EVN11" s="34"/>
      <c r="EVO11" s="72"/>
      <c r="EVP11" s="63"/>
      <c r="EVQ11" s="34"/>
      <c r="EVR11" s="64"/>
      <c r="EVS11" s="4"/>
      <c r="EVT11" s="65"/>
      <c r="EVU11" s="4"/>
      <c r="EVV11" s="4"/>
      <c r="EVW11" s="4"/>
      <c r="EVZ11" s="34"/>
      <c r="EWA11" s="34"/>
      <c r="EWC11" s="34"/>
      <c r="EWD11" s="72"/>
      <c r="EWE11" s="63"/>
      <c r="EWF11" s="34"/>
      <c r="EWG11" s="64"/>
      <c r="EWH11" s="4"/>
      <c r="EWI11" s="65"/>
      <c r="EWJ11" s="4"/>
      <c r="EWK11" s="4"/>
      <c r="EWL11" s="4"/>
      <c r="EWO11" s="34"/>
      <c r="EWP11" s="34"/>
      <c r="EWR11" s="34"/>
      <c r="EWS11" s="72"/>
      <c r="EWT11" s="63"/>
      <c r="EWU11" s="34"/>
      <c r="EWV11" s="64"/>
      <c r="EWW11" s="4"/>
      <c r="EWX11" s="65"/>
      <c r="EWY11" s="4"/>
      <c r="EWZ11" s="4"/>
      <c r="EXA11" s="4"/>
      <c r="EXD11" s="34"/>
      <c r="EXE11" s="34"/>
      <c r="EXG11" s="34"/>
      <c r="EXH11" s="72"/>
      <c r="EXI11" s="63"/>
      <c r="EXJ11" s="34"/>
      <c r="EXK11" s="64"/>
      <c r="EXL11" s="4"/>
      <c r="EXM11" s="65"/>
      <c r="EXN11" s="4"/>
      <c r="EXO11" s="4"/>
      <c r="EXP11" s="4"/>
      <c r="EXS11" s="34"/>
      <c r="EXT11" s="34"/>
      <c r="EXV11" s="34"/>
      <c r="EXW11" s="72"/>
      <c r="EXX11" s="63"/>
      <c r="EXY11" s="34"/>
      <c r="EXZ11" s="64"/>
      <c r="EYA11" s="4"/>
      <c r="EYB11" s="65"/>
      <c r="EYC11" s="4"/>
      <c r="EYD11" s="4"/>
      <c r="EYE11" s="4"/>
      <c r="EYH11" s="34"/>
      <c r="EYI11" s="34"/>
      <c r="EYK11" s="34"/>
      <c r="EYL11" s="72"/>
      <c r="EYM11" s="63"/>
      <c r="EYN11" s="34"/>
      <c r="EYO11" s="64"/>
      <c r="EYP11" s="4"/>
      <c r="EYQ11" s="65"/>
      <c r="EYR11" s="4"/>
      <c r="EYS11" s="4"/>
      <c r="EYT11" s="4"/>
      <c r="EYW11" s="34"/>
      <c r="EYX11" s="34"/>
      <c r="EYZ11" s="34"/>
      <c r="EZA11" s="72"/>
      <c r="EZB11" s="63"/>
      <c r="EZC11" s="34"/>
      <c r="EZD11" s="64"/>
      <c r="EZE11" s="4"/>
      <c r="EZF11" s="65"/>
      <c r="EZG11" s="4"/>
      <c r="EZH11" s="4"/>
      <c r="EZI11" s="4"/>
      <c r="EZL11" s="34"/>
      <c r="EZM11" s="34"/>
      <c r="EZO11" s="34"/>
      <c r="EZP11" s="72"/>
      <c r="EZQ11" s="63"/>
      <c r="EZR11" s="34"/>
      <c r="EZS11" s="64"/>
      <c r="EZT11" s="4"/>
      <c r="EZU11" s="65"/>
      <c r="EZV11" s="4"/>
      <c r="EZW11" s="4"/>
      <c r="EZX11" s="4"/>
      <c r="FAA11" s="34"/>
      <c r="FAB11" s="34"/>
      <c r="FAD11" s="34"/>
      <c r="FAE11" s="72"/>
      <c r="FAF11" s="63"/>
      <c r="FAG11" s="34"/>
      <c r="FAH11" s="64"/>
      <c r="FAI11" s="4"/>
      <c r="FAJ11" s="65"/>
      <c r="FAK11" s="4"/>
      <c r="FAL11" s="4"/>
      <c r="FAM11" s="4"/>
      <c r="FAP11" s="34"/>
      <c r="FAQ11" s="34"/>
      <c r="FAS11" s="34"/>
      <c r="FAT11" s="72"/>
      <c r="FAU11" s="63"/>
      <c r="FAV11" s="34"/>
      <c r="FAW11" s="64"/>
      <c r="FAX11" s="4"/>
      <c r="FAY11" s="65"/>
      <c r="FAZ11" s="4"/>
      <c r="FBA11" s="4"/>
      <c r="FBB11" s="4"/>
      <c r="FBE11" s="34"/>
      <c r="FBF11" s="34"/>
      <c r="FBH11" s="34"/>
      <c r="FBI11" s="72"/>
      <c r="FBJ11" s="63"/>
      <c r="FBK11" s="34"/>
      <c r="FBL11" s="64"/>
      <c r="FBM11" s="4"/>
      <c r="FBN11" s="65"/>
      <c r="FBO11" s="4"/>
      <c r="FBP11" s="4"/>
      <c r="FBQ11" s="4"/>
      <c r="FBT11" s="34"/>
      <c r="FBU11" s="34"/>
      <c r="FBW11" s="34"/>
      <c r="FBX11" s="72"/>
      <c r="FBY11" s="63"/>
      <c r="FBZ11" s="34"/>
      <c r="FCA11" s="64"/>
      <c r="FCB11" s="4"/>
      <c r="FCC11" s="65"/>
      <c r="FCD11" s="4"/>
      <c r="FCE11" s="4"/>
      <c r="FCF11" s="4"/>
      <c r="FCI11" s="34"/>
      <c r="FCJ11" s="34"/>
      <c r="FCL11" s="34"/>
      <c r="FCM11" s="72"/>
      <c r="FCN11" s="63"/>
      <c r="FCO11" s="34"/>
      <c r="FCP11" s="64"/>
      <c r="FCQ11" s="4"/>
      <c r="FCR11" s="65"/>
      <c r="FCS11" s="4"/>
      <c r="FCT11" s="4"/>
      <c r="FCU11" s="4"/>
      <c r="FCX11" s="34"/>
      <c r="FCY11" s="34"/>
      <c r="FDA11" s="34"/>
      <c r="FDB11" s="72"/>
      <c r="FDC11" s="63"/>
      <c r="FDD11" s="34"/>
      <c r="FDE11" s="64"/>
      <c r="FDF11" s="4"/>
      <c r="FDG11" s="65"/>
      <c r="FDH11" s="4"/>
      <c r="FDI11" s="4"/>
      <c r="FDJ11" s="4"/>
      <c r="FDM11" s="34"/>
      <c r="FDN11" s="34"/>
      <c r="FDP11" s="34"/>
      <c r="FDQ11" s="72"/>
      <c r="FDR11" s="63"/>
      <c r="FDS11" s="34"/>
      <c r="FDT11" s="64"/>
      <c r="FDU11" s="4"/>
      <c r="FDV11" s="65"/>
      <c r="FDW11" s="4"/>
      <c r="FDX11" s="4"/>
      <c r="FDY11" s="4"/>
      <c r="FEB11" s="34"/>
      <c r="FEC11" s="34"/>
      <c r="FEE11" s="34"/>
      <c r="FEF11" s="72"/>
      <c r="FEG11" s="63"/>
      <c r="FEH11" s="34"/>
      <c r="FEI11" s="64"/>
      <c r="FEJ11" s="4"/>
      <c r="FEK11" s="65"/>
      <c r="FEL11" s="4"/>
      <c r="FEM11" s="4"/>
      <c r="FEN11" s="4"/>
      <c r="FEQ11" s="34"/>
      <c r="FER11" s="34"/>
      <c r="FET11" s="34"/>
      <c r="FEU11" s="72"/>
      <c r="FEV11" s="63"/>
      <c r="FEW11" s="34"/>
      <c r="FEX11" s="64"/>
      <c r="FEY11" s="4"/>
      <c r="FEZ11" s="65"/>
      <c r="FFA11" s="4"/>
      <c r="FFB11" s="4"/>
      <c r="FFC11" s="4"/>
      <c r="FFF11" s="34"/>
      <c r="FFG11" s="34"/>
      <c r="FFI11" s="34"/>
      <c r="FFJ11" s="72"/>
      <c r="FFK11" s="63"/>
      <c r="FFL11" s="34"/>
      <c r="FFM11" s="64"/>
      <c r="FFN11" s="4"/>
      <c r="FFO11" s="65"/>
      <c r="FFP11" s="4"/>
      <c r="FFQ11" s="4"/>
      <c r="FFR11" s="4"/>
      <c r="FFU11" s="34"/>
      <c r="FFV11" s="34"/>
      <c r="FFX11" s="34"/>
      <c r="FFY11" s="72"/>
      <c r="FFZ11" s="63"/>
      <c r="FGA11" s="34"/>
      <c r="FGB11" s="64"/>
      <c r="FGC11" s="4"/>
      <c r="FGD11" s="65"/>
      <c r="FGE11" s="4"/>
      <c r="FGF11" s="4"/>
      <c r="FGG11" s="4"/>
      <c r="FGJ11" s="34"/>
      <c r="FGK11" s="34"/>
      <c r="FGM11" s="34"/>
      <c r="FGN11" s="72"/>
      <c r="FGO11" s="63"/>
      <c r="FGP11" s="34"/>
      <c r="FGQ11" s="64"/>
      <c r="FGR11" s="4"/>
      <c r="FGS11" s="65"/>
      <c r="FGT11" s="4"/>
      <c r="FGU11" s="4"/>
      <c r="FGV11" s="4"/>
      <c r="FGY11" s="34"/>
      <c r="FGZ11" s="34"/>
      <c r="FHB11" s="34"/>
      <c r="FHC11" s="72"/>
      <c r="FHD11" s="63"/>
      <c r="FHE11" s="34"/>
      <c r="FHF11" s="64"/>
      <c r="FHG11" s="4"/>
      <c r="FHH11" s="65"/>
      <c r="FHI11" s="4"/>
      <c r="FHJ11" s="4"/>
      <c r="FHK11" s="4"/>
      <c r="FHN11" s="34"/>
      <c r="FHO11" s="34"/>
      <c r="FHQ11" s="34"/>
      <c r="FHR11" s="72"/>
      <c r="FHS11" s="63"/>
      <c r="FHT11" s="34"/>
      <c r="FHU11" s="64"/>
      <c r="FHV11" s="4"/>
      <c r="FHW11" s="65"/>
      <c r="FHX11" s="4"/>
      <c r="FHY11" s="4"/>
      <c r="FHZ11" s="4"/>
      <c r="FIC11" s="34"/>
      <c r="FID11" s="34"/>
      <c r="FIF11" s="34"/>
      <c r="FIG11" s="72"/>
      <c r="FIH11" s="63"/>
      <c r="FII11" s="34"/>
      <c r="FIJ11" s="64"/>
      <c r="FIK11" s="4"/>
      <c r="FIL11" s="65"/>
      <c r="FIM11" s="4"/>
      <c r="FIN11" s="4"/>
      <c r="FIO11" s="4"/>
      <c r="FIR11" s="34"/>
      <c r="FIS11" s="34"/>
      <c r="FIU11" s="34"/>
      <c r="FIV11" s="72"/>
      <c r="FIW11" s="63"/>
      <c r="FIX11" s="34"/>
      <c r="FIY11" s="64"/>
      <c r="FIZ11" s="4"/>
      <c r="FJA11" s="65"/>
      <c r="FJB11" s="4"/>
      <c r="FJC11" s="4"/>
      <c r="FJD11" s="4"/>
      <c r="FJG11" s="34"/>
      <c r="FJH11" s="34"/>
      <c r="FJJ11" s="34"/>
      <c r="FJK11" s="72"/>
      <c r="FJL11" s="63"/>
      <c r="FJM11" s="34"/>
      <c r="FJN11" s="64"/>
      <c r="FJO11" s="4"/>
      <c r="FJP11" s="65"/>
      <c r="FJQ11" s="4"/>
      <c r="FJR11" s="4"/>
      <c r="FJS11" s="4"/>
      <c r="FJV11" s="34"/>
      <c r="FJW11" s="34"/>
      <c r="FJY11" s="34"/>
      <c r="FJZ11" s="72"/>
      <c r="FKA11" s="63"/>
      <c r="FKB11" s="34"/>
      <c r="FKC11" s="64"/>
      <c r="FKD11" s="4"/>
      <c r="FKE11" s="65"/>
      <c r="FKF11" s="4"/>
      <c r="FKG11" s="4"/>
      <c r="FKH11" s="4"/>
      <c r="FKK11" s="34"/>
      <c r="FKL11" s="34"/>
      <c r="FKN11" s="34"/>
      <c r="FKO11" s="72"/>
      <c r="FKP11" s="63"/>
      <c r="FKQ11" s="34"/>
      <c r="FKR11" s="64"/>
      <c r="FKS11" s="4"/>
      <c r="FKT11" s="65"/>
      <c r="FKU11" s="4"/>
      <c r="FKV11" s="4"/>
      <c r="FKW11" s="4"/>
      <c r="FKZ11" s="34"/>
      <c r="FLA11" s="34"/>
      <c r="FLC11" s="34"/>
      <c r="FLD11" s="72"/>
      <c r="FLE11" s="63"/>
      <c r="FLF11" s="34"/>
      <c r="FLG11" s="64"/>
      <c r="FLH11" s="4"/>
      <c r="FLI11" s="65"/>
      <c r="FLJ11" s="4"/>
      <c r="FLK11" s="4"/>
      <c r="FLL11" s="4"/>
      <c r="FLO11" s="34"/>
      <c r="FLP11" s="34"/>
      <c r="FLR11" s="34"/>
      <c r="FLS11" s="72"/>
      <c r="FLT11" s="63"/>
      <c r="FLU11" s="34"/>
      <c r="FLV11" s="64"/>
      <c r="FLW11" s="4"/>
      <c r="FLX11" s="65"/>
      <c r="FLY11" s="4"/>
      <c r="FLZ11" s="4"/>
      <c r="FMA11" s="4"/>
      <c r="FMD11" s="34"/>
      <c r="FME11" s="34"/>
      <c r="FMG11" s="34"/>
      <c r="FMH11" s="72"/>
      <c r="FMI11" s="63"/>
      <c r="FMJ11" s="34"/>
      <c r="FMK11" s="64"/>
      <c r="FML11" s="4"/>
      <c r="FMM11" s="65"/>
      <c r="FMN11" s="4"/>
      <c r="FMO11" s="4"/>
      <c r="FMP11" s="4"/>
      <c r="FMS11" s="34"/>
      <c r="FMT11" s="34"/>
      <c r="FMV11" s="34"/>
      <c r="FMW11" s="72"/>
      <c r="FMX11" s="63"/>
      <c r="FMY11" s="34"/>
      <c r="FMZ11" s="64"/>
      <c r="FNA11" s="4"/>
      <c r="FNB11" s="65"/>
      <c r="FNC11" s="4"/>
      <c r="FND11" s="4"/>
      <c r="FNE11" s="4"/>
      <c r="FNH11" s="34"/>
      <c r="FNI11" s="34"/>
      <c r="FNK11" s="34"/>
      <c r="FNL11" s="72"/>
      <c r="FNM11" s="63"/>
      <c r="FNN11" s="34"/>
      <c r="FNO11" s="64"/>
      <c r="FNP11" s="4"/>
      <c r="FNQ11" s="65"/>
      <c r="FNR11" s="4"/>
      <c r="FNS11" s="4"/>
      <c r="FNT11" s="4"/>
      <c r="FNW11" s="34"/>
      <c r="FNX11" s="34"/>
      <c r="FNZ11" s="34"/>
      <c r="FOA11" s="72"/>
      <c r="FOB11" s="63"/>
      <c r="FOC11" s="34"/>
      <c r="FOD11" s="64"/>
      <c r="FOE11" s="4"/>
      <c r="FOF11" s="65"/>
      <c r="FOG11" s="4"/>
      <c r="FOH11" s="4"/>
      <c r="FOI11" s="4"/>
      <c r="FOL11" s="34"/>
      <c r="FOM11" s="34"/>
      <c r="FOO11" s="34"/>
      <c r="FOP11" s="72"/>
      <c r="FOQ11" s="63"/>
      <c r="FOR11" s="34"/>
      <c r="FOS11" s="64"/>
      <c r="FOT11" s="4"/>
      <c r="FOU11" s="65"/>
      <c r="FOV11" s="4"/>
      <c r="FOW11" s="4"/>
      <c r="FOX11" s="4"/>
      <c r="FPA11" s="34"/>
      <c r="FPB11" s="34"/>
      <c r="FPD11" s="34"/>
      <c r="FPE11" s="72"/>
      <c r="FPF11" s="63"/>
      <c r="FPG11" s="34"/>
      <c r="FPH11" s="64"/>
      <c r="FPI11" s="4"/>
      <c r="FPJ11" s="65"/>
      <c r="FPK11" s="4"/>
      <c r="FPL11" s="4"/>
      <c r="FPM11" s="4"/>
      <c r="FPP11" s="34"/>
      <c r="FPQ11" s="34"/>
      <c r="FPS11" s="34"/>
      <c r="FPT11" s="72"/>
      <c r="FPU11" s="63"/>
      <c r="FPV11" s="34"/>
      <c r="FPW11" s="64"/>
      <c r="FPX11" s="4"/>
      <c r="FPY11" s="65"/>
      <c r="FPZ11" s="4"/>
      <c r="FQA11" s="4"/>
      <c r="FQB11" s="4"/>
      <c r="FQE11" s="34"/>
      <c r="FQF11" s="34"/>
      <c r="FQH11" s="34"/>
      <c r="FQI11" s="72"/>
      <c r="FQJ11" s="63"/>
      <c r="FQK11" s="34"/>
      <c r="FQL11" s="64"/>
      <c r="FQM11" s="4"/>
      <c r="FQN11" s="65"/>
      <c r="FQO11" s="4"/>
      <c r="FQP11" s="4"/>
      <c r="FQQ11" s="4"/>
      <c r="FQT11" s="34"/>
      <c r="FQU11" s="34"/>
      <c r="FQW11" s="34"/>
      <c r="FQX11" s="72"/>
      <c r="FQY11" s="63"/>
      <c r="FQZ11" s="34"/>
      <c r="FRA11" s="64"/>
      <c r="FRB11" s="4"/>
      <c r="FRC11" s="65"/>
      <c r="FRD11" s="4"/>
      <c r="FRE11" s="4"/>
      <c r="FRF11" s="4"/>
      <c r="FRI11" s="34"/>
      <c r="FRJ11" s="34"/>
      <c r="FRL11" s="34"/>
      <c r="FRM11" s="72"/>
      <c r="FRN11" s="63"/>
      <c r="FRO11" s="34"/>
      <c r="FRP11" s="64"/>
      <c r="FRQ11" s="4"/>
      <c r="FRR11" s="65"/>
      <c r="FRS11" s="4"/>
      <c r="FRT11" s="4"/>
      <c r="FRU11" s="4"/>
      <c r="FRX11" s="34"/>
      <c r="FRY11" s="34"/>
      <c r="FSA11" s="34"/>
      <c r="FSB11" s="72"/>
      <c r="FSC11" s="63"/>
      <c r="FSD11" s="34"/>
      <c r="FSE11" s="64"/>
      <c r="FSF11" s="4"/>
      <c r="FSG11" s="65"/>
      <c r="FSH11" s="4"/>
      <c r="FSI11" s="4"/>
      <c r="FSJ11" s="4"/>
      <c r="FSM11" s="34"/>
      <c r="FSN11" s="34"/>
      <c r="FSP11" s="34"/>
      <c r="FSQ11" s="72"/>
      <c r="FSR11" s="63"/>
      <c r="FSS11" s="34"/>
      <c r="FST11" s="64"/>
      <c r="FSU11" s="4"/>
      <c r="FSV11" s="65"/>
      <c r="FSW11" s="4"/>
      <c r="FSX11" s="4"/>
      <c r="FSY11" s="4"/>
      <c r="FTB11" s="34"/>
      <c r="FTC11" s="34"/>
      <c r="FTE11" s="34"/>
      <c r="FTF11" s="72"/>
      <c r="FTG11" s="63"/>
      <c r="FTH11" s="34"/>
      <c r="FTI11" s="64"/>
      <c r="FTJ11" s="4"/>
      <c r="FTK11" s="65"/>
      <c r="FTL11" s="4"/>
      <c r="FTM11" s="4"/>
      <c r="FTN11" s="4"/>
      <c r="FTQ11" s="34"/>
      <c r="FTR11" s="34"/>
      <c r="FTT11" s="34"/>
      <c r="FTU11" s="72"/>
      <c r="FTV11" s="63"/>
      <c r="FTW11" s="34"/>
      <c r="FTX11" s="64"/>
      <c r="FTY11" s="4"/>
      <c r="FTZ11" s="65"/>
      <c r="FUA11" s="4"/>
      <c r="FUB11" s="4"/>
      <c r="FUC11" s="4"/>
      <c r="FUF11" s="34"/>
      <c r="FUG11" s="34"/>
      <c r="FUI11" s="34"/>
      <c r="FUJ11" s="72"/>
      <c r="FUK11" s="63"/>
      <c r="FUL11" s="34"/>
      <c r="FUM11" s="64"/>
      <c r="FUN11" s="4"/>
      <c r="FUO11" s="65"/>
      <c r="FUP11" s="4"/>
      <c r="FUQ11" s="4"/>
      <c r="FUR11" s="4"/>
      <c r="FUU11" s="34"/>
      <c r="FUV11" s="34"/>
      <c r="FUX11" s="34"/>
      <c r="FUY11" s="72"/>
      <c r="FUZ11" s="63"/>
      <c r="FVA11" s="34"/>
      <c r="FVB11" s="64"/>
      <c r="FVC11" s="4"/>
      <c r="FVD11" s="65"/>
      <c r="FVE11" s="4"/>
      <c r="FVF11" s="4"/>
      <c r="FVG11" s="4"/>
      <c r="FVJ11" s="34"/>
      <c r="FVK11" s="34"/>
      <c r="FVM11" s="34"/>
      <c r="FVN11" s="72"/>
      <c r="FVO11" s="63"/>
      <c r="FVP11" s="34"/>
      <c r="FVQ11" s="64"/>
      <c r="FVR11" s="4"/>
      <c r="FVS11" s="65"/>
      <c r="FVT11" s="4"/>
      <c r="FVU11" s="4"/>
      <c r="FVV11" s="4"/>
      <c r="FVY11" s="34"/>
      <c r="FVZ11" s="34"/>
      <c r="FWB11" s="34"/>
      <c r="FWC11" s="72"/>
      <c r="FWD11" s="63"/>
      <c r="FWE11" s="34"/>
      <c r="FWF11" s="64"/>
      <c r="FWG11" s="4"/>
      <c r="FWH11" s="65"/>
      <c r="FWI11" s="4"/>
      <c r="FWJ11" s="4"/>
      <c r="FWK11" s="4"/>
      <c r="FWN11" s="34"/>
      <c r="FWO11" s="34"/>
      <c r="FWQ11" s="34"/>
      <c r="FWR11" s="72"/>
      <c r="FWS11" s="63"/>
      <c r="FWT11" s="34"/>
      <c r="FWU11" s="64"/>
      <c r="FWV11" s="4"/>
      <c r="FWW11" s="65"/>
      <c r="FWX11" s="4"/>
      <c r="FWY11" s="4"/>
      <c r="FWZ11" s="4"/>
      <c r="FXC11" s="34"/>
      <c r="FXD11" s="34"/>
      <c r="FXF11" s="34"/>
      <c r="FXG11" s="72"/>
      <c r="FXH11" s="63"/>
      <c r="FXI11" s="34"/>
      <c r="FXJ11" s="64"/>
      <c r="FXK11" s="4"/>
      <c r="FXL11" s="65"/>
      <c r="FXM11" s="4"/>
      <c r="FXN11" s="4"/>
      <c r="FXO11" s="4"/>
      <c r="FXR11" s="34"/>
      <c r="FXS11" s="34"/>
      <c r="FXU11" s="34"/>
      <c r="FXV11" s="72"/>
      <c r="FXW11" s="63"/>
      <c r="FXX11" s="34"/>
      <c r="FXY11" s="64"/>
      <c r="FXZ11" s="4"/>
      <c r="FYA11" s="65"/>
      <c r="FYB11" s="4"/>
      <c r="FYC11" s="4"/>
      <c r="FYD11" s="4"/>
      <c r="FYG11" s="34"/>
      <c r="FYH11" s="34"/>
      <c r="FYJ11" s="34"/>
      <c r="FYK11" s="72"/>
      <c r="FYL11" s="63"/>
      <c r="FYM11" s="34"/>
      <c r="FYN11" s="64"/>
      <c r="FYO11" s="4"/>
      <c r="FYP11" s="65"/>
      <c r="FYQ11" s="4"/>
      <c r="FYR11" s="4"/>
      <c r="FYS11" s="4"/>
      <c r="FYV11" s="34"/>
      <c r="FYW11" s="34"/>
      <c r="FYY11" s="34"/>
      <c r="FYZ11" s="72"/>
      <c r="FZA11" s="63"/>
      <c r="FZB11" s="34"/>
      <c r="FZC11" s="64"/>
      <c r="FZD11" s="4"/>
      <c r="FZE11" s="65"/>
      <c r="FZF11" s="4"/>
      <c r="FZG11" s="4"/>
      <c r="FZH11" s="4"/>
      <c r="FZK11" s="34"/>
      <c r="FZL11" s="34"/>
      <c r="FZN11" s="34"/>
      <c r="FZO11" s="72"/>
      <c r="FZP11" s="63"/>
      <c r="FZQ11" s="34"/>
      <c r="FZR11" s="64"/>
      <c r="FZS11" s="4"/>
      <c r="FZT11" s="65"/>
      <c r="FZU11" s="4"/>
      <c r="FZV11" s="4"/>
      <c r="FZW11" s="4"/>
      <c r="FZZ11" s="34"/>
      <c r="GAA11" s="34"/>
      <c r="GAC11" s="34"/>
      <c r="GAD11" s="72"/>
      <c r="GAE11" s="63"/>
      <c r="GAF11" s="34"/>
      <c r="GAG11" s="64"/>
      <c r="GAH11" s="4"/>
      <c r="GAI11" s="65"/>
      <c r="GAJ11" s="4"/>
      <c r="GAK11" s="4"/>
      <c r="GAL11" s="4"/>
      <c r="GAO11" s="34"/>
      <c r="GAP11" s="34"/>
      <c r="GAR11" s="34"/>
      <c r="GAS11" s="72"/>
      <c r="GAT11" s="63"/>
      <c r="GAU11" s="34"/>
      <c r="GAV11" s="64"/>
      <c r="GAW11" s="4"/>
      <c r="GAX11" s="65"/>
      <c r="GAY11" s="4"/>
      <c r="GAZ11" s="4"/>
      <c r="GBA11" s="4"/>
      <c r="GBD11" s="34"/>
      <c r="GBE11" s="34"/>
      <c r="GBG11" s="34"/>
      <c r="GBH11" s="72"/>
      <c r="GBI11" s="63"/>
      <c r="GBJ11" s="34"/>
      <c r="GBK11" s="64"/>
      <c r="GBL11" s="4"/>
      <c r="GBM11" s="65"/>
      <c r="GBN11" s="4"/>
      <c r="GBO11" s="4"/>
      <c r="GBP11" s="4"/>
      <c r="GBS11" s="34"/>
      <c r="GBT11" s="34"/>
      <c r="GBV11" s="34"/>
      <c r="GBW11" s="72"/>
      <c r="GBX11" s="63"/>
      <c r="GBY11" s="34"/>
      <c r="GBZ11" s="64"/>
      <c r="GCA11" s="4"/>
      <c r="GCB11" s="65"/>
      <c r="GCC11" s="4"/>
      <c r="GCD11" s="4"/>
      <c r="GCE11" s="4"/>
      <c r="GCH11" s="34"/>
      <c r="GCI11" s="34"/>
      <c r="GCK11" s="34"/>
      <c r="GCL11" s="72"/>
      <c r="GCM11" s="63"/>
      <c r="GCN11" s="34"/>
      <c r="GCO11" s="64"/>
      <c r="GCP11" s="4"/>
      <c r="GCQ11" s="65"/>
      <c r="GCR11" s="4"/>
      <c r="GCS11" s="4"/>
      <c r="GCT11" s="4"/>
      <c r="GCW11" s="34"/>
      <c r="GCX11" s="34"/>
      <c r="GCZ11" s="34"/>
      <c r="GDA11" s="72"/>
      <c r="GDB11" s="63"/>
      <c r="GDC11" s="34"/>
      <c r="GDD11" s="64"/>
      <c r="GDE11" s="4"/>
      <c r="GDF11" s="65"/>
      <c r="GDG11" s="4"/>
      <c r="GDH11" s="4"/>
      <c r="GDI11" s="4"/>
      <c r="GDL11" s="34"/>
      <c r="GDM11" s="34"/>
      <c r="GDO11" s="34"/>
      <c r="GDP11" s="72"/>
      <c r="GDQ11" s="63"/>
      <c r="GDR11" s="34"/>
      <c r="GDS11" s="64"/>
      <c r="GDT11" s="4"/>
      <c r="GDU11" s="65"/>
      <c r="GDV11" s="4"/>
      <c r="GDW11" s="4"/>
      <c r="GDX11" s="4"/>
      <c r="GEA11" s="34"/>
      <c r="GEB11" s="34"/>
      <c r="GED11" s="34"/>
      <c r="GEE11" s="72"/>
      <c r="GEF11" s="63"/>
      <c r="GEG11" s="34"/>
      <c r="GEH11" s="64"/>
      <c r="GEI11" s="4"/>
      <c r="GEJ11" s="65"/>
      <c r="GEK11" s="4"/>
      <c r="GEL11" s="4"/>
      <c r="GEM11" s="4"/>
      <c r="GEP11" s="34"/>
      <c r="GEQ11" s="34"/>
      <c r="GES11" s="34"/>
      <c r="GET11" s="72"/>
      <c r="GEU11" s="63"/>
      <c r="GEV11" s="34"/>
      <c r="GEW11" s="64"/>
      <c r="GEX11" s="4"/>
      <c r="GEY11" s="65"/>
      <c r="GEZ11" s="4"/>
      <c r="GFA11" s="4"/>
      <c r="GFB11" s="4"/>
      <c r="GFE11" s="34"/>
      <c r="GFF11" s="34"/>
      <c r="GFH11" s="34"/>
      <c r="GFI11" s="72"/>
      <c r="GFJ11" s="63"/>
      <c r="GFK11" s="34"/>
      <c r="GFL11" s="64"/>
      <c r="GFM11" s="4"/>
      <c r="GFN11" s="65"/>
      <c r="GFO11" s="4"/>
      <c r="GFP11" s="4"/>
      <c r="GFQ11" s="4"/>
      <c r="GFT11" s="34"/>
      <c r="GFU11" s="34"/>
      <c r="GFW11" s="34"/>
      <c r="GFX11" s="72"/>
      <c r="GFY11" s="63"/>
      <c r="GFZ11" s="34"/>
      <c r="GGA11" s="64"/>
      <c r="GGB11" s="4"/>
      <c r="GGC11" s="65"/>
      <c r="GGD11" s="4"/>
      <c r="GGE11" s="4"/>
      <c r="GGF11" s="4"/>
      <c r="GGI11" s="34"/>
      <c r="GGJ11" s="34"/>
      <c r="GGL11" s="34"/>
      <c r="GGM11" s="72"/>
      <c r="GGN11" s="63"/>
      <c r="GGO11" s="34"/>
      <c r="GGP11" s="64"/>
      <c r="GGQ11" s="4"/>
      <c r="GGR11" s="65"/>
      <c r="GGS11" s="4"/>
      <c r="GGT11" s="4"/>
      <c r="GGU11" s="4"/>
      <c r="GGX11" s="34"/>
      <c r="GGY11" s="34"/>
      <c r="GHA11" s="34"/>
      <c r="GHB11" s="72"/>
      <c r="GHC11" s="63"/>
      <c r="GHD11" s="34"/>
      <c r="GHE11" s="64"/>
      <c r="GHF11" s="4"/>
      <c r="GHG11" s="65"/>
      <c r="GHH11" s="4"/>
      <c r="GHI11" s="4"/>
      <c r="GHJ11" s="4"/>
      <c r="GHM11" s="34"/>
      <c r="GHN11" s="34"/>
      <c r="GHP11" s="34"/>
      <c r="GHQ11" s="72"/>
      <c r="GHR11" s="63"/>
      <c r="GHS11" s="34"/>
      <c r="GHT11" s="64"/>
      <c r="GHU11" s="4"/>
      <c r="GHV11" s="65"/>
      <c r="GHW11" s="4"/>
      <c r="GHX11" s="4"/>
      <c r="GHY11" s="4"/>
      <c r="GIB11" s="34"/>
      <c r="GIC11" s="34"/>
      <c r="GIE11" s="34"/>
      <c r="GIF11" s="72"/>
      <c r="GIG11" s="63"/>
      <c r="GIH11" s="34"/>
      <c r="GII11" s="64"/>
      <c r="GIJ11" s="4"/>
      <c r="GIK11" s="65"/>
      <c r="GIL11" s="4"/>
      <c r="GIM11" s="4"/>
      <c r="GIN11" s="4"/>
      <c r="GIQ11" s="34"/>
      <c r="GIR11" s="34"/>
      <c r="GIT11" s="34"/>
      <c r="GIU11" s="72"/>
      <c r="GIV11" s="63"/>
      <c r="GIW11" s="34"/>
      <c r="GIX11" s="64"/>
      <c r="GIY11" s="4"/>
      <c r="GIZ11" s="65"/>
      <c r="GJA11" s="4"/>
      <c r="GJB11" s="4"/>
      <c r="GJC11" s="4"/>
      <c r="GJF11" s="34"/>
      <c r="GJG11" s="34"/>
      <c r="GJI11" s="34"/>
      <c r="GJJ11" s="72"/>
      <c r="GJK11" s="63"/>
      <c r="GJL11" s="34"/>
      <c r="GJM11" s="64"/>
      <c r="GJN11" s="4"/>
      <c r="GJO11" s="65"/>
      <c r="GJP11" s="4"/>
      <c r="GJQ11" s="4"/>
      <c r="GJR11" s="4"/>
      <c r="GJU11" s="34"/>
      <c r="GJV11" s="34"/>
      <c r="GJX11" s="34"/>
      <c r="GJY11" s="72"/>
      <c r="GJZ11" s="63"/>
      <c r="GKA11" s="34"/>
      <c r="GKB11" s="64"/>
      <c r="GKC11" s="4"/>
      <c r="GKD11" s="65"/>
      <c r="GKE11" s="4"/>
      <c r="GKF11" s="4"/>
      <c r="GKG11" s="4"/>
      <c r="GKJ11" s="34"/>
      <c r="GKK11" s="34"/>
      <c r="GKM11" s="34"/>
      <c r="GKN11" s="72"/>
      <c r="GKO11" s="63"/>
      <c r="GKP11" s="34"/>
      <c r="GKQ11" s="64"/>
      <c r="GKR11" s="4"/>
      <c r="GKS11" s="65"/>
      <c r="GKT11" s="4"/>
      <c r="GKU11" s="4"/>
      <c r="GKV11" s="4"/>
      <c r="GKY11" s="34"/>
      <c r="GKZ11" s="34"/>
      <c r="GLB11" s="34"/>
      <c r="GLC11" s="72"/>
      <c r="GLD11" s="63"/>
      <c r="GLE11" s="34"/>
      <c r="GLF11" s="64"/>
      <c r="GLG11" s="4"/>
      <c r="GLH11" s="65"/>
      <c r="GLI11" s="4"/>
      <c r="GLJ11" s="4"/>
      <c r="GLK11" s="4"/>
      <c r="GLN11" s="34"/>
      <c r="GLO11" s="34"/>
      <c r="GLQ11" s="34"/>
      <c r="GLR11" s="72"/>
      <c r="GLS11" s="63"/>
      <c r="GLT11" s="34"/>
      <c r="GLU11" s="64"/>
      <c r="GLV11" s="4"/>
      <c r="GLW11" s="65"/>
      <c r="GLX11" s="4"/>
      <c r="GLY11" s="4"/>
      <c r="GLZ11" s="4"/>
      <c r="GMC11" s="34"/>
      <c r="GMD11" s="34"/>
      <c r="GMF11" s="34"/>
      <c r="GMG11" s="72"/>
      <c r="GMH11" s="63"/>
      <c r="GMI11" s="34"/>
      <c r="GMJ11" s="64"/>
      <c r="GMK11" s="4"/>
      <c r="GML11" s="65"/>
      <c r="GMM11" s="4"/>
      <c r="GMN11" s="4"/>
      <c r="GMO11" s="4"/>
      <c r="GMR11" s="34"/>
      <c r="GMS11" s="34"/>
      <c r="GMU11" s="34"/>
      <c r="GMV11" s="72"/>
      <c r="GMW11" s="63"/>
      <c r="GMX11" s="34"/>
      <c r="GMY11" s="64"/>
      <c r="GMZ11" s="4"/>
      <c r="GNA11" s="65"/>
      <c r="GNB11" s="4"/>
      <c r="GNC11" s="4"/>
      <c r="GND11" s="4"/>
      <c r="GNG11" s="34"/>
      <c r="GNH11" s="34"/>
      <c r="GNJ11" s="34"/>
      <c r="GNK11" s="72"/>
      <c r="GNL11" s="63"/>
      <c r="GNM11" s="34"/>
      <c r="GNN11" s="64"/>
      <c r="GNO11" s="4"/>
      <c r="GNP11" s="65"/>
      <c r="GNQ11" s="4"/>
      <c r="GNR11" s="4"/>
      <c r="GNS11" s="4"/>
      <c r="GNV11" s="34"/>
      <c r="GNW11" s="34"/>
      <c r="GNY11" s="34"/>
      <c r="GNZ11" s="72"/>
      <c r="GOA11" s="63"/>
      <c r="GOB11" s="34"/>
      <c r="GOC11" s="64"/>
      <c r="GOD11" s="4"/>
      <c r="GOE11" s="65"/>
      <c r="GOF11" s="4"/>
      <c r="GOG11" s="4"/>
      <c r="GOH11" s="4"/>
      <c r="GOK11" s="34"/>
      <c r="GOL11" s="34"/>
      <c r="GON11" s="34"/>
      <c r="GOO11" s="72"/>
      <c r="GOP11" s="63"/>
      <c r="GOQ11" s="34"/>
      <c r="GOR11" s="64"/>
      <c r="GOS11" s="4"/>
      <c r="GOT11" s="65"/>
      <c r="GOU11" s="4"/>
      <c r="GOV11" s="4"/>
      <c r="GOW11" s="4"/>
      <c r="GOZ11" s="34"/>
      <c r="GPA11" s="34"/>
      <c r="GPC11" s="34"/>
      <c r="GPD11" s="72"/>
      <c r="GPE11" s="63"/>
      <c r="GPF11" s="34"/>
      <c r="GPG11" s="64"/>
      <c r="GPH11" s="4"/>
      <c r="GPI11" s="65"/>
      <c r="GPJ11" s="4"/>
      <c r="GPK11" s="4"/>
      <c r="GPL11" s="4"/>
      <c r="GPO11" s="34"/>
      <c r="GPP11" s="34"/>
      <c r="GPR11" s="34"/>
      <c r="GPS11" s="72"/>
      <c r="GPT11" s="63"/>
      <c r="GPU11" s="34"/>
      <c r="GPV11" s="64"/>
      <c r="GPW11" s="4"/>
      <c r="GPX11" s="65"/>
      <c r="GPY11" s="4"/>
      <c r="GPZ11" s="4"/>
      <c r="GQA11" s="4"/>
      <c r="GQD11" s="34"/>
      <c r="GQE11" s="34"/>
      <c r="GQG11" s="34"/>
      <c r="GQH11" s="72"/>
      <c r="GQI11" s="63"/>
      <c r="GQJ11" s="34"/>
      <c r="GQK11" s="64"/>
      <c r="GQL11" s="4"/>
      <c r="GQM11" s="65"/>
      <c r="GQN11" s="4"/>
      <c r="GQO11" s="4"/>
      <c r="GQP11" s="4"/>
      <c r="GQS11" s="34"/>
      <c r="GQT11" s="34"/>
      <c r="GQV11" s="34"/>
      <c r="GQW11" s="72"/>
      <c r="GQX11" s="63"/>
      <c r="GQY11" s="34"/>
      <c r="GQZ11" s="64"/>
      <c r="GRA11" s="4"/>
      <c r="GRB11" s="65"/>
      <c r="GRC11" s="4"/>
      <c r="GRD11" s="4"/>
      <c r="GRE11" s="4"/>
      <c r="GRH11" s="34"/>
      <c r="GRI11" s="34"/>
      <c r="GRK11" s="34"/>
      <c r="GRL11" s="72"/>
      <c r="GRM11" s="63"/>
      <c r="GRN11" s="34"/>
      <c r="GRO11" s="64"/>
      <c r="GRP11" s="4"/>
      <c r="GRQ11" s="65"/>
      <c r="GRR11" s="4"/>
      <c r="GRS11" s="4"/>
      <c r="GRT11" s="4"/>
      <c r="GRW11" s="34"/>
      <c r="GRX11" s="34"/>
      <c r="GRZ11" s="34"/>
      <c r="GSA11" s="72"/>
      <c r="GSB11" s="63"/>
      <c r="GSC11" s="34"/>
      <c r="GSD11" s="64"/>
      <c r="GSE11" s="4"/>
      <c r="GSF11" s="65"/>
      <c r="GSG11" s="4"/>
      <c r="GSH11" s="4"/>
      <c r="GSI11" s="4"/>
      <c r="GSL11" s="34"/>
      <c r="GSM11" s="34"/>
      <c r="GSO11" s="34"/>
      <c r="GSP11" s="72"/>
      <c r="GSQ11" s="63"/>
      <c r="GSR11" s="34"/>
      <c r="GSS11" s="64"/>
      <c r="GST11" s="4"/>
      <c r="GSU11" s="65"/>
      <c r="GSV11" s="4"/>
      <c r="GSW11" s="4"/>
      <c r="GSX11" s="4"/>
      <c r="GTA11" s="34"/>
      <c r="GTB11" s="34"/>
      <c r="GTD11" s="34"/>
      <c r="GTE11" s="72"/>
      <c r="GTF11" s="63"/>
      <c r="GTG11" s="34"/>
      <c r="GTH11" s="64"/>
      <c r="GTI11" s="4"/>
      <c r="GTJ11" s="65"/>
      <c r="GTK11" s="4"/>
      <c r="GTL11" s="4"/>
      <c r="GTM11" s="4"/>
      <c r="GTP11" s="34"/>
      <c r="GTQ11" s="34"/>
      <c r="GTS11" s="34"/>
      <c r="GTT11" s="72"/>
      <c r="GTU11" s="63"/>
      <c r="GTV11" s="34"/>
      <c r="GTW11" s="64"/>
      <c r="GTX11" s="4"/>
      <c r="GTY11" s="65"/>
      <c r="GTZ11" s="4"/>
      <c r="GUA11" s="4"/>
      <c r="GUB11" s="4"/>
      <c r="GUE11" s="34"/>
      <c r="GUF11" s="34"/>
      <c r="GUH11" s="34"/>
      <c r="GUI11" s="72"/>
      <c r="GUJ11" s="63"/>
      <c r="GUK11" s="34"/>
      <c r="GUL11" s="64"/>
      <c r="GUM11" s="4"/>
      <c r="GUN11" s="65"/>
      <c r="GUO11" s="4"/>
      <c r="GUP11" s="4"/>
      <c r="GUQ11" s="4"/>
      <c r="GUT11" s="34"/>
      <c r="GUU11" s="34"/>
      <c r="GUW11" s="34"/>
      <c r="GUX11" s="72"/>
      <c r="GUY11" s="63"/>
      <c r="GUZ11" s="34"/>
      <c r="GVA11" s="64"/>
      <c r="GVB11" s="4"/>
      <c r="GVC11" s="65"/>
      <c r="GVD11" s="4"/>
      <c r="GVE11" s="4"/>
      <c r="GVF11" s="4"/>
      <c r="GVI11" s="34"/>
      <c r="GVJ11" s="34"/>
      <c r="GVL11" s="34"/>
      <c r="GVM11" s="72"/>
      <c r="GVN11" s="63"/>
      <c r="GVO11" s="34"/>
      <c r="GVP11" s="64"/>
      <c r="GVQ11" s="4"/>
      <c r="GVR11" s="65"/>
      <c r="GVS11" s="4"/>
      <c r="GVT11" s="4"/>
      <c r="GVU11" s="4"/>
      <c r="GVX11" s="34"/>
      <c r="GVY11" s="34"/>
      <c r="GWA11" s="34"/>
      <c r="GWB11" s="72"/>
      <c r="GWC11" s="63"/>
      <c r="GWD11" s="34"/>
      <c r="GWE11" s="64"/>
      <c r="GWF11" s="4"/>
      <c r="GWG11" s="65"/>
      <c r="GWH11" s="4"/>
      <c r="GWI11" s="4"/>
      <c r="GWJ11" s="4"/>
      <c r="GWM11" s="34"/>
      <c r="GWN11" s="34"/>
      <c r="GWP11" s="34"/>
      <c r="GWQ11" s="72"/>
      <c r="GWR11" s="63"/>
      <c r="GWS11" s="34"/>
      <c r="GWT11" s="64"/>
      <c r="GWU11" s="4"/>
      <c r="GWV11" s="65"/>
      <c r="GWW11" s="4"/>
      <c r="GWX11" s="4"/>
      <c r="GWY11" s="4"/>
      <c r="GXB11" s="34"/>
      <c r="GXC11" s="34"/>
      <c r="GXE11" s="34"/>
      <c r="GXF11" s="72"/>
      <c r="GXG11" s="63"/>
      <c r="GXH11" s="34"/>
      <c r="GXI11" s="64"/>
      <c r="GXJ11" s="4"/>
      <c r="GXK11" s="65"/>
      <c r="GXL11" s="4"/>
      <c r="GXM11" s="4"/>
      <c r="GXN11" s="4"/>
      <c r="GXQ11" s="34"/>
      <c r="GXR11" s="34"/>
      <c r="GXT11" s="34"/>
      <c r="GXU11" s="72"/>
      <c r="GXV11" s="63"/>
      <c r="GXW11" s="34"/>
      <c r="GXX11" s="64"/>
      <c r="GXY11" s="4"/>
      <c r="GXZ11" s="65"/>
      <c r="GYA11" s="4"/>
      <c r="GYB11" s="4"/>
      <c r="GYC11" s="4"/>
      <c r="GYF11" s="34"/>
      <c r="GYG11" s="34"/>
      <c r="GYI11" s="34"/>
      <c r="GYJ11" s="72"/>
      <c r="GYK11" s="63"/>
      <c r="GYL11" s="34"/>
      <c r="GYM11" s="64"/>
      <c r="GYN11" s="4"/>
      <c r="GYO11" s="65"/>
      <c r="GYP11" s="4"/>
      <c r="GYQ11" s="4"/>
      <c r="GYR11" s="4"/>
      <c r="GYU11" s="34"/>
      <c r="GYV11" s="34"/>
      <c r="GYX11" s="34"/>
      <c r="GYY11" s="72"/>
      <c r="GYZ11" s="63"/>
      <c r="GZA11" s="34"/>
      <c r="GZB11" s="64"/>
      <c r="GZC11" s="4"/>
      <c r="GZD11" s="65"/>
      <c r="GZE11" s="4"/>
      <c r="GZF11" s="4"/>
      <c r="GZG11" s="4"/>
      <c r="GZJ11" s="34"/>
      <c r="GZK11" s="34"/>
      <c r="GZM11" s="34"/>
      <c r="GZN11" s="72"/>
      <c r="GZO11" s="63"/>
      <c r="GZP11" s="34"/>
      <c r="GZQ11" s="64"/>
      <c r="GZR11" s="4"/>
      <c r="GZS11" s="65"/>
      <c r="GZT11" s="4"/>
      <c r="GZU11" s="4"/>
      <c r="GZV11" s="4"/>
      <c r="GZY11" s="34"/>
      <c r="GZZ11" s="34"/>
      <c r="HAB11" s="34"/>
      <c r="HAC11" s="72"/>
      <c r="HAD11" s="63"/>
      <c r="HAE11" s="34"/>
      <c r="HAF11" s="64"/>
      <c r="HAG11" s="4"/>
      <c r="HAH11" s="65"/>
      <c r="HAI11" s="4"/>
      <c r="HAJ11" s="4"/>
      <c r="HAK11" s="4"/>
      <c r="HAN11" s="34"/>
      <c r="HAO11" s="34"/>
      <c r="HAQ11" s="34"/>
      <c r="HAR11" s="72"/>
      <c r="HAS11" s="63"/>
      <c r="HAT11" s="34"/>
      <c r="HAU11" s="64"/>
      <c r="HAV11" s="4"/>
      <c r="HAW11" s="65"/>
      <c r="HAX11" s="4"/>
      <c r="HAY11" s="4"/>
      <c r="HAZ11" s="4"/>
      <c r="HBC11" s="34"/>
      <c r="HBD11" s="34"/>
      <c r="HBF11" s="34"/>
      <c r="HBG11" s="72"/>
      <c r="HBH11" s="63"/>
      <c r="HBI11" s="34"/>
      <c r="HBJ11" s="64"/>
      <c r="HBK11" s="4"/>
      <c r="HBL11" s="65"/>
      <c r="HBM11" s="4"/>
      <c r="HBN11" s="4"/>
      <c r="HBO11" s="4"/>
      <c r="HBR11" s="34"/>
      <c r="HBS11" s="34"/>
      <c r="HBU11" s="34"/>
      <c r="HBV11" s="72"/>
      <c r="HBW11" s="63"/>
      <c r="HBX11" s="34"/>
      <c r="HBY11" s="64"/>
      <c r="HBZ11" s="4"/>
      <c r="HCA11" s="65"/>
      <c r="HCB11" s="4"/>
      <c r="HCC11" s="4"/>
      <c r="HCD11" s="4"/>
      <c r="HCG11" s="34"/>
      <c r="HCH11" s="34"/>
      <c r="HCJ11" s="34"/>
      <c r="HCK11" s="72"/>
      <c r="HCL11" s="63"/>
      <c r="HCM11" s="34"/>
      <c r="HCN11" s="64"/>
      <c r="HCO11" s="4"/>
      <c r="HCP11" s="65"/>
      <c r="HCQ11" s="4"/>
      <c r="HCR11" s="4"/>
      <c r="HCS11" s="4"/>
      <c r="HCV11" s="34"/>
      <c r="HCW11" s="34"/>
      <c r="HCY11" s="34"/>
      <c r="HCZ11" s="72"/>
      <c r="HDA11" s="63"/>
      <c r="HDB11" s="34"/>
      <c r="HDC11" s="64"/>
      <c r="HDD11" s="4"/>
      <c r="HDE11" s="65"/>
      <c r="HDF11" s="4"/>
      <c r="HDG11" s="4"/>
      <c r="HDH11" s="4"/>
      <c r="HDK11" s="34"/>
      <c r="HDL11" s="34"/>
      <c r="HDN11" s="34"/>
      <c r="HDO11" s="72"/>
      <c r="HDP11" s="63"/>
      <c r="HDQ11" s="34"/>
      <c r="HDR11" s="64"/>
      <c r="HDS11" s="4"/>
      <c r="HDT11" s="65"/>
      <c r="HDU11" s="4"/>
      <c r="HDV11" s="4"/>
      <c r="HDW11" s="4"/>
      <c r="HDZ11" s="34"/>
      <c r="HEA11" s="34"/>
      <c r="HEC11" s="34"/>
      <c r="HED11" s="72"/>
      <c r="HEE11" s="63"/>
      <c r="HEF11" s="34"/>
      <c r="HEG11" s="64"/>
      <c r="HEH11" s="4"/>
      <c r="HEI11" s="65"/>
      <c r="HEJ11" s="4"/>
      <c r="HEK11" s="4"/>
      <c r="HEL11" s="4"/>
      <c r="HEO11" s="34"/>
      <c r="HEP11" s="34"/>
      <c r="HER11" s="34"/>
      <c r="HES11" s="72"/>
      <c r="HET11" s="63"/>
      <c r="HEU11" s="34"/>
      <c r="HEV11" s="64"/>
      <c r="HEW11" s="4"/>
      <c r="HEX11" s="65"/>
      <c r="HEY11" s="4"/>
      <c r="HEZ11" s="4"/>
      <c r="HFA11" s="4"/>
      <c r="HFD11" s="34"/>
      <c r="HFE11" s="34"/>
      <c r="HFG11" s="34"/>
      <c r="HFH11" s="72"/>
      <c r="HFI11" s="63"/>
      <c r="HFJ11" s="34"/>
      <c r="HFK11" s="64"/>
      <c r="HFL11" s="4"/>
      <c r="HFM11" s="65"/>
      <c r="HFN11" s="4"/>
      <c r="HFO11" s="4"/>
      <c r="HFP11" s="4"/>
      <c r="HFS11" s="34"/>
      <c r="HFT11" s="34"/>
      <c r="HFV11" s="34"/>
      <c r="HFW11" s="72"/>
      <c r="HFX11" s="63"/>
      <c r="HFY11" s="34"/>
      <c r="HFZ11" s="64"/>
      <c r="HGA11" s="4"/>
      <c r="HGB11" s="65"/>
      <c r="HGC11" s="4"/>
      <c r="HGD11" s="4"/>
      <c r="HGE11" s="4"/>
      <c r="HGH11" s="34"/>
      <c r="HGI11" s="34"/>
      <c r="HGK11" s="34"/>
      <c r="HGL11" s="72"/>
      <c r="HGM11" s="63"/>
      <c r="HGN11" s="34"/>
      <c r="HGO11" s="64"/>
      <c r="HGP11" s="4"/>
      <c r="HGQ11" s="65"/>
      <c r="HGR11" s="4"/>
      <c r="HGS11" s="4"/>
      <c r="HGT11" s="4"/>
      <c r="HGW11" s="34"/>
      <c r="HGX11" s="34"/>
      <c r="HGZ11" s="34"/>
      <c r="HHA11" s="72"/>
      <c r="HHB11" s="63"/>
      <c r="HHC11" s="34"/>
      <c r="HHD11" s="64"/>
      <c r="HHE11" s="4"/>
      <c r="HHF11" s="65"/>
      <c r="HHG11" s="4"/>
      <c r="HHH11" s="4"/>
      <c r="HHI11" s="4"/>
      <c r="HHL11" s="34"/>
      <c r="HHM11" s="34"/>
      <c r="HHO11" s="34"/>
      <c r="HHP11" s="72"/>
      <c r="HHQ11" s="63"/>
      <c r="HHR11" s="34"/>
      <c r="HHS11" s="64"/>
      <c r="HHT11" s="4"/>
      <c r="HHU11" s="65"/>
      <c r="HHV11" s="4"/>
      <c r="HHW11" s="4"/>
      <c r="HHX11" s="4"/>
      <c r="HIA11" s="34"/>
      <c r="HIB11" s="34"/>
      <c r="HID11" s="34"/>
      <c r="HIE11" s="72"/>
      <c r="HIF11" s="63"/>
      <c r="HIG11" s="34"/>
      <c r="HIH11" s="64"/>
      <c r="HII11" s="4"/>
      <c r="HIJ11" s="65"/>
      <c r="HIK11" s="4"/>
      <c r="HIL11" s="4"/>
      <c r="HIM11" s="4"/>
      <c r="HIP11" s="34"/>
      <c r="HIQ11" s="34"/>
      <c r="HIS11" s="34"/>
      <c r="HIT11" s="72"/>
      <c r="HIU11" s="63"/>
      <c r="HIV11" s="34"/>
      <c r="HIW11" s="64"/>
      <c r="HIX11" s="4"/>
      <c r="HIY11" s="65"/>
      <c r="HIZ11" s="4"/>
      <c r="HJA11" s="4"/>
      <c r="HJB11" s="4"/>
      <c r="HJE11" s="34"/>
      <c r="HJF11" s="34"/>
      <c r="HJH11" s="34"/>
      <c r="HJI11" s="72"/>
      <c r="HJJ11" s="63"/>
      <c r="HJK11" s="34"/>
      <c r="HJL11" s="64"/>
      <c r="HJM11" s="4"/>
      <c r="HJN11" s="65"/>
      <c r="HJO11" s="4"/>
      <c r="HJP11" s="4"/>
      <c r="HJQ11" s="4"/>
      <c r="HJT11" s="34"/>
      <c r="HJU11" s="34"/>
      <c r="HJW11" s="34"/>
      <c r="HJX11" s="72"/>
      <c r="HJY11" s="63"/>
      <c r="HJZ11" s="34"/>
      <c r="HKA11" s="64"/>
      <c r="HKB11" s="4"/>
      <c r="HKC11" s="65"/>
      <c r="HKD11" s="4"/>
      <c r="HKE11" s="4"/>
      <c r="HKF11" s="4"/>
      <c r="HKI11" s="34"/>
      <c r="HKJ11" s="34"/>
      <c r="HKL11" s="34"/>
      <c r="HKM11" s="72"/>
      <c r="HKN11" s="63"/>
      <c r="HKO11" s="34"/>
      <c r="HKP11" s="64"/>
      <c r="HKQ11" s="4"/>
      <c r="HKR11" s="65"/>
      <c r="HKS11" s="4"/>
      <c r="HKT11" s="4"/>
      <c r="HKU11" s="4"/>
      <c r="HKX11" s="34"/>
      <c r="HKY11" s="34"/>
      <c r="HLA11" s="34"/>
      <c r="HLB11" s="72"/>
      <c r="HLC11" s="63"/>
      <c r="HLD11" s="34"/>
      <c r="HLE11" s="64"/>
      <c r="HLF11" s="4"/>
      <c r="HLG11" s="65"/>
      <c r="HLH11" s="4"/>
      <c r="HLI11" s="4"/>
      <c r="HLJ11" s="4"/>
      <c r="HLM11" s="34"/>
      <c r="HLN11" s="34"/>
      <c r="HLP11" s="34"/>
      <c r="HLQ11" s="72"/>
      <c r="HLR11" s="63"/>
      <c r="HLS11" s="34"/>
      <c r="HLT11" s="64"/>
      <c r="HLU11" s="4"/>
      <c r="HLV11" s="65"/>
      <c r="HLW11" s="4"/>
      <c r="HLX11" s="4"/>
      <c r="HLY11" s="4"/>
      <c r="HMB11" s="34"/>
      <c r="HMC11" s="34"/>
      <c r="HME11" s="34"/>
      <c r="HMF11" s="72"/>
      <c r="HMG11" s="63"/>
      <c r="HMH11" s="34"/>
      <c r="HMI11" s="64"/>
      <c r="HMJ11" s="4"/>
      <c r="HMK11" s="65"/>
      <c r="HML11" s="4"/>
      <c r="HMM11" s="4"/>
      <c r="HMN11" s="4"/>
      <c r="HMQ11" s="34"/>
      <c r="HMR11" s="34"/>
      <c r="HMT11" s="34"/>
      <c r="HMU11" s="72"/>
      <c r="HMV11" s="63"/>
      <c r="HMW11" s="34"/>
      <c r="HMX11" s="64"/>
      <c r="HMY11" s="4"/>
      <c r="HMZ11" s="65"/>
      <c r="HNA11" s="4"/>
      <c r="HNB11" s="4"/>
      <c r="HNC11" s="4"/>
      <c r="HNF11" s="34"/>
      <c r="HNG11" s="34"/>
      <c r="HNI11" s="34"/>
      <c r="HNJ11" s="72"/>
      <c r="HNK11" s="63"/>
      <c r="HNL11" s="34"/>
      <c r="HNM11" s="64"/>
      <c r="HNN11" s="4"/>
      <c r="HNO11" s="65"/>
      <c r="HNP11" s="4"/>
      <c r="HNQ11" s="4"/>
      <c r="HNR11" s="4"/>
      <c r="HNU11" s="34"/>
      <c r="HNV11" s="34"/>
      <c r="HNX11" s="34"/>
      <c r="HNY11" s="72"/>
      <c r="HNZ11" s="63"/>
      <c r="HOA11" s="34"/>
      <c r="HOB11" s="64"/>
      <c r="HOC11" s="4"/>
      <c r="HOD11" s="65"/>
      <c r="HOE11" s="4"/>
      <c r="HOF11" s="4"/>
      <c r="HOG11" s="4"/>
      <c r="HOJ11" s="34"/>
      <c r="HOK11" s="34"/>
      <c r="HOM11" s="34"/>
      <c r="HON11" s="72"/>
      <c r="HOO11" s="63"/>
      <c r="HOP11" s="34"/>
      <c r="HOQ11" s="64"/>
      <c r="HOR11" s="4"/>
      <c r="HOS11" s="65"/>
      <c r="HOT11" s="4"/>
      <c r="HOU11" s="4"/>
      <c r="HOV11" s="4"/>
      <c r="HOY11" s="34"/>
      <c r="HOZ11" s="34"/>
      <c r="HPB11" s="34"/>
      <c r="HPC11" s="72"/>
      <c r="HPD11" s="63"/>
      <c r="HPE11" s="34"/>
      <c r="HPF11" s="64"/>
      <c r="HPG11" s="4"/>
      <c r="HPH11" s="65"/>
      <c r="HPI11" s="4"/>
      <c r="HPJ11" s="4"/>
      <c r="HPK11" s="4"/>
      <c r="HPN11" s="34"/>
      <c r="HPO11" s="34"/>
      <c r="HPQ11" s="34"/>
      <c r="HPR11" s="72"/>
      <c r="HPS11" s="63"/>
      <c r="HPT11" s="34"/>
      <c r="HPU11" s="64"/>
      <c r="HPV11" s="4"/>
      <c r="HPW11" s="65"/>
      <c r="HPX11" s="4"/>
      <c r="HPY11" s="4"/>
      <c r="HPZ11" s="4"/>
      <c r="HQC11" s="34"/>
      <c r="HQD11" s="34"/>
      <c r="HQF11" s="34"/>
      <c r="HQG11" s="72"/>
      <c r="HQH11" s="63"/>
      <c r="HQI11" s="34"/>
      <c r="HQJ11" s="64"/>
      <c r="HQK11" s="4"/>
      <c r="HQL11" s="65"/>
      <c r="HQM11" s="4"/>
      <c r="HQN11" s="4"/>
      <c r="HQO11" s="4"/>
      <c r="HQR11" s="34"/>
      <c r="HQS11" s="34"/>
      <c r="HQU11" s="34"/>
      <c r="HQV11" s="72"/>
      <c r="HQW11" s="63"/>
      <c r="HQX11" s="34"/>
      <c r="HQY11" s="64"/>
      <c r="HQZ11" s="4"/>
      <c r="HRA11" s="65"/>
      <c r="HRB11" s="4"/>
      <c r="HRC11" s="4"/>
      <c r="HRD11" s="4"/>
      <c r="HRG11" s="34"/>
      <c r="HRH11" s="34"/>
      <c r="HRJ11" s="34"/>
      <c r="HRK11" s="72"/>
      <c r="HRL11" s="63"/>
      <c r="HRM11" s="34"/>
      <c r="HRN11" s="64"/>
      <c r="HRO11" s="4"/>
      <c r="HRP11" s="65"/>
      <c r="HRQ11" s="4"/>
      <c r="HRR11" s="4"/>
      <c r="HRS11" s="4"/>
      <c r="HRV11" s="34"/>
      <c r="HRW11" s="34"/>
      <c r="HRY11" s="34"/>
      <c r="HRZ11" s="72"/>
      <c r="HSA11" s="63"/>
      <c r="HSB11" s="34"/>
      <c r="HSC11" s="64"/>
      <c r="HSD11" s="4"/>
      <c r="HSE11" s="65"/>
      <c r="HSF11" s="4"/>
      <c r="HSG11" s="4"/>
      <c r="HSH11" s="4"/>
      <c r="HSK11" s="34"/>
      <c r="HSL11" s="34"/>
      <c r="HSN11" s="34"/>
      <c r="HSO11" s="72"/>
      <c r="HSP11" s="63"/>
      <c r="HSQ11" s="34"/>
      <c r="HSR11" s="64"/>
      <c r="HSS11" s="4"/>
      <c r="HST11" s="65"/>
      <c r="HSU11" s="4"/>
      <c r="HSV11" s="4"/>
      <c r="HSW11" s="4"/>
      <c r="HSZ11" s="34"/>
      <c r="HTA11" s="34"/>
      <c r="HTC11" s="34"/>
      <c r="HTD11" s="72"/>
      <c r="HTE11" s="63"/>
      <c r="HTF11" s="34"/>
      <c r="HTG11" s="64"/>
      <c r="HTH11" s="4"/>
      <c r="HTI11" s="65"/>
      <c r="HTJ11" s="4"/>
      <c r="HTK11" s="4"/>
      <c r="HTL11" s="4"/>
      <c r="HTO11" s="34"/>
      <c r="HTP11" s="34"/>
      <c r="HTR11" s="34"/>
      <c r="HTS11" s="72"/>
      <c r="HTT11" s="63"/>
      <c r="HTU11" s="34"/>
      <c r="HTV11" s="64"/>
      <c r="HTW11" s="4"/>
      <c r="HTX11" s="65"/>
      <c r="HTY11" s="4"/>
      <c r="HTZ11" s="4"/>
      <c r="HUA11" s="4"/>
      <c r="HUD11" s="34"/>
      <c r="HUE11" s="34"/>
      <c r="HUG11" s="34"/>
      <c r="HUH11" s="72"/>
      <c r="HUI11" s="63"/>
      <c r="HUJ11" s="34"/>
      <c r="HUK11" s="64"/>
      <c r="HUL11" s="4"/>
      <c r="HUM11" s="65"/>
      <c r="HUN11" s="4"/>
      <c r="HUO11" s="4"/>
      <c r="HUP11" s="4"/>
      <c r="HUS11" s="34"/>
      <c r="HUT11" s="34"/>
      <c r="HUV11" s="34"/>
      <c r="HUW11" s="72"/>
      <c r="HUX11" s="63"/>
      <c r="HUY11" s="34"/>
      <c r="HUZ11" s="64"/>
      <c r="HVA11" s="4"/>
      <c r="HVB11" s="65"/>
      <c r="HVC11" s="4"/>
      <c r="HVD11" s="4"/>
      <c r="HVE11" s="4"/>
      <c r="HVH11" s="34"/>
      <c r="HVI11" s="34"/>
      <c r="HVK11" s="34"/>
      <c r="HVL11" s="72"/>
      <c r="HVM11" s="63"/>
      <c r="HVN11" s="34"/>
      <c r="HVO11" s="64"/>
      <c r="HVP11" s="4"/>
      <c r="HVQ11" s="65"/>
      <c r="HVR11" s="4"/>
      <c r="HVS11" s="4"/>
      <c r="HVT11" s="4"/>
      <c r="HVW11" s="34"/>
      <c r="HVX11" s="34"/>
      <c r="HVZ11" s="34"/>
      <c r="HWA11" s="72"/>
      <c r="HWB11" s="63"/>
      <c r="HWC11" s="34"/>
      <c r="HWD11" s="64"/>
      <c r="HWE11" s="4"/>
      <c r="HWF11" s="65"/>
      <c r="HWG11" s="4"/>
      <c r="HWH11" s="4"/>
      <c r="HWI11" s="4"/>
      <c r="HWL11" s="34"/>
      <c r="HWM11" s="34"/>
      <c r="HWO11" s="34"/>
      <c r="HWP11" s="72"/>
      <c r="HWQ11" s="63"/>
      <c r="HWR11" s="34"/>
      <c r="HWS11" s="64"/>
      <c r="HWT11" s="4"/>
      <c r="HWU11" s="65"/>
      <c r="HWV11" s="4"/>
      <c r="HWW11" s="4"/>
      <c r="HWX11" s="4"/>
      <c r="HXA11" s="34"/>
      <c r="HXB11" s="34"/>
      <c r="HXD11" s="34"/>
      <c r="HXE11" s="72"/>
      <c r="HXF11" s="63"/>
      <c r="HXG11" s="34"/>
      <c r="HXH11" s="64"/>
      <c r="HXI11" s="4"/>
      <c r="HXJ11" s="65"/>
      <c r="HXK11" s="4"/>
      <c r="HXL11" s="4"/>
      <c r="HXM11" s="4"/>
      <c r="HXP11" s="34"/>
      <c r="HXQ11" s="34"/>
      <c r="HXS11" s="34"/>
      <c r="HXT11" s="72"/>
      <c r="HXU11" s="63"/>
      <c r="HXV11" s="34"/>
      <c r="HXW11" s="64"/>
      <c r="HXX11" s="4"/>
      <c r="HXY11" s="65"/>
      <c r="HXZ11" s="4"/>
      <c r="HYA11" s="4"/>
      <c r="HYB11" s="4"/>
      <c r="HYE11" s="34"/>
      <c r="HYF11" s="34"/>
      <c r="HYH11" s="34"/>
      <c r="HYI11" s="72"/>
      <c r="HYJ11" s="63"/>
      <c r="HYK11" s="34"/>
      <c r="HYL11" s="64"/>
      <c r="HYM11" s="4"/>
      <c r="HYN11" s="65"/>
      <c r="HYO11" s="4"/>
      <c r="HYP11" s="4"/>
      <c r="HYQ11" s="4"/>
      <c r="HYT11" s="34"/>
      <c r="HYU11" s="34"/>
      <c r="HYW11" s="34"/>
      <c r="HYX11" s="72"/>
      <c r="HYY11" s="63"/>
      <c r="HYZ11" s="34"/>
      <c r="HZA11" s="64"/>
      <c r="HZB11" s="4"/>
      <c r="HZC11" s="65"/>
      <c r="HZD11" s="4"/>
      <c r="HZE11" s="4"/>
      <c r="HZF11" s="4"/>
      <c r="HZI11" s="34"/>
      <c r="HZJ11" s="34"/>
      <c r="HZL11" s="34"/>
      <c r="HZM11" s="72"/>
      <c r="HZN11" s="63"/>
      <c r="HZO11" s="34"/>
      <c r="HZP11" s="64"/>
      <c r="HZQ11" s="4"/>
      <c r="HZR11" s="65"/>
      <c r="HZS11" s="4"/>
      <c r="HZT11" s="4"/>
      <c r="HZU11" s="4"/>
      <c r="HZX11" s="34"/>
      <c r="HZY11" s="34"/>
      <c r="IAA11" s="34"/>
      <c r="IAB11" s="72"/>
      <c r="IAC11" s="63"/>
      <c r="IAD11" s="34"/>
      <c r="IAE11" s="64"/>
      <c r="IAF11" s="4"/>
      <c r="IAG11" s="65"/>
      <c r="IAH11" s="4"/>
      <c r="IAI11" s="4"/>
      <c r="IAJ11" s="4"/>
      <c r="IAM11" s="34"/>
      <c r="IAN11" s="34"/>
      <c r="IAP11" s="34"/>
      <c r="IAQ11" s="72"/>
      <c r="IAR11" s="63"/>
      <c r="IAS11" s="34"/>
      <c r="IAT11" s="64"/>
      <c r="IAU11" s="4"/>
      <c r="IAV11" s="65"/>
      <c r="IAW11" s="4"/>
      <c r="IAX11" s="4"/>
      <c r="IAY11" s="4"/>
      <c r="IBB11" s="34"/>
      <c r="IBC11" s="34"/>
      <c r="IBE11" s="34"/>
      <c r="IBF11" s="72"/>
      <c r="IBG11" s="63"/>
      <c r="IBH11" s="34"/>
      <c r="IBI11" s="64"/>
      <c r="IBJ11" s="4"/>
      <c r="IBK11" s="65"/>
      <c r="IBL11" s="4"/>
      <c r="IBM11" s="4"/>
      <c r="IBN11" s="4"/>
      <c r="IBQ11" s="34"/>
      <c r="IBR11" s="34"/>
      <c r="IBT11" s="34"/>
      <c r="IBU11" s="72"/>
      <c r="IBV11" s="63"/>
      <c r="IBW11" s="34"/>
      <c r="IBX11" s="64"/>
      <c r="IBY11" s="4"/>
      <c r="IBZ11" s="65"/>
      <c r="ICA11" s="4"/>
      <c r="ICB11" s="4"/>
      <c r="ICC11" s="4"/>
      <c r="ICF11" s="34"/>
      <c r="ICG11" s="34"/>
      <c r="ICI11" s="34"/>
      <c r="ICJ11" s="72"/>
      <c r="ICK11" s="63"/>
      <c r="ICL11" s="34"/>
      <c r="ICM11" s="64"/>
      <c r="ICN11" s="4"/>
      <c r="ICO11" s="65"/>
      <c r="ICP11" s="4"/>
      <c r="ICQ11" s="4"/>
      <c r="ICR11" s="4"/>
      <c r="ICU11" s="34"/>
      <c r="ICV11" s="34"/>
      <c r="ICX11" s="34"/>
      <c r="ICY11" s="72"/>
      <c r="ICZ11" s="63"/>
      <c r="IDA11" s="34"/>
      <c r="IDB11" s="64"/>
      <c r="IDC11" s="4"/>
      <c r="IDD11" s="65"/>
      <c r="IDE11" s="4"/>
      <c r="IDF11" s="4"/>
      <c r="IDG11" s="4"/>
      <c r="IDJ11" s="34"/>
      <c r="IDK11" s="34"/>
      <c r="IDM11" s="34"/>
      <c r="IDN11" s="72"/>
      <c r="IDO11" s="63"/>
      <c r="IDP11" s="34"/>
      <c r="IDQ11" s="64"/>
      <c r="IDR11" s="4"/>
      <c r="IDS11" s="65"/>
      <c r="IDT11" s="4"/>
      <c r="IDU11" s="4"/>
      <c r="IDV11" s="4"/>
      <c r="IDY11" s="34"/>
      <c r="IDZ11" s="34"/>
      <c r="IEB11" s="34"/>
      <c r="IEC11" s="72"/>
      <c r="IED11" s="63"/>
      <c r="IEE11" s="34"/>
      <c r="IEF11" s="64"/>
      <c r="IEG11" s="4"/>
      <c r="IEH11" s="65"/>
      <c r="IEI11" s="4"/>
      <c r="IEJ11" s="4"/>
      <c r="IEK11" s="4"/>
      <c r="IEN11" s="34"/>
      <c r="IEO11" s="34"/>
      <c r="IEQ11" s="34"/>
      <c r="IER11" s="72"/>
      <c r="IES11" s="63"/>
      <c r="IET11" s="34"/>
      <c r="IEU11" s="64"/>
      <c r="IEV11" s="4"/>
      <c r="IEW11" s="65"/>
      <c r="IEX11" s="4"/>
      <c r="IEY11" s="4"/>
      <c r="IEZ11" s="4"/>
      <c r="IFC11" s="34"/>
      <c r="IFD11" s="34"/>
      <c r="IFF11" s="34"/>
      <c r="IFG11" s="72"/>
      <c r="IFH11" s="63"/>
      <c r="IFI11" s="34"/>
      <c r="IFJ11" s="64"/>
      <c r="IFK11" s="4"/>
      <c r="IFL11" s="65"/>
      <c r="IFM11" s="4"/>
      <c r="IFN11" s="4"/>
      <c r="IFO11" s="4"/>
      <c r="IFR11" s="34"/>
      <c r="IFS11" s="34"/>
      <c r="IFU11" s="34"/>
      <c r="IFV11" s="72"/>
      <c r="IFW11" s="63"/>
      <c r="IFX11" s="34"/>
      <c r="IFY11" s="64"/>
      <c r="IFZ11" s="4"/>
      <c r="IGA11" s="65"/>
      <c r="IGB11" s="4"/>
      <c r="IGC11" s="4"/>
      <c r="IGD11" s="4"/>
      <c r="IGG11" s="34"/>
      <c r="IGH11" s="34"/>
      <c r="IGJ11" s="34"/>
      <c r="IGK11" s="72"/>
      <c r="IGL11" s="63"/>
      <c r="IGM11" s="34"/>
      <c r="IGN11" s="64"/>
      <c r="IGO11" s="4"/>
      <c r="IGP11" s="65"/>
      <c r="IGQ11" s="4"/>
      <c r="IGR11" s="4"/>
      <c r="IGS11" s="4"/>
      <c r="IGV11" s="34"/>
      <c r="IGW11" s="34"/>
      <c r="IGY11" s="34"/>
      <c r="IGZ11" s="72"/>
      <c r="IHA11" s="63"/>
      <c r="IHB11" s="34"/>
      <c r="IHC11" s="64"/>
      <c r="IHD11" s="4"/>
      <c r="IHE11" s="65"/>
      <c r="IHF11" s="4"/>
      <c r="IHG11" s="4"/>
      <c r="IHH11" s="4"/>
      <c r="IHK11" s="34"/>
      <c r="IHL11" s="34"/>
      <c r="IHN11" s="34"/>
      <c r="IHO11" s="72"/>
      <c r="IHP11" s="63"/>
      <c r="IHQ11" s="34"/>
      <c r="IHR11" s="64"/>
      <c r="IHS11" s="4"/>
      <c r="IHT11" s="65"/>
      <c r="IHU11" s="4"/>
      <c r="IHV11" s="4"/>
      <c r="IHW11" s="4"/>
      <c r="IHZ11" s="34"/>
      <c r="IIA11" s="34"/>
      <c r="IIC11" s="34"/>
      <c r="IID11" s="72"/>
      <c r="IIE11" s="63"/>
      <c r="IIF11" s="34"/>
      <c r="IIG11" s="64"/>
      <c r="IIH11" s="4"/>
      <c r="III11" s="65"/>
      <c r="IIJ11" s="4"/>
      <c r="IIK11" s="4"/>
      <c r="IIL11" s="4"/>
      <c r="IIO11" s="34"/>
      <c r="IIP11" s="34"/>
      <c r="IIR11" s="34"/>
      <c r="IIS11" s="72"/>
      <c r="IIT11" s="63"/>
      <c r="IIU11" s="34"/>
      <c r="IIV11" s="64"/>
      <c r="IIW11" s="4"/>
      <c r="IIX11" s="65"/>
      <c r="IIY11" s="4"/>
      <c r="IIZ11" s="4"/>
      <c r="IJA11" s="4"/>
      <c r="IJD11" s="34"/>
      <c r="IJE11" s="34"/>
      <c r="IJG11" s="34"/>
      <c r="IJH11" s="72"/>
      <c r="IJI11" s="63"/>
      <c r="IJJ11" s="34"/>
      <c r="IJK11" s="64"/>
      <c r="IJL11" s="4"/>
      <c r="IJM11" s="65"/>
      <c r="IJN11" s="4"/>
      <c r="IJO11" s="4"/>
      <c r="IJP11" s="4"/>
      <c r="IJS11" s="34"/>
      <c r="IJT11" s="34"/>
      <c r="IJV11" s="34"/>
      <c r="IJW11" s="72"/>
      <c r="IJX11" s="63"/>
      <c r="IJY11" s="34"/>
      <c r="IJZ11" s="64"/>
      <c r="IKA11" s="4"/>
      <c r="IKB11" s="65"/>
      <c r="IKC11" s="4"/>
      <c r="IKD11" s="4"/>
      <c r="IKE11" s="4"/>
      <c r="IKH11" s="34"/>
      <c r="IKI11" s="34"/>
      <c r="IKK11" s="34"/>
      <c r="IKL11" s="72"/>
      <c r="IKM11" s="63"/>
      <c r="IKN11" s="34"/>
      <c r="IKO11" s="64"/>
      <c r="IKP11" s="4"/>
      <c r="IKQ11" s="65"/>
      <c r="IKR11" s="4"/>
      <c r="IKS11" s="4"/>
      <c r="IKT11" s="4"/>
      <c r="IKW11" s="34"/>
      <c r="IKX11" s="34"/>
      <c r="IKZ11" s="34"/>
      <c r="ILA11" s="72"/>
      <c r="ILB11" s="63"/>
      <c r="ILC11" s="34"/>
      <c r="ILD11" s="64"/>
      <c r="ILE11" s="4"/>
      <c r="ILF11" s="65"/>
      <c r="ILG11" s="4"/>
      <c r="ILH11" s="4"/>
      <c r="ILI11" s="4"/>
      <c r="ILL11" s="34"/>
      <c r="ILM11" s="34"/>
      <c r="ILO11" s="34"/>
      <c r="ILP11" s="72"/>
      <c r="ILQ11" s="63"/>
      <c r="ILR11" s="34"/>
      <c r="ILS11" s="64"/>
      <c r="ILT11" s="4"/>
      <c r="ILU11" s="65"/>
      <c r="ILV11" s="4"/>
      <c r="ILW11" s="4"/>
      <c r="ILX11" s="4"/>
      <c r="IMA11" s="34"/>
      <c r="IMB11" s="34"/>
      <c r="IMD11" s="34"/>
      <c r="IME11" s="72"/>
      <c r="IMF11" s="63"/>
      <c r="IMG11" s="34"/>
      <c r="IMH11" s="64"/>
      <c r="IMI11" s="4"/>
      <c r="IMJ11" s="65"/>
      <c r="IMK11" s="4"/>
      <c r="IML11" s="4"/>
      <c r="IMM11" s="4"/>
      <c r="IMP11" s="34"/>
      <c r="IMQ11" s="34"/>
      <c r="IMS11" s="34"/>
      <c r="IMT11" s="72"/>
      <c r="IMU11" s="63"/>
      <c r="IMV11" s="34"/>
      <c r="IMW11" s="64"/>
      <c r="IMX11" s="4"/>
      <c r="IMY11" s="65"/>
      <c r="IMZ11" s="4"/>
      <c r="INA11" s="4"/>
      <c r="INB11" s="4"/>
      <c r="INE11" s="34"/>
      <c r="INF11" s="34"/>
      <c r="INH11" s="34"/>
      <c r="INI11" s="72"/>
      <c r="INJ11" s="63"/>
      <c r="INK11" s="34"/>
      <c r="INL11" s="64"/>
      <c r="INM11" s="4"/>
      <c r="INN11" s="65"/>
      <c r="INO11" s="4"/>
      <c r="INP11" s="4"/>
      <c r="INQ11" s="4"/>
      <c r="INT11" s="34"/>
      <c r="INU11" s="34"/>
      <c r="INW11" s="34"/>
      <c r="INX11" s="72"/>
      <c r="INY11" s="63"/>
      <c r="INZ11" s="34"/>
      <c r="IOA11" s="64"/>
      <c r="IOB11" s="4"/>
      <c r="IOC11" s="65"/>
      <c r="IOD11" s="4"/>
      <c r="IOE11" s="4"/>
      <c r="IOF11" s="4"/>
      <c r="IOI11" s="34"/>
      <c r="IOJ11" s="34"/>
      <c r="IOL11" s="34"/>
      <c r="IOM11" s="72"/>
      <c r="ION11" s="63"/>
      <c r="IOO11" s="34"/>
      <c r="IOP11" s="64"/>
      <c r="IOQ11" s="4"/>
      <c r="IOR11" s="65"/>
      <c r="IOS11" s="4"/>
      <c r="IOT11" s="4"/>
      <c r="IOU11" s="4"/>
      <c r="IOX11" s="34"/>
      <c r="IOY11" s="34"/>
      <c r="IPA11" s="34"/>
      <c r="IPB11" s="72"/>
      <c r="IPC11" s="63"/>
      <c r="IPD11" s="34"/>
      <c r="IPE11" s="64"/>
      <c r="IPF11" s="4"/>
      <c r="IPG11" s="65"/>
      <c r="IPH11" s="4"/>
      <c r="IPI11" s="4"/>
      <c r="IPJ11" s="4"/>
      <c r="IPM11" s="34"/>
      <c r="IPN11" s="34"/>
      <c r="IPP11" s="34"/>
      <c r="IPQ11" s="72"/>
      <c r="IPR11" s="63"/>
      <c r="IPS11" s="34"/>
      <c r="IPT11" s="64"/>
      <c r="IPU11" s="4"/>
      <c r="IPV11" s="65"/>
      <c r="IPW11" s="4"/>
      <c r="IPX11" s="4"/>
      <c r="IPY11" s="4"/>
      <c r="IQB11" s="34"/>
      <c r="IQC11" s="34"/>
      <c r="IQE11" s="34"/>
      <c r="IQF11" s="72"/>
      <c r="IQG11" s="63"/>
      <c r="IQH11" s="34"/>
      <c r="IQI11" s="64"/>
      <c r="IQJ11" s="4"/>
      <c r="IQK11" s="65"/>
      <c r="IQL11" s="4"/>
      <c r="IQM11" s="4"/>
      <c r="IQN11" s="4"/>
      <c r="IQQ11" s="34"/>
      <c r="IQR11" s="34"/>
      <c r="IQT11" s="34"/>
      <c r="IQU11" s="72"/>
      <c r="IQV11" s="63"/>
      <c r="IQW11" s="34"/>
      <c r="IQX11" s="64"/>
      <c r="IQY11" s="4"/>
      <c r="IQZ11" s="65"/>
      <c r="IRA11" s="4"/>
      <c r="IRB11" s="4"/>
      <c r="IRC11" s="4"/>
      <c r="IRF11" s="34"/>
      <c r="IRG11" s="34"/>
      <c r="IRI11" s="34"/>
      <c r="IRJ11" s="72"/>
      <c r="IRK11" s="63"/>
      <c r="IRL11" s="34"/>
      <c r="IRM11" s="64"/>
      <c r="IRN11" s="4"/>
      <c r="IRO11" s="65"/>
      <c r="IRP11" s="4"/>
      <c r="IRQ11" s="4"/>
      <c r="IRR11" s="4"/>
      <c r="IRU11" s="34"/>
      <c r="IRV11" s="34"/>
      <c r="IRX11" s="34"/>
      <c r="IRY11" s="72"/>
      <c r="IRZ11" s="63"/>
      <c r="ISA11" s="34"/>
      <c r="ISB11" s="64"/>
      <c r="ISC11" s="4"/>
      <c r="ISD11" s="65"/>
      <c r="ISE11" s="4"/>
      <c r="ISF11" s="4"/>
      <c r="ISG11" s="4"/>
      <c r="ISJ11" s="34"/>
      <c r="ISK11" s="34"/>
      <c r="ISM11" s="34"/>
      <c r="ISN11" s="72"/>
      <c r="ISO11" s="63"/>
      <c r="ISP11" s="34"/>
      <c r="ISQ11" s="64"/>
      <c r="ISR11" s="4"/>
      <c r="ISS11" s="65"/>
      <c r="IST11" s="4"/>
      <c r="ISU11" s="4"/>
      <c r="ISV11" s="4"/>
      <c r="ISY11" s="34"/>
      <c r="ISZ11" s="34"/>
      <c r="ITB11" s="34"/>
      <c r="ITC11" s="72"/>
      <c r="ITD11" s="63"/>
      <c r="ITE11" s="34"/>
      <c r="ITF11" s="64"/>
      <c r="ITG11" s="4"/>
      <c r="ITH11" s="65"/>
      <c r="ITI11" s="4"/>
      <c r="ITJ11" s="4"/>
      <c r="ITK11" s="4"/>
      <c r="ITN11" s="34"/>
      <c r="ITO11" s="34"/>
      <c r="ITQ11" s="34"/>
      <c r="ITR11" s="72"/>
      <c r="ITS11" s="63"/>
      <c r="ITT11" s="34"/>
      <c r="ITU11" s="64"/>
      <c r="ITV11" s="4"/>
      <c r="ITW11" s="65"/>
      <c r="ITX11" s="4"/>
      <c r="ITY11" s="4"/>
      <c r="ITZ11" s="4"/>
      <c r="IUC11" s="34"/>
      <c r="IUD11" s="34"/>
      <c r="IUF11" s="34"/>
      <c r="IUG11" s="72"/>
      <c r="IUH11" s="63"/>
      <c r="IUI11" s="34"/>
      <c r="IUJ11" s="64"/>
      <c r="IUK11" s="4"/>
      <c r="IUL11" s="65"/>
      <c r="IUM11" s="4"/>
      <c r="IUN11" s="4"/>
      <c r="IUO11" s="4"/>
      <c r="IUR11" s="34"/>
      <c r="IUS11" s="34"/>
      <c r="IUU11" s="34"/>
      <c r="IUV11" s="72"/>
      <c r="IUW11" s="63"/>
      <c r="IUX11" s="34"/>
      <c r="IUY11" s="64"/>
      <c r="IUZ11" s="4"/>
      <c r="IVA11" s="65"/>
      <c r="IVB11" s="4"/>
      <c r="IVC11" s="4"/>
      <c r="IVD11" s="4"/>
      <c r="IVG11" s="34"/>
      <c r="IVH11" s="34"/>
      <c r="IVJ11" s="34"/>
      <c r="IVK11" s="72"/>
      <c r="IVL11" s="63"/>
      <c r="IVM11" s="34"/>
      <c r="IVN11" s="64"/>
      <c r="IVO11" s="4"/>
      <c r="IVP11" s="65"/>
      <c r="IVQ11" s="4"/>
      <c r="IVR11" s="4"/>
      <c r="IVS11" s="4"/>
      <c r="IVV11" s="34"/>
      <c r="IVW11" s="34"/>
      <c r="IVY11" s="34"/>
      <c r="IVZ11" s="72"/>
      <c r="IWA11" s="63"/>
      <c r="IWB11" s="34"/>
      <c r="IWC11" s="64"/>
      <c r="IWD11" s="4"/>
      <c r="IWE11" s="65"/>
      <c r="IWF11" s="4"/>
      <c r="IWG11" s="4"/>
      <c r="IWH11" s="4"/>
      <c r="IWK11" s="34"/>
      <c r="IWL11" s="34"/>
      <c r="IWN11" s="34"/>
      <c r="IWO11" s="72"/>
      <c r="IWP11" s="63"/>
      <c r="IWQ11" s="34"/>
      <c r="IWR11" s="64"/>
      <c r="IWS11" s="4"/>
      <c r="IWT11" s="65"/>
      <c r="IWU11" s="4"/>
      <c r="IWV11" s="4"/>
      <c r="IWW11" s="4"/>
      <c r="IWZ11" s="34"/>
      <c r="IXA11" s="34"/>
      <c r="IXC11" s="34"/>
      <c r="IXD11" s="72"/>
      <c r="IXE11" s="63"/>
      <c r="IXF11" s="34"/>
      <c r="IXG11" s="64"/>
      <c r="IXH11" s="4"/>
      <c r="IXI11" s="65"/>
      <c r="IXJ11" s="4"/>
      <c r="IXK11" s="4"/>
      <c r="IXL11" s="4"/>
      <c r="IXO11" s="34"/>
      <c r="IXP11" s="34"/>
      <c r="IXR11" s="34"/>
      <c r="IXS11" s="72"/>
      <c r="IXT11" s="63"/>
      <c r="IXU11" s="34"/>
      <c r="IXV11" s="64"/>
      <c r="IXW11" s="4"/>
      <c r="IXX11" s="65"/>
      <c r="IXY11" s="4"/>
      <c r="IXZ11" s="4"/>
      <c r="IYA11" s="4"/>
      <c r="IYD11" s="34"/>
      <c r="IYE11" s="34"/>
      <c r="IYG11" s="34"/>
      <c r="IYH11" s="72"/>
      <c r="IYI11" s="63"/>
      <c r="IYJ11" s="34"/>
      <c r="IYK11" s="64"/>
      <c r="IYL11" s="4"/>
      <c r="IYM11" s="65"/>
      <c r="IYN11" s="4"/>
      <c r="IYO11" s="4"/>
      <c r="IYP11" s="4"/>
      <c r="IYS11" s="34"/>
      <c r="IYT11" s="34"/>
      <c r="IYV11" s="34"/>
      <c r="IYW11" s="72"/>
      <c r="IYX11" s="63"/>
      <c r="IYY11" s="34"/>
      <c r="IYZ11" s="64"/>
      <c r="IZA11" s="4"/>
      <c r="IZB11" s="65"/>
      <c r="IZC11" s="4"/>
      <c r="IZD11" s="4"/>
      <c r="IZE11" s="4"/>
      <c r="IZH11" s="34"/>
      <c r="IZI11" s="34"/>
      <c r="IZK11" s="34"/>
      <c r="IZL11" s="72"/>
      <c r="IZM11" s="63"/>
      <c r="IZN11" s="34"/>
      <c r="IZO11" s="64"/>
      <c r="IZP11" s="4"/>
      <c r="IZQ11" s="65"/>
      <c r="IZR11" s="4"/>
      <c r="IZS11" s="4"/>
      <c r="IZT11" s="4"/>
      <c r="IZW11" s="34"/>
      <c r="IZX11" s="34"/>
      <c r="IZZ11" s="34"/>
      <c r="JAA11" s="72"/>
      <c r="JAB11" s="63"/>
      <c r="JAC11" s="34"/>
      <c r="JAD11" s="64"/>
      <c r="JAE11" s="4"/>
      <c r="JAF11" s="65"/>
      <c r="JAG11" s="4"/>
      <c r="JAH11" s="4"/>
      <c r="JAI11" s="4"/>
      <c r="JAL11" s="34"/>
      <c r="JAM11" s="34"/>
      <c r="JAO11" s="34"/>
      <c r="JAP11" s="72"/>
      <c r="JAQ11" s="63"/>
      <c r="JAR11" s="34"/>
      <c r="JAS11" s="64"/>
      <c r="JAT11" s="4"/>
      <c r="JAU11" s="65"/>
      <c r="JAV11" s="4"/>
      <c r="JAW11" s="4"/>
      <c r="JAX11" s="4"/>
      <c r="JBA11" s="34"/>
      <c r="JBB11" s="34"/>
      <c r="JBD11" s="34"/>
      <c r="JBE11" s="72"/>
      <c r="JBF11" s="63"/>
      <c r="JBG11" s="34"/>
      <c r="JBH11" s="64"/>
      <c r="JBI11" s="4"/>
      <c r="JBJ11" s="65"/>
      <c r="JBK11" s="4"/>
      <c r="JBL11" s="4"/>
      <c r="JBM11" s="4"/>
      <c r="JBP11" s="34"/>
      <c r="JBQ11" s="34"/>
      <c r="JBS11" s="34"/>
      <c r="JBT11" s="72"/>
      <c r="JBU11" s="63"/>
      <c r="JBV11" s="34"/>
      <c r="JBW11" s="64"/>
      <c r="JBX11" s="4"/>
      <c r="JBY11" s="65"/>
      <c r="JBZ11" s="4"/>
      <c r="JCA11" s="4"/>
      <c r="JCB11" s="4"/>
      <c r="JCE11" s="34"/>
      <c r="JCF11" s="34"/>
      <c r="JCH11" s="34"/>
      <c r="JCI11" s="72"/>
      <c r="JCJ11" s="63"/>
      <c r="JCK11" s="34"/>
      <c r="JCL11" s="64"/>
      <c r="JCM11" s="4"/>
      <c r="JCN11" s="65"/>
      <c r="JCO11" s="4"/>
      <c r="JCP11" s="4"/>
      <c r="JCQ11" s="4"/>
      <c r="JCT11" s="34"/>
      <c r="JCU11" s="34"/>
      <c r="JCW11" s="34"/>
      <c r="JCX11" s="72"/>
      <c r="JCY11" s="63"/>
      <c r="JCZ11" s="34"/>
      <c r="JDA11" s="64"/>
      <c r="JDB11" s="4"/>
      <c r="JDC11" s="65"/>
      <c r="JDD11" s="4"/>
      <c r="JDE11" s="4"/>
      <c r="JDF11" s="4"/>
      <c r="JDI11" s="34"/>
      <c r="JDJ11" s="34"/>
      <c r="JDL11" s="34"/>
      <c r="JDM11" s="72"/>
      <c r="JDN11" s="63"/>
      <c r="JDO11" s="34"/>
      <c r="JDP11" s="64"/>
      <c r="JDQ11" s="4"/>
      <c r="JDR11" s="65"/>
      <c r="JDS11" s="4"/>
      <c r="JDT11" s="4"/>
      <c r="JDU11" s="4"/>
      <c r="JDX11" s="34"/>
      <c r="JDY11" s="34"/>
      <c r="JEA11" s="34"/>
      <c r="JEB11" s="72"/>
      <c r="JEC11" s="63"/>
      <c r="JED11" s="34"/>
      <c r="JEE11" s="64"/>
      <c r="JEF11" s="4"/>
      <c r="JEG11" s="65"/>
      <c r="JEH11" s="4"/>
      <c r="JEI11" s="4"/>
      <c r="JEJ11" s="4"/>
      <c r="JEM11" s="34"/>
      <c r="JEN11" s="34"/>
      <c r="JEP11" s="34"/>
      <c r="JEQ11" s="72"/>
      <c r="JER11" s="63"/>
      <c r="JES11" s="34"/>
      <c r="JET11" s="64"/>
      <c r="JEU11" s="4"/>
      <c r="JEV11" s="65"/>
      <c r="JEW11" s="4"/>
      <c r="JEX11" s="4"/>
      <c r="JEY11" s="4"/>
      <c r="JFB11" s="34"/>
      <c r="JFC11" s="34"/>
      <c r="JFE11" s="34"/>
      <c r="JFF11" s="72"/>
      <c r="JFG11" s="63"/>
      <c r="JFH11" s="34"/>
      <c r="JFI11" s="64"/>
      <c r="JFJ11" s="4"/>
      <c r="JFK11" s="65"/>
      <c r="JFL11" s="4"/>
      <c r="JFM11" s="4"/>
      <c r="JFN11" s="4"/>
      <c r="JFQ11" s="34"/>
      <c r="JFR11" s="34"/>
      <c r="JFT11" s="34"/>
      <c r="JFU11" s="72"/>
      <c r="JFV11" s="63"/>
      <c r="JFW11" s="34"/>
      <c r="JFX11" s="64"/>
      <c r="JFY11" s="4"/>
      <c r="JFZ11" s="65"/>
      <c r="JGA11" s="4"/>
      <c r="JGB11" s="4"/>
      <c r="JGC11" s="4"/>
      <c r="JGF11" s="34"/>
      <c r="JGG11" s="34"/>
      <c r="JGI11" s="34"/>
      <c r="JGJ11" s="72"/>
      <c r="JGK11" s="63"/>
      <c r="JGL11" s="34"/>
      <c r="JGM11" s="64"/>
      <c r="JGN11" s="4"/>
      <c r="JGO11" s="65"/>
      <c r="JGP11" s="4"/>
      <c r="JGQ11" s="4"/>
      <c r="JGR11" s="4"/>
      <c r="JGU11" s="34"/>
      <c r="JGV11" s="34"/>
      <c r="JGX11" s="34"/>
      <c r="JGY11" s="72"/>
      <c r="JGZ11" s="63"/>
      <c r="JHA11" s="34"/>
      <c r="JHB11" s="64"/>
      <c r="JHC11" s="4"/>
      <c r="JHD11" s="65"/>
      <c r="JHE11" s="4"/>
      <c r="JHF11" s="4"/>
      <c r="JHG11" s="4"/>
      <c r="JHJ11" s="34"/>
      <c r="JHK11" s="34"/>
      <c r="JHM11" s="34"/>
      <c r="JHN11" s="72"/>
      <c r="JHO11" s="63"/>
      <c r="JHP11" s="34"/>
      <c r="JHQ11" s="64"/>
      <c r="JHR11" s="4"/>
      <c r="JHS11" s="65"/>
      <c r="JHT11" s="4"/>
      <c r="JHU11" s="4"/>
      <c r="JHV11" s="4"/>
      <c r="JHY11" s="34"/>
      <c r="JHZ11" s="34"/>
      <c r="JIB11" s="34"/>
      <c r="JIC11" s="72"/>
      <c r="JID11" s="63"/>
      <c r="JIE11" s="34"/>
      <c r="JIF11" s="64"/>
      <c r="JIG11" s="4"/>
      <c r="JIH11" s="65"/>
      <c r="JII11" s="4"/>
      <c r="JIJ11" s="4"/>
      <c r="JIK11" s="4"/>
      <c r="JIN11" s="34"/>
      <c r="JIO11" s="34"/>
      <c r="JIQ11" s="34"/>
      <c r="JIR11" s="72"/>
      <c r="JIS11" s="63"/>
      <c r="JIT11" s="34"/>
      <c r="JIU11" s="64"/>
      <c r="JIV11" s="4"/>
      <c r="JIW11" s="65"/>
      <c r="JIX11" s="4"/>
      <c r="JIY11" s="4"/>
      <c r="JIZ11" s="4"/>
      <c r="JJC11" s="34"/>
      <c r="JJD11" s="34"/>
      <c r="JJF11" s="34"/>
      <c r="JJG11" s="72"/>
      <c r="JJH11" s="63"/>
      <c r="JJI11" s="34"/>
      <c r="JJJ11" s="64"/>
      <c r="JJK11" s="4"/>
      <c r="JJL11" s="65"/>
      <c r="JJM11" s="4"/>
      <c r="JJN11" s="4"/>
      <c r="JJO11" s="4"/>
      <c r="JJR11" s="34"/>
      <c r="JJS11" s="34"/>
      <c r="JJU11" s="34"/>
      <c r="JJV11" s="72"/>
      <c r="JJW11" s="63"/>
      <c r="JJX11" s="34"/>
      <c r="JJY11" s="64"/>
      <c r="JJZ11" s="4"/>
      <c r="JKA11" s="65"/>
      <c r="JKB11" s="4"/>
      <c r="JKC11" s="4"/>
      <c r="JKD11" s="4"/>
      <c r="JKG11" s="34"/>
      <c r="JKH11" s="34"/>
      <c r="JKJ11" s="34"/>
      <c r="JKK11" s="72"/>
      <c r="JKL11" s="63"/>
      <c r="JKM11" s="34"/>
      <c r="JKN11" s="64"/>
      <c r="JKO11" s="4"/>
      <c r="JKP11" s="65"/>
      <c r="JKQ11" s="4"/>
      <c r="JKR11" s="4"/>
      <c r="JKS11" s="4"/>
      <c r="JKV11" s="34"/>
      <c r="JKW11" s="34"/>
      <c r="JKY11" s="34"/>
      <c r="JKZ11" s="72"/>
      <c r="JLA11" s="63"/>
      <c r="JLB11" s="34"/>
      <c r="JLC11" s="64"/>
      <c r="JLD11" s="4"/>
      <c r="JLE11" s="65"/>
      <c r="JLF11" s="4"/>
      <c r="JLG11" s="4"/>
      <c r="JLH11" s="4"/>
      <c r="JLK11" s="34"/>
      <c r="JLL11" s="34"/>
      <c r="JLN11" s="34"/>
      <c r="JLO11" s="72"/>
      <c r="JLP11" s="63"/>
      <c r="JLQ11" s="34"/>
      <c r="JLR11" s="64"/>
      <c r="JLS11" s="4"/>
      <c r="JLT11" s="65"/>
      <c r="JLU11" s="4"/>
      <c r="JLV11" s="4"/>
      <c r="JLW11" s="4"/>
      <c r="JLZ11" s="34"/>
      <c r="JMA11" s="34"/>
      <c r="JMC11" s="34"/>
      <c r="JMD11" s="72"/>
      <c r="JME11" s="63"/>
      <c r="JMF11" s="34"/>
      <c r="JMG11" s="64"/>
      <c r="JMH11" s="4"/>
      <c r="JMI11" s="65"/>
      <c r="JMJ11" s="4"/>
      <c r="JMK11" s="4"/>
      <c r="JML11" s="4"/>
      <c r="JMO11" s="34"/>
      <c r="JMP11" s="34"/>
      <c r="JMR11" s="34"/>
      <c r="JMS11" s="72"/>
      <c r="JMT11" s="63"/>
      <c r="JMU11" s="34"/>
      <c r="JMV11" s="64"/>
      <c r="JMW11" s="4"/>
      <c r="JMX11" s="65"/>
      <c r="JMY11" s="4"/>
      <c r="JMZ11" s="4"/>
      <c r="JNA11" s="4"/>
      <c r="JND11" s="34"/>
      <c r="JNE11" s="34"/>
      <c r="JNG11" s="34"/>
      <c r="JNH11" s="72"/>
      <c r="JNI11" s="63"/>
      <c r="JNJ11" s="34"/>
      <c r="JNK11" s="64"/>
      <c r="JNL11" s="4"/>
      <c r="JNM11" s="65"/>
      <c r="JNN11" s="4"/>
      <c r="JNO11" s="4"/>
      <c r="JNP11" s="4"/>
      <c r="JNS11" s="34"/>
      <c r="JNT11" s="34"/>
      <c r="JNV11" s="34"/>
      <c r="JNW11" s="72"/>
      <c r="JNX11" s="63"/>
      <c r="JNY11" s="34"/>
      <c r="JNZ11" s="64"/>
      <c r="JOA11" s="4"/>
      <c r="JOB11" s="65"/>
      <c r="JOC11" s="4"/>
      <c r="JOD11" s="4"/>
      <c r="JOE11" s="4"/>
      <c r="JOH11" s="34"/>
      <c r="JOI11" s="34"/>
      <c r="JOK11" s="34"/>
      <c r="JOL11" s="72"/>
      <c r="JOM11" s="63"/>
      <c r="JON11" s="34"/>
      <c r="JOO11" s="64"/>
      <c r="JOP11" s="4"/>
      <c r="JOQ11" s="65"/>
      <c r="JOR11" s="4"/>
      <c r="JOS11" s="4"/>
      <c r="JOT11" s="4"/>
      <c r="JOW11" s="34"/>
      <c r="JOX11" s="34"/>
      <c r="JOZ11" s="34"/>
      <c r="JPA11" s="72"/>
      <c r="JPB11" s="63"/>
      <c r="JPC11" s="34"/>
      <c r="JPD11" s="64"/>
      <c r="JPE11" s="4"/>
      <c r="JPF11" s="65"/>
      <c r="JPG11" s="4"/>
      <c r="JPH11" s="4"/>
      <c r="JPI11" s="4"/>
      <c r="JPL11" s="34"/>
      <c r="JPM11" s="34"/>
      <c r="JPO11" s="34"/>
      <c r="JPP11" s="72"/>
      <c r="JPQ11" s="63"/>
      <c r="JPR11" s="34"/>
      <c r="JPS11" s="64"/>
      <c r="JPT11" s="4"/>
      <c r="JPU11" s="65"/>
      <c r="JPV11" s="4"/>
      <c r="JPW11" s="4"/>
      <c r="JPX11" s="4"/>
      <c r="JQA11" s="34"/>
      <c r="JQB11" s="34"/>
      <c r="JQD11" s="34"/>
      <c r="JQE11" s="72"/>
      <c r="JQF11" s="63"/>
      <c r="JQG11" s="34"/>
      <c r="JQH11" s="64"/>
      <c r="JQI11" s="4"/>
      <c r="JQJ11" s="65"/>
      <c r="JQK11" s="4"/>
      <c r="JQL11" s="4"/>
      <c r="JQM11" s="4"/>
      <c r="JQP11" s="34"/>
      <c r="JQQ11" s="34"/>
      <c r="JQS11" s="34"/>
      <c r="JQT11" s="72"/>
      <c r="JQU11" s="63"/>
      <c r="JQV11" s="34"/>
      <c r="JQW11" s="64"/>
      <c r="JQX11" s="4"/>
      <c r="JQY11" s="65"/>
      <c r="JQZ11" s="4"/>
      <c r="JRA11" s="4"/>
      <c r="JRB11" s="4"/>
      <c r="JRE11" s="34"/>
      <c r="JRF11" s="34"/>
      <c r="JRH11" s="34"/>
      <c r="JRI11" s="72"/>
      <c r="JRJ11" s="63"/>
      <c r="JRK11" s="34"/>
      <c r="JRL11" s="64"/>
      <c r="JRM11" s="4"/>
      <c r="JRN11" s="65"/>
      <c r="JRO11" s="4"/>
      <c r="JRP11" s="4"/>
      <c r="JRQ11" s="4"/>
      <c r="JRT11" s="34"/>
      <c r="JRU11" s="34"/>
      <c r="JRW11" s="34"/>
      <c r="JRX11" s="72"/>
      <c r="JRY11" s="63"/>
      <c r="JRZ11" s="34"/>
      <c r="JSA11" s="64"/>
      <c r="JSB11" s="4"/>
      <c r="JSC11" s="65"/>
      <c r="JSD11" s="4"/>
      <c r="JSE11" s="4"/>
      <c r="JSF11" s="4"/>
      <c r="JSI11" s="34"/>
      <c r="JSJ11" s="34"/>
      <c r="JSL11" s="34"/>
      <c r="JSM11" s="72"/>
      <c r="JSN11" s="63"/>
      <c r="JSO11" s="34"/>
      <c r="JSP11" s="64"/>
      <c r="JSQ11" s="4"/>
      <c r="JSR11" s="65"/>
      <c r="JSS11" s="4"/>
      <c r="JST11" s="4"/>
      <c r="JSU11" s="4"/>
      <c r="JSX11" s="34"/>
      <c r="JSY11" s="34"/>
      <c r="JTA11" s="34"/>
      <c r="JTB11" s="72"/>
      <c r="JTC11" s="63"/>
      <c r="JTD11" s="34"/>
      <c r="JTE11" s="64"/>
      <c r="JTF11" s="4"/>
      <c r="JTG11" s="65"/>
      <c r="JTH11" s="4"/>
      <c r="JTI11" s="4"/>
      <c r="JTJ11" s="4"/>
      <c r="JTM11" s="34"/>
      <c r="JTN11" s="34"/>
      <c r="JTP11" s="34"/>
      <c r="JTQ11" s="72"/>
      <c r="JTR11" s="63"/>
      <c r="JTS11" s="34"/>
      <c r="JTT11" s="64"/>
      <c r="JTU11" s="4"/>
      <c r="JTV11" s="65"/>
      <c r="JTW11" s="4"/>
      <c r="JTX11" s="4"/>
      <c r="JTY11" s="4"/>
      <c r="JUB11" s="34"/>
      <c r="JUC11" s="34"/>
      <c r="JUE11" s="34"/>
      <c r="JUF11" s="72"/>
      <c r="JUG11" s="63"/>
      <c r="JUH11" s="34"/>
      <c r="JUI11" s="64"/>
      <c r="JUJ11" s="4"/>
      <c r="JUK11" s="65"/>
      <c r="JUL11" s="4"/>
      <c r="JUM11" s="4"/>
      <c r="JUN11" s="4"/>
      <c r="JUQ11" s="34"/>
      <c r="JUR11" s="34"/>
      <c r="JUT11" s="34"/>
      <c r="JUU11" s="72"/>
      <c r="JUV11" s="63"/>
      <c r="JUW11" s="34"/>
      <c r="JUX11" s="64"/>
      <c r="JUY11" s="4"/>
      <c r="JUZ11" s="65"/>
      <c r="JVA11" s="4"/>
      <c r="JVB11" s="4"/>
      <c r="JVC11" s="4"/>
      <c r="JVF11" s="34"/>
      <c r="JVG11" s="34"/>
      <c r="JVI11" s="34"/>
      <c r="JVJ11" s="72"/>
      <c r="JVK11" s="63"/>
      <c r="JVL11" s="34"/>
      <c r="JVM11" s="64"/>
      <c r="JVN11" s="4"/>
      <c r="JVO11" s="65"/>
      <c r="JVP11" s="4"/>
      <c r="JVQ11" s="4"/>
      <c r="JVR11" s="4"/>
      <c r="JVU11" s="34"/>
      <c r="JVV11" s="34"/>
      <c r="JVX11" s="34"/>
      <c r="JVY11" s="72"/>
      <c r="JVZ11" s="63"/>
      <c r="JWA11" s="34"/>
      <c r="JWB11" s="64"/>
      <c r="JWC11" s="4"/>
      <c r="JWD11" s="65"/>
      <c r="JWE11" s="4"/>
      <c r="JWF11" s="4"/>
      <c r="JWG11" s="4"/>
      <c r="JWJ11" s="34"/>
      <c r="JWK11" s="34"/>
      <c r="JWM11" s="34"/>
      <c r="JWN11" s="72"/>
      <c r="JWO11" s="63"/>
      <c r="JWP11" s="34"/>
      <c r="JWQ11" s="64"/>
      <c r="JWR11" s="4"/>
      <c r="JWS11" s="65"/>
      <c r="JWT11" s="4"/>
      <c r="JWU11" s="4"/>
      <c r="JWV11" s="4"/>
      <c r="JWY11" s="34"/>
      <c r="JWZ11" s="34"/>
      <c r="JXB11" s="34"/>
      <c r="JXC11" s="72"/>
      <c r="JXD11" s="63"/>
      <c r="JXE11" s="34"/>
      <c r="JXF11" s="64"/>
      <c r="JXG11" s="4"/>
      <c r="JXH11" s="65"/>
      <c r="JXI11" s="4"/>
      <c r="JXJ11" s="4"/>
      <c r="JXK11" s="4"/>
      <c r="JXN11" s="34"/>
      <c r="JXO11" s="34"/>
      <c r="JXQ11" s="34"/>
      <c r="JXR11" s="72"/>
      <c r="JXS11" s="63"/>
      <c r="JXT11" s="34"/>
      <c r="JXU11" s="64"/>
      <c r="JXV11" s="4"/>
      <c r="JXW11" s="65"/>
      <c r="JXX11" s="4"/>
      <c r="JXY11" s="4"/>
      <c r="JXZ11" s="4"/>
      <c r="JYC11" s="34"/>
      <c r="JYD11" s="34"/>
      <c r="JYF11" s="34"/>
      <c r="JYG11" s="72"/>
      <c r="JYH11" s="63"/>
      <c r="JYI11" s="34"/>
      <c r="JYJ11" s="64"/>
      <c r="JYK11" s="4"/>
      <c r="JYL11" s="65"/>
      <c r="JYM11" s="4"/>
      <c r="JYN11" s="4"/>
      <c r="JYO11" s="4"/>
      <c r="JYR11" s="34"/>
      <c r="JYS11" s="34"/>
      <c r="JYU11" s="34"/>
      <c r="JYV11" s="72"/>
      <c r="JYW11" s="63"/>
      <c r="JYX11" s="34"/>
      <c r="JYY11" s="64"/>
      <c r="JYZ11" s="4"/>
      <c r="JZA11" s="65"/>
      <c r="JZB11" s="4"/>
      <c r="JZC11" s="4"/>
      <c r="JZD11" s="4"/>
      <c r="JZG11" s="34"/>
      <c r="JZH11" s="34"/>
      <c r="JZJ11" s="34"/>
      <c r="JZK11" s="72"/>
      <c r="JZL11" s="63"/>
      <c r="JZM11" s="34"/>
      <c r="JZN11" s="64"/>
      <c r="JZO11" s="4"/>
      <c r="JZP11" s="65"/>
      <c r="JZQ11" s="4"/>
      <c r="JZR11" s="4"/>
      <c r="JZS11" s="4"/>
      <c r="JZV11" s="34"/>
      <c r="JZW11" s="34"/>
      <c r="JZY11" s="34"/>
      <c r="JZZ11" s="72"/>
      <c r="KAA11" s="63"/>
      <c r="KAB11" s="34"/>
      <c r="KAC11" s="64"/>
      <c r="KAD11" s="4"/>
      <c r="KAE11" s="65"/>
      <c r="KAF11" s="4"/>
      <c r="KAG11" s="4"/>
      <c r="KAH11" s="4"/>
      <c r="KAK11" s="34"/>
      <c r="KAL11" s="34"/>
      <c r="KAN11" s="34"/>
      <c r="KAO11" s="72"/>
      <c r="KAP11" s="63"/>
      <c r="KAQ11" s="34"/>
      <c r="KAR11" s="64"/>
      <c r="KAS11" s="4"/>
      <c r="KAT11" s="65"/>
      <c r="KAU11" s="4"/>
      <c r="KAV11" s="4"/>
      <c r="KAW11" s="4"/>
      <c r="KAZ11" s="34"/>
      <c r="KBA11" s="34"/>
      <c r="KBC11" s="34"/>
      <c r="KBD11" s="72"/>
      <c r="KBE11" s="63"/>
      <c r="KBF11" s="34"/>
      <c r="KBG11" s="64"/>
      <c r="KBH11" s="4"/>
      <c r="KBI11" s="65"/>
      <c r="KBJ11" s="4"/>
      <c r="KBK11" s="4"/>
      <c r="KBL11" s="4"/>
      <c r="KBO11" s="34"/>
      <c r="KBP11" s="34"/>
      <c r="KBR11" s="34"/>
      <c r="KBS11" s="72"/>
      <c r="KBT11" s="63"/>
      <c r="KBU11" s="34"/>
      <c r="KBV11" s="64"/>
      <c r="KBW11" s="4"/>
      <c r="KBX11" s="65"/>
      <c r="KBY11" s="4"/>
      <c r="KBZ11" s="4"/>
      <c r="KCA11" s="4"/>
      <c r="KCD11" s="34"/>
      <c r="KCE11" s="34"/>
      <c r="KCG11" s="34"/>
      <c r="KCH11" s="72"/>
      <c r="KCI11" s="63"/>
      <c r="KCJ11" s="34"/>
      <c r="KCK11" s="64"/>
      <c r="KCL11" s="4"/>
      <c r="KCM11" s="65"/>
      <c r="KCN11" s="4"/>
      <c r="KCO11" s="4"/>
      <c r="KCP11" s="4"/>
      <c r="KCS11" s="34"/>
      <c r="KCT11" s="34"/>
      <c r="KCV11" s="34"/>
      <c r="KCW11" s="72"/>
      <c r="KCX11" s="63"/>
      <c r="KCY11" s="34"/>
      <c r="KCZ11" s="64"/>
      <c r="KDA11" s="4"/>
      <c r="KDB11" s="65"/>
      <c r="KDC11" s="4"/>
      <c r="KDD11" s="4"/>
      <c r="KDE11" s="4"/>
      <c r="KDH11" s="34"/>
      <c r="KDI11" s="34"/>
      <c r="KDK11" s="34"/>
      <c r="KDL11" s="72"/>
      <c r="KDM11" s="63"/>
      <c r="KDN11" s="34"/>
      <c r="KDO11" s="64"/>
      <c r="KDP11" s="4"/>
      <c r="KDQ11" s="65"/>
      <c r="KDR11" s="4"/>
      <c r="KDS11" s="4"/>
      <c r="KDT11" s="4"/>
      <c r="KDW11" s="34"/>
      <c r="KDX11" s="34"/>
      <c r="KDZ11" s="34"/>
      <c r="KEA11" s="72"/>
      <c r="KEB11" s="63"/>
      <c r="KEC11" s="34"/>
      <c r="KED11" s="64"/>
      <c r="KEE11" s="4"/>
      <c r="KEF11" s="65"/>
      <c r="KEG11" s="4"/>
      <c r="KEH11" s="4"/>
      <c r="KEI11" s="4"/>
      <c r="KEL11" s="34"/>
      <c r="KEM11" s="34"/>
      <c r="KEO11" s="34"/>
      <c r="KEP11" s="72"/>
      <c r="KEQ11" s="63"/>
      <c r="KER11" s="34"/>
      <c r="KES11" s="64"/>
      <c r="KET11" s="4"/>
      <c r="KEU11" s="65"/>
      <c r="KEV11" s="4"/>
      <c r="KEW11" s="4"/>
      <c r="KEX11" s="4"/>
      <c r="KFA11" s="34"/>
      <c r="KFB11" s="34"/>
      <c r="KFD11" s="34"/>
      <c r="KFE11" s="72"/>
      <c r="KFF11" s="63"/>
      <c r="KFG11" s="34"/>
      <c r="KFH11" s="64"/>
      <c r="KFI11" s="4"/>
      <c r="KFJ11" s="65"/>
      <c r="KFK11" s="4"/>
      <c r="KFL11" s="4"/>
      <c r="KFM11" s="4"/>
      <c r="KFP11" s="34"/>
      <c r="KFQ11" s="34"/>
      <c r="KFS11" s="34"/>
      <c r="KFT11" s="72"/>
      <c r="KFU11" s="63"/>
      <c r="KFV11" s="34"/>
      <c r="KFW11" s="64"/>
      <c r="KFX11" s="4"/>
      <c r="KFY11" s="65"/>
      <c r="KFZ11" s="4"/>
      <c r="KGA11" s="4"/>
      <c r="KGB11" s="4"/>
      <c r="KGE11" s="34"/>
      <c r="KGF11" s="34"/>
      <c r="KGH11" s="34"/>
      <c r="KGI11" s="72"/>
      <c r="KGJ11" s="63"/>
      <c r="KGK11" s="34"/>
      <c r="KGL11" s="64"/>
      <c r="KGM11" s="4"/>
      <c r="KGN11" s="65"/>
      <c r="KGO11" s="4"/>
      <c r="KGP11" s="4"/>
      <c r="KGQ11" s="4"/>
      <c r="KGT11" s="34"/>
      <c r="KGU11" s="34"/>
      <c r="KGW11" s="34"/>
      <c r="KGX11" s="72"/>
      <c r="KGY11" s="63"/>
      <c r="KGZ11" s="34"/>
      <c r="KHA11" s="64"/>
      <c r="KHB11" s="4"/>
      <c r="KHC11" s="65"/>
      <c r="KHD11" s="4"/>
      <c r="KHE11" s="4"/>
      <c r="KHF11" s="4"/>
      <c r="KHI11" s="34"/>
      <c r="KHJ11" s="34"/>
      <c r="KHL11" s="34"/>
      <c r="KHM11" s="72"/>
      <c r="KHN11" s="63"/>
      <c r="KHO11" s="34"/>
      <c r="KHP11" s="64"/>
      <c r="KHQ11" s="4"/>
      <c r="KHR11" s="65"/>
      <c r="KHS11" s="4"/>
      <c r="KHT11" s="4"/>
      <c r="KHU11" s="4"/>
      <c r="KHX11" s="34"/>
      <c r="KHY11" s="34"/>
      <c r="KIA11" s="34"/>
      <c r="KIB11" s="72"/>
      <c r="KIC11" s="63"/>
      <c r="KID11" s="34"/>
      <c r="KIE11" s="64"/>
      <c r="KIF11" s="4"/>
      <c r="KIG11" s="65"/>
      <c r="KIH11" s="4"/>
      <c r="KII11" s="4"/>
      <c r="KIJ11" s="4"/>
      <c r="KIM11" s="34"/>
      <c r="KIN11" s="34"/>
      <c r="KIP11" s="34"/>
      <c r="KIQ11" s="72"/>
      <c r="KIR11" s="63"/>
      <c r="KIS11" s="34"/>
      <c r="KIT11" s="64"/>
      <c r="KIU11" s="4"/>
      <c r="KIV11" s="65"/>
      <c r="KIW11" s="4"/>
      <c r="KIX11" s="4"/>
      <c r="KIY11" s="4"/>
      <c r="KJB11" s="34"/>
      <c r="KJC11" s="34"/>
      <c r="KJE11" s="34"/>
      <c r="KJF11" s="72"/>
      <c r="KJG11" s="63"/>
      <c r="KJH11" s="34"/>
      <c r="KJI11" s="64"/>
      <c r="KJJ11" s="4"/>
      <c r="KJK11" s="65"/>
      <c r="KJL11" s="4"/>
      <c r="KJM11" s="4"/>
      <c r="KJN11" s="4"/>
      <c r="KJQ11" s="34"/>
      <c r="KJR11" s="34"/>
      <c r="KJT11" s="34"/>
      <c r="KJU11" s="72"/>
      <c r="KJV11" s="63"/>
      <c r="KJW11" s="34"/>
      <c r="KJX11" s="64"/>
      <c r="KJY11" s="4"/>
      <c r="KJZ11" s="65"/>
      <c r="KKA11" s="4"/>
      <c r="KKB11" s="4"/>
      <c r="KKC11" s="4"/>
      <c r="KKF11" s="34"/>
      <c r="KKG11" s="34"/>
      <c r="KKI11" s="34"/>
      <c r="KKJ11" s="72"/>
      <c r="KKK11" s="63"/>
      <c r="KKL11" s="34"/>
      <c r="KKM11" s="64"/>
      <c r="KKN11" s="4"/>
      <c r="KKO11" s="65"/>
      <c r="KKP11" s="4"/>
      <c r="KKQ11" s="4"/>
      <c r="KKR11" s="4"/>
      <c r="KKU11" s="34"/>
      <c r="KKV11" s="34"/>
      <c r="KKX11" s="34"/>
      <c r="KKY11" s="72"/>
      <c r="KKZ11" s="63"/>
      <c r="KLA11" s="34"/>
      <c r="KLB11" s="64"/>
      <c r="KLC11" s="4"/>
      <c r="KLD11" s="65"/>
      <c r="KLE11" s="4"/>
      <c r="KLF11" s="4"/>
      <c r="KLG11" s="4"/>
      <c r="KLJ11" s="34"/>
      <c r="KLK11" s="34"/>
      <c r="KLM11" s="34"/>
      <c r="KLN11" s="72"/>
      <c r="KLO11" s="63"/>
      <c r="KLP11" s="34"/>
      <c r="KLQ11" s="64"/>
      <c r="KLR11" s="4"/>
      <c r="KLS11" s="65"/>
      <c r="KLT11" s="4"/>
      <c r="KLU11" s="4"/>
      <c r="KLV11" s="4"/>
      <c r="KLY11" s="34"/>
      <c r="KLZ11" s="34"/>
      <c r="KMB11" s="34"/>
      <c r="KMC11" s="72"/>
      <c r="KMD11" s="63"/>
      <c r="KME11" s="34"/>
      <c r="KMF11" s="64"/>
      <c r="KMG11" s="4"/>
      <c r="KMH11" s="65"/>
      <c r="KMI11" s="4"/>
      <c r="KMJ11" s="4"/>
      <c r="KMK11" s="4"/>
      <c r="KMN11" s="34"/>
      <c r="KMO11" s="34"/>
      <c r="KMQ11" s="34"/>
      <c r="KMR11" s="72"/>
      <c r="KMS11" s="63"/>
      <c r="KMT11" s="34"/>
      <c r="KMU11" s="64"/>
      <c r="KMV11" s="4"/>
      <c r="KMW11" s="65"/>
      <c r="KMX11" s="4"/>
      <c r="KMY11" s="4"/>
      <c r="KMZ11" s="4"/>
      <c r="KNC11" s="34"/>
      <c r="KND11" s="34"/>
      <c r="KNF11" s="34"/>
      <c r="KNG11" s="72"/>
      <c r="KNH11" s="63"/>
      <c r="KNI11" s="34"/>
      <c r="KNJ11" s="64"/>
      <c r="KNK11" s="4"/>
      <c r="KNL11" s="65"/>
      <c r="KNM11" s="4"/>
      <c r="KNN11" s="4"/>
      <c r="KNO11" s="4"/>
      <c r="KNR11" s="34"/>
      <c r="KNS11" s="34"/>
      <c r="KNU11" s="34"/>
      <c r="KNV11" s="72"/>
      <c r="KNW11" s="63"/>
      <c r="KNX11" s="34"/>
      <c r="KNY11" s="64"/>
      <c r="KNZ11" s="4"/>
      <c r="KOA11" s="65"/>
      <c r="KOB11" s="4"/>
      <c r="KOC11" s="4"/>
      <c r="KOD11" s="4"/>
      <c r="KOG11" s="34"/>
      <c r="KOH11" s="34"/>
      <c r="KOJ11" s="34"/>
      <c r="KOK11" s="72"/>
      <c r="KOL11" s="63"/>
      <c r="KOM11" s="34"/>
      <c r="KON11" s="64"/>
      <c r="KOO11" s="4"/>
      <c r="KOP11" s="65"/>
      <c r="KOQ11" s="4"/>
      <c r="KOR11" s="4"/>
      <c r="KOS11" s="4"/>
      <c r="KOV11" s="34"/>
      <c r="KOW11" s="34"/>
      <c r="KOY11" s="34"/>
      <c r="KOZ11" s="72"/>
      <c r="KPA11" s="63"/>
      <c r="KPB11" s="34"/>
      <c r="KPC11" s="64"/>
      <c r="KPD11" s="4"/>
      <c r="KPE11" s="65"/>
      <c r="KPF11" s="4"/>
      <c r="KPG11" s="4"/>
      <c r="KPH11" s="4"/>
      <c r="KPK11" s="34"/>
      <c r="KPL11" s="34"/>
      <c r="KPN11" s="34"/>
      <c r="KPO11" s="72"/>
      <c r="KPP11" s="63"/>
      <c r="KPQ11" s="34"/>
      <c r="KPR11" s="64"/>
      <c r="KPS11" s="4"/>
      <c r="KPT11" s="65"/>
      <c r="KPU11" s="4"/>
      <c r="KPV11" s="4"/>
      <c r="KPW11" s="4"/>
      <c r="KPZ11" s="34"/>
      <c r="KQA11" s="34"/>
      <c r="KQC11" s="34"/>
      <c r="KQD11" s="72"/>
      <c r="KQE11" s="63"/>
      <c r="KQF11" s="34"/>
      <c r="KQG11" s="64"/>
      <c r="KQH11" s="4"/>
      <c r="KQI11" s="65"/>
      <c r="KQJ11" s="4"/>
      <c r="KQK11" s="4"/>
      <c r="KQL11" s="4"/>
      <c r="KQO11" s="34"/>
      <c r="KQP11" s="34"/>
      <c r="KQR11" s="34"/>
      <c r="KQS11" s="72"/>
      <c r="KQT11" s="63"/>
      <c r="KQU11" s="34"/>
      <c r="KQV11" s="64"/>
      <c r="KQW11" s="4"/>
      <c r="KQX11" s="65"/>
      <c r="KQY11" s="4"/>
      <c r="KQZ11" s="4"/>
      <c r="KRA11" s="4"/>
      <c r="KRD11" s="34"/>
      <c r="KRE11" s="34"/>
      <c r="KRG11" s="34"/>
      <c r="KRH11" s="72"/>
      <c r="KRI11" s="63"/>
      <c r="KRJ11" s="34"/>
      <c r="KRK11" s="64"/>
      <c r="KRL11" s="4"/>
      <c r="KRM11" s="65"/>
      <c r="KRN11" s="4"/>
      <c r="KRO11" s="4"/>
      <c r="KRP11" s="4"/>
      <c r="KRS11" s="34"/>
      <c r="KRT11" s="34"/>
      <c r="KRV11" s="34"/>
      <c r="KRW11" s="72"/>
      <c r="KRX11" s="63"/>
      <c r="KRY11" s="34"/>
      <c r="KRZ11" s="64"/>
      <c r="KSA11" s="4"/>
      <c r="KSB11" s="65"/>
      <c r="KSC11" s="4"/>
      <c r="KSD11" s="4"/>
      <c r="KSE11" s="4"/>
      <c r="KSH11" s="34"/>
      <c r="KSI11" s="34"/>
      <c r="KSK11" s="34"/>
      <c r="KSL11" s="72"/>
      <c r="KSM11" s="63"/>
      <c r="KSN11" s="34"/>
      <c r="KSO11" s="64"/>
      <c r="KSP11" s="4"/>
      <c r="KSQ11" s="65"/>
      <c r="KSR11" s="4"/>
      <c r="KSS11" s="4"/>
      <c r="KST11" s="4"/>
      <c r="KSW11" s="34"/>
      <c r="KSX11" s="34"/>
      <c r="KSZ11" s="34"/>
      <c r="KTA11" s="72"/>
      <c r="KTB11" s="63"/>
      <c r="KTC11" s="34"/>
      <c r="KTD11" s="64"/>
      <c r="KTE11" s="4"/>
      <c r="KTF11" s="65"/>
      <c r="KTG11" s="4"/>
      <c r="KTH11" s="4"/>
      <c r="KTI11" s="4"/>
      <c r="KTL11" s="34"/>
      <c r="KTM11" s="34"/>
      <c r="KTO11" s="34"/>
      <c r="KTP11" s="72"/>
      <c r="KTQ11" s="63"/>
      <c r="KTR11" s="34"/>
      <c r="KTS11" s="64"/>
      <c r="KTT11" s="4"/>
      <c r="KTU11" s="65"/>
      <c r="KTV11" s="4"/>
      <c r="KTW11" s="4"/>
      <c r="KTX11" s="4"/>
      <c r="KUA11" s="34"/>
      <c r="KUB11" s="34"/>
      <c r="KUD11" s="34"/>
      <c r="KUE11" s="72"/>
      <c r="KUF11" s="63"/>
      <c r="KUG11" s="34"/>
      <c r="KUH11" s="64"/>
      <c r="KUI11" s="4"/>
      <c r="KUJ11" s="65"/>
      <c r="KUK11" s="4"/>
      <c r="KUL11" s="4"/>
      <c r="KUM11" s="4"/>
      <c r="KUP11" s="34"/>
      <c r="KUQ11" s="34"/>
      <c r="KUS11" s="34"/>
      <c r="KUT11" s="72"/>
      <c r="KUU11" s="63"/>
      <c r="KUV11" s="34"/>
      <c r="KUW11" s="64"/>
      <c r="KUX11" s="4"/>
      <c r="KUY11" s="65"/>
      <c r="KUZ11" s="4"/>
      <c r="KVA11" s="4"/>
      <c r="KVB11" s="4"/>
      <c r="KVE11" s="34"/>
      <c r="KVF11" s="34"/>
      <c r="KVH11" s="34"/>
      <c r="KVI11" s="72"/>
      <c r="KVJ11" s="63"/>
      <c r="KVK11" s="34"/>
      <c r="KVL11" s="64"/>
      <c r="KVM11" s="4"/>
      <c r="KVN11" s="65"/>
      <c r="KVO11" s="4"/>
      <c r="KVP11" s="4"/>
      <c r="KVQ11" s="4"/>
      <c r="KVT11" s="34"/>
      <c r="KVU11" s="34"/>
      <c r="KVW11" s="34"/>
      <c r="KVX11" s="72"/>
      <c r="KVY11" s="63"/>
      <c r="KVZ11" s="34"/>
      <c r="KWA11" s="64"/>
      <c r="KWB11" s="4"/>
      <c r="KWC11" s="65"/>
      <c r="KWD11" s="4"/>
      <c r="KWE11" s="4"/>
      <c r="KWF11" s="4"/>
      <c r="KWI11" s="34"/>
      <c r="KWJ11" s="34"/>
      <c r="KWL11" s="34"/>
      <c r="KWM11" s="72"/>
      <c r="KWN11" s="63"/>
      <c r="KWO11" s="34"/>
      <c r="KWP11" s="64"/>
      <c r="KWQ11" s="4"/>
      <c r="KWR11" s="65"/>
      <c r="KWS11" s="4"/>
      <c r="KWT11" s="4"/>
      <c r="KWU11" s="4"/>
      <c r="KWX11" s="34"/>
      <c r="KWY11" s="34"/>
      <c r="KXA11" s="34"/>
      <c r="KXB11" s="72"/>
      <c r="KXC11" s="63"/>
      <c r="KXD11" s="34"/>
      <c r="KXE11" s="64"/>
      <c r="KXF11" s="4"/>
      <c r="KXG11" s="65"/>
      <c r="KXH11" s="4"/>
      <c r="KXI11" s="4"/>
      <c r="KXJ11" s="4"/>
      <c r="KXM11" s="34"/>
      <c r="KXN11" s="34"/>
      <c r="KXP11" s="34"/>
      <c r="KXQ11" s="72"/>
      <c r="KXR11" s="63"/>
      <c r="KXS11" s="34"/>
      <c r="KXT11" s="64"/>
      <c r="KXU11" s="4"/>
      <c r="KXV11" s="65"/>
      <c r="KXW11" s="4"/>
      <c r="KXX11" s="4"/>
      <c r="KXY11" s="4"/>
      <c r="KYB11" s="34"/>
      <c r="KYC11" s="34"/>
      <c r="KYE11" s="34"/>
      <c r="KYF11" s="72"/>
      <c r="KYG11" s="63"/>
      <c r="KYH11" s="34"/>
      <c r="KYI11" s="64"/>
      <c r="KYJ11" s="4"/>
      <c r="KYK11" s="65"/>
      <c r="KYL11" s="4"/>
      <c r="KYM11" s="4"/>
      <c r="KYN11" s="4"/>
      <c r="KYQ11" s="34"/>
      <c r="KYR11" s="34"/>
      <c r="KYT11" s="34"/>
      <c r="KYU11" s="72"/>
      <c r="KYV11" s="63"/>
      <c r="KYW11" s="34"/>
      <c r="KYX11" s="64"/>
      <c r="KYY11" s="4"/>
      <c r="KYZ11" s="65"/>
      <c r="KZA11" s="4"/>
      <c r="KZB11" s="4"/>
      <c r="KZC11" s="4"/>
      <c r="KZF11" s="34"/>
      <c r="KZG11" s="34"/>
      <c r="KZI11" s="34"/>
      <c r="KZJ11" s="72"/>
      <c r="KZK11" s="63"/>
      <c r="KZL11" s="34"/>
      <c r="KZM11" s="64"/>
      <c r="KZN11" s="4"/>
      <c r="KZO11" s="65"/>
      <c r="KZP11" s="4"/>
      <c r="KZQ11" s="4"/>
      <c r="KZR11" s="4"/>
      <c r="KZU11" s="34"/>
      <c r="KZV11" s="34"/>
      <c r="KZX11" s="34"/>
      <c r="KZY11" s="72"/>
      <c r="KZZ11" s="63"/>
      <c r="LAA11" s="34"/>
      <c r="LAB11" s="64"/>
      <c r="LAC11" s="4"/>
      <c r="LAD11" s="65"/>
      <c r="LAE11" s="4"/>
      <c r="LAF11" s="4"/>
      <c r="LAG11" s="4"/>
      <c r="LAJ11" s="34"/>
      <c r="LAK11" s="34"/>
      <c r="LAM11" s="34"/>
      <c r="LAN11" s="72"/>
      <c r="LAO11" s="63"/>
      <c r="LAP11" s="34"/>
      <c r="LAQ11" s="64"/>
      <c r="LAR11" s="4"/>
      <c r="LAS11" s="65"/>
      <c r="LAT11" s="4"/>
      <c r="LAU11" s="4"/>
      <c r="LAV11" s="4"/>
      <c r="LAY11" s="34"/>
      <c r="LAZ11" s="34"/>
      <c r="LBB11" s="34"/>
      <c r="LBC11" s="72"/>
      <c r="LBD11" s="63"/>
      <c r="LBE11" s="34"/>
      <c r="LBF11" s="64"/>
      <c r="LBG11" s="4"/>
      <c r="LBH11" s="65"/>
      <c r="LBI11" s="4"/>
      <c r="LBJ11" s="4"/>
      <c r="LBK11" s="4"/>
      <c r="LBN11" s="34"/>
      <c r="LBO11" s="34"/>
      <c r="LBQ11" s="34"/>
      <c r="LBR11" s="72"/>
      <c r="LBS11" s="63"/>
      <c r="LBT11" s="34"/>
      <c r="LBU11" s="64"/>
      <c r="LBV11" s="4"/>
      <c r="LBW11" s="65"/>
      <c r="LBX11" s="4"/>
      <c r="LBY11" s="4"/>
      <c r="LBZ11" s="4"/>
      <c r="LCC11" s="34"/>
      <c r="LCD11" s="34"/>
      <c r="LCF11" s="34"/>
      <c r="LCG11" s="72"/>
      <c r="LCH11" s="63"/>
      <c r="LCI11" s="34"/>
      <c r="LCJ11" s="64"/>
      <c r="LCK11" s="4"/>
      <c r="LCL11" s="65"/>
      <c r="LCM11" s="4"/>
      <c r="LCN11" s="4"/>
      <c r="LCO11" s="4"/>
      <c r="LCR11" s="34"/>
      <c r="LCS11" s="34"/>
      <c r="LCU11" s="34"/>
      <c r="LCV11" s="72"/>
      <c r="LCW11" s="63"/>
      <c r="LCX11" s="34"/>
      <c r="LCY11" s="64"/>
      <c r="LCZ11" s="4"/>
      <c r="LDA11" s="65"/>
      <c r="LDB11" s="4"/>
      <c r="LDC11" s="4"/>
      <c r="LDD11" s="4"/>
      <c r="LDG11" s="34"/>
      <c r="LDH11" s="34"/>
      <c r="LDJ11" s="34"/>
      <c r="LDK11" s="72"/>
      <c r="LDL11" s="63"/>
      <c r="LDM11" s="34"/>
      <c r="LDN11" s="64"/>
      <c r="LDO11" s="4"/>
      <c r="LDP11" s="65"/>
      <c r="LDQ11" s="4"/>
      <c r="LDR11" s="4"/>
      <c r="LDS11" s="4"/>
      <c r="LDV11" s="34"/>
      <c r="LDW11" s="34"/>
      <c r="LDY11" s="34"/>
      <c r="LDZ11" s="72"/>
      <c r="LEA11" s="63"/>
      <c r="LEB11" s="34"/>
      <c r="LEC11" s="64"/>
      <c r="LED11" s="4"/>
      <c r="LEE11" s="65"/>
      <c r="LEF11" s="4"/>
      <c r="LEG11" s="4"/>
      <c r="LEH11" s="4"/>
      <c r="LEK11" s="34"/>
      <c r="LEL11" s="34"/>
      <c r="LEN11" s="34"/>
      <c r="LEO11" s="72"/>
      <c r="LEP11" s="63"/>
      <c r="LEQ11" s="34"/>
      <c r="LER11" s="64"/>
      <c r="LES11" s="4"/>
      <c r="LET11" s="65"/>
      <c r="LEU11" s="4"/>
      <c r="LEV11" s="4"/>
      <c r="LEW11" s="4"/>
      <c r="LEZ11" s="34"/>
      <c r="LFA11" s="34"/>
      <c r="LFC11" s="34"/>
      <c r="LFD11" s="72"/>
      <c r="LFE11" s="63"/>
      <c r="LFF11" s="34"/>
      <c r="LFG11" s="64"/>
      <c r="LFH11" s="4"/>
      <c r="LFI11" s="65"/>
      <c r="LFJ11" s="4"/>
      <c r="LFK11" s="4"/>
      <c r="LFL11" s="4"/>
      <c r="LFO11" s="34"/>
      <c r="LFP11" s="34"/>
      <c r="LFR11" s="34"/>
      <c r="LFS11" s="72"/>
      <c r="LFT11" s="63"/>
      <c r="LFU11" s="34"/>
      <c r="LFV11" s="64"/>
      <c r="LFW11" s="4"/>
      <c r="LFX11" s="65"/>
      <c r="LFY11" s="4"/>
      <c r="LFZ11" s="4"/>
      <c r="LGA11" s="4"/>
      <c r="LGD11" s="34"/>
      <c r="LGE11" s="34"/>
      <c r="LGG11" s="34"/>
      <c r="LGH11" s="72"/>
      <c r="LGI11" s="63"/>
      <c r="LGJ11" s="34"/>
      <c r="LGK11" s="64"/>
      <c r="LGL11" s="4"/>
      <c r="LGM11" s="65"/>
      <c r="LGN11" s="4"/>
      <c r="LGO11" s="4"/>
      <c r="LGP11" s="4"/>
      <c r="LGS11" s="34"/>
      <c r="LGT11" s="34"/>
      <c r="LGV11" s="34"/>
      <c r="LGW11" s="72"/>
      <c r="LGX11" s="63"/>
      <c r="LGY11" s="34"/>
      <c r="LGZ11" s="64"/>
      <c r="LHA11" s="4"/>
      <c r="LHB11" s="65"/>
      <c r="LHC11" s="4"/>
      <c r="LHD11" s="4"/>
      <c r="LHE11" s="4"/>
      <c r="LHH11" s="34"/>
      <c r="LHI11" s="34"/>
      <c r="LHK11" s="34"/>
      <c r="LHL11" s="72"/>
      <c r="LHM11" s="63"/>
      <c r="LHN11" s="34"/>
      <c r="LHO11" s="64"/>
      <c r="LHP11" s="4"/>
      <c r="LHQ11" s="65"/>
      <c r="LHR11" s="4"/>
      <c r="LHS11" s="4"/>
      <c r="LHT11" s="4"/>
      <c r="LHW11" s="34"/>
      <c r="LHX11" s="34"/>
      <c r="LHZ11" s="34"/>
      <c r="LIA11" s="72"/>
      <c r="LIB11" s="63"/>
      <c r="LIC11" s="34"/>
      <c r="LID11" s="64"/>
      <c r="LIE11" s="4"/>
      <c r="LIF11" s="65"/>
      <c r="LIG11" s="4"/>
      <c r="LIH11" s="4"/>
      <c r="LII11" s="4"/>
      <c r="LIL11" s="34"/>
      <c r="LIM11" s="34"/>
      <c r="LIO11" s="34"/>
      <c r="LIP11" s="72"/>
      <c r="LIQ11" s="63"/>
      <c r="LIR11" s="34"/>
      <c r="LIS11" s="64"/>
      <c r="LIT11" s="4"/>
      <c r="LIU11" s="65"/>
      <c r="LIV11" s="4"/>
      <c r="LIW11" s="4"/>
      <c r="LIX11" s="4"/>
      <c r="LJA11" s="34"/>
      <c r="LJB11" s="34"/>
      <c r="LJD11" s="34"/>
      <c r="LJE11" s="72"/>
      <c r="LJF11" s="63"/>
      <c r="LJG11" s="34"/>
      <c r="LJH11" s="64"/>
      <c r="LJI11" s="4"/>
      <c r="LJJ11" s="65"/>
      <c r="LJK11" s="4"/>
      <c r="LJL11" s="4"/>
      <c r="LJM11" s="4"/>
      <c r="LJP11" s="34"/>
      <c r="LJQ11" s="34"/>
      <c r="LJS11" s="34"/>
      <c r="LJT11" s="72"/>
      <c r="LJU11" s="63"/>
      <c r="LJV11" s="34"/>
      <c r="LJW11" s="64"/>
      <c r="LJX11" s="4"/>
      <c r="LJY11" s="65"/>
      <c r="LJZ11" s="4"/>
      <c r="LKA11" s="4"/>
      <c r="LKB11" s="4"/>
      <c r="LKE11" s="34"/>
      <c r="LKF11" s="34"/>
      <c r="LKH11" s="34"/>
      <c r="LKI11" s="72"/>
      <c r="LKJ11" s="63"/>
      <c r="LKK11" s="34"/>
      <c r="LKL11" s="64"/>
      <c r="LKM11" s="4"/>
      <c r="LKN11" s="65"/>
      <c r="LKO11" s="4"/>
      <c r="LKP11" s="4"/>
      <c r="LKQ11" s="4"/>
      <c r="LKT11" s="34"/>
      <c r="LKU11" s="34"/>
      <c r="LKW11" s="34"/>
      <c r="LKX11" s="72"/>
      <c r="LKY11" s="63"/>
      <c r="LKZ11" s="34"/>
      <c r="LLA11" s="64"/>
      <c r="LLB11" s="4"/>
      <c r="LLC11" s="65"/>
      <c r="LLD11" s="4"/>
      <c r="LLE11" s="4"/>
      <c r="LLF11" s="4"/>
      <c r="LLI11" s="34"/>
      <c r="LLJ11" s="34"/>
      <c r="LLL11" s="34"/>
      <c r="LLM11" s="72"/>
      <c r="LLN11" s="63"/>
      <c r="LLO11" s="34"/>
      <c r="LLP11" s="64"/>
      <c r="LLQ11" s="4"/>
      <c r="LLR11" s="65"/>
      <c r="LLS11" s="4"/>
      <c r="LLT11" s="4"/>
      <c r="LLU11" s="4"/>
      <c r="LLX11" s="34"/>
      <c r="LLY11" s="34"/>
      <c r="LMA11" s="34"/>
      <c r="LMB11" s="72"/>
      <c r="LMC11" s="63"/>
      <c r="LMD11" s="34"/>
      <c r="LME11" s="64"/>
      <c r="LMF11" s="4"/>
      <c r="LMG11" s="65"/>
      <c r="LMH11" s="4"/>
      <c r="LMI11" s="4"/>
      <c r="LMJ11" s="4"/>
      <c r="LMM11" s="34"/>
      <c r="LMN11" s="34"/>
      <c r="LMP11" s="34"/>
      <c r="LMQ11" s="72"/>
      <c r="LMR11" s="63"/>
      <c r="LMS11" s="34"/>
      <c r="LMT11" s="64"/>
      <c r="LMU11" s="4"/>
      <c r="LMV11" s="65"/>
      <c r="LMW11" s="4"/>
      <c r="LMX11" s="4"/>
      <c r="LMY11" s="4"/>
      <c r="LNB11" s="34"/>
      <c r="LNC11" s="34"/>
      <c r="LNE11" s="34"/>
      <c r="LNF11" s="72"/>
      <c r="LNG11" s="63"/>
      <c r="LNH11" s="34"/>
      <c r="LNI11" s="64"/>
      <c r="LNJ11" s="4"/>
      <c r="LNK11" s="65"/>
      <c r="LNL11" s="4"/>
      <c r="LNM11" s="4"/>
      <c r="LNN11" s="4"/>
      <c r="LNQ11" s="34"/>
      <c r="LNR11" s="34"/>
      <c r="LNT11" s="34"/>
      <c r="LNU11" s="72"/>
      <c r="LNV11" s="63"/>
      <c r="LNW11" s="34"/>
      <c r="LNX11" s="64"/>
      <c r="LNY11" s="4"/>
      <c r="LNZ11" s="65"/>
      <c r="LOA11" s="4"/>
      <c r="LOB11" s="4"/>
      <c r="LOC11" s="4"/>
      <c r="LOF11" s="34"/>
      <c r="LOG11" s="34"/>
      <c r="LOI11" s="34"/>
      <c r="LOJ11" s="72"/>
      <c r="LOK11" s="63"/>
      <c r="LOL11" s="34"/>
      <c r="LOM11" s="64"/>
      <c r="LON11" s="4"/>
      <c r="LOO11" s="65"/>
      <c r="LOP11" s="4"/>
      <c r="LOQ11" s="4"/>
      <c r="LOR11" s="4"/>
      <c r="LOU11" s="34"/>
      <c r="LOV11" s="34"/>
      <c r="LOX11" s="34"/>
      <c r="LOY11" s="72"/>
      <c r="LOZ11" s="63"/>
      <c r="LPA11" s="34"/>
      <c r="LPB11" s="64"/>
      <c r="LPC11" s="4"/>
      <c r="LPD11" s="65"/>
      <c r="LPE11" s="4"/>
      <c r="LPF11" s="4"/>
      <c r="LPG11" s="4"/>
      <c r="LPJ11" s="34"/>
      <c r="LPK11" s="34"/>
      <c r="LPM11" s="34"/>
      <c r="LPN11" s="72"/>
      <c r="LPO11" s="63"/>
      <c r="LPP11" s="34"/>
      <c r="LPQ11" s="64"/>
      <c r="LPR11" s="4"/>
      <c r="LPS11" s="65"/>
      <c r="LPT11" s="4"/>
      <c r="LPU11" s="4"/>
      <c r="LPV11" s="4"/>
      <c r="LPY11" s="34"/>
      <c r="LPZ11" s="34"/>
      <c r="LQB11" s="34"/>
      <c r="LQC11" s="72"/>
      <c r="LQD11" s="63"/>
      <c r="LQE11" s="34"/>
      <c r="LQF11" s="64"/>
      <c r="LQG11" s="4"/>
      <c r="LQH11" s="65"/>
      <c r="LQI11" s="4"/>
      <c r="LQJ11" s="4"/>
      <c r="LQK11" s="4"/>
      <c r="LQN11" s="34"/>
      <c r="LQO11" s="34"/>
      <c r="LQQ11" s="34"/>
      <c r="LQR11" s="72"/>
      <c r="LQS11" s="63"/>
      <c r="LQT11" s="34"/>
      <c r="LQU11" s="64"/>
      <c r="LQV11" s="4"/>
      <c r="LQW11" s="65"/>
      <c r="LQX11" s="4"/>
      <c r="LQY11" s="4"/>
      <c r="LQZ11" s="4"/>
      <c r="LRC11" s="34"/>
      <c r="LRD11" s="34"/>
      <c r="LRF11" s="34"/>
      <c r="LRG11" s="72"/>
      <c r="LRH11" s="63"/>
      <c r="LRI11" s="34"/>
      <c r="LRJ11" s="64"/>
      <c r="LRK11" s="4"/>
      <c r="LRL11" s="65"/>
      <c r="LRM11" s="4"/>
      <c r="LRN11" s="4"/>
      <c r="LRO11" s="4"/>
      <c r="LRR11" s="34"/>
      <c r="LRS11" s="34"/>
      <c r="LRU11" s="34"/>
      <c r="LRV11" s="72"/>
      <c r="LRW11" s="63"/>
      <c r="LRX11" s="34"/>
      <c r="LRY11" s="64"/>
      <c r="LRZ11" s="4"/>
      <c r="LSA11" s="65"/>
      <c r="LSB11" s="4"/>
      <c r="LSC11" s="4"/>
      <c r="LSD11" s="4"/>
      <c r="LSG11" s="34"/>
      <c r="LSH11" s="34"/>
      <c r="LSJ11" s="34"/>
      <c r="LSK11" s="72"/>
      <c r="LSL11" s="63"/>
      <c r="LSM11" s="34"/>
      <c r="LSN11" s="64"/>
      <c r="LSO11" s="4"/>
      <c r="LSP11" s="65"/>
      <c r="LSQ11" s="4"/>
      <c r="LSR11" s="4"/>
      <c r="LSS11" s="4"/>
      <c r="LSV11" s="34"/>
      <c r="LSW11" s="34"/>
      <c r="LSY11" s="34"/>
      <c r="LSZ11" s="72"/>
      <c r="LTA11" s="63"/>
      <c r="LTB11" s="34"/>
      <c r="LTC11" s="64"/>
      <c r="LTD11" s="4"/>
      <c r="LTE11" s="65"/>
      <c r="LTF11" s="4"/>
      <c r="LTG11" s="4"/>
      <c r="LTH11" s="4"/>
      <c r="LTK11" s="34"/>
      <c r="LTL11" s="34"/>
      <c r="LTN11" s="34"/>
      <c r="LTO11" s="72"/>
      <c r="LTP11" s="63"/>
      <c r="LTQ11" s="34"/>
      <c r="LTR11" s="64"/>
      <c r="LTS11" s="4"/>
      <c r="LTT11" s="65"/>
      <c r="LTU11" s="4"/>
      <c r="LTV11" s="4"/>
      <c r="LTW11" s="4"/>
      <c r="LTZ11" s="34"/>
      <c r="LUA11" s="34"/>
      <c r="LUC11" s="34"/>
      <c r="LUD11" s="72"/>
      <c r="LUE11" s="63"/>
      <c r="LUF11" s="34"/>
      <c r="LUG11" s="64"/>
      <c r="LUH11" s="4"/>
      <c r="LUI11" s="65"/>
      <c r="LUJ11" s="4"/>
      <c r="LUK11" s="4"/>
      <c r="LUL11" s="4"/>
      <c r="LUO11" s="34"/>
      <c r="LUP11" s="34"/>
      <c r="LUR11" s="34"/>
      <c r="LUS11" s="72"/>
      <c r="LUT11" s="63"/>
      <c r="LUU11" s="34"/>
      <c r="LUV11" s="64"/>
      <c r="LUW11" s="4"/>
      <c r="LUX11" s="65"/>
      <c r="LUY11" s="4"/>
      <c r="LUZ11" s="4"/>
      <c r="LVA11" s="4"/>
      <c r="LVD11" s="34"/>
      <c r="LVE11" s="34"/>
      <c r="LVG11" s="34"/>
      <c r="LVH11" s="72"/>
      <c r="LVI11" s="63"/>
      <c r="LVJ11" s="34"/>
      <c r="LVK11" s="64"/>
      <c r="LVL11" s="4"/>
      <c r="LVM11" s="65"/>
      <c r="LVN11" s="4"/>
      <c r="LVO11" s="4"/>
      <c r="LVP11" s="4"/>
      <c r="LVS11" s="34"/>
      <c r="LVT11" s="34"/>
      <c r="LVV11" s="34"/>
      <c r="LVW11" s="72"/>
      <c r="LVX11" s="63"/>
      <c r="LVY11" s="34"/>
      <c r="LVZ11" s="64"/>
      <c r="LWA11" s="4"/>
      <c r="LWB11" s="65"/>
      <c r="LWC11" s="4"/>
      <c r="LWD11" s="4"/>
      <c r="LWE11" s="4"/>
      <c r="LWH11" s="34"/>
      <c r="LWI11" s="34"/>
      <c r="LWK11" s="34"/>
      <c r="LWL11" s="72"/>
      <c r="LWM11" s="63"/>
      <c r="LWN11" s="34"/>
      <c r="LWO11" s="64"/>
      <c r="LWP11" s="4"/>
      <c r="LWQ11" s="65"/>
      <c r="LWR11" s="4"/>
      <c r="LWS11" s="4"/>
      <c r="LWT11" s="4"/>
      <c r="LWW11" s="34"/>
      <c r="LWX11" s="34"/>
      <c r="LWZ11" s="34"/>
      <c r="LXA11" s="72"/>
      <c r="LXB11" s="63"/>
      <c r="LXC11" s="34"/>
      <c r="LXD11" s="64"/>
      <c r="LXE11" s="4"/>
      <c r="LXF11" s="65"/>
      <c r="LXG11" s="4"/>
      <c r="LXH11" s="4"/>
      <c r="LXI11" s="4"/>
      <c r="LXL11" s="34"/>
      <c r="LXM11" s="34"/>
      <c r="LXO11" s="34"/>
      <c r="LXP11" s="72"/>
      <c r="LXQ11" s="63"/>
      <c r="LXR11" s="34"/>
      <c r="LXS11" s="64"/>
      <c r="LXT11" s="4"/>
      <c r="LXU11" s="65"/>
      <c r="LXV11" s="4"/>
      <c r="LXW11" s="4"/>
      <c r="LXX11" s="4"/>
      <c r="LYA11" s="34"/>
      <c r="LYB11" s="34"/>
      <c r="LYD11" s="34"/>
      <c r="LYE11" s="72"/>
      <c r="LYF11" s="63"/>
      <c r="LYG11" s="34"/>
      <c r="LYH11" s="64"/>
      <c r="LYI11" s="4"/>
      <c r="LYJ11" s="65"/>
      <c r="LYK11" s="4"/>
      <c r="LYL11" s="4"/>
      <c r="LYM11" s="4"/>
      <c r="LYP11" s="34"/>
      <c r="LYQ11" s="34"/>
      <c r="LYS11" s="34"/>
      <c r="LYT11" s="72"/>
      <c r="LYU11" s="63"/>
      <c r="LYV11" s="34"/>
      <c r="LYW11" s="64"/>
      <c r="LYX11" s="4"/>
      <c r="LYY11" s="65"/>
      <c r="LYZ11" s="4"/>
      <c r="LZA11" s="4"/>
      <c r="LZB11" s="4"/>
      <c r="LZE11" s="34"/>
      <c r="LZF11" s="34"/>
      <c r="LZH11" s="34"/>
      <c r="LZI11" s="72"/>
      <c r="LZJ11" s="63"/>
      <c r="LZK11" s="34"/>
      <c r="LZL11" s="64"/>
      <c r="LZM11" s="4"/>
      <c r="LZN11" s="65"/>
      <c r="LZO11" s="4"/>
      <c r="LZP11" s="4"/>
      <c r="LZQ11" s="4"/>
      <c r="LZT11" s="34"/>
      <c r="LZU11" s="34"/>
      <c r="LZW11" s="34"/>
      <c r="LZX11" s="72"/>
      <c r="LZY11" s="63"/>
      <c r="LZZ11" s="34"/>
      <c r="MAA11" s="64"/>
      <c r="MAB11" s="4"/>
      <c r="MAC11" s="65"/>
      <c r="MAD11" s="4"/>
      <c r="MAE11" s="4"/>
      <c r="MAF11" s="4"/>
      <c r="MAI11" s="34"/>
      <c r="MAJ11" s="34"/>
      <c r="MAL11" s="34"/>
      <c r="MAM11" s="72"/>
      <c r="MAN11" s="63"/>
      <c r="MAO11" s="34"/>
      <c r="MAP11" s="64"/>
      <c r="MAQ11" s="4"/>
      <c r="MAR11" s="65"/>
      <c r="MAS11" s="4"/>
      <c r="MAT11" s="4"/>
      <c r="MAU11" s="4"/>
      <c r="MAX11" s="34"/>
      <c r="MAY11" s="34"/>
      <c r="MBA11" s="34"/>
      <c r="MBB11" s="72"/>
      <c r="MBC11" s="63"/>
      <c r="MBD11" s="34"/>
      <c r="MBE11" s="64"/>
      <c r="MBF11" s="4"/>
      <c r="MBG11" s="65"/>
      <c r="MBH11" s="4"/>
      <c r="MBI11" s="4"/>
      <c r="MBJ11" s="4"/>
      <c r="MBM11" s="34"/>
      <c r="MBN11" s="34"/>
      <c r="MBP11" s="34"/>
      <c r="MBQ11" s="72"/>
      <c r="MBR11" s="63"/>
      <c r="MBS11" s="34"/>
      <c r="MBT11" s="64"/>
      <c r="MBU11" s="4"/>
      <c r="MBV11" s="65"/>
      <c r="MBW11" s="4"/>
      <c r="MBX11" s="4"/>
      <c r="MBY11" s="4"/>
      <c r="MCB11" s="34"/>
      <c r="MCC11" s="34"/>
      <c r="MCE11" s="34"/>
      <c r="MCF11" s="72"/>
      <c r="MCG11" s="63"/>
      <c r="MCH11" s="34"/>
      <c r="MCI11" s="64"/>
      <c r="MCJ11" s="4"/>
      <c r="MCK11" s="65"/>
      <c r="MCL11" s="4"/>
      <c r="MCM11" s="4"/>
      <c r="MCN11" s="4"/>
      <c r="MCQ11" s="34"/>
      <c r="MCR11" s="34"/>
      <c r="MCT11" s="34"/>
      <c r="MCU11" s="72"/>
      <c r="MCV11" s="63"/>
      <c r="MCW11" s="34"/>
      <c r="MCX11" s="64"/>
      <c r="MCY11" s="4"/>
      <c r="MCZ11" s="65"/>
      <c r="MDA11" s="4"/>
      <c r="MDB11" s="4"/>
      <c r="MDC11" s="4"/>
      <c r="MDF11" s="34"/>
      <c r="MDG11" s="34"/>
      <c r="MDI11" s="34"/>
      <c r="MDJ11" s="72"/>
      <c r="MDK11" s="63"/>
      <c r="MDL11" s="34"/>
      <c r="MDM11" s="64"/>
      <c r="MDN11" s="4"/>
      <c r="MDO11" s="65"/>
      <c r="MDP11" s="4"/>
      <c r="MDQ11" s="4"/>
      <c r="MDR11" s="4"/>
      <c r="MDU11" s="34"/>
      <c r="MDV11" s="34"/>
      <c r="MDX11" s="34"/>
      <c r="MDY11" s="72"/>
      <c r="MDZ11" s="63"/>
      <c r="MEA11" s="34"/>
      <c r="MEB11" s="64"/>
      <c r="MEC11" s="4"/>
      <c r="MED11" s="65"/>
      <c r="MEE11" s="4"/>
      <c r="MEF11" s="4"/>
      <c r="MEG11" s="4"/>
      <c r="MEJ11" s="34"/>
      <c r="MEK11" s="34"/>
      <c r="MEM11" s="34"/>
      <c r="MEN11" s="72"/>
      <c r="MEO11" s="63"/>
      <c r="MEP11" s="34"/>
      <c r="MEQ11" s="64"/>
      <c r="MER11" s="4"/>
      <c r="MES11" s="65"/>
      <c r="MET11" s="4"/>
      <c r="MEU11" s="4"/>
      <c r="MEV11" s="4"/>
      <c r="MEY11" s="34"/>
      <c r="MEZ11" s="34"/>
      <c r="MFB11" s="34"/>
      <c r="MFC11" s="72"/>
      <c r="MFD11" s="63"/>
      <c r="MFE11" s="34"/>
      <c r="MFF11" s="64"/>
      <c r="MFG11" s="4"/>
      <c r="MFH11" s="65"/>
      <c r="MFI11" s="4"/>
      <c r="MFJ11" s="4"/>
      <c r="MFK11" s="4"/>
      <c r="MFN11" s="34"/>
      <c r="MFO11" s="34"/>
      <c r="MFQ11" s="34"/>
      <c r="MFR11" s="72"/>
      <c r="MFS11" s="63"/>
      <c r="MFT11" s="34"/>
      <c r="MFU11" s="64"/>
      <c r="MFV11" s="4"/>
      <c r="MFW11" s="65"/>
      <c r="MFX11" s="4"/>
      <c r="MFY11" s="4"/>
      <c r="MFZ11" s="4"/>
      <c r="MGC11" s="34"/>
      <c r="MGD11" s="34"/>
      <c r="MGF11" s="34"/>
      <c r="MGG11" s="72"/>
      <c r="MGH11" s="63"/>
      <c r="MGI11" s="34"/>
      <c r="MGJ11" s="64"/>
      <c r="MGK11" s="4"/>
      <c r="MGL11" s="65"/>
      <c r="MGM11" s="4"/>
      <c r="MGN11" s="4"/>
      <c r="MGO11" s="4"/>
      <c r="MGR11" s="34"/>
      <c r="MGS11" s="34"/>
      <c r="MGU11" s="34"/>
      <c r="MGV11" s="72"/>
      <c r="MGW11" s="63"/>
      <c r="MGX11" s="34"/>
      <c r="MGY11" s="64"/>
      <c r="MGZ11" s="4"/>
      <c r="MHA11" s="65"/>
      <c r="MHB11" s="4"/>
      <c r="MHC11" s="4"/>
      <c r="MHD11" s="4"/>
      <c r="MHG11" s="34"/>
      <c r="MHH11" s="34"/>
      <c r="MHJ11" s="34"/>
      <c r="MHK11" s="72"/>
      <c r="MHL11" s="63"/>
      <c r="MHM11" s="34"/>
      <c r="MHN11" s="64"/>
      <c r="MHO11" s="4"/>
      <c r="MHP11" s="65"/>
      <c r="MHQ11" s="4"/>
      <c r="MHR11" s="4"/>
      <c r="MHS11" s="4"/>
      <c r="MHV11" s="34"/>
      <c r="MHW11" s="34"/>
      <c r="MHY11" s="34"/>
      <c r="MHZ11" s="72"/>
      <c r="MIA11" s="63"/>
      <c r="MIB11" s="34"/>
      <c r="MIC11" s="64"/>
      <c r="MID11" s="4"/>
      <c r="MIE11" s="65"/>
      <c r="MIF11" s="4"/>
      <c r="MIG11" s="4"/>
      <c r="MIH11" s="4"/>
      <c r="MIK11" s="34"/>
      <c r="MIL11" s="34"/>
      <c r="MIN11" s="34"/>
      <c r="MIO11" s="72"/>
      <c r="MIP11" s="63"/>
      <c r="MIQ11" s="34"/>
      <c r="MIR11" s="64"/>
      <c r="MIS11" s="4"/>
      <c r="MIT11" s="65"/>
      <c r="MIU11" s="4"/>
      <c r="MIV11" s="4"/>
      <c r="MIW11" s="4"/>
      <c r="MIZ11" s="34"/>
      <c r="MJA11" s="34"/>
      <c r="MJC11" s="34"/>
      <c r="MJD11" s="72"/>
      <c r="MJE11" s="63"/>
      <c r="MJF11" s="34"/>
      <c r="MJG11" s="64"/>
      <c r="MJH11" s="4"/>
      <c r="MJI11" s="65"/>
      <c r="MJJ11" s="4"/>
      <c r="MJK11" s="4"/>
      <c r="MJL11" s="4"/>
      <c r="MJO11" s="34"/>
      <c r="MJP11" s="34"/>
      <c r="MJR11" s="34"/>
      <c r="MJS11" s="72"/>
      <c r="MJT11" s="63"/>
      <c r="MJU11" s="34"/>
      <c r="MJV11" s="64"/>
      <c r="MJW11" s="4"/>
      <c r="MJX11" s="65"/>
      <c r="MJY11" s="4"/>
      <c r="MJZ11" s="4"/>
      <c r="MKA11" s="4"/>
      <c r="MKD11" s="34"/>
      <c r="MKE11" s="34"/>
      <c r="MKG11" s="34"/>
      <c r="MKH11" s="72"/>
      <c r="MKI11" s="63"/>
      <c r="MKJ11" s="34"/>
      <c r="MKK11" s="64"/>
      <c r="MKL11" s="4"/>
      <c r="MKM11" s="65"/>
      <c r="MKN11" s="4"/>
      <c r="MKO11" s="4"/>
      <c r="MKP11" s="4"/>
      <c r="MKS11" s="34"/>
      <c r="MKT11" s="34"/>
      <c r="MKV11" s="34"/>
      <c r="MKW11" s="72"/>
      <c r="MKX11" s="63"/>
      <c r="MKY11" s="34"/>
      <c r="MKZ11" s="64"/>
      <c r="MLA11" s="4"/>
      <c r="MLB11" s="65"/>
      <c r="MLC11" s="4"/>
      <c r="MLD11" s="4"/>
      <c r="MLE11" s="4"/>
      <c r="MLH11" s="34"/>
      <c r="MLI11" s="34"/>
      <c r="MLK11" s="34"/>
      <c r="MLL11" s="72"/>
      <c r="MLM11" s="63"/>
      <c r="MLN11" s="34"/>
      <c r="MLO11" s="64"/>
      <c r="MLP11" s="4"/>
      <c r="MLQ11" s="65"/>
      <c r="MLR11" s="4"/>
      <c r="MLS11" s="4"/>
      <c r="MLT11" s="4"/>
      <c r="MLW11" s="34"/>
      <c r="MLX11" s="34"/>
      <c r="MLZ11" s="34"/>
      <c r="MMA11" s="72"/>
      <c r="MMB11" s="63"/>
      <c r="MMC11" s="34"/>
      <c r="MMD11" s="64"/>
      <c r="MME11" s="4"/>
      <c r="MMF11" s="65"/>
      <c r="MMG11" s="4"/>
      <c r="MMH11" s="4"/>
      <c r="MMI11" s="4"/>
      <c r="MML11" s="34"/>
      <c r="MMM11" s="34"/>
      <c r="MMO11" s="34"/>
      <c r="MMP11" s="72"/>
      <c r="MMQ11" s="63"/>
      <c r="MMR11" s="34"/>
      <c r="MMS11" s="64"/>
      <c r="MMT11" s="4"/>
      <c r="MMU11" s="65"/>
      <c r="MMV11" s="4"/>
      <c r="MMW11" s="4"/>
      <c r="MMX11" s="4"/>
      <c r="MNA11" s="34"/>
      <c r="MNB11" s="34"/>
      <c r="MND11" s="34"/>
      <c r="MNE11" s="72"/>
      <c r="MNF11" s="63"/>
      <c r="MNG11" s="34"/>
      <c r="MNH11" s="64"/>
      <c r="MNI11" s="4"/>
      <c r="MNJ11" s="65"/>
      <c r="MNK11" s="4"/>
      <c r="MNL11" s="4"/>
      <c r="MNM11" s="4"/>
      <c r="MNP11" s="34"/>
      <c r="MNQ11" s="34"/>
      <c r="MNS11" s="34"/>
      <c r="MNT11" s="72"/>
      <c r="MNU11" s="63"/>
      <c r="MNV11" s="34"/>
      <c r="MNW11" s="64"/>
      <c r="MNX11" s="4"/>
      <c r="MNY11" s="65"/>
      <c r="MNZ11" s="4"/>
      <c r="MOA11" s="4"/>
      <c r="MOB11" s="4"/>
      <c r="MOE11" s="34"/>
      <c r="MOF11" s="34"/>
      <c r="MOH11" s="34"/>
      <c r="MOI11" s="72"/>
      <c r="MOJ11" s="63"/>
      <c r="MOK11" s="34"/>
      <c r="MOL11" s="64"/>
      <c r="MOM11" s="4"/>
      <c r="MON11" s="65"/>
      <c r="MOO11" s="4"/>
      <c r="MOP11" s="4"/>
      <c r="MOQ11" s="4"/>
      <c r="MOT11" s="34"/>
      <c r="MOU11" s="34"/>
      <c r="MOW11" s="34"/>
      <c r="MOX11" s="72"/>
      <c r="MOY11" s="63"/>
      <c r="MOZ11" s="34"/>
      <c r="MPA11" s="64"/>
      <c r="MPB11" s="4"/>
      <c r="MPC11" s="65"/>
      <c r="MPD11" s="4"/>
      <c r="MPE11" s="4"/>
      <c r="MPF11" s="4"/>
      <c r="MPI11" s="34"/>
      <c r="MPJ11" s="34"/>
      <c r="MPL11" s="34"/>
      <c r="MPM11" s="72"/>
      <c r="MPN11" s="63"/>
      <c r="MPO11" s="34"/>
      <c r="MPP11" s="64"/>
      <c r="MPQ11" s="4"/>
      <c r="MPR11" s="65"/>
      <c r="MPS11" s="4"/>
      <c r="MPT11" s="4"/>
      <c r="MPU11" s="4"/>
      <c r="MPX11" s="34"/>
      <c r="MPY11" s="34"/>
      <c r="MQA11" s="34"/>
      <c r="MQB11" s="72"/>
      <c r="MQC11" s="63"/>
      <c r="MQD11" s="34"/>
      <c r="MQE11" s="64"/>
      <c r="MQF11" s="4"/>
      <c r="MQG11" s="65"/>
      <c r="MQH11" s="4"/>
      <c r="MQI11" s="4"/>
      <c r="MQJ11" s="4"/>
      <c r="MQM11" s="34"/>
      <c r="MQN11" s="34"/>
      <c r="MQP11" s="34"/>
      <c r="MQQ11" s="72"/>
      <c r="MQR11" s="63"/>
      <c r="MQS11" s="34"/>
      <c r="MQT11" s="64"/>
      <c r="MQU11" s="4"/>
      <c r="MQV11" s="65"/>
      <c r="MQW11" s="4"/>
      <c r="MQX11" s="4"/>
      <c r="MQY11" s="4"/>
      <c r="MRB11" s="34"/>
      <c r="MRC11" s="34"/>
      <c r="MRE11" s="34"/>
      <c r="MRF11" s="72"/>
      <c r="MRG11" s="63"/>
      <c r="MRH11" s="34"/>
      <c r="MRI11" s="64"/>
      <c r="MRJ11" s="4"/>
      <c r="MRK11" s="65"/>
      <c r="MRL11" s="4"/>
      <c r="MRM11" s="4"/>
      <c r="MRN11" s="4"/>
      <c r="MRQ11" s="34"/>
      <c r="MRR11" s="34"/>
      <c r="MRT11" s="34"/>
      <c r="MRU11" s="72"/>
      <c r="MRV11" s="63"/>
      <c r="MRW11" s="34"/>
      <c r="MRX11" s="64"/>
      <c r="MRY11" s="4"/>
      <c r="MRZ11" s="65"/>
      <c r="MSA11" s="4"/>
      <c r="MSB11" s="4"/>
      <c r="MSC11" s="4"/>
      <c r="MSF11" s="34"/>
      <c r="MSG11" s="34"/>
      <c r="MSI11" s="34"/>
      <c r="MSJ11" s="72"/>
      <c r="MSK11" s="63"/>
      <c r="MSL11" s="34"/>
      <c r="MSM11" s="64"/>
      <c r="MSN11" s="4"/>
      <c r="MSO11" s="65"/>
      <c r="MSP11" s="4"/>
      <c r="MSQ11" s="4"/>
      <c r="MSR11" s="4"/>
      <c r="MSU11" s="34"/>
      <c r="MSV11" s="34"/>
      <c r="MSX11" s="34"/>
      <c r="MSY11" s="72"/>
      <c r="MSZ11" s="63"/>
      <c r="MTA11" s="34"/>
      <c r="MTB11" s="64"/>
      <c r="MTC11" s="4"/>
      <c r="MTD11" s="65"/>
      <c r="MTE11" s="4"/>
      <c r="MTF11" s="4"/>
      <c r="MTG11" s="4"/>
      <c r="MTJ11" s="34"/>
      <c r="MTK11" s="34"/>
      <c r="MTM11" s="34"/>
      <c r="MTN11" s="72"/>
      <c r="MTO11" s="63"/>
      <c r="MTP11" s="34"/>
      <c r="MTQ11" s="64"/>
      <c r="MTR11" s="4"/>
      <c r="MTS11" s="65"/>
      <c r="MTT11" s="4"/>
      <c r="MTU11" s="4"/>
      <c r="MTV11" s="4"/>
      <c r="MTY11" s="34"/>
      <c r="MTZ11" s="34"/>
      <c r="MUB11" s="34"/>
      <c r="MUC11" s="72"/>
      <c r="MUD11" s="63"/>
      <c r="MUE11" s="34"/>
      <c r="MUF11" s="64"/>
      <c r="MUG11" s="4"/>
      <c r="MUH11" s="65"/>
      <c r="MUI11" s="4"/>
      <c r="MUJ11" s="4"/>
      <c r="MUK11" s="4"/>
      <c r="MUN11" s="34"/>
      <c r="MUO11" s="34"/>
      <c r="MUQ11" s="34"/>
      <c r="MUR11" s="72"/>
      <c r="MUS11" s="63"/>
      <c r="MUT11" s="34"/>
      <c r="MUU11" s="64"/>
      <c r="MUV11" s="4"/>
      <c r="MUW11" s="65"/>
      <c r="MUX11" s="4"/>
      <c r="MUY11" s="4"/>
      <c r="MUZ11" s="4"/>
      <c r="MVC11" s="34"/>
      <c r="MVD11" s="34"/>
      <c r="MVF11" s="34"/>
      <c r="MVG11" s="72"/>
      <c r="MVH11" s="63"/>
      <c r="MVI11" s="34"/>
      <c r="MVJ11" s="64"/>
      <c r="MVK11" s="4"/>
      <c r="MVL11" s="65"/>
      <c r="MVM11" s="4"/>
      <c r="MVN11" s="4"/>
      <c r="MVO11" s="4"/>
      <c r="MVR11" s="34"/>
      <c r="MVS11" s="34"/>
      <c r="MVU11" s="34"/>
      <c r="MVV11" s="72"/>
      <c r="MVW11" s="63"/>
      <c r="MVX11" s="34"/>
      <c r="MVY11" s="64"/>
      <c r="MVZ11" s="4"/>
      <c r="MWA11" s="65"/>
      <c r="MWB11" s="4"/>
      <c r="MWC11" s="4"/>
      <c r="MWD11" s="4"/>
      <c r="MWG11" s="34"/>
      <c r="MWH11" s="34"/>
      <c r="MWJ11" s="34"/>
      <c r="MWK11" s="72"/>
      <c r="MWL11" s="63"/>
      <c r="MWM11" s="34"/>
      <c r="MWN11" s="64"/>
      <c r="MWO11" s="4"/>
      <c r="MWP11" s="65"/>
      <c r="MWQ11" s="4"/>
      <c r="MWR11" s="4"/>
      <c r="MWS11" s="4"/>
      <c r="MWV11" s="34"/>
      <c r="MWW11" s="34"/>
      <c r="MWY11" s="34"/>
      <c r="MWZ11" s="72"/>
      <c r="MXA11" s="63"/>
      <c r="MXB11" s="34"/>
      <c r="MXC11" s="64"/>
      <c r="MXD11" s="4"/>
      <c r="MXE11" s="65"/>
      <c r="MXF11" s="4"/>
      <c r="MXG11" s="4"/>
      <c r="MXH11" s="4"/>
      <c r="MXK11" s="34"/>
      <c r="MXL11" s="34"/>
      <c r="MXN11" s="34"/>
      <c r="MXO11" s="72"/>
      <c r="MXP11" s="63"/>
      <c r="MXQ11" s="34"/>
      <c r="MXR11" s="64"/>
      <c r="MXS11" s="4"/>
      <c r="MXT11" s="65"/>
      <c r="MXU11" s="4"/>
      <c r="MXV11" s="4"/>
      <c r="MXW11" s="4"/>
      <c r="MXZ11" s="34"/>
      <c r="MYA11" s="34"/>
      <c r="MYC11" s="34"/>
      <c r="MYD11" s="72"/>
      <c r="MYE11" s="63"/>
      <c r="MYF11" s="34"/>
      <c r="MYG11" s="64"/>
      <c r="MYH11" s="4"/>
      <c r="MYI11" s="65"/>
      <c r="MYJ11" s="4"/>
      <c r="MYK11" s="4"/>
      <c r="MYL11" s="4"/>
      <c r="MYO11" s="34"/>
      <c r="MYP11" s="34"/>
      <c r="MYR11" s="34"/>
      <c r="MYS11" s="72"/>
      <c r="MYT11" s="63"/>
      <c r="MYU11" s="34"/>
      <c r="MYV11" s="64"/>
      <c r="MYW11" s="4"/>
      <c r="MYX11" s="65"/>
      <c r="MYY11" s="4"/>
      <c r="MYZ11" s="4"/>
      <c r="MZA11" s="4"/>
      <c r="MZD11" s="34"/>
      <c r="MZE11" s="34"/>
      <c r="MZG11" s="34"/>
      <c r="MZH11" s="72"/>
      <c r="MZI11" s="63"/>
      <c r="MZJ11" s="34"/>
      <c r="MZK11" s="64"/>
      <c r="MZL11" s="4"/>
      <c r="MZM11" s="65"/>
      <c r="MZN11" s="4"/>
      <c r="MZO11" s="4"/>
      <c r="MZP11" s="4"/>
      <c r="MZS11" s="34"/>
      <c r="MZT11" s="34"/>
      <c r="MZV11" s="34"/>
      <c r="MZW11" s="72"/>
      <c r="MZX11" s="63"/>
      <c r="MZY11" s="34"/>
      <c r="MZZ11" s="64"/>
      <c r="NAA11" s="4"/>
      <c r="NAB11" s="65"/>
      <c r="NAC11" s="4"/>
      <c r="NAD11" s="4"/>
      <c r="NAE11" s="4"/>
      <c r="NAH11" s="34"/>
      <c r="NAI11" s="34"/>
      <c r="NAK11" s="34"/>
      <c r="NAL11" s="72"/>
      <c r="NAM11" s="63"/>
      <c r="NAN11" s="34"/>
      <c r="NAO11" s="64"/>
      <c r="NAP11" s="4"/>
      <c r="NAQ11" s="65"/>
      <c r="NAR11" s="4"/>
      <c r="NAS11" s="4"/>
      <c r="NAT11" s="4"/>
      <c r="NAW11" s="34"/>
      <c r="NAX11" s="34"/>
      <c r="NAZ11" s="34"/>
      <c r="NBA11" s="72"/>
      <c r="NBB11" s="63"/>
      <c r="NBC11" s="34"/>
      <c r="NBD11" s="64"/>
      <c r="NBE11" s="4"/>
      <c r="NBF11" s="65"/>
      <c r="NBG11" s="4"/>
      <c r="NBH11" s="4"/>
      <c r="NBI11" s="4"/>
      <c r="NBL11" s="34"/>
      <c r="NBM11" s="34"/>
      <c r="NBO11" s="34"/>
      <c r="NBP11" s="72"/>
      <c r="NBQ11" s="63"/>
      <c r="NBR11" s="34"/>
      <c r="NBS11" s="64"/>
      <c r="NBT11" s="4"/>
      <c r="NBU11" s="65"/>
      <c r="NBV11" s="4"/>
      <c r="NBW11" s="4"/>
      <c r="NBX11" s="4"/>
      <c r="NCA11" s="34"/>
      <c r="NCB11" s="34"/>
      <c r="NCD11" s="34"/>
      <c r="NCE11" s="72"/>
      <c r="NCF11" s="63"/>
      <c r="NCG11" s="34"/>
      <c r="NCH11" s="64"/>
      <c r="NCI11" s="4"/>
      <c r="NCJ11" s="65"/>
      <c r="NCK11" s="4"/>
      <c r="NCL11" s="4"/>
      <c r="NCM11" s="4"/>
      <c r="NCP11" s="34"/>
      <c r="NCQ11" s="34"/>
      <c r="NCS11" s="34"/>
      <c r="NCT11" s="72"/>
      <c r="NCU11" s="63"/>
      <c r="NCV11" s="34"/>
      <c r="NCW11" s="64"/>
      <c r="NCX11" s="4"/>
      <c r="NCY11" s="65"/>
      <c r="NCZ11" s="4"/>
      <c r="NDA11" s="4"/>
      <c r="NDB11" s="4"/>
      <c r="NDE11" s="34"/>
      <c r="NDF11" s="34"/>
      <c r="NDH11" s="34"/>
      <c r="NDI11" s="72"/>
      <c r="NDJ11" s="63"/>
      <c r="NDK11" s="34"/>
      <c r="NDL11" s="64"/>
      <c r="NDM11" s="4"/>
      <c r="NDN11" s="65"/>
      <c r="NDO11" s="4"/>
      <c r="NDP11" s="4"/>
      <c r="NDQ11" s="4"/>
      <c r="NDT11" s="34"/>
      <c r="NDU11" s="34"/>
      <c r="NDW11" s="34"/>
      <c r="NDX11" s="72"/>
      <c r="NDY11" s="63"/>
      <c r="NDZ11" s="34"/>
      <c r="NEA11" s="64"/>
      <c r="NEB11" s="4"/>
      <c r="NEC11" s="65"/>
      <c r="NED11" s="4"/>
      <c r="NEE11" s="4"/>
      <c r="NEF11" s="4"/>
      <c r="NEI11" s="34"/>
      <c r="NEJ11" s="34"/>
      <c r="NEL11" s="34"/>
      <c r="NEM11" s="72"/>
      <c r="NEN11" s="63"/>
      <c r="NEO11" s="34"/>
      <c r="NEP11" s="64"/>
      <c r="NEQ11" s="4"/>
      <c r="NER11" s="65"/>
      <c r="NES11" s="4"/>
      <c r="NET11" s="4"/>
      <c r="NEU11" s="4"/>
      <c r="NEX11" s="34"/>
      <c r="NEY11" s="34"/>
      <c r="NFA11" s="34"/>
      <c r="NFB11" s="72"/>
      <c r="NFC11" s="63"/>
      <c r="NFD11" s="34"/>
      <c r="NFE11" s="64"/>
      <c r="NFF11" s="4"/>
      <c r="NFG11" s="65"/>
      <c r="NFH11" s="4"/>
      <c r="NFI11" s="4"/>
      <c r="NFJ11" s="4"/>
      <c r="NFM11" s="34"/>
      <c r="NFN11" s="34"/>
      <c r="NFP11" s="34"/>
      <c r="NFQ11" s="72"/>
      <c r="NFR11" s="63"/>
      <c r="NFS11" s="34"/>
      <c r="NFT11" s="64"/>
      <c r="NFU11" s="4"/>
      <c r="NFV11" s="65"/>
      <c r="NFW11" s="4"/>
      <c r="NFX11" s="4"/>
      <c r="NFY11" s="4"/>
      <c r="NGB11" s="34"/>
      <c r="NGC11" s="34"/>
      <c r="NGE11" s="34"/>
      <c r="NGF11" s="72"/>
      <c r="NGG11" s="63"/>
      <c r="NGH11" s="34"/>
      <c r="NGI11" s="64"/>
      <c r="NGJ11" s="4"/>
      <c r="NGK11" s="65"/>
      <c r="NGL11" s="4"/>
      <c r="NGM11" s="4"/>
      <c r="NGN11" s="4"/>
      <c r="NGQ11" s="34"/>
      <c r="NGR11" s="34"/>
      <c r="NGT11" s="34"/>
      <c r="NGU11" s="72"/>
      <c r="NGV11" s="63"/>
      <c r="NGW11" s="34"/>
      <c r="NGX11" s="64"/>
      <c r="NGY11" s="4"/>
      <c r="NGZ11" s="65"/>
      <c r="NHA11" s="4"/>
      <c r="NHB11" s="4"/>
      <c r="NHC11" s="4"/>
      <c r="NHF11" s="34"/>
      <c r="NHG11" s="34"/>
      <c r="NHI11" s="34"/>
      <c r="NHJ11" s="72"/>
      <c r="NHK11" s="63"/>
      <c r="NHL11" s="34"/>
      <c r="NHM11" s="64"/>
      <c r="NHN11" s="4"/>
      <c r="NHO11" s="65"/>
      <c r="NHP11" s="4"/>
      <c r="NHQ11" s="4"/>
      <c r="NHR11" s="4"/>
      <c r="NHU11" s="34"/>
      <c r="NHV11" s="34"/>
      <c r="NHX11" s="34"/>
      <c r="NHY11" s="72"/>
      <c r="NHZ11" s="63"/>
      <c r="NIA11" s="34"/>
      <c r="NIB11" s="64"/>
      <c r="NIC11" s="4"/>
      <c r="NID11" s="65"/>
      <c r="NIE11" s="4"/>
      <c r="NIF11" s="4"/>
      <c r="NIG11" s="4"/>
      <c r="NIJ11" s="34"/>
      <c r="NIK11" s="34"/>
      <c r="NIM11" s="34"/>
      <c r="NIN11" s="72"/>
      <c r="NIO11" s="63"/>
      <c r="NIP11" s="34"/>
      <c r="NIQ11" s="64"/>
      <c r="NIR11" s="4"/>
      <c r="NIS11" s="65"/>
      <c r="NIT11" s="4"/>
      <c r="NIU11" s="4"/>
      <c r="NIV11" s="4"/>
      <c r="NIY11" s="34"/>
      <c r="NIZ11" s="34"/>
      <c r="NJB11" s="34"/>
      <c r="NJC11" s="72"/>
      <c r="NJD11" s="63"/>
      <c r="NJE11" s="34"/>
      <c r="NJF11" s="64"/>
      <c r="NJG11" s="4"/>
      <c r="NJH11" s="65"/>
      <c r="NJI11" s="4"/>
      <c r="NJJ11" s="4"/>
      <c r="NJK11" s="4"/>
      <c r="NJN11" s="34"/>
      <c r="NJO11" s="34"/>
      <c r="NJQ11" s="34"/>
      <c r="NJR11" s="72"/>
      <c r="NJS11" s="63"/>
      <c r="NJT11" s="34"/>
      <c r="NJU11" s="64"/>
      <c r="NJV11" s="4"/>
      <c r="NJW11" s="65"/>
      <c r="NJX11" s="4"/>
      <c r="NJY11" s="4"/>
      <c r="NJZ11" s="4"/>
      <c r="NKC11" s="34"/>
      <c r="NKD11" s="34"/>
      <c r="NKF11" s="34"/>
      <c r="NKG11" s="72"/>
      <c r="NKH11" s="63"/>
      <c r="NKI11" s="34"/>
      <c r="NKJ11" s="64"/>
      <c r="NKK11" s="4"/>
      <c r="NKL11" s="65"/>
      <c r="NKM11" s="4"/>
      <c r="NKN11" s="4"/>
      <c r="NKO11" s="4"/>
      <c r="NKR11" s="34"/>
      <c r="NKS11" s="34"/>
      <c r="NKU11" s="34"/>
      <c r="NKV11" s="72"/>
      <c r="NKW11" s="63"/>
      <c r="NKX11" s="34"/>
      <c r="NKY11" s="64"/>
      <c r="NKZ11" s="4"/>
      <c r="NLA11" s="65"/>
      <c r="NLB11" s="4"/>
      <c r="NLC11" s="4"/>
      <c r="NLD11" s="4"/>
      <c r="NLG11" s="34"/>
      <c r="NLH11" s="34"/>
      <c r="NLJ11" s="34"/>
      <c r="NLK11" s="72"/>
      <c r="NLL11" s="63"/>
      <c r="NLM11" s="34"/>
      <c r="NLN11" s="64"/>
      <c r="NLO11" s="4"/>
      <c r="NLP11" s="65"/>
      <c r="NLQ11" s="4"/>
      <c r="NLR11" s="4"/>
      <c r="NLS11" s="4"/>
      <c r="NLV11" s="34"/>
      <c r="NLW11" s="34"/>
      <c r="NLY11" s="34"/>
      <c r="NLZ11" s="72"/>
      <c r="NMA11" s="63"/>
      <c r="NMB11" s="34"/>
      <c r="NMC11" s="64"/>
      <c r="NMD11" s="4"/>
      <c r="NME11" s="65"/>
      <c r="NMF11" s="4"/>
      <c r="NMG11" s="4"/>
      <c r="NMH11" s="4"/>
      <c r="NMK11" s="34"/>
      <c r="NML11" s="34"/>
      <c r="NMN11" s="34"/>
      <c r="NMO11" s="72"/>
      <c r="NMP11" s="63"/>
      <c r="NMQ11" s="34"/>
      <c r="NMR11" s="64"/>
      <c r="NMS11" s="4"/>
      <c r="NMT11" s="65"/>
      <c r="NMU11" s="4"/>
      <c r="NMV11" s="4"/>
      <c r="NMW11" s="4"/>
      <c r="NMZ11" s="34"/>
      <c r="NNA11" s="34"/>
      <c r="NNC11" s="34"/>
      <c r="NND11" s="72"/>
      <c r="NNE11" s="63"/>
      <c r="NNF11" s="34"/>
      <c r="NNG11" s="64"/>
      <c r="NNH11" s="4"/>
      <c r="NNI11" s="65"/>
      <c r="NNJ11" s="4"/>
      <c r="NNK11" s="4"/>
      <c r="NNL11" s="4"/>
      <c r="NNO11" s="34"/>
      <c r="NNP11" s="34"/>
      <c r="NNR11" s="34"/>
      <c r="NNS11" s="72"/>
      <c r="NNT11" s="63"/>
      <c r="NNU11" s="34"/>
      <c r="NNV11" s="64"/>
      <c r="NNW11" s="4"/>
      <c r="NNX11" s="65"/>
      <c r="NNY11" s="4"/>
      <c r="NNZ11" s="4"/>
      <c r="NOA11" s="4"/>
      <c r="NOD11" s="34"/>
      <c r="NOE11" s="34"/>
      <c r="NOG11" s="34"/>
      <c r="NOH11" s="72"/>
      <c r="NOI11" s="63"/>
      <c r="NOJ11" s="34"/>
      <c r="NOK11" s="64"/>
      <c r="NOL11" s="4"/>
      <c r="NOM11" s="65"/>
      <c r="NON11" s="4"/>
      <c r="NOO11" s="4"/>
      <c r="NOP11" s="4"/>
      <c r="NOS11" s="34"/>
      <c r="NOT11" s="34"/>
      <c r="NOV11" s="34"/>
      <c r="NOW11" s="72"/>
      <c r="NOX11" s="63"/>
      <c r="NOY11" s="34"/>
      <c r="NOZ11" s="64"/>
      <c r="NPA11" s="4"/>
      <c r="NPB11" s="65"/>
      <c r="NPC11" s="4"/>
      <c r="NPD11" s="4"/>
      <c r="NPE11" s="4"/>
      <c r="NPH11" s="34"/>
      <c r="NPI11" s="34"/>
      <c r="NPK11" s="34"/>
      <c r="NPL11" s="72"/>
      <c r="NPM11" s="63"/>
      <c r="NPN11" s="34"/>
      <c r="NPO11" s="64"/>
      <c r="NPP11" s="4"/>
      <c r="NPQ11" s="65"/>
      <c r="NPR11" s="4"/>
      <c r="NPS11" s="4"/>
      <c r="NPT11" s="4"/>
      <c r="NPW11" s="34"/>
      <c r="NPX11" s="34"/>
      <c r="NPZ11" s="34"/>
      <c r="NQA11" s="72"/>
      <c r="NQB11" s="63"/>
      <c r="NQC11" s="34"/>
      <c r="NQD11" s="64"/>
      <c r="NQE11" s="4"/>
      <c r="NQF11" s="65"/>
      <c r="NQG11" s="4"/>
      <c r="NQH11" s="4"/>
      <c r="NQI11" s="4"/>
      <c r="NQL11" s="34"/>
      <c r="NQM11" s="34"/>
      <c r="NQO11" s="34"/>
      <c r="NQP11" s="72"/>
      <c r="NQQ11" s="63"/>
      <c r="NQR11" s="34"/>
      <c r="NQS11" s="64"/>
      <c r="NQT11" s="4"/>
      <c r="NQU11" s="65"/>
      <c r="NQV11" s="4"/>
      <c r="NQW11" s="4"/>
      <c r="NQX11" s="4"/>
      <c r="NRA11" s="34"/>
      <c r="NRB11" s="34"/>
      <c r="NRD11" s="34"/>
      <c r="NRE11" s="72"/>
      <c r="NRF11" s="63"/>
      <c r="NRG11" s="34"/>
      <c r="NRH11" s="64"/>
      <c r="NRI11" s="4"/>
      <c r="NRJ11" s="65"/>
      <c r="NRK11" s="4"/>
      <c r="NRL11" s="4"/>
      <c r="NRM11" s="4"/>
      <c r="NRP11" s="34"/>
      <c r="NRQ11" s="34"/>
      <c r="NRS11" s="34"/>
      <c r="NRT11" s="72"/>
      <c r="NRU11" s="63"/>
      <c r="NRV11" s="34"/>
      <c r="NRW11" s="64"/>
      <c r="NRX11" s="4"/>
      <c r="NRY11" s="65"/>
      <c r="NRZ11" s="4"/>
      <c r="NSA11" s="4"/>
      <c r="NSB11" s="4"/>
      <c r="NSE11" s="34"/>
      <c r="NSF11" s="34"/>
      <c r="NSH11" s="34"/>
      <c r="NSI11" s="72"/>
      <c r="NSJ11" s="63"/>
      <c r="NSK11" s="34"/>
      <c r="NSL11" s="64"/>
      <c r="NSM11" s="4"/>
      <c r="NSN11" s="65"/>
      <c r="NSO11" s="4"/>
      <c r="NSP11" s="4"/>
      <c r="NSQ11" s="4"/>
      <c r="NST11" s="34"/>
      <c r="NSU11" s="34"/>
      <c r="NSW11" s="34"/>
      <c r="NSX11" s="72"/>
      <c r="NSY11" s="63"/>
      <c r="NSZ11" s="34"/>
      <c r="NTA11" s="64"/>
      <c r="NTB11" s="4"/>
      <c r="NTC11" s="65"/>
      <c r="NTD11" s="4"/>
      <c r="NTE11" s="4"/>
      <c r="NTF11" s="4"/>
      <c r="NTI11" s="34"/>
      <c r="NTJ11" s="34"/>
      <c r="NTL11" s="34"/>
      <c r="NTM11" s="72"/>
      <c r="NTN11" s="63"/>
      <c r="NTO11" s="34"/>
      <c r="NTP11" s="64"/>
      <c r="NTQ11" s="4"/>
      <c r="NTR11" s="65"/>
      <c r="NTS11" s="4"/>
      <c r="NTT11" s="4"/>
      <c r="NTU11" s="4"/>
      <c r="NTX11" s="34"/>
      <c r="NTY11" s="34"/>
      <c r="NUA11" s="34"/>
      <c r="NUB11" s="72"/>
      <c r="NUC11" s="63"/>
      <c r="NUD11" s="34"/>
      <c r="NUE11" s="64"/>
      <c r="NUF11" s="4"/>
      <c r="NUG11" s="65"/>
      <c r="NUH11" s="4"/>
      <c r="NUI11" s="4"/>
      <c r="NUJ11" s="4"/>
      <c r="NUM11" s="34"/>
      <c r="NUN11" s="34"/>
      <c r="NUP11" s="34"/>
      <c r="NUQ11" s="72"/>
      <c r="NUR11" s="63"/>
      <c r="NUS11" s="34"/>
      <c r="NUT11" s="64"/>
      <c r="NUU11" s="4"/>
      <c r="NUV11" s="65"/>
      <c r="NUW11" s="4"/>
      <c r="NUX11" s="4"/>
      <c r="NUY11" s="4"/>
      <c r="NVB11" s="34"/>
      <c r="NVC11" s="34"/>
      <c r="NVE11" s="34"/>
      <c r="NVF11" s="72"/>
      <c r="NVG11" s="63"/>
      <c r="NVH11" s="34"/>
      <c r="NVI11" s="64"/>
      <c r="NVJ11" s="4"/>
      <c r="NVK11" s="65"/>
      <c r="NVL11" s="4"/>
      <c r="NVM11" s="4"/>
      <c r="NVN11" s="4"/>
      <c r="NVQ11" s="34"/>
      <c r="NVR11" s="34"/>
      <c r="NVT11" s="34"/>
      <c r="NVU11" s="72"/>
      <c r="NVV11" s="63"/>
      <c r="NVW11" s="34"/>
      <c r="NVX11" s="64"/>
      <c r="NVY11" s="4"/>
      <c r="NVZ11" s="65"/>
      <c r="NWA11" s="4"/>
      <c r="NWB11" s="4"/>
      <c r="NWC11" s="4"/>
      <c r="NWF11" s="34"/>
      <c r="NWG11" s="34"/>
      <c r="NWI11" s="34"/>
      <c r="NWJ11" s="72"/>
      <c r="NWK11" s="63"/>
      <c r="NWL11" s="34"/>
      <c r="NWM11" s="64"/>
      <c r="NWN11" s="4"/>
      <c r="NWO11" s="65"/>
      <c r="NWP11" s="4"/>
      <c r="NWQ11" s="4"/>
      <c r="NWR11" s="4"/>
      <c r="NWU11" s="34"/>
      <c r="NWV11" s="34"/>
      <c r="NWX11" s="34"/>
      <c r="NWY11" s="72"/>
      <c r="NWZ11" s="63"/>
      <c r="NXA11" s="34"/>
      <c r="NXB11" s="64"/>
      <c r="NXC11" s="4"/>
      <c r="NXD11" s="65"/>
      <c r="NXE11" s="4"/>
      <c r="NXF11" s="4"/>
      <c r="NXG11" s="4"/>
      <c r="NXJ11" s="34"/>
      <c r="NXK11" s="34"/>
      <c r="NXM11" s="34"/>
      <c r="NXN11" s="72"/>
      <c r="NXO11" s="63"/>
      <c r="NXP11" s="34"/>
      <c r="NXQ11" s="64"/>
      <c r="NXR11" s="4"/>
      <c r="NXS11" s="65"/>
      <c r="NXT11" s="4"/>
      <c r="NXU11" s="4"/>
      <c r="NXV11" s="4"/>
      <c r="NXY11" s="34"/>
      <c r="NXZ11" s="34"/>
      <c r="NYB11" s="34"/>
      <c r="NYC11" s="72"/>
      <c r="NYD11" s="63"/>
      <c r="NYE11" s="34"/>
      <c r="NYF11" s="64"/>
      <c r="NYG11" s="4"/>
      <c r="NYH11" s="65"/>
      <c r="NYI11" s="4"/>
      <c r="NYJ11" s="4"/>
      <c r="NYK11" s="4"/>
      <c r="NYN11" s="34"/>
      <c r="NYO11" s="34"/>
      <c r="NYQ11" s="34"/>
      <c r="NYR11" s="72"/>
      <c r="NYS11" s="63"/>
      <c r="NYT11" s="34"/>
      <c r="NYU11" s="64"/>
      <c r="NYV11" s="4"/>
      <c r="NYW11" s="65"/>
      <c r="NYX11" s="4"/>
      <c r="NYY11" s="4"/>
      <c r="NYZ11" s="4"/>
      <c r="NZC11" s="34"/>
      <c r="NZD11" s="34"/>
      <c r="NZF11" s="34"/>
      <c r="NZG11" s="72"/>
      <c r="NZH11" s="63"/>
      <c r="NZI11" s="34"/>
      <c r="NZJ11" s="64"/>
      <c r="NZK11" s="4"/>
      <c r="NZL11" s="65"/>
      <c r="NZM11" s="4"/>
      <c r="NZN11" s="4"/>
      <c r="NZO11" s="4"/>
      <c r="NZR11" s="34"/>
      <c r="NZS11" s="34"/>
      <c r="NZU11" s="34"/>
      <c r="NZV11" s="72"/>
      <c r="NZW11" s="63"/>
      <c r="NZX11" s="34"/>
      <c r="NZY11" s="64"/>
      <c r="NZZ11" s="4"/>
      <c r="OAA11" s="65"/>
      <c r="OAB11" s="4"/>
      <c r="OAC11" s="4"/>
      <c r="OAD11" s="4"/>
      <c r="OAG11" s="34"/>
      <c r="OAH11" s="34"/>
      <c r="OAJ11" s="34"/>
      <c r="OAK11" s="72"/>
      <c r="OAL11" s="63"/>
      <c r="OAM11" s="34"/>
      <c r="OAN11" s="64"/>
      <c r="OAO11" s="4"/>
      <c r="OAP11" s="65"/>
      <c r="OAQ11" s="4"/>
      <c r="OAR11" s="4"/>
      <c r="OAS11" s="4"/>
      <c r="OAV11" s="34"/>
      <c r="OAW11" s="34"/>
      <c r="OAY11" s="34"/>
      <c r="OAZ11" s="72"/>
      <c r="OBA11" s="63"/>
      <c r="OBB11" s="34"/>
      <c r="OBC11" s="64"/>
      <c r="OBD11" s="4"/>
      <c r="OBE11" s="65"/>
      <c r="OBF11" s="4"/>
      <c r="OBG11" s="4"/>
      <c r="OBH11" s="4"/>
      <c r="OBK11" s="34"/>
      <c r="OBL11" s="34"/>
      <c r="OBN11" s="34"/>
      <c r="OBO11" s="72"/>
      <c r="OBP11" s="63"/>
      <c r="OBQ11" s="34"/>
      <c r="OBR11" s="64"/>
      <c r="OBS11" s="4"/>
      <c r="OBT11" s="65"/>
      <c r="OBU11" s="4"/>
      <c r="OBV11" s="4"/>
      <c r="OBW11" s="4"/>
      <c r="OBZ11" s="34"/>
      <c r="OCA11" s="34"/>
      <c r="OCC11" s="34"/>
      <c r="OCD11" s="72"/>
      <c r="OCE11" s="63"/>
      <c r="OCF11" s="34"/>
      <c r="OCG11" s="64"/>
      <c r="OCH11" s="4"/>
      <c r="OCI11" s="65"/>
      <c r="OCJ11" s="4"/>
      <c r="OCK11" s="4"/>
      <c r="OCL11" s="4"/>
      <c r="OCO11" s="34"/>
      <c r="OCP11" s="34"/>
      <c r="OCR11" s="34"/>
      <c r="OCS11" s="72"/>
      <c r="OCT11" s="63"/>
      <c r="OCU11" s="34"/>
      <c r="OCV11" s="64"/>
      <c r="OCW11" s="4"/>
      <c r="OCX11" s="65"/>
      <c r="OCY11" s="4"/>
      <c r="OCZ11" s="4"/>
      <c r="ODA11" s="4"/>
      <c r="ODD11" s="34"/>
      <c r="ODE11" s="34"/>
      <c r="ODG11" s="34"/>
      <c r="ODH11" s="72"/>
      <c r="ODI11" s="63"/>
      <c r="ODJ11" s="34"/>
      <c r="ODK11" s="64"/>
      <c r="ODL11" s="4"/>
      <c r="ODM11" s="65"/>
      <c r="ODN11" s="4"/>
      <c r="ODO11" s="4"/>
      <c r="ODP11" s="4"/>
      <c r="ODS11" s="34"/>
      <c r="ODT11" s="34"/>
      <c r="ODV11" s="34"/>
      <c r="ODW11" s="72"/>
      <c r="ODX11" s="63"/>
      <c r="ODY11" s="34"/>
      <c r="ODZ11" s="64"/>
      <c r="OEA11" s="4"/>
      <c r="OEB11" s="65"/>
      <c r="OEC11" s="4"/>
      <c r="OED11" s="4"/>
      <c r="OEE11" s="4"/>
      <c r="OEH11" s="34"/>
      <c r="OEI11" s="34"/>
      <c r="OEK11" s="34"/>
      <c r="OEL11" s="72"/>
      <c r="OEM11" s="63"/>
      <c r="OEN11" s="34"/>
      <c r="OEO11" s="64"/>
      <c r="OEP11" s="4"/>
      <c r="OEQ11" s="65"/>
      <c r="OER11" s="4"/>
      <c r="OES11" s="4"/>
      <c r="OET11" s="4"/>
      <c r="OEW11" s="34"/>
      <c r="OEX11" s="34"/>
      <c r="OEZ11" s="34"/>
      <c r="OFA11" s="72"/>
      <c r="OFB11" s="63"/>
      <c r="OFC11" s="34"/>
      <c r="OFD11" s="64"/>
      <c r="OFE11" s="4"/>
      <c r="OFF11" s="65"/>
      <c r="OFG11" s="4"/>
      <c r="OFH11" s="4"/>
      <c r="OFI11" s="4"/>
      <c r="OFL11" s="34"/>
      <c r="OFM11" s="34"/>
      <c r="OFO11" s="34"/>
      <c r="OFP11" s="72"/>
      <c r="OFQ11" s="63"/>
      <c r="OFR11" s="34"/>
      <c r="OFS11" s="64"/>
      <c r="OFT11" s="4"/>
      <c r="OFU11" s="65"/>
      <c r="OFV11" s="4"/>
      <c r="OFW11" s="4"/>
      <c r="OFX11" s="4"/>
      <c r="OGA11" s="34"/>
      <c r="OGB11" s="34"/>
      <c r="OGD11" s="34"/>
      <c r="OGE11" s="72"/>
      <c r="OGF11" s="63"/>
      <c r="OGG11" s="34"/>
      <c r="OGH11" s="64"/>
      <c r="OGI11" s="4"/>
      <c r="OGJ11" s="65"/>
      <c r="OGK11" s="4"/>
      <c r="OGL11" s="4"/>
      <c r="OGM11" s="4"/>
      <c r="OGP11" s="34"/>
      <c r="OGQ11" s="34"/>
      <c r="OGS11" s="34"/>
      <c r="OGT11" s="72"/>
      <c r="OGU11" s="63"/>
      <c r="OGV11" s="34"/>
      <c r="OGW11" s="64"/>
      <c r="OGX11" s="4"/>
      <c r="OGY11" s="65"/>
      <c r="OGZ11" s="4"/>
      <c r="OHA11" s="4"/>
      <c r="OHB11" s="4"/>
      <c r="OHE11" s="34"/>
      <c r="OHF11" s="34"/>
      <c r="OHH11" s="34"/>
      <c r="OHI11" s="72"/>
      <c r="OHJ11" s="63"/>
      <c r="OHK11" s="34"/>
      <c r="OHL11" s="64"/>
      <c r="OHM11" s="4"/>
      <c r="OHN11" s="65"/>
      <c r="OHO11" s="4"/>
      <c r="OHP11" s="4"/>
      <c r="OHQ11" s="4"/>
      <c r="OHT11" s="34"/>
      <c r="OHU11" s="34"/>
      <c r="OHW11" s="34"/>
      <c r="OHX11" s="72"/>
      <c r="OHY11" s="63"/>
      <c r="OHZ11" s="34"/>
      <c r="OIA11" s="64"/>
      <c r="OIB11" s="4"/>
      <c r="OIC11" s="65"/>
      <c r="OID11" s="4"/>
      <c r="OIE11" s="4"/>
      <c r="OIF11" s="4"/>
      <c r="OII11" s="34"/>
      <c r="OIJ11" s="34"/>
      <c r="OIL11" s="34"/>
      <c r="OIM11" s="72"/>
      <c r="OIN11" s="63"/>
      <c r="OIO11" s="34"/>
      <c r="OIP11" s="64"/>
      <c r="OIQ11" s="4"/>
      <c r="OIR11" s="65"/>
      <c r="OIS11" s="4"/>
      <c r="OIT11" s="4"/>
      <c r="OIU11" s="4"/>
      <c r="OIX11" s="34"/>
      <c r="OIY11" s="34"/>
      <c r="OJA11" s="34"/>
      <c r="OJB11" s="72"/>
      <c r="OJC11" s="63"/>
      <c r="OJD11" s="34"/>
      <c r="OJE11" s="64"/>
      <c r="OJF11" s="4"/>
      <c r="OJG11" s="65"/>
      <c r="OJH11" s="4"/>
      <c r="OJI11" s="4"/>
      <c r="OJJ11" s="4"/>
      <c r="OJM11" s="34"/>
      <c r="OJN11" s="34"/>
      <c r="OJP11" s="34"/>
      <c r="OJQ11" s="72"/>
      <c r="OJR11" s="63"/>
      <c r="OJS11" s="34"/>
      <c r="OJT11" s="64"/>
      <c r="OJU11" s="4"/>
      <c r="OJV11" s="65"/>
      <c r="OJW11" s="4"/>
      <c r="OJX11" s="4"/>
      <c r="OJY11" s="4"/>
      <c r="OKB11" s="34"/>
      <c r="OKC11" s="34"/>
      <c r="OKE11" s="34"/>
      <c r="OKF11" s="72"/>
      <c r="OKG11" s="63"/>
      <c r="OKH11" s="34"/>
      <c r="OKI11" s="64"/>
      <c r="OKJ11" s="4"/>
      <c r="OKK11" s="65"/>
      <c r="OKL11" s="4"/>
      <c r="OKM11" s="4"/>
      <c r="OKN11" s="4"/>
      <c r="OKQ11" s="34"/>
      <c r="OKR11" s="34"/>
      <c r="OKT11" s="34"/>
      <c r="OKU11" s="72"/>
      <c r="OKV11" s="63"/>
      <c r="OKW11" s="34"/>
      <c r="OKX11" s="64"/>
      <c r="OKY11" s="4"/>
      <c r="OKZ11" s="65"/>
      <c r="OLA11" s="4"/>
      <c r="OLB11" s="4"/>
      <c r="OLC11" s="4"/>
      <c r="OLF11" s="34"/>
      <c r="OLG11" s="34"/>
      <c r="OLI11" s="34"/>
      <c r="OLJ11" s="72"/>
      <c r="OLK11" s="63"/>
      <c r="OLL11" s="34"/>
      <c r="OLM11" s="64"/>
      <c r="OLN11" s="4"/>
      <c r="OLO11" s="65"/>
      <c r="OLP11" s="4"/>
      <c r="OLQ11" s="4"/>
      <c r="OLR11" s="4"/>
      <c r="OLU11" s="34"/>
      <c r="OLV11" s="34"/>
      <c r="OLX11" s="34"/>
      <c r="OLY11" s="72"/>
      <c r="OLZ11" s="63"/>
      <c r="OMA11" s="34"/>
      <c r="OMB11" s="64"/>
      <c r="OMC11" s="4"/>
      <c r="OMD11" s="65"/>
      <c r="OME11" s="4"/>
      <c r="OMF11" s="4"/>
      <c r="OMG11" s="4"/>
      <c r="OMJ11" s="34"/>
      <c r="OMK11" s="34"/>
      <c r="OMM11" s="34"/>
      <c r="OMN11" s="72"/>
      <c r="OMO11" s="63"/>
      <c r="OMP11" s="34"/>
      <c r="OMQ11" s="64"/>
      <c r="OMR11" s="4"/>
      <c r="OMS11" s="65"/>
      <c r="OMT11" s="4"/>
      <c r="OMU11" s="4"/>
      <c r="OMV11" s="4"/>
      <c r="OMY11" s="34"/>
      <c r="OMZ11" s="34"/>
      <c r="ONB11" s="34"/>
      <c r="ONC11" s="72"/>
      <c r="OND11" s="63"/>
      <c r="ONE11" s="34"/>
      <c r="ONF11" s="64"/>
      <c r="ONG11" s="4"/>
      <c r="ONH11" s="65"/>
      <c r="ONI11" s="4"/>
      <c r="ONJ11" s="4"/>
      <c r="ONK11" s="4"/>
      <c r="ONN11" s="34"/>
      <c r="ONO11" s="34"/>
      <c r="ONQ11" s="34"/>
      <c r="ONR11" s="72"/>
      <c r="ONS11" s="63"/>
      <c r="ONT11" s="34"/>
      <c r="ONU11" s="64"/>
      <c r="ONV11" s="4"/>
      <c r="ONW11" s="65"/>
      <c r="ONX11" s="4"/>
      <c r="ONY11" s="4"/>
      <c r="ONZ11" s="4"/>
      <c r="OOC11" s="34"/>
      <c r="OOD11" s="34"/>
      <c r="OOF11" s="34"/>
      <c r="OOG11" s="72"/>
      <c r="OOH11" s="63"/>
      <c r="OOI11" s="34"/>
      <c r="OOJ11" s="64"/>
      <c r="OOK11" s="4"/>
      <c r="OOL11" s="65"/>
      <c r="OOM11" s="4"/>
      <c r="OON11" s="4"/>
      <c r="OOO11" s="4"/>
      <c r="OOR11" s="34"/>
      <c r="OOS11" s="34"/>
      <c r="OOU11" s="34"/>
      <c r="OOV11" s="72"/>
      <c r="OOW11" s="63"/>
      <c r="OOX11" s="34"/>
      <c r="OOY11" s="64"/>
      <c r="OOZ11" s="4"/>
      <c r="OPA11" s="65"/>
      <c r="OPB11" s="4"/>
      <c r="OPC11" s="4"/>
      <c r="OPD11" s="4"/>
      <c r="OPG11" s="34"/>
      <c r="OPH11" s="34"/>
      <c r="OPJ11" s="34"/>
      <c r="OPK11" s="72"/>
      <c r="OPL11" s="63"/>
      <c r="OPM11" s="34"/>
      <c r="OPN11" s="64"/>
      <c r="OPO11" s="4"/>
      <c r="OPP11" s="65"/>
      <c r="OPQ11" s="4"/>
      <c r="OPR11" s="4"/>
      <c r="OPS11" s="4"/>
      <c r="OPV11" s="34"/>
      <c r="OPW11" s="34"/>
      <c r="OPY11" s="34"/>
      <c r="OPZ11" s="72"/>
      <c r="OQA11" s="63"/>
      <c r="OQB11" s="34"/>
      <c r="OQC11" s="64"/>
      <c r="OQD11" s="4"/>
      <c r="OQE11" s="65"/>
      <c r="OQF11" s="4"/>
      <c r="OQG11" s="4"/>
      <c r="OQH11" s="4"/>
      <c r="OQK11" s="34"/>
      <c r="OQL11" s="34"/>
      <c r="OQN11" s="34"/>
      <c r="OQO11" s="72"/>
      <c r="OQP11" s="63"/>
      <c r="OQQ11" s="34"/>
      <c r="OQR11" s="64"/>
      <c r="OQS11" s="4"/>
      <c r="OQT11" s="65"/>
      <c r="OQU11" s="4"/>
      <c r="OQV11" s="4"/>
      <c r="OQW11" s="4"/>
      <c r="OQZ11" s="34"/>
      <c r="ORA11" s="34"/>
      <c r="ORC11" s="34"/>
      <c r="ORD11" s="72"/>
      <c r="ORE11" s="63"/>
      <c r="ORF11" s="34"/>
      <c r="ORG11" s="64"/>
      <c r="ORH11" s="4"/>
      <c r="ORI11" s="65"/>
      <c r="ORJ11" s="4"/>
      <c r="ORK11" s="4"/>
      <c r="ORL11" s="4"/>
      <c r="ORO11" s="34"/>
      <c r="ORP11" s="34"/>
      <c r="ORR11" s="34"/>
      <c r="ORS11" s="72"/>
      <c r="ORT11" s="63"/>
      <c r="ORU11" s="34"/>
      <c r="ORV11" s="64"/>
      <c r="ORW11" s="4"/>
      <c r="ORX11" s="65"/>
      <c r="ORY11" s="4"/>
      <c r="ORZ11" s="4"/>
      <c r="OSA11" s="4"/>
      <c r="OSD11" s="34"/>
      <c r="OSE11" s="34"/>
      <c r="OSG11" s="34"/>
      <c r="OSH11" s="72"/>
      <c r="OSI11" s="63"/>
      <c r="OSJ11" s="34"/>
      <c r="OSK11" s="64"/>
      <c r="OSL11" s="4"/>
      <c r="OSM11" s="65"/>
      <c r="OSN11" s="4"/>
      <c r="OSO11" s="4"/>
      <c r="OSP11" s="4"/>
      <c r="OSS11" s="34"/>
      <c r="OST11" s="34"/>
      <c r="OSV11" s="34"/>
      <c r="OSW11" s="72"/>
      <c r="OSX11" s="63"/>
      <c r="OSY11" s="34"/>
      <c r="OSZ11" s="64"/>
      <c r="OTA11" s="4"/>
      <c r="OTB11" s="65"/>
      <c r="OTC11" s="4"/>
      <c r="OTD11" s="4"/>
      <c r="OTE11" s="4"/>
      <c r="OTH11" s="34"/>
      <c r="OTI11" s="34"/>
      <c r="OTK11" s="34"/>
      <c r="OTL11" s="72"/>
      <c r="OTM11" s="63"/>
      <c r="OTN11" s="34"/>
      <c r="OTO11" s="64"/>
      <c r="OTP11" s="4"/>
      <c r="OTQ11" s="65"/>
      <c r="OTR11" s="4"/>
      <c r="OTS11" s="4"/>
      <c r="OTT11" s="4"/>
      <c r="OTW11" s="34"/>
      <c r="OTX11" s="34"/>
      <c r="OTZ11" s="34"/>
      <c r="OUA11" s="72"/>
      <c r="OUB11" s="63"/>
      <c r="OUC11" s="34"/>
      <c r="OUD11" s="64"/>
      <c r="OUE11" s="4"/>
      <c r="OUF11" s="65"/>
      <c r="OUG11" s="4"/>
      <c r="OUH11" s="4"/>
      <c r="OUI11" s="4"/>
      <c r="OUL11" s="34"/>
      <c r="OUM11" s="34"/>
      <c r="OUO11" s="34"/>
      <c r="OUP11" s="72"/>
      <c r="OUQ11" s="63"/>
      <c r="OUR11" s="34"/>
      <c r="OUS11" s="64"/>
      <c r="OUT11" s="4"/>
      <c r="OUU11" s="65"/>
      <c r="OUV11" s="4"/>
      <c r="OUW11" s="4"/>
      <c r="OUX11" s="4"/>
      <c r="OVA11" s="34"/>
      <c r="OVB11" s="34"/>
      <c r="OVD11" s="34"/>
      <c r="OVE11" s="72"/>
      <c r="OVF11" s="63"/>
      <c r="OVG11" s="34"/>
      <c r="OVH11" s="64"/>
      <c r="OVI11" s="4"/>
      <c r="OVJ11" s="65"/>
      <c r="OVK11" s="4"/>
      <c r="OVL11" s="4"/>
      <c r="OVM11" s="4"/>
      <c r="OVP11" s="34"/>
      <c r="OVQ11" s="34"/>
      <c r="OVS11" s="34"/>
      <c r="OVT11" s="72"/>
      <c r="OVU11" s="63"/>
      <c r="OVV11" s="34"/>
      <c r="OVW11" s="64"/>
      <c r="OVX11" s="4"/>
      <c r="OVY11" s="65"/>
      <c r="OVZ11" s="4"/>
      <c r="OWA11" s="4"/>
      <c r="OWB11" s="4"/>
      <c r="OWE11" s="34"/>
      <c r="OWF11" s="34"/>
      <c r="OWH11" s="34"/>
      <c r="OWI11" s="72"/>
      <c r="OWJ11" s="63"/>
      <c r="OWK11" s="34"/>
      <c r="OWL11" s="64"/>
      <c r="OWM11" s="4"/>
      <c r="OWN11" s="65"/>
      <c r="OWO11" s="4"/>
      <c r="OWP11" s="4"/>
      <c r="OWQ11" s="4"/>
      <c r="OWT11" s="34"/>
      <c r="OWU11" s="34"/>
      <c r="OWW11" s="34"/>
      <c r="OWX11" s="72"/>
      <c r="OWY11" s="63"/>
      <c r="OWZ11" s="34"/>
      <c r="OXA11" s="64"/>
      <c r="OXB11" s="4"/>
      <c r="OXC11" s="65"/>
      <c r="OXD11" s="4"/>
      <c r="OXE11" s="4"/>
      <c r="OXF11" s="4"/>
      <c r="OXI11" s="34"/>
      <c r="OXJ11" s="34"/>
      <c r="OXL11" s="34"/>
      <c r="OXM11" s="72"/>
      <c r="OXN11" s="63"/>
      <c r="OXO11" s="34"/>
      <c r="OXP11" s="64"/>
      <c r="OXQ11" s="4"/>
      <c r="OXR11" s="65"/>
      <c r="OXS11" s="4"/>
      <c r="OXT11" s="4"/>
      <c r="OXU11" s="4"/>
      <c r="OXX11" s="34"/>
      <c r="OXY11" s="34"/>
      <c r="OYA11" s="34"/>
      <c r="OYB11" s="72"/>
      <c r="OYC11" s="63"/>
      <c r="OYD11" s="34"/>
      <c r="OYE11" s="64"/>
      <c r="OYF11" s="4"/>
      <c r="OYG11" s="65"/>
      <c r="OYH11" s="4"/>
      <c r="OYI11" s="4"/>
      <c r="OYJ11" s="4"/>
      <c r="OYM11" s="34"/>
      <c r="OYN11" s="34"/>
      <c r="OYP11" s="34"/>
      <c r="OYQ11" s="72"/>
      <c r="OYR11" s="63"/>
      <c r="OYS11" s="34"/>
      <c r="OYT11" s="64"/>
      <c r="OYU11" s="4"/>
      <c r="OYV11" s="65"/>
      <c r="OYW11" s="4"/>
      <c r="OYX11" s="4"/>
      <c r="OYY11" s="4"/>
      <c r="OZB11" s="34"/>
      <c r="OZC11" s="34"/>
      <c r="OZE11" s="34"/>
      <c r="OZF11" s="72"/>
      <c r="OZG11" s="63"/>
      <c r="OZH11" s="34"/>
      <c r="OZI11" s="64"/>
      <c r="OZJ11" s="4"/>
      <c r="OZK11" s="65"/>
      <c r="OZL11" s="4"/>
      <c r="OZM11" s="4"/>
      <c r="OZN11" s="4"/>
      <c r="OZQ11" s="34"/>
      <c r="OZR11" s="34"/>
      <c r="OZT11" s="34"/>
      <c r="OZU11" s="72"/>
      <c r="OZV11" s="63"/>
      <c r="OZW11" s="34"/>
      <c r="OZX11" s="64"/>
      <c r="OZY11" s="4"/>
      <c r="OZZ11" s="65"/>
      <c r="PAA11" s="4"/>
      <c r="PAB11" s="4"/>
      <c r="PAC11" s="4"/>
      <c r="PAF11" s="34"/>
      <c r="PAG11" s="34"/>
      <c r="PAI11" s="34"/>
      <c r="PAJ11" s="72"/>
      <c r="PAK11" s="63"/>
      <c r="PAL11" s="34"/>
      <c r="PAM11" s="64"/>
      <c r="PAN11" s="4"/>
      <c r="PAO11" s="65"/>
      <c r="PAP11" s="4"/>
      <c r="PAQ11" s="4"/>
      <c r="PAR11" s="4"/>
      <c r="PAU11" s="34"/>
      <c r="PAV11" s="34"/>
      <c r="PAX11" s="34"/>
      <c r="PAY11" s="72"/>
      <c r="PAZ11" s="63"/>
      <c r="PBA11" s="34"/>
      <c r="PBB11" s="64"/>
      <c r="PBC11" s="4"/>
      <c r="PBD11" s="65"/>
      <c r="PBE11" s="4"/>
      <c r="PBF11" s="4"/>
      <c r="PBG11" s="4"/>
      <c r="PBJ11" s="34"/>
      <c r="PBK11" s="34"/>
      <c r="PBM11" s="34"/>
      <c r="PBN11" s="72"/>
      <c r="PBO11" s="63"/>
      <c r="PBP11" s="34"/>
      <c r="PBQ11" s="64"/>
      <c r="PBR11" s="4"/>
      <c r="PBS11" s="65"/>
      <c r="PBT11" s="4"/>
      <c r="PBU11" s="4"/>
      <c r="PBV11" s="4"/>
      <c r="PBY11" s="34"/>
      <c r="PBZ11" s="34"/>
      <c r="PCB11" s="34"/>
      <c r="PCC11" s="72"/>
      <c r="PCD11" s="63"/>
      <c r="PCE11" s="34"/>
      <c r="PCF11" s="64"/>
      <c r="PCG11" s="4"/>
      <c r="PCH11" s="65"/>
      <c r="PCI11" s="4"/>
      <c r="PCJ11" s="4"/>
      <c r="PCK11" s="4"/>
      <c r="PCN11" s="34"/>
      <c r="PCO11" s="34"/>
      <c r="PCQ11" s="34"/>
      <c r="PCR11" s="72"/>
      <c r="PCS11" s="63"/>
      <c r="PCT11" s="34"/>
      <c r="PCU11" s="64"/>
      <c r="PCV11" s="4"/>
      <c r="PCW11" s="65"/>
      <c r="PCX11" s="4"/>
      <c r="PCY11" s="4"/>
      <c r="PCZ11" s="4"/>
      <c r="PDC11" s="34"/>
      <c r="PDD11" s="34"/>
      <c r="PDF11" s="34"/>
      <c r="PDG11" s="72"/>
      <c r="PDH11" s="63"/>
      <c r="PDI11" s="34"/>
      <c r="PDJ11" s="64"/>
      <c r="PDK11" s="4"/>
      <c r="PDL11" s="65"/>
      <c r="PDM11" s="4"/>
      <c r="PDN11" s="4"/>
      <c r="PDO11" s="4"/>
      <c r="PDR11" s="34"/>
      <c r="PDS11" s="34"/>
      <c r="PDU11" s="34"/>
      <c r="PDV11" s="72"/>
      <c r="PDW11" s="63"/>
      <c r="PDX11" s="34"/>
      <c r="PDY11" s="64"/>
      <c r="PDZ11" s="4"/>
      <c r="PEA11" s="65"/>
      <c r="PEB11" s="4"/>
      <c r="PEC11" s="4"/>
      <c r="PED11" s="4"/>
      <c r="PEG11" s="34"/>
      <c r="PEH11" s="34"/>
      <c r="PEJ11" s="34"/>
      <c r="PEK11" s="72"/>
      <c r="PEL11" s="63"/>
      <c r="PEM11" s="34"/>
      <c r="PEN11" s="64"/>
      <c r="PEO11" s="4"/>
      <c r="PEP11" s="65"/>
      <c r="PEQ11" s="4"/>
      <c r="PER11" s="4"/>
      <c r="PES11" s="4"/>
      <c r="PEV11" s="34"/>
      <c r="PEW11" s="34"/>
      <c r="PEY11" s="34"/>
      <c r="PEZ11" s="72"/>
      <c r="PFA11" s="63"/>
      <c r="PFB11" s="34"/>
      <c r="PFC11" s="64"/>
      <c r="PFD11" s="4"/>
      <c r="PFE11" s="65"/>
      <c r="PFF11" s="4"/>
      <c r="PFG11" s="4"/>
      <c r="PFH11" s="4"/>
      <c r="PFK11" s="34"/>
      <c r="PFL11" s="34"/>
      <c r="PFN11" s="34"/>
      <c r="PFO11" s="72"/>
      <c r="PFP11" s="63"/>
      <c r="PFQ11" s="34"/>
      <c r="PFR11" s="64"/>
      <c r="PFS11" s="4"/>
      <c r="PFT11" s="65"/>
      <c r="PFU11" s="4"/>
      <c r="PFV11" s="4"/>
      <c r="PFW11" s="4"/>
      <c r="PFZ11" s="34"/>
      <c r="PGA11" s="34"/>
      <c r="PGC11" s="34"/>
      <c r="PGD11" s="72"/>
      <c r="PGE11" s="63"/>
      <c r="PGF11" s="34"/>
      <c r="PGG11" s="64"/>
      <c r="PGH11" s="4"/>
      <c r="PGI11" s="65"/>
      <c r="PGJ11" s="4"/>
      <c r="PGK11" s="4"/>
      <c r="PGL11" s="4"/>
      <c r="PGO11" s="34"/>
      <c r="PGP11" s="34"/>
      <c r="PGR11" s="34"/>
      <c r="PGS11" s="72"/>
      <c r="PGT11" s="63"/>
      <c r="PGU11" s="34"/>
      <c r="PGV11" s="64"/>
      <c r="PGW11" s="4"/>
      <c r="PGX11" s="65"/>
      <c r="PGY11" s="4"/>
      <c r="PGZ11" s="4"/>
      <c r="PHA11" s="4"/>
      <c r="PHD11" s="34"/>
      <c r="PHE11" s="34"/>
      <c r="PHG11" s="34"/>
      <c r="PHH11" s="72"/>
      <c r="PHI11" s="63"/>
      <c r="PHJ11" s="34"/>
      <c r="PHK11" s="64"/>
      <c r="PHL11" s="4"/>
      <c r="PHM11" s="65"/>
      <c r="PHN11" s="4"/>
      <c r="PHO11" s="4"/>
      <c r="PHP11" s="4"/>
      <c r="PHS11" s="34"/>
      <c r="PHT11" s="34"/>
      <c r="PHV11" s="34"/>
      <c r="PHW11" s="72"/>
      <c r="PHX11" s="63"/>
      <c r="PHY11" s="34"/>
      <c r="PHZ11" s="64"/>
      <c r="PIA11" s="4"/>
      <c r="PIB11" s="65"/>
      <c r="PIC11" s="4"/>
      <c r="PID11" s="4"/>
      <c r="PIE11" s="4"/>
      <c r="PIH11" s="34"/>
      <c r="PII11" s="34"/>
      <c r="PIK11" s="34"/>
      <c r="PIL11" s="72"/>
      <c r="PIM11" s="63"/>
      <c r="PIN11" s="34"/>
      <c r="PIO11" s="64"/>
      <c r="PIP11" s="4"/>
      <c r="PIQ11" s="65"/>
      <c r="PIR11" s="4"/>
      <c r="PIS11" s="4"/>
      <c r="PIT11" s="4"/>
      <c r="PIW11" s="34"/>
      <c r="PIX11" s="34"/>
      <c r="PIZ11" s="34"/>
      <c r="PJA11" s="72"/>
      <c r="PJB11" s="63"/>
      <c r="PJC11" s="34"/>
      <c r="PJD11" s="64"/>
      <c r="PJE11" s="4"/>
      <c r="PJF11" s="65"/>
      <c r="PJG11" s="4"/>
      <c r="PJH11" s="4"/>
      <c r="PJI11" s="4"/>
      <c r="PJL11" s="34"/>
      <c r="PJM11" s="34"/>
      <c r="PJO11" s="34"/>
      <c r="PJP11" s="72"/>
      <c r="PJQ11" s="63"/>
      <c r="PJR11" s="34"/>
      <c r="PJS11" s="64"/>
      <c r="PJT11" s="4"/>
      <c r="PJU11" s="65"/>
      <c r="PJV11" s="4"/>
      <c r="PJW11" s="4"/>
      <c r="PJX11" s="4"/>
      <c r="PKA11" s="34"/>
      <c r="PKB11" s="34"/>
      <c r="PKD11" s="34"/>
      <c r="PKE11" s="72"/>
      <c r="PKF11" s="63"/>
      <c r="PKG11" s="34"/>
      <c r="PKH11" s="64"/>
      <c r="PKI11" s="4"/>
      <c r="PKJ11" s="65"/>
      <c r="PKK11" s="4"/>
      <c r="PKL11" s="4"/>
      <c r="PKM11" s="4"/>
      <c r="PKP11" s="34"/>
      <c r="PKQ11" s="34"/>
      <c r="PKS11" s="34"/>
      <c r="PKT11" s="72"/>
      <c r="PKU11" s="63"/>
      <c r="PKV11" s="34"/>
      <c r="PKW11" s="64"/>
      <c r="PKX11" s="4"/>
      <c r="PKY11" s="65"/>
      <c r="PKZ11" s="4"/>
      <c r="PLA11" s="4"/>
      <c r="PLB11" s="4"/>
      <c r="PLE11" s="34"/>
      <c r="PLF11" s="34"/>
      <c r="PLH11" s="34"/>
      <c r="PLI11" s="72"/>
      <c r="PLJ11" s="63"/>
      <c r="PLK11" s="34"/>
      <c r="PLL11" s="64"/>
      <c r="PLM11" s="4"/>
      <c r="PLN11" s="65"/>
      <c r="PLO11" s="4"/>
      <c r="PLP11" s="4"/>
      <c r="PLQ11" s="4"/>
      <c r="PLT11" s="34"/>
      <c r="PLU11" s="34"/>
      <c r="PLW11" s="34"/>
      <c r="PLX11" s="72"/>
      <c r="PLY11" s="63"/>
      <c r="PLZ11" s="34"/>
      <c r="PMA11" s="64"/>
      <c r="PMB11" s="4"/>
      <c r="PMC11" s="65"/>
      <c r="PMD11" s="4"/>
      <c r="PME11" s="4"/>
      <c r="PMF11" s="4"/>
      <c r="PMI11" s="34"/>
      <c r="PMJ11" s="34"/>
      <c r="PML11" s="34"/>
      <c r="PMM11" s="72"/>
      <c r="PMN11" s="63"/>
      <c r="PMO11" s="34"/>
      <c r="PMP11" s="64"/>
      <c r="PMQ11" s="4"/>
      <c r="PMR11" s="65"/>
      <c r="PMS11" s="4"/>
      <c r="PMT11" s="4"/>
      <c r="PMU11" s="4"/>
      <c r="PMX11" s="34"/>
      <c r="PMY11" s="34"/>
      <c r="PNA11" s="34"/>
      <c r="PNB11" s="72"/>
      <c r="PNC11" s="63"/>
      <c r="PND11" s="34"/>
      <c r="PNE11" s="64"/>
      <c r="PNF11" s="4"/>
      <c r="PNG11" s="65"/>
      <c r="PNH11" s="4"/>
      <c r="PNI11" s="4"/>
      <c r="PNJ11" s="4"/>
      <c r="PNM11" s="34"/>
      <c r="PNN11" s="34"/>
      <c r="PNP11" s="34"/>
      <c r="PNQ11" s="72"/>
      <c r="PNR11" s="63"/>
      <c r="PNS11" s="34"/>
      <c r="PNT11" s="64"/>
      <c r="PNU11" s="4"/>
      <c r="PNV11" s="65"/>
      <c r="PNW11" s="4"/>
      <c r="PNX11" s="4"/>
      <c r="PNY11" s="4"/>
      <c r="POB11" s="34"/>
      <c r="POC11" s="34"/>
      <c r="POE11" s="34"/>
      <c r="POF11" s="72"/>
      <c r="POG11" s="63"/>
      <c r="POH11" s="34"/>
      <c r="POI11" s="64"/>
      <c r="POJ11" s="4"/>
      <c r="POK11" s="65"/>
      <c r="POL11" s="4"/>
      <c r="POM11" s="4"/>
      <c r="PON11" s="4"/>
      <c r="POQ11" s="34"/>
      <c r="POR11" s="34"/>
      <c r="POT11" s="34"/>
      <c r="POU11" s="72"/>
      <c r="POV11" s="63"/>
      <c r="POW11" s="34"/>
      <c r="POX11" s="64"/>
      <c r="POY11" s="4"/>
      <c r="POZ11" s="65"/>
      <c r="PPA11" s="4"/>
      <c r="PPB11" s="4"/>
      <c r="PPC11" s="4"/>
      <c r="PPF11" s="34"/>
      <c r="PPG11" s="34"/>
      <c r="PPI11" s="34"/>
      <c r="PPJ11" s="72"/>
      <c r="PPK11" s="63"/>
      <c r="PPL11" s="34"/>
      <c r="PPM11" s="64"/>
      <c r="PPN11" s="4"/>
      <c r="PPO11" s="65"/>
      <c r="PPP11" s="4"/>
      <c r="PPQ11" s="4"/>
      <c r="PPR11" s="4"/>
      <c r="PPU11" s="34"/>
      <c r="PPV11" s="34"/>
      <c r="PPX11" s="34"/>
      <c r="PPY11" s="72"/>
      <c r="PPZ11" s="63"/>
      <c r="PQA11" s="34"/>
      <c r="PQB11" s="64"/>
      <c r="PQC11" s="4"/>
      <c r="PQD11" s="65"/>
      <c r="PQE11" s="4"/>
      <c r="PQF11" s="4"/>
      <c r="PQG11" s="4"/>
      <c r="PQJ11" s="34"/>
      <c r="PQK11" s="34"/>
      <c r="PQM11" s="34"/>
      <c r="PQN11" s="72"/>
      <c r="PQO11" s="63"/>
      <c r="PQP11" s="34"/>
      <c r="PQQ11" s="64"/>
      <c r="PQR11" s="4"/>
      <c r="PQS11" s="65"/>
      <c r="PQT11" s="4"/>
      <c r="PQU11" s="4"/>
      <c r="PQV11" s="4"/>
      <c r="PQY11" s="34"/>
      <c r="PQZ11" s="34"/>
      <c r="PRB11" s="34"/>
      <c r="PRC11" s="72"/>
      <c r="PRD11" s="63"/>
      <c r="PRE11" s="34"/>
      <c r="PRF11" s="64"/>
      <c r="PRG11" s="4"/>
      <c r="PRH11" s="65"/>
      <c r="PRI11" s="4"/>
      <c r="PRJ11" s="4"/>
      <c r="PRK11" s="4"/>
      <c r="PRN11" s="34"/>
      <c r="PRO11" s="34"/>
      <c r="PRQ11" s="34"/>
      <c r="PRR11" s="72"/>
      <c r="PRS11" s="63"/>
      <c r="PRT11" s="34"/>
      <c r="PRU11" s="64"/>
      <c r="PRV11" s="4"/>
      <c r="PRW11" s="65"/>
      <c r="PRX11" s="4"/>
      <c r="PRY11" s="4"/>
      <c r="PRZ11" s="4"/>
      <c r="PSC11" s="34"/>
      <c r="PSD11" s="34"/>
      <c r="PSF11" s="34"/>
      <c r="PSG11" s="72"/>
      <c r="PSH11" s="63"/>
      <c r="PSI11" s="34"/>
      <c r="PSJ11" s="64"/>
      <c r="PSK11" s="4"/>
      <c r="PSL11" s="65"/>
      <c r="PSM11" s="4"/>
      <c r="PSN11" s="4"/>
      <c r="PSO11" s="4"/>
      <c r="PSR11" s="34"/>
      <c r="PSS11" s="34"/>
      <c r="PSU11" s="34"/>
      <c r="PSV11" s="72"/>
      <c r="PSW11" s="63"/>
      <c r="PSX11" s="34"/>
      <c r="PSY11" s="64"/>
      <c r="PSZ11" s="4"/>
      <c r="PTA11" s="65"/>
      <c r="PTB11" s="4"/>
      <c r="PTC11" s="4"/>
      <c r="PTD11" s="4"/>
      <c r="PTG11" s="34"/>
      <c r="PTH11" s="34"/>
      <c r="PTJ11" s="34"/>
      <c r="PTK11" s="72"/>
      <c r="PTL11" s="63"/>
      <c r="PTM11" s="34"/>
      <c r="PTN11" s="64"/>
      <c r="PTO11" s="4"/>
      <c r="PTP11" s="65"/>
      <c r="PTQ11" s="4"/>
      <c r="PTR11" s="4"/>
      <c r="PTS11" s="4"/>
      <c r="PTV11" s="34"/>
      <c r="PTW11" s="34"/>
      <c r="PTY11" s="34"/>
      <c r="PTZ11" s="72"/>
      <c r="PUA11" s="63"/>
      <c r="PUB11" s="34"/>
      <c r="PUC11" s="64"/>
      <c r="PUD11" s="4"/>
      <c r="PUE11" s="65"/>
      <c r="PUF11" s="4"/>
      <c r="PUG11" s="4"/>
      <c r="PUH11" s="4"/>
      <c r="PUK11" s="34"/>
      <c r="PUL11" s="34"/>
      <c r="PUN11" s="34"/>
      <c r="PUO11" s="72"/>
      <c r="PUP11" s="63"/>
      <c r="PUQ11" s="34"/>
      <c r="PUR11" s="64"/>
      <c r="PUS11" s="4"/>
      <c r="PUT11" s="65"/>
      <c r="PUU11" s="4"/>
      <c r="PUV11" s="4"/>
      <c r="PUW11" s="4"/>
      <c r="PUZ11" s="34"/>
      <c r="PVA11" s="34"/>
      <c r="PVC11" s="34"/>
      <c r="PVD11" s="72"/>
      <c r="PVE11" s="63"/>
      <c r="PVF11" s="34"/>
      <c r="PVG11" s="64"/>
      <c r="PVH11" s="4"/>
      <c r="PVI11" s="65"/>
      <c r="PVJ11" s="4"/>
      <c r="PVK11" s="4"/>
      <c r="PVL11" s="4"/>
      <c r="PVO11" s="34"/>
      <c r="PVP11" s="34"/>
      <c r="PVR11" s="34"/>
      <c r="PVS11" s="72"/>
      <c r="PVT11" s="63"/>
      <c r="PVU11" s="34"/>
      <c r="PVV11" s="64"/>
      <c r="PVW11" s="4"/>
      <c r="PVX11" s="65"/>
      <c r="PVY11" s="4"/>
      <c r="PVZ11" s="4"/>
      <c r="PWA11" s="4"/>
      <c r="PWD11" s="34"/>
      <c r="PWE11" s="34"/>
      <c r="PWG11" s="34"/>
      <c r="PWH11" s="72"/>
      <c r="PWI11" s="63"/>
      <c r="PWJ11" s="34"/>
      <c r="PWK11" s="64"/>
      <c r="PWL11" s="4"/>
      <c r="PWM11" s="65"/>
      <c r="PWN11" s="4"/>
      <c r="PWO11" s="4"/>
      <c r="PWP11" s="4"/>
      <c r="PWS11" s="34"/>
      <c r="PWT11" s="34"/>
      <c r="PWV11" s="34"/>
      <c r="PWW11" s="72"/>
      <c r="PWX11" s="63"/>
      <c r="PWY11" s="34"/>
      <c r="PWZ11" s="64"/>
      <c r="PXA11" s="4"/>
      <c r="PXB11" s="65"/>
      <c r="PXC11" s="4"/>
      <c r="PXD11" s="4"/>
      <c r="PXE11" s="4"/>
      <c r="PXH11" s="34"/>
      <c r="PXI11" s="34"/>
      <c r="PXK11" s="34"/>
      <c r="PXL11" s="72"/>
      <c r="PXM11" s="63"/>
      <c r="PXN11" s="34"/>
      <c r="PXO11" s="64"/>
      <c r="PXP11" s="4"/>
      <c r="PXQ11" s="65"/>
      <c r="PXR11" s="4"/>
      <c r="PXS11" s="4"/>
      <c r="PXT11" s="4"/>
      <c r="PXW11" s="34"/>
      <c r="PXX11" s="34"/>
      <c r="PXZ11" s="34"/>
      <c r="PYA11" s="72"/>
      <c r="PYB11" s="63"/>
      <c r="PYC11" s="34"/>
      <c r="PYD11" s="64"/>
      <c r="PYE11" s="4"/>
      <c r="PYF11" s="65"/>
      <c r="PYG11" s="4"/>
      <c r="PYH11" s="4"/>
      <c r="PYI11" s="4"/>
      <c r="PYL11" s="34"/>
      <c r="PYM11" s="34"/>
      <c r="PYO11" s="34"/>
      <c r="PYP11" s="72"/>
      <c r="PYQ11" s="63"/>
      <c r="PYR11" s="34"/>
      <c r="PYS11" s="64"/>
      <c r="PYT11" s="4"/>
      <c r="PYU11" s="65"/>
      <c r="PYV11" s="4"/>
      <c r="PYW11" s="4"/>
      <c r="PYX11" s="4"/>
      <c r="PZA11" s="34"/>
      <c r="PZB11" s="34"/>
      <c r="PZD11" s="34"/>
      <c r="PZE11" s="72"/>
      <c r="PZF11" s="63"/>
      <c r="PZG11" s="34"/>
      <c r="PZH11" s="64"/>
      <c r="PZI11" s="4"/>
      <c r="PZJ11" s="65"/>
      <c r="PZK11" s="4"/>
      <c r="PZL11" s="4"/>
      <c r="PZM11" s="4"/>
      <c r="PZP11" s="34"/>
      <c r="PZQ11" s="34"/>
      <c r="PZS11" s="34"/>
      <c r="PZT11" s="72"/>
      <c r="PZU11" s="63"/>
      <c r="PZV11" s="34"/>
      <c r="PZW11" s="64"/>
      <c r="PZX11" s="4"/>
      <c r="PZY11" s="65"/>
      <c r="PZZ11" s="4"/>
      <c r="QAA11" s="4"/>
      <c r="QAB11" s="4"/>
      <c r="QAE11" s="34"/>
      <c r="QAF11" s="34"/>
      <c r="QAH11" s="34"/>
      <c r="QAI11" s="72"/>
      <c r="QAJ11" s="63"/>
      <c r="QAK11" s="34"/>
      <c r="QAL11" s="64"/>
      <c r="QAM11" s="4"/>
      <c r="QAN11" s="65"/>
      <c r="QAO11" s="4"/>
      <c r="QAP11" s="4"/>
      <c r="QAQ11" s="4"/>
      <c r="QAT11" s="34"/>
      <c r="QAU11" s="34"/>
      <c r="QAW11" s="34"/>
      <c r="QAX11" s="72"/>
      <c r="QAY11" s="63"/>
      <c r="QAZ11" s="34"/>
      <c r="QBA11" s="64"/>
      <c r="QBB11" s="4"/>
      <c r="QBC11" s="65"/>
      <c r="QBD11" s="4"/>
      <c r="QBE11" s="4"/>
      <c r="QBF11" s="4"/>
      <c r="QBI11" s="34"/>
      <c r="QBJ11" s="34"/>
      <c r="QBL11" s="34"/>
      <c r="QBM11" s="72"/>
      <c r="QBN11" s="63"/>
      <c r="QBO11" s="34"/>
      <c r="QBP11" s="64"/>
      <c r="QBQ11" s="4"/>
      <c r="QBR11" s="65"/>
      <c r="QBS11" s="4"/>
      <c r="QBT11" s="4"/>
      <c r="QBU11" s="4"/>
      <c r="QBX11" s="34"/>
      <c r="QBY11" s="34"/>
      <c r="QCA11" s="34"/>
      <c r="QCB11" s="72"/>
      <c r="QCC11" s="63"/>
      <c r="QCD11" s="34"/>
      <c r="QCE11" s="64"/>
      <c r="QCF11" s="4"/>
      <c r="QCG11" s="65"/>
      <c r="QCH11" s="4"/>
      <c r="QCI11" s="4"/>
      <c r="QCJ11" s="4"/>
      <c r="QCM11" s="34"/>
      <c r="QCN11" s="34"/>
      <c r="QCP11" s="34"/>
      <c r="QCQ11" s="72"/>
      <c r="QCR11" s="63"/>
      <c r="QCS11" s="34"/>
      <c r="QCT11" s="64"/>
      <c r="QCU11" s="4"/>
      <c r="QCV11" s="65"/>
      <c r="QCW11" s="4"/>
      <c r="QCX11" s="4"/>
      <c r="QCY11" s="4"/>
      <c r="QDB11" s="34"/>
      <c r="QDC11" s="34"/>
      <c r="QDE11" s="34"/>
      <c r="QDF11" s="72"/>
      <c r="QDG11" s="63"/>
      <c r="QDH11" s="34"/>
      <c r="QDI11" s="64"/>
      <c r="QDJ11" s="4"/>
      <c r="QDK11" s="65"/>
      <c r="QDL11" s="4"/>
      <c r="QDM11" s="4"/>
      <c r="QDN11" s="4"/>
      <c r="QDQ11" s="34"/>
      <c r="QDR11" s="34"/>
      <c r="QDT11" s="34"/>
      <c r="QDU11" s="72"/>
      <c r="QDV11" s="63"/>
      <c r="QDW11" s="34"/>
      <c r="QDX11" s="64"/>
      <c r="QDY11" s="4"/>
      <c r="QDZ11" s="65"/>
      <c r="QEA11" s="4"/>
      <c r="QEB11" s="4"/>
      <c r="QEC11" s="4"/>
      <c r="QEF11" s="34"/>
      <c r="QEG11" s="34"/>
      <c r="QEI11" s="34"/>
      <c r="QEJ11" s="72"/>
      <c r="QEK11" s="63"/>
      <c r="QEL11" s="34"/>
      <c r="QEM11" s="64"/>
      <c r="QEN11" s="4"/>
      <c r="QEO11" s="65"/>
      <c r="QEP11" s="4"/>
      <c r="QEQ11" s="4"/>
      <c r="QER11" s="4"/>
      <c r="QEU11" s="34"/>
      <c r="QEV11" s="34"/>
      <c r="QEX11" s="34"/>
      <c r="QEY11" s="72"/>
      <c r="QEZ11" s="63"/>
      <c r="QFA11" s="34"/>
      <c r="QFB11" s="64"/>
      <c r="QFC11" s="4"/>
      <c r="QFD11" s="65"/>
      <c r="QFE11" s="4"/>
      <c r="QFF11" s="4"/>
      <c r="QFG11" s="4"/>
      <c r="QFJ11" s="34"/>
      <c r="QFK11" s="34"/>
      <c r="QFM11" s="34"/>
      <c r="QFN11" s="72"/>
      <c r="QFO11" s="63"/>
      <c r="QFP11" s="34"/>
      <c r="QFQ11" s="64"/>
      <c r="QFR11" s="4"/>
      <c r="QFS11" s="65"/>
      <c r="QFT11" s="4"/>
      <c r="QFU11" s="4"/>
      <c r="QFV11" s="4"/>
      <c r="QFY11" s="34"/>
      <c r="QFZ11" s="34"/>
      <c r="QGB11" s="34"/>
      <c r="QGC11" s="72"/>
      <c r="QGD11" s="63"/>
      <c r="QGE11" s="34"/>
      <c r="QGF11" s="64"/>
      <c r="QGG11" s="4"/>
      <c r="QGH11" s="65"/>
      <c r="QGI11" s="4"/>
      <c r="QGJ11" s="4"/>
      <c r="QGK11" s="4"/>
      <c r="QGN11" s="34"/>
      <c r="QGO11" s="34"/>
      <c r="QGQ11" s="34"/>
      <c r="QGR11" s="72"/>
      <c r="QGS11" s="63"/>
      <c r="QGT11" s="34"/>
      <c r="QGU11" s="64"/>
      <c r="QGV11" s="4"/>
      <c r="QGW11" s="65"/>
      <c r="QGX11" s="4"/>
      <c r="QGY11" s="4"/>
      <c r="QGZ11" s="4"/>
      <c r="QHC11" s="34"/>
      <c r="QHD11" s="34"/>
      <c r="QHF11" s="34"/>
      <c r="QHG11" s="72"/>
      <c r="QHH11" s="63"/>
      <c r="QHI11" s="34"/>
      <c r="QHJ11" s="64"/>
      <c r="QHK11" s="4"/>
      <c r="QHL11" s="65"/>
      <c r="QHM11" s="4"/>
      <c r="QHN11" s="4"/>
      <c r="QHO11" s="4"/>
      <c r="QHR11" s="34"/>
      <c r="QHS11" s="34"/>
      <c r="QHU11" s="34"/>
      <c r="QHV11" s="72"/>
      <c r="QHW11" s="63"/>
      <c r="QHX11" s="34"/>
      <c r="QHY11" s="64"/>
      <c r="QHZ11" s="4"/>
      <c r="QIA11" s="65"/>
      <c r="QIB11" s="4"/>
      <c r="QIC11" s="4"/>
      <c r="QID11" s="4"/>
      <c r="QIG11" s="34"/>
      <c r="QIH11" s="34"/>
      <c r="QIJ11" s="34"/>
      <c r="QIK11" s="72"/>
      <c r="QIL11" s="63"/>
      <c r="QIM11" s="34"/>
      <c r="QIN11" s="64"/>
      <c r="QIO11" s="4"/>
      <c r="QIP11" s="65"/>
      <c r="QIQ11" s="4"/>
      <c r="QIR11" s="4"/>
      <c r="QIS11" s="4"/>
      <c r="QIV11" s="34"/>
      <c r="QIW11" s="34"/>
      <c r="QIY11" s="34"/>
      <c r="QIZ11" s="72"/>
      <c r="QJA11" s="63"/>
      <c r="QJB11" s="34"/>
      <c r="QJC11" s="64"/>
      <c r="QJD11" s="4"/>
      <c r="QJE11" s="65"/>
      <c r="QJF11" s="4"/>
      <c r="QJG11" s="4"/>
      <c r="QJH11" s="4"/>
      <c r="QJK11" s="34"/>
      <c r="QJL11" s="34"/>
      <c r="QJN11" s="34"/>
      <c r="QJO11" s="72"/>
      <c r="QJP11" s="63"/>
      <c r="QJQ11" s="34"/>
      <c r="QJR11" s="64"/>
      <c r="QJS11" s="4"/>
      <c r="QJT11" s="65"/>
      <c r="QJU11" s="4"/>
      <c r="QJV11" s="4"/>
      <c r="QJW11" s="4"/>
      <c r="QJZ11" s="34"/>
      <c r="QKA11" s="34"/>
      <c r="QKC11" s="34"/>
      <c r="QKD11" s="72"/>
      <c r="QKE11" s="63"/>
      <c r="QKF11" s="34"/>
      <c r="QKG11" s="64"/>
      <c r="QKH11" s="4"/>
      <c r="QKI11" s="65"/>
      <c r="QKJ11" s="4"/>
      <c r="QKK11" s="4"/>
      <c r="QKL11" s="4"/>
      <c r="QKO11" s="34"/>
      <c r="QKP11" s="34"/>
      <c r="QKR11" s="34"/>
      <c r="QKS11" s="72"/>
      <c r="QKT11" s="63"/>
      <c r="QKU11" s="34"/>
      <c r="QKV11" s="64"/>
      <c r="QKW11" s="4"/>
      <c r="QKX11" s="65"/>
      <c r="QKY11" s="4"/>
      <c r="QKZ11" s="4"/>
      <c r="QLA11" s="4"/>
      <c r="QLD11" s="34"/>
      <c r="QLE11" s="34"/>
      <c r="QLG11" s="34"/>
      <c r="QLH11" s="72"/>
      <c r="QLI11" s="63"/>
      <c r="QLJ11" s="34"/>
      <c r="QLK11" s="64"/>
      <c r="QLL11" s="4"/>
      <c r="QLM11" s="65"/>
      <c r="QLN11" s="4"/>
      <c r="QLO11" s="4"/>
      <c r="QLP11" s="4"/>
      <c r="QLS11" s="34"/>
      <c r="QLT11" s="34"/>
      <c r="QLV11" s="34"/>
      <c r="QLW11" s="72"/>
      <c r="QLX11" s="63"/>
      <c r="QLY11" s="34"/>
      <c r="QLZ11" s="64"/>
      <c r="QMA11" s="4"/>
      <c r="QMB11" s="65"/>
      <c r="QMC11" s="4"/>
      <c r="QMD11" s="4"/>
      <c r="QME11" s="4"/>
      <c r="QMH11" s="34"/>
      <c r="QMI11" s="34"/>
      <c r="QMK11" s="34"/>
      <c r="QML11" s="72"/>
      <c r="QMM11" s="63"/>
      <c r="QMN11" s="34"/>
      <c r="QMO11" s="64"/>
      <c r="QMP11" s="4"/>
      <c r="QMQ11" s="65"/>
      <c r="QMR11" s="4"/>
      <c r="QMS11" s="4"/>
      <c r="QMT11" s="4"/>
      <c r="QMW11" s="34"/>
      <c r="QMX11" s="34"/>
      <c r="QMZ11" s="34"/>
      <c r="QNA11" s="72"/>
      <c r="QNB11" s="63"/>
      <c r="QNC11" s="34"/>
      <c r="QND11" s="64"/>
      <c r="QNE11" s="4"/>
      <c r="QNF11" s="65"/>
      <c r="QNG11" s="4"/>
      <c r="QNH11" s="4"/>
      <c r="QNI11" s="4"/>
      <c r="QNL11" s="34"/>
      <c r="QNM11" s="34"/>
      <c r="QNO11" s="34"/>
      <c r="QNP11" s="72"/>
      <c r="QNQ11" s="63"/>
      <c r="QNR11" s="34"/>
      <c r="QNS11" s="64"/>
      <c r="QNT11" s="4"/>
      <c r="QNU11" s="65"/>
      <c r="QNV11" s="4"/>
      <c r="QNW11" s="4"/>
      <c r="QNX11" s="4"/>
      <c r="QOA11" s="34"/>
      <c r="QOB11" s="34"/>
      <c r="QOD11" s="34"/>
      <c r="QOE11" s="72"/>
      <c r="QOF11" s="63"/>
      <c r="QOG11" s="34"/>
      <c r="QOH11" s="64"/>
      <c r="QOI11" s="4"/>
      <c r="QOJ11" s="65"/>
      <c r="QOK11" s="4"/>
      <c r="QOL11" s="4"/>
      <c r="QOM11" s="4"/>
      <c r="QOP11" s="34"/>
      <c r="QOQ11" s="34"/>
      <c r="QOS11" s="34"/>
      <c r="QOT11" s="72"/>
      <c r="QOU11" s="63"/>
      <c r="QOV11" s="34"/>
      <c r="QOW11" s="64"/>
      <c r="QOX11" s="4"/>
      <c r="QOY11" s="65"/>
      <c r="QOZ11" s="4"/>
      <c r="QPA11" s="4"/>
      <c r="QPB11" s="4"/>
      <c r="QPE11" s="34"/>
      <c r="QPF11" s="34"/>
      <c r="QPH11" s="34"/>
      <c r="QPI11" s="72"/>
      <c r="QPJ11" s="63"/>
      <c r="QPK11" s="34"/>
      <c r="QPL11" s="64"/>
      <c r="QPM11" s="4"/>
      <c r="QPN11" s="65"/>
      <c r="QPO11" s="4"/>
      <c r="QPP11" s="4"/>
      <c r="QPQ11" s="4"/>
      <c r="QPT11" s="34"/>
      <c r="QPU11" s="34"/>
      <c r="QPW11" s="34"/>
      <c r="QPX11" s="72"/>
      <c r="QPY11" s="63"/>
      <c r="QPZ11" s="34"/>
      <c r="QQA11" s="64"/>
      <c r="QQB11" s="4"/>
      <c r="QQC11" s="65"/>
      <c r="QQD11" s="4"/>
      <c r="QQE11" s="4"/>
      <c r="QQF11" s="4"/>
      <c r="QQI11" s="34"/>
      <c r="QQJ11" s="34"/>
      <c r="QQL11" s="34"/>
      <c r="QQM11" s="72"/>
      <c r="QQN11" s="63"/>
      <c r="QQO11" s="34"/>
      <c r="QQP11" s="64"/>
      <c r="QQQ11" s="4"/>
      <c r="QQR11" s="65"/>
      <c r="QQS11" s="4"/>
      <c r="QQT11" s="4"/>
      <c r="QQU11" s="4"/>
      <c r="QQX11" s="34"/>
      <c r="QQY11" s="34"/>
      <c r="QRA11" s="34"/>
      <c r="QRB11" s="72"/>
      <c r="QRC11" s="63"/>
      <c r="QRD11" s="34"/>
      <c r="QRE11" s="64"/>
      <c r="QRF11" s="4"/>
      <c r="QRG11" s="65"/>
      <c r="QRH11" s="4"/>
      <c r="QRI11" s="4"/>
      <c r="QRJ11" s="4"/>
      <c r="QRM11" s="34"/>
      <c r="QRN11" s="34"/>
      <c r="QRP11" s="34"/>
      <c r="QRQ11" s="72"/>
      <c r="QRR11" s="63"/>
      <c r="QRS11" s="34"/>
      <c r="QRT11" s="64"/>
      <c r="QRU11" s="4"/>
      <c r="QRV11" s="65"/>
      <c r="QRW11" s="4"/>
      <c r="QRX11" s="4"/>
      <c r="QRY11" s="4"/>
      <c r="QSB11" s="34"/>
      <c r="QSC11" s="34"/>
      <c r="QSE11" s="34"/>
      <c r="QSF11" s="72"/>
      <c r="QSG11" s="63"/>
      <c r="QSH11" s="34"/>
      <c r="QSI11" s="64"/>
      <c r="QSJ11" s="4"/>
      <c r="QSK11" s="65"/>
      <c r="QSL11" s="4"/>
      <c r="QSM11" s="4"/>
      <c r="QSN11" s="4"/>
      <c r="QSQ11" s="34"/>
      <c r="QSR11" s="34"/>
      <c r="QST11" s="34"/>
      <c r="QSU11" s="72"/>
      <c r="QSV11" s="63"/>
      <c r="QSW11" s="34"/>
      <c r="QSX11" s="64"/>
      <c r="QSY11" s="4"/>
      <c r="QSZ11" s="65"/>
      <c r="QTA11" s="4"/>
      <c r="QTB11" s="4"/>
      <c r="QTC11" s="4"/>
      <c r="QTF11" s="34"/>
      <c r="QTG11" s="34"/>
      <c r="QTI11" s="34"/>
      <c r="QTJ11" s="72"/>
      <c r="QTK11" s="63"/>
      <c r="QTL11" s="34"/>
      <c r="QTM11" s="64"/>
      <c r="QTN11" s="4"/>
      <c r="QTO11" s="65"/>
      <c r="QTP11" s="4"/>
      <c r="QTQ11" s="4"/>
      <c r="QTR11" s="4"/>
      <c r="QTU11" s="34"/>
      <c r="QTV11" s="34"/>
      <c r="QTX11" s="34"/>
      <c r="QTY11" s="72"/>
      <c r="QTZ11" s="63"/>
      <c r="QUA11" s="34"/>
      <c r="QUB11" s="64"/>
      <c r="QUC11" s="4"/>
      <c r="QUD11" s="65"/>
      <c r="QUE11" s="4"/>
      <c r="QUF11" s="4"/>
      <c r="QUG11" s="4"/>
      <c r="QUJ11" s="34"/>
      <c r="QUK11" s="34"/>
      <c r="QUM11" s="34"/>
      <c r="QUN11" s="72"/>
      <c r="QUO11" s="63"/>
      <c r="QUP11" s="34"/>
      <c r="QUQ11" s="64"/>
      <c r="QUR11" s="4"/>
      <c r="QUS11" s="65"/>
      <c r="QUT11" s="4"/>
      <c r="QUU11" s="4"/>
      <c r="QUV11" s="4"/>
      <c r="QUY11" s="34"/>
      <c r="QUZ11" s="34"/>
      <c r="QVB11" s="34"/>
      <c r="QVC11" s="72"/>
      <c r="QVD11" s="63"/>
      <c r="QVE11" s="34"/>
      <c r="QVF11" s="64"/>
      <c r="QVG11" s="4"/>
      <c r="QVH11" s="65"/>
      <c r="QVI11" s="4"/>
      <c r="QVJ11" s="4"/>
      <c r="QVK11" s="4"/>
      <c r="QVN11" s="34"/>
      <c r="QVO11" s="34"/>
      <c r="QVQ11" s="34"/>
      <c r="QVR11" s="72"/>
      <c r="QVS11" s="63"/>
      <c r="QVT11" s="34"/>
      <c r="QVU11" s="64"/>
      <c r="QVV11" s="4"/>
      <c r="QVW11" s="65"/>
      <c r="QVX11" s="4"/>
      <c r="QVY11" s="4"/>
      <c r="QVZ11" s="4"/>
      <c r="QWC11" s="34"/>
      <c r="QWD11" s="34"/>
      <c r="QWF11" s="34"/>
      <c r="QWG11" s="72"/>
      <c r="QWH11" s="63"/>
      <c r="QWI11" s="34"/>
      <c r="QWJ11" s="64"/>
      <c r="QWK11" s="4"/>
      <c r="QWL11" s="65"/>
      <c r="QWM11" s="4"/>
      <c r="QWN11" s="4"/>
      <c r="QWO11" s="4"/>
      <c r="QWR11" s="34"/>
      <c r="QWS11" s="34"/>
      <c r="QWU11" s="34"/>
      <c r="QWV11" s="72"/>
      <c r="QWW11" s="63"/>
      <c r="QWX11" s="34"/>
      <c r="QWY11" s="64"/>
      <c r="QWZ11" s="4"/>
      <c r="QXA11" s="65"/>
      <c r="QXB11" s="4"/>
      <c r="QXC11" s="4"/>
      <c r="QXD11" s="4"/>
      <c r="QXG11" s="34"/>
      <c r="QXH11" s="34"/>
      <c r="QXJ11" s="34"/>
      <c r="QXK11" s="72"/>
      <c r="QXL11" s="63"/>
      <c r="QXM11" s="34"/>
      <c r="QXN11" s="64"/>
      <c r="QXO11" s="4"/>
      <c r="QXP11" s="65"/>
      <c r="QXQ11" s="4"/>
      <c r="QXR11" s="4"/>
      <c r="QXS11" s="4"/>
      <c r="QXV11" s="34"/>
      <c r="QXW11" s="34"/>
      <c r="QXY11" s="34"/>
      <c r="QXZ11" s="72"/>
      <c r="QYA11" s="63"/>
      <c r="QYB11" s="34"/>
      <c r="QYC11" s="64"/>
      <c r="QYD11" s="4"/>
      <c r="QYE11" s="65"/>
      <c r="QYF11" s="4"/>
      <c r="QYG11" s="4"/>
      <c r="QYH11" s="4"/>
      <c r="QYK11" s="34"/>
      <c r="QYL11" s="34"/>
      <c r="QYN11" s="34"/>
      <c r="QYO11" s="72"/>
      <c r="QYP11" s="63"/>
      <c r="QYQ11" s="34"/>
      <c r="QYR11" s="64"/>
      <c r="QYS11" s="4"/>
      <c r="QYT11" s="65"/>
      <c r="QYU11" s="4"/>
      <c r="QYV11" s="4"/>
      <c r="QYW11" s="4"/>
      <c r="QYZ11" s="34"/>
      <c r="QZA11" s="34"/>
      <c r="QZC11" s="34"/>
      <c r="QZD11" s="72"/>
      <c r="QZE11" s="63"/>
      <c r="QZF11" s="34"/>
      <c r="QZG11" s="64"/>
      <c r="QZH11" s="4"/>
      <c r="QZI11" s="65"/>
      <c r="QZJ11" s="4"/>
      <c r="QZK11" s="4"/>
      <c r="QZL11" s="4"/>
      <c r="QZO11" s="34"/>
      <c r="QZP11" s="34"/>
      <c r="QZR11" s="34"/>
      <c r="QZS11" s="72"/>
      <c r="QZT11" s="63"/>
      <c r="QZU11" s="34"/>
      <c r="QZV11" s="64"/>
      <c r="QZW11" s="4"/>
      <c r="QZX11" s="65"/>
      <c r="QZY11" s="4"/>
      <c r="QZZ11" s="4"/>
      <c r="RAA11" s="4"/>
      <c r="RAD11" s="34"/>
      <c r="RAE11" s="34"/>
      <c r="RAG11" s="34"/>
      <c r="RAH11" s="72"/>
      <c r="RAI11" s="63"/>
      <c r="RAJ11" s="34"/>
      <c r="RAK11" s="64"/>
      <c r="RAL11" s="4"/>
      <c r="RAM11" s="65"/>
      <c r="RAN11" s="4"/>
      <c r="RAO11" s="4"/>
      <c r="RAP11" s="4"/>
      <c r="RAS11" s="34"/>
      <c r="RAT11" s="34"/>
      <c r="RAV11" s="34"/>
      <c r="RAW11" s="72"/>
      <c r="RAX11" s="63"/>
      <c r="RAY11" s="34"/>
      <c r="RAZ11" s="64"/>
      <c r="RBA11" s="4"/>
      <c r="RBB11" s="65"/>
      <c r="RBC11" s="4"/>
      <c r="RBD11" s="4"/>
      <c r="RBE11" s="4"/>
      <c r="RBH11" s="34"/>
      <c r="RBI11" s="34"/>
      <c r="RBK11" s="34"/>
      <c r="RBL11" s="72"/>
      <c r="RBM11" s="63"/>
      <c r="RBN11" s="34"/>
      <c r="RBO11" s="64"/>
      <c r="RBP11" s="4"/>
      <c r="RBQ11" s="65"/>
      <c r="RBR11" s="4"/>
      <c r="RBS11" s="4"/>
      <c r="RBT11" s="4"/>
      <c r="RBW11" s="34"/>
      <c r="RBX11" s="34"/>
      <c r="RBZ11" s="34"/>
      <c r="RCA11" s="72"/>
      <c r="RCB11" s="63"/>
      <c r="RCC11" s="34"/>
      <c r="RCD11" s="64"/>
      <c r="RCE11" s="4"/>
      <c r="RCF11" s="65"/>
      <c r="RCG11" s="4"/>
      <c r="RCH11" s="4"/>
      <c r="RCI11" s="4"/>
      <c r="RCL11" s="34"/>
      <c r="RCM11" s="34"/>
      <c r="RCO11" s="34"/>
      <c r="RCP11" s="72"/>
      <c r="RCQ11" s="63"/>
      <c r="RCR11" s="34"/>
      <c r="RCS11" s="64"/>
      <c r="RCT11" s="4"/>
      <c r="RCU11" s="65"/>
      <c r="RCV11" s="4"/>
      <c r="RCW11" s="4"/>
      <c r="RCX11" s="4"/>
      <c r="RDA11" s="34"/>
      <c r="RDB11" s="34"/>
      <c r="RDD11" s="34"/>
      <c r="RDE11" s="72"/>
      <c r="RDF11" s="63"/>
      <c r="RDG11" s="34"/>
      <c r="RDH11" s="64"/>
      <c r="RDI11" s="4"/>
      <c r="RDJ11" s="65"/>
      <c r="RDK11" s="4"/>
      <c r="RDL11" s="4"/>
      <c r="RDM11" s="4"/>
      <c r="RDP11" s="34"/>
      <c r="RDQ11" s="34"/>
      <c r="RDS11" s="34"/>
      <c r="RDT11" s="72"/>
      <c r="RDU11" s="63"/>
      <c r="RDV11" s="34"/>
      <c r="RDW11" s="64"/>
      <c r="RDX11" s="4"/>
      <c r="RDY11" s="65"/>
      <c r="RDZ11" s="4"/>
      <c r="REA11" s="4"/>
      <c r="REB11" s="4"/>
      <c r="REE11" s="34"/>
      <c r="REF11" s="34"/>
      <c r="REH11" s="34"/>
      <c r="REI11" s="72"/>
      <c r="REJ11" s="63"/>
      <c r="REK11" s="34"/>
      <c r="REL11" s="64"/>
      <c r="REM11" s="4"/>
      <c r="REN11" s="65"/>
      <c r="REO11" s="4"/>
      <c r="REP11" s="4"/>
      <c r="REQ11" s="4"/>
      <c r="RET11" s="34"/>
      <c r="REU11" s="34"/>
      <c r="REW11" s="34"/>
      <c r="REX11" s="72"/>
      <c r="REY11" s="63"/>
      <c r="REZ11" s="34"/>
      <c r="RFA11" s="64"/>
      <c r="RFB11" s="4"/>
      <c r="RFC11" s="65"/>
      <c r="RFD11" s="4"/>
      <c r="RFE11" s="4"/>
      <c r="RFF11" s="4"/>
      <c r="RFI11" s="34"/>
      <c r="RFJ11" s="34"/>
      <c r="RFL11" s="34"/>
      <c r="RFM11" s="72"/>
      <c r="RFN11" s="63"/>
      <c r="RFO11" s="34"/>
      <c r="RFP11" s="64"/>
      <c r="RFQ11" s="4"/>
      <c r="RFR11" s="65"/>
      <c r="RFS11" s="4"/>
      <c r="RFT11" s="4"/>
      <c r="RFU11" s="4"/>
      <c r="RFX11" s="34"/>
      <c r="RFY11" s="34"/>
      <c r="RGA11" s="34"/>
      <c r="RGB11" s="72"/>
      <c r="RGC11" s="63"/>
      <c r="RGD11" s="34"/>
      <c r="RGE11" s="64"/>
      <c r="RGF11" s="4"/>
      <c r="RGG11" s="65"/>
      <c r="RGH11" s="4"/>
      <c r="RGI11" s="4"/>
      <c r="RGJ11" s="4"/>
      <c r="RGM11" s="34"/>
      <c r="RGN11" s="34"/>
      <c r="RGP11" s="34"/>
      <c r="RGQ11" s="72"/>
      <c r="RGR11" s="63"/>
      <c r="RGS11" s="34"/>
      <c r="RGT11" s="64"/>
      <c r="RGU11" s="4"/>
      <c r="RGV11" s="65"/>
      <c r="RGW11" s="4"/>
      <c r="RGX11" s="4"/>
      <c r="RGY11" s="4"/>
      <c r="RHB11" s="34"/>
      <c r="RHC11" s="34"/>
      <c r="RHE11" s="34"/>
      <c r="RHF11" s="72"/>
      <c r="RHG11" s="63"/>
      <c r="RHH11" s="34"/>
      <c r="RHI11" s="64"/>
      <c r="RHJ11" s="4"/>
      <c r="RHK11" s="65"/>
      <c r="RHL11" s="4"/>
      <c r="RHM11" s="4"/>
      <c r="RHN11" s="4"/>
      <c r="RHQ11" s="34"/>
      <c r="RHR11" s="34"/>
      <c r="RHT11" s="34"/>
      <c r="RHU11" s="72"/>
      <c r="RHV11" s="63"/>
      <c r="RHW11" s="34"/>
      <c r="RHX11" s="64"/>
      <c r="RHY11" s="4"/>
      <c r="RHZ11" s="65"/>
      <c r="RIA11" s="4"/>
      <c r="RIB11" s="4"/>
      <c r="RIC11" s="4"/>
      <c r="RIF11" s="34"/>
      <c r="RIG11" s="34"/>
      <c r="RII11" s="34"/>
      <c r="RIJ11" s="72"/>
      <c r="RIK11" s="63"/>
      <c r="RIL11" s="34"/>
      <c r="RIM11" s="64"/>
      <c r="RIN11" s="4"/>
      <c r="RIO11" s="65"/>
      <c r="RIP11" s="4"/>
      <c r="RIQ11" s="4"/>
      <c r="RIR11" s="4"/>
      <c r="RIU11" s="34"/>
      <c r="RIV11" s="34"/>
      <c r="RIX11" s="34"/>
      <c r="RIY11" s="72"/>
      <c r="RIZ11" s="63"/>
      <c r="RJA11" s="34"/>
      <c r="RJB11" s="64"/>
      <c r="RJC11" s="4"/>
      <c r="RJD11" s="65"/>
      <c r="RJE11" s="4"/>
      <c r="RJF11" s="4"/>
      <c r="RJG11" s="4"/>
      <c r="RJJ11" s="34"/>
      <c r="RJK11" s="34"/>
      <c r="RJM11" s="34"/>
      <c r="RJN11" s="72"/>
      <c r="RJO11" s="63"/>
      <c r="RJP11" s="34"/>
      <c r="RJQ11" s="64"/>
      <c r="RJR11" s="4"/>
      <c r="RJS11" s="65"/>
      <c r="RJT11" s="4"/>
      <c r="RJU11" s="4"/>
      <c r="RJV11" s="4"/>
      <c r="RJY11" s="34"/>
      <c r="RJZ11" s="34"/>
      <c r="RKB11" s="34"/>
      <c r="RKC11" s="72"/>
      <c r="RKD11" s="63"/>
      <c r="RKE11" s="34"/>
      <c r="RKF11" s="64"/>
      <c r="RKG11" s="4"/>
      <c r="RKH11" s="65"/>
      <c r="RKI11" s="4"/>
      <c r="RKJ11" s="4"/>
      <c r="RKK11" s="4"/>
      <c r="RKN11" s="34"/>
      <c r="RKO11" s="34"/>
      <c r="RKQ11" s="34"/>
      <c r="RKR11" s="72"/>
      <c r="RKS11" s="63"/>
      <c r="RKT11" s="34"/>
      <c r="RKU11" s="64"/>
      <c r="RKV11" s="4"/>
      <c r="RKW11" s="65"/>
      <c r="RKX11" s="4"/>
      <c r="RKY11" s="4"/>
      <c r="RKZ11" s="4"/>
      <c r="RLC11" s="34"/>
      <c r="RLD11" s="34"/>
      <c r="RLF11" s="34"/>
      <c r="RLG11" s="72"/>
      <c r="RLH11" s="63"/>
      <c r="RLI11" s="34"/>
      <c r="RLJ11" s="64"/>
      <c r="RLK11" s="4"/>
      <c r="RLL11" s="65"/>
      <c r="RLM11" s="4"/>
      <c r="RLN11" s="4"/>
      <c r="RLO11" s="4"/>
      <c r="RLR11" s="34"/>
      <c r="RLS11" s="34"/>
      <c r="RLU11" s="34"/>
      <c r="RLV11" s="72"/>
      <c r="RLW11" s="63"/>
      <c r="RLX11" s="34"/>
      <c r="RLY11" s="64"/>
      <c r="RLZ11" s="4"/>
      <c r="RMA11" s="65"/>
      <c r="RMB11" s="4"/>
      <c r="RMC11" s="4"/>
      <c r="RMD11" s="4"/>
      <c r="RMG11" s="34"/>
      <c r="RMH11" s="34"/>
      <c r="RMJ11" s="34"/>
      <c r="RMK11" s="72"/>
      <c r="RML11" s="63"/>
      <c r="RMM11" s="34"/>
      <c r="RMN11" s="64"/>
      <c r="RMO11" s="4"/>
      <c r="RMP11" s="65"/>
      <c r="RMQ11" s="4"/>
      <c r="RMR11" s="4"/>
      <c r="RMS11" s="4"/>
      <c r="RMV11" s="34"/>
      <c r="RMW11" s="34"/>
      <c r="RMY11" s="34"/>
      <c r="RMZ11" s="72"/>
      <c r="RNA11" s="63"/>
      <c r="RNB11" s="34"/>
      <c r="RNC11" s="64"/>
      <c r="RND11" s="4"/>
      <c r="RNE11" s="65"/>
      <c r="RNF11" s="4"/>
      <c r="RNG11" s="4"/>
      <c r="RNH11" s="4"/>
      <c r="RNK11" s="34"/>
      <c r="RNL11" s="34"/>
      <c r="RNN11" s="34"/>
      <c r="RNO11" s="72"/>
      <c r="RNP11" s="63"/>
      <c r="RNQ11" s="34"/>
      <c r="RNR11" s="64"/>
      <c r="RNS11" s="4"/>
      <c r="RNT11" s="65"/>
      <c r="RNU11" s="4"/>
      <c r="RNV11" s="4"/>
      <c r="RNW11" s="4"/>
      <c r="RNZ11" s="34"/>
      <c r="ROA11" s="34"/>
      <c r="ROC11" s="34"/>
      <c r="ROD11" s="72"/>
      <c r="ROE11" s="63"/>
      <c r="ROF11" s="34"/>
      <c r="ROG11" s="64"/>
      <c r="ROH11" s="4"/>
      <c r="ROI11" s="65"/>
      <c r="ROJ11" s="4"/>
      <c r="ROK11" s="4"/>
      <c r="ROL11" s="4"/>
      <c r="ROO11" s="34"/>
      <c r="ROP11" s="34"/>
      <c r="ROR11" s="34"/>
      <c r="ROS11" s="72"/>
      <c r="ROT11" s="63"/>
      <c r="ROU11" s="34"/>
      <c r="ROV11" s="64"/>
      <c r="ROW11" s="4"/>
      <c r="ROX11" s="65"/>
      <c r="ROY11" s="4"/>
      <c r="ROZ11" s="4"/>
      <c r="RPA11" s="4"/>
      <c r="RPD11" s="34"/>
      <c r="RPE11" s="34"/>
      <c r="RPG11" s="34"/>
      <c r="RPH11" s="72"/>
      <c r="RPI11" s="63"/>
      <c r="RPJ11" s="34"/>
      <c r="RPK11" s="64"/>
      <c r="RPL11" s="4"/>
      <c r="RPM11" s="65"/>
      <c r="RPN11" s="4"/>
      <c r="RPO11" s="4"/>
      <c r="RPP11" s="4"/>
      <c r="RPS11" s="34"/>
      <c r="RPT11" s="34"/>
      <c r="RPV11" s="34"/>
      <c r="RPW11" s="72"/>
      <c r="RPX11" s="63"/>
      <c r="RPY11" s="34"/>
      <c r="RPZ11" s="64"/>
      <c r="RQA11" s="4"/>
      <c r="RQB11" s="65"/>
      <c r="RQC11" s="4"/>
      <c r="RQD11" s="4"/>
      <c r="RQE11" s="4"/>
      <c r="RQH11" s="34"/>
      <c r="RQI11" s="34"/>
      <c r="RQK11" s="34"/>
      <c r="RQL11" s="72"/>
      <c r="RQM11" s="63"/>
      <c r="RQN11" s="34"/>
      <c r="RQO11" s="64"/>
      <c r="RQP11" s="4"/>
      <c r="RQQ11" s="65"/>
      <c r="RQR11" s="4"/>
      <c r="RQS11" s="4"/>
      <c r="RQT11" s="4"/>
      <c r="RQW11" s="34"/>
      <c r="RQX11" s="34"/>
      <c r="RQZ11" s="34"/>
      <c r="RRA11" s="72"/>
      <c r="RRB11" s="63"/>
      <c r="RRC11" s="34"/>
      <c r="RRD11" s="64"/>
      <c r="RRE11" s="4"/>
      <c r="RRF11" s="65"/>
      <c r="RRG11" s="4"/>
      <c r="RRH11" s="4"/>
      <c r="RRI11" s="4"/>
      <c r="RRL11" s="34"/>
      <c r="RRM11" s="34"/>
      <c r="RRO11" s="34"/>
      <c r="RRP11" s="72"/>
      <c r="RRQ11" s="63"/>
      <c r="RRR11" s="34"/>
      <c r="RRS11" s="64"/>
      <c r="RRT11" s="4"/>
      <c r="RRU11" s="65"/>
      <c r="RRV11" s="4"/>
      <c r="RRW11" s="4"/>
      <c r="RRX11" s="4"/>
      <c r="RSA11" s="34"/>
      <c r="RSB11" s="34"/>
      <c r="RSD11" s="34"/>
      <c r="RSE11" s="72"/>
      <c r="RSF11" s="63"/>
      <c r="RSG11" s="34"/>
      <c r="RSH11" s="64"/>
      <c r="RSI11" s="4"/>
      <c r="RSJ11" s="65"/>
      <c r="RSK11" s="4"/>
      <c r="RSL11" s="4"/>
      <c r="RSM11" s="4"/>
      <c r="RSP11" s="34"/>
      <c r="RSQ11" s="34"/>
      <c r="RSS11" s="34"/>
      <c r="RST11" s="72"/>
      <c r="RSU11" s="63"/>
      <c r="RSV11" s="34"/>
      <c r="RSW11" s="64"/>
      <c r="RSX11" s="4"/>
      <c r="RSY11" s="65"/>
      <c r="RSZ11" s="4"/>
      <c r="RTA11" s="4"/>
      <c r="RTB11" s="4"/>
      <c r="RTE11" s="34"/>
      <c r="RTF11" s="34"/>
      <c r="RTH11" s="34"/>
      <c r="RTI11" s="72"/>
      <c r="RTJ11" s="63"/>
      <c r="RTK11" s="34"/>
      <c r="RTL11" s="64"/>
      <c r="RTM11" s="4"/>
      <c r="RTN11" s="65"/>
      <c r="RTO11" s="4"/>
      <c r="RTP11" s="4"/>
      <c r="RTQ11" s="4"/>
      <c r="RTT11" s="34"/>
      <c r="RTU11" s="34"/>
      <c r="RTW11" s="34"/>
      <c r="RTX11" s="72"/>
      <c r="RTY11" s="63"/>
      <c r="RTZ11" s="34"/>
      <c r="RUA11" s="64"/>
      <c r="RUB11" s="4"/>
      <c r="RUC11" s="65"/>
      <c r="RUD11" s="4"/>
      <c r="RUE11" s="4"/>
      <c r="RUF11" s="4"/>
      <c r="RUI11" s="34"/>
      <c r="RUJ11" s="34"/>
      <c r="RUL11" s="34"/>
      <c r="RUM11" s="72"/>
      <c r="RUN11" s="63"/>
      <c r="RUO11" s="34"/>
      <c r="RUP11" s="64"/>
      <c r="RUQ11" s="4"/>
      <c r="RUR11" s="65"/>
      <c r="RUS11" s="4"/>
      <c r="RUT11" s="4"/>
      <c r="RUU11" s="4"/>
      <c r="RUX11" s="34"/>
      <c r="RUY11" s="34"/>
      <c r="RVA11" s="34"/>
      <c r="RVB11" s="72"/>
      <c r="RVC11" s="63"/>
      <c r="RVD11" s="34"/>
      <c r="RVE11" s="64"/>
      <c r="RVF11" s="4"/>
      <c r="RVG11" s="65"/>
      <c r="RVH11" s="4"/>
      <c r="RVI11" s="4"/>
      <c r="RVJ11" s="4"/>
      <c r="RVM11" s="34"/>
      <c r="RVN11" s="34"/>
      <c r="RVP11" s="34"/>
      <c r="RVQ11" s="72"/>
      <c r="RVR11" s="63"/>
      <c r="RVS11" s="34"/>
      <c r="RVT11" s="64"/>
      <c r="RVU11" s="4"/>
      <c r="RVV11" s="65"/>
      <c r="RVW11" s="4"/>
      <c r="RVX11" s="4"/>
      <c r="RVY11" s="4"/>
      <c r="RWB11" s="34"/>
      <c r="RWC11" s="34"/>
      <c r="RWE11" s="34"/>
      <c r="RWF11" s="72"/>
      <c r="RWG11" s="63"/>
      <c r="RWH11" s="34"/>
      <c r="RWI11" s="64"/>
      <c r="RWJ11" s="4"/>
      <c r="RWK11" s="65"/>
      <c r="RWL11" s="4"/>
      <c r="RWM11" s="4"/>
      <c r="RWN11" s="4"/>
      <c r="RWQ11" s="34"/>
      <c r="RWR11" s="34"/>
      <c r="RWT11" s="34"/>
      <c r="RWU11" s="72"/>
      <c r="RWV11" s="63"/>
      <c r="RWW11" s="34"/>
      <c r="RWX11" s="64"/>
      <c r="RWY11" s="4"/>
      <c r="RWZ11" s="65"/>
      <c r="RXA11" s="4"/>
      <c r="RXB11" s="4"/>
      <c r="RXC11" s="4"/>
      <c r="RXF11" s="34"/>
      <c r="RXG11" s="34"/>
      <c r="RXI11" s="34"/>
      <c r="RXJ11" s="72"/>
      <c r="RXK11" s="63"/>
      <c r="RXL11" s="34"/>
      <c r="RXM11" s="64"/>
      <c r="RXN11" s="4"/>
      <c r="RXO11" s="65"/>
      <c r="RXP11" s="4"/>
      <c r="RXQ11" s="4"/>
      <c r="RXR11" s="4"/>
      <c r="RXU11" s="34"/>
      <c r="RXV11" s="34"/>
      <c r="RXX11" s="34"/>
      <c r="RXY11" s="72"/>
      <c r="RXZ11" s="63"/>
      <c r="RYA11" s="34"/>
      <c r="RYB11" s="64"/>
      <c r="RYC11" s="4"/>
      <c r="RYD11" s="65"/>
      <c r="RYE11" s="4"/>
      <c r="RYF11" s="4"/>
      <c r="RYG11" s="4"/>
      <c r="RYJ11" s="34"/>
      <c r="RYK11" s="34"/>
      <c r="RYM11" s="34"/>
      <c r="RYN11" s="72"/>
      <c r="RYO11" s="63"/>
      <c r="RYP11" s="34"/>
      <c r="RYQ11" s="64"/>
      <c r="RYR11" s="4"/>
      <c r="RYS11" s="65"/>
      <c r="RYT11" s="4"/>
      <c r="RYU11" s="4"/>
      <c r="RYV11" s="4"/>
      <c r="RYY11" s="34"/>
      <c r="RYZ11" s="34"/>
      <c r="RZB11" s="34"/>
      <c r="RZC11" s="72"/>
      <c r="RZD11" s="63"/>
      <c r="RZE11" s="34"/>
      <c r="RZF11" s="64"/>
      <c r="RZG11" s="4"/>
      <c r="RZH11" s="65"/>
      <c r="RZI11" s="4"/>
      <c r="RZJ11" s="4"/>
      <c r="RZK11" s="4"/>
      <c r="RZN11" s="34"/>
      <c r="RZO11" s="34"/>
      <c r="RZQ11" s="34"/>
      <c r="RZR11" s="72"/>
      <c r="RZS11" s="63"/>
      <c r="RZT11" s="34"/>
      <c r="RZU11" s="64"/>
      <c r="RZV11" s="4"/>
      <c r="RZW11" s="65"/>
      <c r="RZX11" s="4"/>
      <c r="RZY11" s="4"/>
      <c r="RZZ11" s="4"/>
      <c r="SAC11" s="34"/>
      <c r="SAD11" s="34"/>
      <c r="SAF11" s="34"/>
      <c r="SAG11" s="72"/>
      <c r="SAH11" s="63"/>
      <c r="SAI11" s="34"/>
      <c r="SAJ11" s="64"/>
      <c r="SAK11" s="4"/>
      <c r="SAL11" s="65"/>
      <c r="SAM11" s="4"/>
      <c r="SAN11" s="4"/>
      <c r="SAO11" s="4"/>
      <c r="SAR11" s="34"/>
      <c r="SAS11" s="34"/>
      <c r="SAU11" s="34"/>
      <c r="SAV11" s="72"/>
      <c r="SAW11" s="63"/>
      <c r="SAX11" s="34"/>
      <c r="SAY11" s="64"/>
      <c r="SAZ11" s="4"/>
      <c r="SBA11" s="65"/>
      <c r="SBB11" s="4"/>
      <c r="SBC11" s="4"/>
      <c r="SBD11" s="4"/>
      <c r="SBG11" s="34"/>
      <c r="SBH11" s="34"/>
      <c r="SBJ11" s="34"/>
      <c r="SBK11" s="72"/>
      <c r="SBL11" s="63"/>
      <c r="SBM11" s="34"/>
      <c r="SBN11" s="64"/>
      <c r="SBO11" s="4"/>
      <c r="SBP11" s="65"/>
      <c r="SBQ11" s="4"/>
      <c r="SBR11" s="4"/>
      <c r="SBS11" s="4"/>
      <c r="SBV11" s="34"/>
      <c r="SBW11" s="34"/>
      <c r="SBY11" s="34"/>
      <c r="SBZ11" s="72"/>
      <c r="SCA11" s="63"/>
      <c r="SCB11" s="34"/>
      <c r="SCC11" s="64"/>
      <c r="SCD11" s="4"/>
      <c r="SCE11" s="65"/>
      <c r="SCF11" s="4"/>
      <c r="SCG11" s="4"/>
      <c r="SCH11" s="4"/>
      <c r="SCK11" s="34"/>
      <c r="SCL11" s="34"/>
      <c r="SCN11" s="34"/>
      <c r="SCO11" s="72"/>
      <c r="SCP11" s="63"/>
      <c r="SCQ11" s="34"/>
      <c r="SCR11" s="64"/>
      <c r="SCS11" s="4"/>
      <c r="SCT11" s="65"/>
      <c r="SCU11" s="4"/>
      <c r="SCV11" s="4"/>
      <c r="SCW11" s="4"/>
      <c r="SCZ11" s="34"/>
      <c r="SDA11" s="34"/>
      <c r="SDC11" s="34"/>
      <c r="SDD11" s="72"/>
      <c r="SDE11" s="63"/>
      <c r="SDF11" s="34"/>
      <c r="SDG11" s="64"/>
      <c r="SDH11" s="4"/>
      <c r="SDI11" s="65"/>
      <c r="SDJ11" s="4"/>
      <c r="SDK11" s="4"/>
      <c r="SDL11" s="4"/>
      <c r="SDO11" s="34"/>
      <c r="SDP11" s="34"/>
      <c r="SDR11" s="34"/>
      <c r="SDS11" s="72"/>
      <c r="SDT11" s="63"/>
      <c r="SDU11" s="34"/>
      <c r="SDV11" s="64"/>
      <c r="SDW11" s="4"/>
      <c r="SDX11" s="65"/>
      <c r="SDY11" s="4"/>
      <c r="SDZ11" s="4"/>
      <c r="SEA11" s="4"/>
      <c r="SED11" s="34"/>
      <c r="SEE11" s="34"/>
      <c r="SEG11" s="34"/>
      <c r="SEH11" s="72"/>
      <c r="SEI11" s="63"/>
      <c r="SEJ11" s="34"/>
      <c r="SEK11" s="64"/>
      <c r="SEL11" s="4"/>
      <c r="SEM11" s="65"/>
      <c r="SEN11" s="4"/>
      <c r="SEO11" s="4"/>
      <c r="SEP11" s="4"/>
      <c r="SES11" s="34"/>
      <c r="SET11" s="34"/>
      <c r="SEV11" s="34"/>
      <c r="SEW11" s="72"/>
      <c r="SEX11" s="63"/>
      <c r="SEY11" s="34"/>
      <c r="SEZ11" s="64"/>
      <c r="SFA11" s="4"/>
      <c r="SFB11" s="65"/>
      <c r="SFC11" s="4"/>
      <c r="SFD11" s="4"/>
      <c r="SFE11" s="4"/>
      <c r="SFH11" s="34"/>
      <c r="SFI11" s="34"/>
      <c r="SFK11" s="34"/>
      <c r="SFL11" s="72"/>
      <c r="SFM11" s="63"/>
      <c r="SFN11" s="34"/>
      <c r="SFO11" s="64"/>
      <c r="SFP11" s="4"/>
      <c r="SFQ11" s="65"/>
      <c r="SFR11" s="4"/>
      <c r="SFS11" s="4"/>
      <c r="SFT11" s="4"/>
      <c r="SFW11" s="34"/>
      <c r="SFX11" s="34"/>
      <c r="SFZ11" s="34"/>
      <c r="SGA11" s="72"/>
      <c r="SGB11" s="63"/>
      <c r="SGC11" s="34"/>
      <c r="SGD11" s="64"/>
      <c r="SGE11" s="4"/>
      <c r="SGF11" s="65"/>
      <c r="SGG11" s="4"/>
      <c r="SGH11" s="4"/>
      <c r="SGI11" s="4"/>
      <c r="SGL11" s="34"/>
      <c r="SGM11" s="34"/>
      <c r="SGO11" s="34"/>
      <c r="SGP11" s="72"/>
      <c r="SGQ11" s="63"/>
      <c r="SGR11" s="34"/>
      <c r="SGS11" s="64"/>
      <c r="SGT11" s="4"/>
      <c r="SGU11" s="65"/>
      <c r="SGV11" s="4"/>
      <c r="SGW11" s="4"/>
      <c r="SGX11" s="4"/>
      <c r="SHA11" s="34"/>
      <c r="SHB11" s="34"/>
      <c r="SHD11" s="34"/>
      <c r="SHE11" s="72"/>
      <c r="SHF11" s="63"/>
      <c r="SHG11" s="34"/>
      <c r="SHH11" s="64"/>
      <c r="SHI11" s="4"/>
      <c r="SHJ11" s="65"/>
      <c r="SHK11" s="4"/>
      <c r="SHL11" s="4"/>
      <c r="SHM11" s="4"/>
      <c r="SHP11" s="34"/>
      <c r="SHQ11" s="34"/>
      <c r="SHS11" s="34"/>
      <c r="SHT11" s="72"/>
      <c r="SHU11" s="63"/>
      <c r="SHV11" s="34"/>
      <c r="SHW11" s="64"/>
      <c r="SHX11" s="4"/>
      <c r="SHY11" s="65"/>
      <c r="SHZ11" s="4"/>
      <c r="SIA11" s="4"/>
      <c r="SIB11" s="4"/>
      <c r="SIE11" s="34"/>
      <c r="SIF11" s="34"/>
      <c r="SIH11" s="34"/>
      <c r="SII11" s="72"/>
      <c r="SIJ11" s="63"/>
      <c r="SIK11" s="34"/>
      <c r="SIL11" s="64"/>
      <c r="SIM11" s="4"/>
      <c r="SIN11" s="65"/>
      <c r="SIO11" s="4"/>
      <c r="SIP11" s="4"/>
      <c r="SIQ11" s="4"/>
      <c r="SIT11" s="34"/>
      <c r="SIU11" s="34"/>
      <c r="SIW11" s="34"/>
      <c r="SIX11" s="72"/>
      <c r="SIY11" s="63"/>
      <c r="SIZ11" s="34"/>
      <c r="SJA11" s="64"/>
      <c r="SJB11" s="4"/>
      <c r="SJC11" s="65"/>
      <c r="SJD11" s="4"/>
      <c r="SJE11" s="4"/>
      <c r="SJF11" s="4"/>
      <c r="SJI11" s="34"/>
      <c r="SJJ11" s="34"/>
      <c r="SJL11" s="34"/>
      <c r="SJM11" s="72"/>
      <c r="SJN11" s="63"/>
      <c r="SJO11" s="34"/>
      <c r="SJP11" s="64"/>
      <c r="SJQ11" s="4"/>
      <c r="SJR11" s="65"/>
      <c r="SJS11" s="4"/>
      <c r="SJT11" s="4"/>
      <c r="SJU11" s="4"/>
      <c r="SJX11" s="34"/>
      <c r="SJY11" s="34"/>
      <c r="SKA11" s="34"/>
      <c r="SKB11" s="72"/>
      <c r="SKC11" s="63"/>
      <c r="SKD11" s="34"/>
      <c r="SKE11" s="64"/>
      <c r="SKF11" s="4"/>
      <c r="SKG11" s="65"/>
      <c r="SKH11" s="4"/>
      <c r="SKI11" s="4"/>
      <c r="SKJ11" s="4"/>
      <c r="SKM11" s="34"/>
      <c r="SKN11" s="34"/>
      <c r="SKP11" s="34"/>
      <c r="SKQ11" s="72"/>
      <c r="SKR11" s="63"/>
      <c r="SKS11" s="34"/>
      <c r="SKT11" s="64"/>
      <c r="SKU11" s="4"/>
      <c r="SKV11" s="65"/>
      <c r="SKW11" s="4"/>
      <c r="SKX11" s="4"/>
      <c r="SKY11" s="4"/>
      <c r="SLB11" s="34"/>
      <c r="SLC11" s="34"/>
      <c r="SLE11" s="34"/>
      <c r="SLF11" s="72"/>
      <c r="SLG11" s="63"/>
      <c r="SLH11" s="34"/>
      <c r="SLI11" s="64"/>
      <c r="SLJ11" s="4"/>
      <c r="SLK11" s="65"/>
      <c r="SLL11" s="4"/>
      <c r="SLM11" s="4"/>
      <c r="SLN11" s="4"/>
      <c r="SLQ11" s="34"/>
      <c r="SLR11" s="34"/>
      <c r="SLT11" s="34"/>
      <c r="SLU11" s="72"/>
      <c r="SLV11" s="63"/>
      <c r="SLW11" s="34"/>
      <c r="SLX11" s="64"/>
      <c r="SLY11" s="4"/>
      <c r="SLZ11" s="65"/>
      <c r="SMA11" s="4"/>
      <c r="SMB11" s="4"/>
      <c r="SMC11" s="4"/>
      <c r="SMF11" s="34"/>
      <c r="SMG11" s="34"/>
      <c r="SMI11" s="34"/>
      <c r="SMJ11" s="72"/>
      <c r="SMK11" s="63"/>
      <c r="SML11" s="34"/>
      <c r="SMM11" s="64"/>
      <c r="SMN11" s="4"/>
      <c r="SMO11" s="65"/>
      <c r="SMP11" s="4"/>
      <c r="SMQ11" s="4"/>
      <c r="SMR11" s="4"/>
      <c r="SMU11" s="34"/>
      <c r="SMV11" s="34"/>
      <c r="SMX11" s="34"/>
      <c r="SMY11" s="72"/>
      <c r="SMZ11" s="63"/>
      <c r="SNA11" s="34"/>
      <c r="SNB11" s="64"/>
      <c r="SNC11" s="4"/>
      <c r="SND11" s="65"/>
      <c r="SNE11" s="4"/>
      <c r="SNF11" s="4"/>
      <c r="SNG11" s="4"/>
      <c r="SNJ11" s="34"/>
      <c r="SNK11" s="34"/>
      <c r="SNM11" s="34"/>
      <c r="SNN11" s="72"/>
      <c r="SNO11" s="63"/>
      <c r="SNP11" s="34"/>
      <c r="SNQ11" s="64"/>
      <c r="SNR11" s="4"/>
      <c r="SNS11" s="65"/>
      <c r="SNT11" s="4"/>
      <c r="SNU11" s="4"/>
      <c r="SNV11" s="4"/>
      <c r="SNY11" s="34"/>
      <c r="SNZ11" s="34"/>
      <c r="SOB11" s="34"/>
      <c r="SOC11" s="72"/>
      <c r="SOD11" s="63"/>
      <c r="SOE11" s="34"/>
      <c r="SOF11" s="64"/>
      <c r="SOG11" s="4"/>
      <c r="SOH11" s="65"/>
      <c r="SOI11" s="4"/>
      <c r="SOJ11" s="4"/>
      <c r="SOK11" s="4"/>
      <c r="SON11" s="34"/>
      <c r="SOO11" s="34"/>
      <c r="SOQ11" s="34"/>
      <c r="SOR11" s="72"/>
      <c r="SOS11" s="63"/>
      <c r="SOT11" s="34"/>
      <c r="SOU11" s="64"/>
      <c r="SOV11" s="4"/>
      <c r="SOW11" s="65"/>
      <c r="SOX11" s="4"/>
      <c r="SOY11" s="4"/>
      <c r="SOZ11" s="4"/>
      <c r="SPC11" s="34"/>
      <c r="SPD11" s="34"/>
      <c r="SPF11" s="34"/>
      <c r="SPG11" s="72"/>
      <c r="SPH11" s="63"/>
      <c r="SPI11" s="34"/>
      <c r="SPJ11" s="64"/>
      <c r="SPK11" s="4"/>
      <c r="SPL11" s="65"/>
      <c r="SPM11" s="4"/>
      <c r="SPN11" s="4"/>
      <c r="SPO11" s="4"/>
      <c r="SPR11" s="34"/>
      <c r="SPS11" s="34"/>
      <c r="SPU11" s="34"/>
      <c r="SPV11" s="72"/>
      <c r="SPW11" s="63"/>
      <c r="SPX11" s="34"/>
      <c r="SPY11" s="64"/>
      <c r="SPZ11" s="4"/>
      <c r="SQA11" s="65"/>
      <c r="SQB11" s="4"/>
      <c r="SQC11" s="4"/>
      <c r="SQD11" s="4"/>
      <c r="SQG11" s="34"/>
      <c r="SQH11" s="34"/>
      <c r="SQJ11" s="34"/>
      <c r="SQK11" s="72"/>
      <c r="SQL11" s="63"/>
      <c r="SQM11" s="34"/>
      <c r="SQN11" s="64"/>
      <c r="SQO11" s="4"/>
      <c r="SQP11" s="65"/>
      <c r="SQQ11" s="4"/>
      <c r="SQR11" s="4"/>
      <c r="SQS11" s="4"/>
      <c r="SQV11" s="34"/>
      <c r="SQW11" s="34"/>
      <c r="SQY11" s="34"/>
      <c r="SQZ11" s="72"/>
      <c r="SRA11" s="63"/>
      <c r="SRB11" s="34"/>
      <c r="SRC11" s="64"/>
      <c r="SRD11" s="4"/>
      <c r="SRE11" s="65"/>
      <c r="SRF11" s="4"/>
      <c r="SRG11" s="4"/>
      <c r="SRH11" s="4"/>
      <c r="SRK11" s="34"/>
      <c r="SRL11" s="34"/>
      <c r="SRN11" s="34"/>
      <c r="SRO11" s="72"/>
      <c r="SRP11" s="63"/>
      <c r="SRQ11" s="34"/>
      <c r="SRR11" s="64"/>
      <c r="SRS11" s="4"/>
      <c r="SRT11" s="65"/>
      <c r="SRU11" s="4"/>
      <c r="SRV11" s="4"/>
      <c r="SRW11" s="4"/>
      <c r="SRZ11" s="34"/>
      <c r="SSA11" s="34"/>
      <c r="SSC11" s="34"/>
      <c r="SSD11" s="72"/>
      <c r="SSE11" s="63"/>
      <c r="SSF11" s="34"/>
      <c r="SSG11" s="64"/>
      <c r="SSH11" s="4"/>
      <c r="SSI11" s="65"/>
      <c r="SSJ11" s="4"/>
      <c r="SSK11" s="4"/>
      <c r="SSL11" s="4"/>
      <c r="SSO11" s="34"/>
      <c r="SSP11" s="34"/>
      <c r="SSR11" s="34"/>
      <c r="SSS11" s="72"/>
      <c r="SST11" s="63"/>
      <c r="SSU11" s="34"/>
      <c r="SSV11" s="64"/>
      <c r="SSW11" s="4"/>
      <c r="SSX11" s="65"/>
      <c r="SSY11" s="4"/>
      <c r="SSZ11" s="4"/>
      <c r="STA11" s="4"/>
      <c r="STD11" s="34"/>
      <c r="STE11" s="34"/>
      <c r="STG11" s="34"/>
      <c r="STH11" s="72"/>
      <c r="STI11" s="63"/>
      <c r="STJ11" s="34"/>
      <c r="STK11" s="64"/>
      <c r="STL11" s="4"/>
      <c r="STM11" s="65"/>
      <c r="STN11" s="4"/>
      <c r="STO11" s="4"/>
      <c r="STP11" s="4"/>
      <c r="STS11" s="34"/>
      <c r="STT11" s="34"/>
      <c r="STV11" s="34"/>
      <c r="STW11" s="72"/>
      <c r="STX11" s="63"/>
      <c r="STY11" s="34"/>
      <c r="STZ11" s="64"/>
      <c r="SUA11" s="4"/>
      <c r="SUB11" s="65"/>
      <c r="SUC11" s="4"/>
      <c r="SUD11" s="4"/>
      <c r="SUE11" s="4"/>
      <c r="SUH11" s="34"/>
      <c r="SUI11" s="34"/>
      <c r="SUK11" s="34"/>
      <c r="SUL11" s="72"/>
      <c r="SUM11" s="63"/>
      <c r="SUN11" s="34"/>
      <c r="SUO11" s="64"/>
      <c r="SUP11" s="4"/>
      <c r="SUQ11" s="65"/>
      <c r="SUR11" s="4"/>
      <c r="SUS11" s="4"/>
      <c r="SUT11" s="4"/>
      <c r="SUW11" s="34"/>
      <c r="SUX11" s="34"/>
      <c r="SUZ11" s="34"/>
      <c r="SVA11" s="72"/>
      <c r="SVB11" s="63"/>
      <c r="SVC11" s="34"/>
      <c r="SVD11" s="64"/>
      <c r="SVE11" s="4"/>
      <c r="SVF11" s="65"/>
      <c r="SVG11" s="4"/>
      <c r="SVH11" s="4"/>
      <c r="SVI11" s="4"/>
      <c r="SVL11" s="34"/>
      <c r="SVM11" s="34"/>
      <c r="SVO11" s="34"/>
      <c r="SVP11" s="72"/>
      <c r="SVQ11" s="63"/>
      <c r="SVR11" s="34"/>
      <c r="SVS11" s="64"/>
      <c r="SVT11" s="4"/>
      <c r="SVU11" s="65"/>
      <c r="SVV11" s="4"/>
      <c r="SVW11" s="4"/>
      <c r="SVX11" s="4"/>
      <c r="SWA11" s="34"/>
      <c r="SWB11" s="34"/>
      <c r="SWD11" s="34"/>
      <c r="SWE11" s="72"/>
      <c r="SWF11" s="63"/>
      <c r="SWG11" s="34"/>
      <c r="SWH11" s="64"/>
      <c r="SWI11" s="4"/>
      <c r="SWJ11" s="65"/>
      <c r="SWK11" s="4"/>
      <c r="SWL11" s="4"/>
      <c r="SWM11" s="4"/>
      <c r="SWP11" s="34"/>
      <c r="SWQ11" s="34"/>
      <c r="SWS11" s="34"/>
      <c r="SWT11" s="72"/>
      <c r="SWU11" s="63"/>
      <c r="SWV11" s="34"/>
      <c r="SWW11" s="64"/>
      <c r="SWX11" s="4"/>
      <c r="SWY11" s="65"/>
      <c r="SWZ11" s="4"/>
      <c r="SXA11" s="4"/>
      <c r="SXB11" s="4"/>
      <c r="SXE11" s="34"/>
      <c r="SXF11" s="34"/>
      <c r="SXH11" s="34"/>
      <c r="SXI11" s="72"/>
      <c r="SXJ11" s="63"/>
      <c r="SXK11" s="34"/>
      <c r="SXL11" s="64"/>
      <c r="SXM11" s="4"/>
      <c r="SXN11" s="65"/>
      <c r="SXO11" s="4"/>
      <c r="SXP11" s="4"/>
      <c r="SXQ11" s="4"/>
      <c r="SXT11" s="34"/>
      <c r="SXU11" s="34"/>
      <c r="SXW11" s="34"/>
      <c r="SXX11" s="72"/>
      <c r="SXY11" s="63"/>
      <c r="SXZ11" s="34"/>
      <c r="SYA11" s="64"/>
      <c r="SYB11" s="4"/>
      <c r="SYC11" s="65"/>
      <c r="SYD11" s="4"/>
      <c r="SYE11" s="4"/>
      <c r="SYF11" s="4"/>
      <c r="SYI11" s="34"/>
      <c r="SYJ11" s="34"/>
      <c r="SYL11" s="34"/>
      <c r="SYM11" s="72"/>
      <c r="SYN11" s="63"/>
      <c r="SYO11" s="34"/>
      <c r="SYP11" s="64"/>
      <c r="SYQ11" s="4"/>
      <c r="SYR11" s="65"/>
      <c r="SYS11" s="4"/>
      <c r="SYT11" s="4"/>
      <c r="SYU11" s="4"/>
      <c r="SYX11" s="34"/>
      <c r="SYY11" s="34"/>
      <c r="SZA11" s="34"/>
      <c r="SZB11" s="72"/>
      <c r="SZC11" s="63"/>
      <c r="SZD11" s="34"/>
      <c r="SZE11" s="64"/>
      <c r="SZF11" s="4"/>
      <c r="SZG11" s="65"/>
      <c r="SZH11" s="4"/>
      <c r="SZI11" s="4"/>
      <c r="SZJ11" s="4"/>
      <c r="SZM11" s="34"/>
      <c r="SZN11" s="34"/>
      <c r="SZP11" s="34"/>
      <c r="SZQ11" s="72"/>
      <c r="SZR11" s="63"/>
      <c r="SZS11" s="34"/>
      <c r="SZT11" s="64"/>
      <c r="SZU11" s="4"/>
      <c r="SZV11" s="65"/>
      <c r="SZW11" s="4"/>
      <c r="SZX11" s="4"/>
      <c r="SZY11" s="4"/>
      <c r="TAB11" s="34"/>
      <c r="TAC11" s="34"/>
      <c r="TAE11" s="34"/>
      <c r="TAF11" s="72"/>
      <c r="TAG11" s="63"/>
      <c r="TAH11" s="34"/>
      <c r="TAI11" s="64"/>
      <c r="TAJ11" s="4"/>
      <c r="TAK11" s="65"/>
      <c r="TAL11" s="4"/>
      <c r="TAM11" s="4"/>
      <c r="TAN11" s="4"/>
      <c r="TAQ11" s="34"/>
      <c r="TAR11" s="34"/>
      <c r="TAT11" s="34"/>
      <c r="TAU11" s="72"/>
      <c r="TAV11" s="63"/>
      <c r="TAW11" s="34"/>
      <c r="TAX11" s="64"/>
      <c r="TAY11" s="4"/>
      <c r="TAZ11" s="65"/>
      <c r="TBA11" s="4"/>
      <c r="TBB11" s="4"/>
      <c r="TBC11" s="4"/>
      <c r="TBF11" s="34"/>
      <c r="TBG11" s="34"/>
      <c r="TBI11" s="34"/>
      <c r="TBJ11" s="72"/>
      <c r="TBK11" s="63"/>
      <c r="TBL11" s="34"/>
      <c r="TBM11" s="64"/>
      <c r="TBN11" s="4"/>
      <c r="TBO11" s="65"/>
      <c r="TBP11" s="4"/>
      <c r="TBQ11" s="4"/>
      <c r="TBR11" s="4"/>
      <c r="TBU11" s="34"/>
      <c r="TBV11" s="34"/>
      <c r="TBX11" s="34"/>
      <c r="TBY11" s="72"/>
      <c r="TBZ11" s="63"/>
      <c r="TCA11" s="34"/>
      <c r="TCB11" s="64"/>
      <c r="TCC11" s="4"/>
      <c r="TCD11" s="65"/>
      <c r="TCE11" s="4"/>
      <c r="TCF11" s="4"/>
      <c r="TCG11" s="4"/>
      <c r="TCJ11" s="34"/>
      <c r="TCK11" s="34"/>
      <c r="TCM11" s="34"/>
      <c r="TCN11" s="72"/>
      <c r="TCO11" s="63"/>
      <c r="TCP11" s="34"/>
      <c r="TCQ11" s="64"/>
      <c r="TCR11" s="4"/>
      <c r="TCS11" s="65"/>
      <c r="TCT11" s="4"/>
      <c r="TCU11" s="4"/>
      <c r="TCV11" s="4"/>
      <c r="TCY11" s="34"/>
      <c r="TCZ11" s="34"/>
      <c r="TDB11" s="34"/>
      <c r="TDC11" s="72"/>
      <c r="TDD11" s="63"/>
      <c r="TDE11" s="34"/>
      <c r="TDF11" s="64"/>
      <c r="TDG11" s="4"/>
      <c r="TDH11" s="65"/>
      <c r="TDI11" s="4"/>
      <c r="TDJ11" s="4"/>
      <c r="TDK11" s="4"/>
      <c r="TDN11" s="34"/>
      <c r="TDO11" s="34"/>
      <c r="TDQ11" s="34"/>
      <c r="TDR11" s="72"/>
      <c r="TDS11" s="63"/>
      <c r="TDT11" s="34"/>
      <c r="TDU11" s="64"/>
      <c r="TDV11" s="4"/>
      <c r="TDW11" s="65"/>
      <c r="TDX11" s="4"/>
      <c r="TDY11" s="4"/>
      <c r="TDZ11" s="4"/>
      <c r="TEC11" s="34"/>
      <c r="TED11" s="34"/>
      <c r="TEF11" s="34"/>
      <c r="TEG11" s="72"/>
      <c r="TEH11" s="63"/>
      <c r="TEI11" s="34"/>
      <c r="TEJ11" s="64"/>
      <c r="TEK11" s="4"/>
      <c r="TEL11" s="65"/>
      <c r="TEM11" s="4"/>
      <c r="TEN11" s="4"/>
      <c r="TEO11" s="4"/>
      <c r="TER11" s="34"/>
      <c r="TES11" s="34"/>
      <c r="TEU11" s="34"/>
      <c r="TEV11" s="72"/>
      <c r="TEW11" s="63"/>
      <c r="TEX11" s="34"/>
      <c r="TEY11" s="64"/>
      <c r="TEZ11" s="4"/>
      <c r="TFA11" s="65"/>
      <c r="TFB11" s="4"/>
      <c r="TFC11" s="4"/>
      <c r="TFD11" s="4"/>
      <c r="TFG11" s="34"/>
      <c r="TFH11" s="34"/>
      <c r="TFJ11" s="34"/>
      <c r="TFK11" s="72"/>
      <c r="TFL11" s="63"/>
      <c r="TFM11" s="34"/>
      <c r="TFN11" s="64"/>
      <c r="TFO11" s="4"/>
      <c r="TFP11" s="65"/>
      <c r="TFQ11" s="4"/>
      <c r="TFR11" s="4"/>
      <c r="TFS11" s="4"/>
      <c r="TFV11" s="34"/>
      <c r="TFW11" s="34"/>
      <c r="TFY11" s="34"/>
      <c r="TFZ11" s="72"/>
      <c r="TGA11" s="63"/>
      <c r="TGB11" s="34"/>
      <c r="TGC11" s="64"/>
      <c r="TGD11" s="4"/>
      <c r="TGE11" s="65"/>
      <c r="TGF11" s="4"/>
      <c r="TGG11" s="4"/>
      <c r="TGH11" s="4"/>
      <c r="TGK11" s="34"/>
      <c r="TGL11" s="34"/>
      <c r="TGN11" s="34"/>
      <c r="TGO11" s="72"/>
      <c r="TGP11" s="63"/>
      <c r="TGQ11" s="34"/>
      <c r="TGR11" s="64"/>
      <c r="TGS11" s="4"/>
      <c r="TGT11" s="65"/>
      <c r="TGU11" s="4"/>
      <c r="TGV11" s="4"/>
      <c r="TGW11" s="4"/>
      <c r="TGZ11" s="34"/>
      <c r="THA11" s="34"/>
      <c r="THC11" s="34"/>
      <c r="THD11" s="72"/>
      <c r="THE11" s="63"/>
      <c r="THF11" s="34"/>
      <c r="THG11" s="64"/>
      <c r="THH11" s="4"/>
      <c r="THI11" s="65"/>
      <c r="THJ11" s="4"/>
      <c r="THK11" s="4"/>
      <c r="THL11" s="4"/>
      <c r="THO11" s="34"/>
      <c r="THP11" s="34"/>
      <c r="THR11" s="34"/>
      <c r="THS11" s="72"/>
      <c r="THT11" s="63"/>
      <c r="THU11" s="34"/>
      <c r="THV11" s="64"/>
      <c r="THW11" s="4"/>
      <c r="THX11" s="65"/>
      <c r="THY11" s="4"/>
      <c r="THZ11" s="4"/>
      <c r="TIA11" s="4"/>
      <c r="TID11" s="34"/>
      <c r="TIE11" s="34"/>
      <c r="TIG11" s="34"/>
      <c r="TIH11" s="72"/>
      <c r="TII11" s="63"/>
      <c r="TIJ11" s="34"/>
      <c r="TIK11" s="64"/>
      <c r="TIL11" s="4"/>
      <c r="TIM11" s="65"/>
      <c r="TIN11" s="4"/>
      <c r="TIO11" s="4"/>
      <c r="TIP11" s="4"/>
      <c r="TIS11" s="34"/>
      <c r="TIT11" s="34"/>
      <c r="TIV11" s="34"/>
      <c r="TIW11" s="72"/>
      <c r="TIX11" s="63"/>
      <c r="TIY11" s="34"/>
      <c r="TIZ11" s="64"/>
      <c r="TJA11" s="4"/>
      <c r="TJB11" s="65"/>
      <c r="TJC11" s="4"/>
      <c r="TJD11" s="4"/>
      <c r="TJE11" s="4"/>
      <c r="TJH11" s="34"/>
      <c r="TJI11" s="34"/>
      <c r="TJK11" s="34"/>
      <c r="TJL11" s="72"/>
      <c r="TJM11" s="63"/>
      <c r="TJN11" s="34"/>
      <c r="TJO11" s="64"/>
      <c r="TJP11" s="4"/>
      <c r="TJQ11" s="65"/>
      <c r="TJR11" s="4"/>
      <c r="TJS11" s="4"/>
      <c r="TJT11" s="4"/>
      <c r="TJW11" s="34"/>
      <c r="TJX11" s="34"/>
      <c r="TJZ11" s="34"/>
      <c r="TKA11" s="72"/>
      <c r="TKB11" s="63"/>
      <c r="TKC11" s="34"/>
      <c r="TKD11" s="64"/>
      <c r="TKE11" s="4"/>
      <c r="TKF11" s="65"/>
      <c r="TKG11" s="4"/>
      <c r="TKH11" s="4"/>
      <c r="TKI11" s="4"/>
      <c r="TKL11" s="34"/>
      <c r="TKM11" s="34"/>
      <c r="TKO11" s="34"/>
      <c r="TKP11" s="72"/>
      <c r="TKQ11" s="63"/>
      <c r="TKR11" s="34"/>
      <c r="TKS11" s="64"/>
      <c r="TKT11" s="4"/>
      <c r="TKU11" s="65"/>
      <c r="TKV11" s="4"/>
      <c r="TKW11" s="4"/>
      <c r="TKX11" s="4"/>
      <c r="TLA11" s="34"/>
      <c r="TLB11" s="34"/>
      <c r="TLD11" s="34"/>
      <c r="TLE11" s="72"/>
      <c r="TLF11" s="63"/>
      <c r="TLG11" s="34"/>
      <c r="TLH11" s="64"/>
      <c r="TLI11" s="4"/>
      <c r="TLJ11" s="65"/>
      <c r="TLK11" s="4"/>
      <c r="TLL11" s="4"/>
      <c r="TLM11" s="4"/>
      <c r="TLP11" s="34"/>
      <c r="TLQ11" s="34"/>
      <c r="TLS11" s="34"/>
      <c r="TLT11" s="72"/>
      <c r="TLU11" s="63"/>
      <c r="TLV11" s="34"/>
      <c r="TLW11" s="64"/>
      <c r="TLX11" s="4"/>
      <c r="TLY11" s="65"/>
      <c r="TLZ11" s="4"/>
      <c r="TMA11" s="4"/>
      <c r="TMB11" s="4"/>
      <c r="TME11" s="34"/>
      <c r="TMF11" s="34"/>
      <c r="TMH11" s="34"/>
      <c r="TMI11" s="72"/>
      <c r="TMJ11" s="63"/>
      <c r="TMK11" s="34"/>
      <c r="TML11" s="64"/>
      <c r="TMM11" s="4"/>
      <c r="TMN11" s="65"/>
      <c r="TMO11" s="4"/>
      <c r="TMP11" s="4"/>
      <c r="TMQ11" s="4"/>
      <c r="TMT11" s="34"/>
      <c r="TMU11" s="34"/>
      <c r="TMW11" s="34"/>
      <c r="TMX11" s="72"/>
      <c r="TMY11" s="63"/>
      <c r="TMZ11" s="34"/>
      <c r="TNA11" s="64"/>
      <c r="TNB11" s="4"/>
      <c r="TNC11" s="65"/>
      <c r="TND11" s="4"/>
      <c r="TNE11" s="4"/>
      <c r="TNF11" s="4"/>
      <c r="TNI11" s="34"/>
      <c r="TNJ11" s="34"/>
      <c r="TNL11" s="34"/>
      <c r="TNM11" s="72"/>
      <c r="TNN11" s="63"/>
      <c r="TNO11" s="34"/>
      <c r="TNP11" s="64"/>
      <c r="TNQ11" s="4"/>
      <c r="TNR11" s="65"/>
      <c r="TNS11" s="4"/>
      <c r="TNT11" s="4"/>
      <c r="TNU11" s="4"/>
      <c r="TNX11" s="34"/>
      <c r="TNY11" s="34"/>
      <c r="TOA11" s="34"/>
      <c r="TOB11" s="72"/>
      <c r="TOC11" s="63"/>
      <c r="TOD11" s="34"/>
      <c r="TOE11" s="64"/>
      <c r="TOF11" s="4"/>
      <c r="TOG11" s="65"/>
      <c r="TOH11" s="4"/>
      <c r="TOI11" s="4"/>
      <c r="TOJ11" s="4"/>
      <c r="TOM11" s="34"/>
      <c r="TON11" s="34"/>
      <c r="TOP11" s="34"/>
      <c r="TOQ11" s="72"/>
      <c r="TOR11" s="63"/>
      <c r="TOS11" s="34"/>
      <c r="TOT11" s="64"/>
      <c r="TOU11" s="4"/>
      <c r="TOV11" s="65"/>
      <c r="TOW11" s="4"/>
      <c r="TOX11" s="4"/>
      <c r="TOY11" s="4"/>
      <c r="TPB11" s="34"/>
      <c r="TPC11" s="34"/>
      <c r="TPE11" s="34"/>
      <c r="TPF11" s="72"/>
      <c r="TPG11" s="63"/>
      <c r="TPH11" s="34"/>
      <c r="TPI11" s="64"/>
      <c r="TPJ11" s="4"/>
      <c r="TPK11" s="65"/>
      <c r="TPL11" s="4"/>
      <c r="TPM11" s="4"/>
      <c r="TPN11" s="4"/>
      <c r="TPQ11" s="34"/>
      <c r="TPR11" s="34"/>
      <c r="TPT11" s="34"/>
      <c r="TPU11" s="72"/>
      <c r="TPV11" s="63"/>
      <c r="TPW11" s="34"/>
      <c r="TPX11" s="64"/>
      <c r="TPY11" s="4"/>
      <c r="TPZ11" s="65"/>
      <c r="TQA11" s="4"/>
      <c r="TQB11" s="4"/>
      <c r="TQC11" s="4"/>
      <c r="TQF11" s="34"/>
      <c r="TQG11" s="34"/>
      <c r="TQI11" s="34"/>
      <c r="TQJ11" s="72"/>
      <c r="TQK11" s="63"/>
      <c r="TQL11" s="34"/>
      <c r="TQM11" s="64"/>
      <c r="TQN11" s="4"/>
      <c r="TQO11" s="65"/>
      <c r="TQP11" s="4"/>
      <c r="TQQ11" s="4"/>
      <c r="TQR11" s="4"/>
      <c r="TQU11" s="34"/>
      <c r="TQV11" s="34"/>
      <c r="TQX11" s="34"/>
      <c r="TQY11" s="72"/>
      <c r="TQZ11" s="63"/>
      <c r="TRA11" s="34"/>
      <c r="TRB11" s="64"/>
      <c r="TRC11" s="4"/>
      <c r="TRD11" s="65"/>
      <c r="TRE11" s="4"/>
      <c r="TRF11" s="4"/>
      <c r="TRG11" s="4"/>
      <c r="TRJ11" s="34"/>
      <c r="TRK11" s="34"/>
      <c r="TRM11" s="34"/>
      <c r="TRN11" s="72"/>
      <c r="TRO11" s="63"/>
      <c r="TRP11" s="34"/>
      <c r="TRQ11" s="64"/>
      <c r="TRR11" s="4"/>
      <c r="TRS11" s="65"/>
      <c r="TRT11" s="4"/>
      <c r="TRU11" s="4"/>
      <c r="TRV11" s="4"/>
      <c r="TRY11" s="34"/>
      <c r="TRZ11" s="34"/>
      <c r="TSB11" s="34"/>
      <c r="TSC11" s="72"/>
      <c r="TSD11" s="63"/>
      <c r="TSE11" s="34"/>
      <c r="TSF11" s="64"/>
      <c r="TSG11" s="4"/>
      <c r="TSH11" s="65"/>
      <c r="TSI11" s="4"/>
      <c r="TSJ11" s="4"/>
      <c r="TSK11" s="4"/>
      <c r="TSN11" s="34"/>
      <c r="TSO11" s="34"/>
      <c r="TSQ11" s="34"/>
      <c r="TSR11" s="72"/>
      <c r="TSS11" s="63"/>
      <c r="TST11" s="34"/>
      <c r="TSU11" s="64"/>
      <c r="TSV11" s="4"/>
      <c r="TSW11" s="65"/>
      <c r="TSX11" s="4"/>
      <c r="TSY11" s="4"/>
      <c r="TSZ11" s="4"/>
      <c r="TTC11" s="34"/>
      <c r="TTD11" s="34"/>
      <c r="TTF11" s="34"/>
      <c r="TTG11" s="72"/>
      <c r="TTH11" s="63"/>
      <c r="TTI11" s="34"/>
      <c r="TTJ11" s="64"/>
      <c r="TTK11" s="4"/>
      <c r="TTL11" s="65"/>
      <c r="TTM11" s="4"/>
      <c r="TTN11" s="4"/>
      <c r="TTO11" s="4"/>
      <c r="TTR11" s="34"/>
      <c r="TTS11" s="34"/>
      <c r="TTU11" s="34"/>
      <c r="TTV11" s="72"/>
      <c r="TTW11" s="63"/>
      <c r="TTX11" s="34"/>
      <c r="TTY11" s="64"/>
      <c r="TTZ11" s="4"/>
      <c r="TUA11" s="65"/>
      <c r="TUB11" s="4"/>
      <c r="TUC11" s="4"/>
      <c r="TUD11" s="4"/>
      <c r="TUG11" s="34"/>
      <c r="TUH11" s="34"/>
      <c r="TUJ11" s="34"/>
      <c r="TUK11" s="72"/>
      <c r="TUL11" s="63"/>
      <c r="TUM11" s="34"/>
      <c r="TUN11" s="64"/>
      <c r="TUO11" s="4"/>
      <c r="TUP11" s="65"/>
      <c r="TUQ11" s="4"/>
      <c r="TUR11" s="4"/>
      <c r="TUS11" s="4"/>
      <c r="TUV11" s="34"/>
      <c r="TUW11" s="34"/>
      <c r="TUY11" s="34"/>
      <c r="TUZ11" s="72"/>
      <c r="TVA11" s="63"/>
      <c r="TVB11" s="34"/>
      <c r="TVC11" s="64"/>
      <c r="TVD11" s="4"/>
      <c r="TVE11" s="65"/>
      <c r="TVF11" s="4"/>
      <c r="TVG11" s="4"/>
      <c r="TVH11" s="4"/>
      <c r="TVK11" s="34"/>
      <c r="TVL11" s="34"/>
      <c r="TVN11" s="34"/>
      <c r="TVO11" s="72"/>
      <c r="TVP11" s="63"/>
      <c r="TVQ11" s="34"/>
      <c r="TVR11" s="64"/>
      <c r="TVS11" s="4"/>
      <c r="TVT11" s="65"/>
      <c r="TVU11" s="4"/>
      <c r="TVV11" s="4"/>
      <c r="TVW11" s="4"/>
      <c r="TVZ11" s="34"/>
      <c r="TWA11" s="34"/>
      <c r="TWC11" s="34"/>
      <c r="TWD11" s="72"/>
      <c r="TWE11" s="63"/>
      <c r="TWF11" s="34"/>
      <c r="TWG11" s="64"/>
      <c r="TWH11" s="4"/>
      <c r="TWI11" s="65"/>
      <c r="TWJ11" s="4"/>
      <c r="TWK11" s="4"/>
      <c r="TWL11" s="4"/>
      <c r="TWO11" s="34"/>
      <c r="TWP11" s="34"/>
      <c r="TWR11" s="34"/>
      <c r="TWS11" s="72"/>
      <c r="TWT11" s="63"/>
      <c r="TWU11" s="34"/>
      <c r="TWV11" s="64"/>
      <c r="TWW11" s="4"/>
      <c r="TWX11" s="65"/>
      <c r="TWY11" s="4"/>
      <c r="TWZ11" s="4"/>
      <c r="TXA11" s="4"/>
      <c r="TXD11" s="34"/>
      <c r="TXE11" s="34"/>
      <c r="TXG11" s="34"/>
      <c r="TXH11" s="72"/>
      <c r="TXI11" s="63"/>
      <c r="TXJ11" s="34"/>
      <c r="TXK11" s="64"/>
      <c r="TXL11" s="4"/>
      <c r="TXM11" s="65"/>
      <c r="TXN11" s="4"/>
      <c r="TXO11" s="4"/>
      <c r="TXP11" s="4"/>
      <c r="TXS11" s="34"/>
      <c r="TXT11" s="34"/>
      <c r="TXV11" s="34"/>
      <c r="TXW11" s="72"/>
      <c r="TXX11" s="63"/>
      <c r="TXY11" s="34"/>
      <c r="TXZ11" s="64"/>
      <c r="TYA11" s="4"/>
      <c r="TYB11" s="65"/>
      <c r="TYC11" s="4"/>
      <c r="TYD11" s="4"/>
      <c r="TYE11" s="4"/>
      <c r="TYH11" s="34"/>
      <c r="TYI11" s="34"/>
      <c r="TYK11" s="34"/>
      <c r="TYL11" s="72"/>
      <c r="TYM11" s="63"/>
      <c r="TYN11" s="34"/>
      <c r="TYO11" s="64"/>
      <c r="TYP11" s="4"/>
      <c r="TYQ11" s="65"/>
      <c r="TYR11" s="4"/>
      <c r="TYS11" s="4"/>
      <c r="TYT11" s="4"/>
      <c r="TYW11" s="34"/>
      <c r="TYX11" s="34"/>
      <c r="TYZ11" s="34"/>
      <c r="TZA11" s="72"/>
      <c r="TZB11" s="63"/>
      <c r="TZC11" s="34"/>
      <c r="TZD11" s="64"/>
      <c r="TZE11" s="4"/>
      <c r="TZF11" s="65"/>
      <c r="TZG11" s="4"/>
      <c r="TZH11" s="4"/>
      <c r="TZI11" s="4"/>
      <c r="TZL11" s="34"/>
      <c r="TZM11" s="34"/>
      <c r="TZO11" s="34"/>
      <c r="TZP11" s="72"/>
      <c r="TZQ11" s="63"/>
      <c r="TZR11" s="34"/>
      <c r="TZS11" s="64"/>
      <c r="TZT11" s="4"/>
      <c r="TZU11" s="65"/>
      <c r="TZV11" s="4"/>
      <c r="TZW11" s="4"/>
      <c r="TZX11" s="4"/>
      <c r="UAA11" s="34"/>
      <c r="UAB11" s="34"/>
      <c r="UAD11" s="34"/>
      <c r="UAE11" s="72"/>
      <c r="UAF11" s="63"/>
      <c r="UAG11" s="34"/>
      <c r="UAH11" s="64"/>
      <c r="UAI11" s="4"/>
      <c r="UAJ11" s="65"/>
      <c r="UAK11" s="4"/>
      <c r="UAL11" s="4"/>
      <c r="UAM11" s="4"/>
      <c r="UAP11" s="34"/>
      <c r="UAQ11" s="34"/>
      <c r="UAS11" s="34"/>
      <c r="UAT11" s="72"/>
      <c r="UAU11" s="63"/>
      <c r="UAV11" s="34"/>
      <c r="UAW11" s="64"/>
      <c r="UAX11" s="4"/>
      <c r="UAY11" s="65"/>
      <c r="UAZ11" s="4"/>
      <c r="UBA11" s="4"/>
      <c r="UBB11" s="4"/>
      <c r="UBE11" s="34"/>
      <c r="UBF11" s="34"/>
      <c r="UBH11" s="34"/>
      <c r="UBI11" s="72"/>
      <c r="UBJ11" s="63"/>
      <c r="UBK11" s="34"/>
      <c r="UBL11" s="64"/>
      <c r="UBM11" s="4"/>
      <c r="UBN11" s="65"/>
      <c r="UBO11" s="4"/>
      <c r="UBP11" s="4"/>
      <c r="UBQ11" s="4"/>
      <c r="UBT11" s="34"/>
      <c r="UBU11" s="34"/>
      <c r="UBW11" s="34"/>
      <c r="UBX11" s="72"/>
      <c r="UBY11" s="63"/>
      <c r="UBZ11" s="34"/>
      <c r="UCA11" s="64"/>
      <c r="UCB11" s="4"/>
      <c r="UCC11" s="65"/>
      <c r="UCD11" s="4"/>
      <c r="UCE11" s="4"/>
      <c r="UCF11" s="4"/>
      <c r="UCI11" s="34"/>
      <c r="UCJ11" s="34"/>
      <c r="UCL11" s="34"/>
      <c r="UCM11" s="72"/>
      <c r="UCN11" s="63"/>
      <c r="UCO11" s="34"/>
      <c r="UCP11" s="64"/>
      <c r="UCQ11" s="4"/>
      <c r="UCR11" s="65"/>
      <c r="UCS11" s="4"/>
      <c r="UCT11" s="4"/>
      <c r="UCU11" s="4"/>
      <c r="UCX11" s="34"/>
      <c r="UCY11" s="34"/>
      <c r="UDA11" s="34"/>
      <c r="UDB11" s="72"/>
      <c r="UDC11" s="63"/>
      <c r="UDD11" s="34"/>
      <c r="UDE11" s="64"/>
      <c r="UDF11" s="4"/>
      <c r="UDG11" s="65"/>
      <c r="UDH11" s="4"/>
      <c r="UDI11" s="4"/>
      <c r="UDJ11" s="4"/>
      <c r="UDM11" s="34"/>
      <c r="UDN11" s="34"/>
      <c r="UDP11" s="34"/>
      <c r="UDQ11" s="72"/>
      <c r="UDR11" s="63"/>
      <c r="UDS11" s="34"/>
      <c r="UDT11" s="64"/>
      <c r="UDU11" s="4"/>
      <c r="UDV11" s="65"/>
      <c r="UDW11" s="4"/>
      <c r="UDX11" s="4"/>
      <c r="UDY11" s="4"/>
      <c r="UEB11" s="34"/>
      <c r="UEC11" s="34"/>
      <c r="UEE11" s="34"/>
      <c r="UEF11" s="72"/>
      <c r="UEG11" s="63"/>
      <c r="UEH11" s="34"/>
      <c r="UEI11" s="64"/>
      <c r="UEJ11" s="4"/>
      <c r="UEK11" s="65"/>
      <c r="UEL11" s="4"/>
      <c r="UEM11" s="4"/>
      <c r="UEN11" s="4"/>
      <c r="UEQ11" s="34"/>
      <c r="UER11" s="34"/>
      <c r="UET11" s="34"/>
      <c r="UEU11" s="72"/>
      <c r="UEV11" s="63"/>
      <c r="UEW11" s="34"/>
      <c r="UEX11" s="64"/>
      <c r="UEY11" s="4"/>
      <c r="UEZ11" s="65"/>
      <c r="UFA11" s="4"/>
      <c r="UFB11" s="4"/>
      <c r="UFC11" s="4"/>
      <c r="UFF11" s="34"/>
      <c r="UFG11" s="34"/>
      <c r="UFI11" s="34"/>
      <c r="UFJ11" s="72"/>
      <c r="UFK11" s="63"/>
      <c r="UFL11" s="34"/>
      <c r="UFM11" s="64"/>
      <c r="UFN11" s="4"/>
      <c r="UFO11" s="65"/>
      <c r="UFP11" s="4"/>
      <c r="UFQ11" s="4"/>
      <c r="UFR11" s="4"/>
      <c r="UFU11" s="34"/>
      <c r="UFV11" s="34"/>
      <c r="UFX11" s="34"/>
      <c r="UFY11" s="72"/>
      <c r="UFZ11" s="63"/>
      <c r="UGA11" s="34"/>
      <c r="UGB11" s="64"/>
      <c r="UGC11" s="4"/>
      <c r="UGD11" s="65"/>
      <c r="UGE11" s="4"/>
      <c r="UGF11" s="4"/>
      <c r="UGG11" s="4"/>
      <c r="UGJ11" s="34"/>
      <c r="UGK11" s="34"/>
      <c r="UGM11" s="34"/>
      <c r="UGN11" s="72"/>
      <c r="UGO11" s="63"/>
      <c r="UGP11" s="34"/>
      <c r="UGQ11" s="64"/>
      <c r="UGR11" s="4"/>
      <c r="UGS11" s="65"/>
      <c r="UGT11" s="4"/>
      <c r="UGU11" s="4"/>
      <c r="UGV11" s="4"/>
      <c r="UGY11" s="34"/>
      <c r="UGZ11" s="34"/>
      <c r="UHB11" s="34"/>
      <c r="UHC11" s="72"/>
      <c r="UHD11" s="63"/>
      <c r="UHE11" s="34"/>
      <c r="UHF11" s="64"/>
      <c r="UHG11" s="4"/>
      <c r="UHH11" s="65"/>
      <c r="UHI11" s="4"/>
      <c r="UHJ11" s="4"/>
      <c r="UHK11" s="4"/>
      <c r="UHN11" s="34"/>
      <c r="UHO11" s="34"/>
      <c r="UHQ11" s="34"/>
      <c r="UHR11" s="72"/>
      <c r="UHS11" s="63"/>
      <c r="UHT11" s="34"/>
      <c r="UHU11" s="64"/>
      <c r="UHV11" s="4"/>
      <c r="UHW11" s="65"/>
      <c r="UHX11" s="4"/>
      <c r="UHY11" s="4"/>
      <c r="UHZ11" s="4"/>
      <c r="UIC11" s="34"/>
      <c r="UID11" s="34"/>
      <c r="UIF11" s="34"/>
      <c r="UIG11" s="72"/>
      <c r="UIH11" s="63"/>
      <c r="UII11" s="34"/>
      <c r="UIJ11" s="64"/>
      <c r="UIK11" s="4"/>
      <c r="UIL11" s="65"/>
      <c r="UIM11" s="4"/>
      <c r="UIN11" s="4"/>
      <c r="UIO11" s="4"/>
      <c r="UIR11" s="34"/>
      <c r="UIS11" s="34"/>
      <c r="UIU11" s="34"/>
      <c r="UIV11" s="72"/>
      <c r="UIW11" s="63"/>
      <c r="UIX11" s="34"/>
      <c r="UIY11" s="64"/>
      <c r="UIZ11" s="4"/>
      <c r="UJA11" s="65"/>
      <c r="UJB11" s="4"/>
      <c r="UJC11" s="4"/>
      <c r="UJD11" s="4"/>
      <c r="UJG11" s="34"/>
      <c r="UJH11" s="34"/>
      <c r="UJJ11" s="34"/>
      <c r="UJK11" s="72"/>
      <c r="UJL11" s="63"/>
      <c r="UJM11" s="34"/>
      <c r="UJN11" s="64"/>
      <c r="UJO11" s="4"/>
      <c r="UJP11" s="65"/>
      <c r="UJQ11" s="4"/>
      <c r="UJR11" s="4"/>
      <c r="UJS11" s="4"/>
      <c r="UJV11" s="34"/>
      <c r="UJW11" s="34"/>
      <c r="UJY11" s="34"/>
      <c r="UJZ11" s="72"/>
      <c r="UKA11" s="63"/>
      <c r="UKB11" s="34"/>
      <c r="UKC11" s="64"/>
      <c r="UKD11" s="4"/>
      <c r="UKE11" s="65"/>
      <c r="UKF11" s="4"/>
      <c r="UKG11" s="4"/>
      <c r="UKH11" s="4"/>
      <c r="UKK11" s="34"/>
      <c r="UKL11" s="34"/>
      <c r="UKN11" s="34"/>
      <c r="UKO11" s="72"/>
      <c r="UKP11" s="63"/>
      <c r="UKQ11" s="34"/>
      <c r="UKR11" s="64"/>
      <c r="UKS11" s="4"/>
      <c r="UKT11" s="65"/>
      <c r="UKU11" s="4"/>
      <c r="UKV11" s="4"/>
      <c r="UKW11" s="4"/>
      <c r="UKZ11" s="34"/>
      <c r="ULA11" s="34"/>
      <c r="ULC11" s="34"/>
      <c r="ULD11" s="72"/>
      <c r="ULE11" s="63"/>
      <c r="ULF11" s="34"/>
      <c r="ULG11" s="64"/>
      <c r="ULH11" s="4"/>
      <c r="ULI11" s="65"/>
      <c r="ULJ11" s="4"/>
      <c r="ULK11" s="4"/>
      <c r="ULL11" s="4"/>
      <c r="ULO11" s="34"/>
      <c r="ULP11" s="34"/>
      <c r="ULR11" s="34"/>
      <c r="ULS11" s="72"/>
      <c r="ULT11" s="63"/>
      <c r="ULU11" s="34"/>
      <c r="ULV11" s="64"/>
      <c r="ULW11" s="4"/>
      <c r="ULX11" s="65"/>
      <c r="ULY11" s="4"/>
      <c r="ULZ11" s="4"/>
      <c r="UMA11" s="4"/>
      <c r="UMD11" s="34"/>
      <c r="UME11" s="34"/>
      <c r="UMG11" s="34"/>
      <c r="UMH11" s="72"/>
      <c r="UMI11" s="63"/>
      <c r="UMJ11" s="34"/>
      <c r="UMK11" s="64"/>
      <c r="UML11" s="4"/>
      <c r="UMM11" s="65"/>
      <c r="UMN11" s="4"/>
      <c r="UMO11" s="4"/>
      <c r="UMP11" s="4"/>
      <c r="UMS11" s="34"/>
      <c r="UMT11" s="34"/>
      <c r="UMV11" s="34"/>
      <c r="UMW11" s="72"/>
      <c r="UMX11" s="63"/>
      <c r="UMY11" s="34"/>
      <c r="UMZ11" s="64"/>
      <c r="UNA11" s="4"/>
      <c r="UNB11" s="65"/>
      <c r="UNC11" s="4"/>
      <c r="UND11" s="4"/>
      <c r="UNE11" s="4"/>
      <c r="UNH11" s="34"/>
      <c r="UNI11" s="34"/>
      <c r="UNK11" s="34"/>
      <c r="UNL11" s="72"/>
      <c r="UNM11" s="63"/>
      <c r="UNN11" s="34"/>
      <c r="UNO11" s="64"/>
      <c r="UNP11" s="4"/>
      <c r="UNQ11" s="65"/>
      <c r="UNR11" s="4"/>
      <c r="UNS11" s="4"/>
      <c r="UNT11" s="4"/>
      <c r="UNW11" s="34"/>
      <c r="UNX11" s="34"/>
      <c r="UNZ11" s="34"/>
      <c r="UOA11" s="72"/>
      <c r="UOB11" s="63"/>
      <c r="UOC11" s="34"/>
      <c r="UOD11" s="64"/>
      <c r="UOE11" s="4"/>
      <c r="UOF11" s="65"/>
      <c r="UOG11" s="4"/>
      <c r="UOH11" s="4"/>
      <c r="UOI11" s="4"/>
      <c r="UOL11" s="34"/>
      <c r="UOM11" s="34"/>
      <c r="UOO11" s="34"/>
      <c r="UOP11" s="72"/>
      <c r="UOQ11" s="63"/>
      <c r="UOR11" s="34"/>
      <c r="UOS11" s="64"/>
      <c r="UOT11" s="4"/>
      <c r="UOU11" s="65"/>
      <c r="UOV11" s="4"/>
      <c r="UOW11" s="4"/>
      <c r="UOX11" s="4"/>
      <c r="UPA11" s="34"/>
      <c r="UPB11" s="34"/>
      <c r="UPD11" s="34"/>
      <c r="UPE11" s="72"/>
      <c r="UPF11" s="63"/>
      <c r="UPG11" s="34"/>
      <c r="UPH11" s="64"/>
      <c r="UPI11" s="4"/>
      <c r="UPJ11" s="65"/>
      <c r="UPK11" s="4"/>
      <c r="UPL11" s="4"/>
      <c r="UPM11" s="4"/>
      <c r="UPP11" s="34"/>
      <c r="UPQ11" s="34"/>
      <c r="UPS11" s="34"/>
      <c r="UPT11" s="72"/>
      <c r="UPU11" s="63"/>
      <c r="UPV11" s="34"/>
      <c r="UPW11" s="64"/>
      <c r="UPX11" s="4"/>
      <c r="UPY11" s="65"/>
      <c r="UPZ11" s="4"/>
      <c r="UQA11" s="4"/>
      <c r="UQB11" s="4"/>
      <c r="UQE11" s="34"/>
      <c r="UQF11" s="34"/>
      <c r="UQH11" s="34"/>
      <c r="UQI11" s="72"/>
      <c r="UQJ11" s="63"/>
      <c r="UQK11" s="34"/>
      <c r="UQL11" s="64"/>
      <c r="UQM11" s="4"/>
      <c r="UQN11" s="65"/>
      <c r="UQO11" s="4"/>
      <c r="UQP11" s="4"/>
      <c r="UQQ11" s="4"/>
      <c r="UQT11" s="34"/>
      <c r="UQU11" s="34"/>
      <c r="UQW11" s="34"/>
      <c r="UQX11" s="72"/>
      <c r="UQY11" s="63"/>
      <c r="UQZ11" s="34"/>
      <c r="URA11" s="64"/>
      <c r="URB11" s="4"/>
      <c r="URC11" s="65"/>
      <c r="URD11" s="4"/>
      <c r="URE11" s="4"/>
      <c r="URF11" s="4"/>
      <c r="URI11" s="34"/>
      <c r="URJ11" s="34"/>
      <c r="URL11" s="34"/>
      <c r="URM11" s="72"/>
      <c r="URN11" s="63"/>
      <c r="URO11" s="34"/>
      <c r="URP11" s="64"/>
      <c r="URQ11" s="4"/>
      <c r="URR11" s="65"/>
      <c r="URS11" s="4"/>
      <c r="URT11" s="4"/>
      <c r="URU11" s="4"/>
      <c r="URX11" s="34"/>
      <c r="URY11" s="34"/>
      <c r="USA11" s="34"/>
      <c r="USB11" s="72"/>
      <c r="USC11" s="63"/>
      <c r="USD11" s="34"/>
      <c r="USE11" s="64"/>
      <c r="USF11" s="4"/>
      <c r="USG11" s="65"/>
      <c r="USH11" s="4"/>
      <c r="USI11" s="4"/>
      <c r="USJ11" s="4"/>
      <c r="USM11" s="34"/>
      <c r="USN11" s="34"/>
      <c r="USP11" s="34"/>
      <c r="USQ11" s="72"/>
      <c r="USR11" s="63"/>
      <c r="USS11" s="34"/>
      <c r="UST11" s="64"/>
      <c r="USU11" s="4"/>
      <c r="USV11" s="65"/>
      <c r="USW11" s="4"/>
      <c r="USX11" s="4"/>
      <c r="USY11" s="4"/>
      <c r="UTB11" s="34"/>
      <c r="UTC11" s="34"/>
      <c r="UTE11" s="34"/>
      <c r="UTF11" s="72"/>
      <c r="UTG11" s="63"/>
      <c r="UTH11" s="34"/>
      <c r="UTI11" s="64"/>
      <c r="UTJ11" s="4"/>
      <c r="UTK11" s="65"/>
      <c r="UTL11" s="4"/>
      <c r="UTM11" s="4"/>
      <c r="UTN11" s="4"/>
      <c r="UTQ11" s="34"/>
      <c r="UTR11" s="34"/>
      <c r="UTT11" s="34"/>
      <c r="UTU11" s="72"/>
      <c r="UTV11" s="63"/>
      <c r="UTW11" s="34"/>
      <c r="UTX11" s="64"/>
      <c r="UTY11" s="4"/>
      <c r="UTZ11" s="65"/>
      <c r="UUA11" s="4"/>
      <c r="UUB11" s="4"/>
      <c r="UUC11" s="4"/>
      <c r="UUF11" s="34"/>
      <c r="UUG11" s="34"/>
      <c r="UUI11" s="34"/>
      <c r="UUJ11" s="72"/>
      <c r="UUK11" s="63"/>
      <c r="UUL11" s="34"/>
      <c r="UUM11" s="64"/>
      <c r="UUN11" s="4"/>
      <c r="UUO11" s="65"/>
      <c r="UUP11" s="4"/>
      <c r="UUQ11" s="4"/>
      <c r="UUR11" s="4"/>
      <c r="UUU11" s="34"/>
      <c r="UUV11" s="34"/>
      <c r="UUX11" s="34"/>
      <c r="UUY11" s="72"/>
      <c r="UUZ11" s="63"/>
      <c r="UVA11" s="34"/>
      <c r="UVB11" s="64"/>
      <c r="UVC11" s="4"/>
      <c r="UVD11" s="65"/>
      <c r="UVE11" s="4"/>
      <c r="UVF11" s="4"/>
      <c r="UVG11" s="4"/>
      <c r="UVJ11" s="34"/>
      <c r="UVK11" s="34"/>
      <c r="UVM11" s="34"/>
      <c r="UVN11" s="72"/>
      <c r="UVO11" s="63"/>
      <c r="UVP11" s="34"/>
      <c r="UVQ11" s="64"/>
      <c r="UVR11" s="4"/>
      <c r="UVS11" s="65"/>
      <c r="UVT11" s="4"/>
      <c r="UVU11" s="4"/>
      <c r="UVV11" s="4"/>
      <c r="UVY11" s="34"/>
      <c r="UVZ11" s="34"/>
      <c r="UWB11" s="34"/>
      <c r="UWC11" s="72"/>
      <c r="UWD11" s="63"/>
      <c r="UWE11" s="34"/>
      <c r="UWF11" s="64"/>
      <c r="UWG11" s="4"/>
      <c r="UWH11" s="65"/>
      <c r="UWI11" s="4"/>
      <c r="UWJ11" s="4"/>
      <c r="UWK11" s="4"/>
      <c r="UWN11" s="34"/>
      <c r="UWO11" s="34"/>
      <c r="UWQ11" s="34"/>
      <c r="UWR11" s="72"/>
      <c r="UWS11" s="63"/>
      <c r="UWT11" s="34"/>
      <c r="UWU11" s="64"/>
      <c r="UWV11" s="4"/>
      <c r="UWW11" s="65"/>
      <c r="UWX11" s="4"/>
      <c r="UWY11" s="4"/>
      <c r="UWZ11" s="4"/>
      <c r="UXC11" s="34"/>
      <c r="UXD11" s="34"/>
      <c r="UXF11" s="34"/>
      <c r="UXG11" s="72"/>
      <c r="UXH11" s="63"/>
      <c r="UXI11" s="34"/>
      <c r="UXJ11" s="64"/>
      <c r="UXK11" s="4"/>
      <c r="UXL11" s="65"/>
      <c r="UXM11" s="4"/>
      <c r="UXN11" s="4"/>
      <c r="UXO11" s="4"/>
      <c r="UXR11" s="34"/>
      <c r="UXS11" s="34"/>
      <c r="UXU11" s="34"/>
      <c r="UXV11" s="72"/>
      <c r="UXW11" s="63"/>
      <c r="UXX11" s="34"/>
      <c r="UXY11" s="64"/>
      <c r="UXZ11" s="4"/>
      <c r="UYA11" s="65"/>
      <c r="UYB11" s="4"/>
      <c r="UYC11" s="4"/>
      <c r="UYD11" s="4"/>
      <c r="UYG11" s="34"/>
      <c r="UYH11" s="34"/>
      <c r="UYJ11" s="34"/>
      <c r="UYK11" s="72"/>
      <c r="UYL11" s="63"/>
      <c r="UYM11" s="34"/>
      <c r="UYN11" s="64"/>
      <c r="UYO11" s="4"/>
      <c r="UYP11" s="65"/>
      <c r="UYQ11" s="4"/>
      <c r="UYR11" s="4"/>
      <c r="UYS11" s="4"/>
      <c r="UYV11" s="34"/>
      <c r="UYW11" s="34"/>
      <c r="UYY11" s="34"/>
      <c r="UYZ11" s="72"/>
      <c r="UZA11" s="63"/>
      <c r="UZB11" s="34"/>
      <c r="UZC11" s="64"/>
      <c r="UZD11" s="4"/>
      <c r="UZE11" s="65"/>
      <c r="UZF11" s="4"/>
      <c r="UZG11" s="4"/>
      <c r="UZH11" s="4"/>
      <c r="UZK11" s="34"/>
      <c r="UZL11" s="34"/>
      <c r="UZN11" s="34"/>
      <c r="UZO11" s="72"/>
      <c r="UZP11" s="63"/>
      <c r="UZQ11" s="34"/>
      <c r="UZR11" s="64"/>
      <c r="UZS11" s="4"/>
      <c r="UZT11" s="65"/>
      <c r="UZU11" s="4"/>
      <c r="UZV11" s="4"/>
      <c r="UZW11" s="4"/>
      <c r="UZZ11" s="34"/>
      <c r="VAA11" s="34"/>
      <c r="VAC11" s="34"/>
      <c r="VAD11" s="72"/>
      <c r="VAE11" s="63"/>
      <c r="VAF11" s="34"/>
      <c r="VAG11" s="64"/>
      <c r="VAH11" s="4"/>
      <c r="VAI11" s="65"/>
      <c r="VAJ11" s="4"/>
      <c r="VAK11" s="4"/>
      <c r="VAL11" s="4"/>
      <c r="VAO11" s="34"/>
      <c r="VAP11" s="34"/>
      <c r="VAR11" s="34"/>
      <c r="VAS11" s="72"/>
      <c r="VAT11" s="63"/>
      <c r="VAU11" s="34"/>
      <c r="VAV11" s="64"/>
      <c r="VAW11" s="4"/>
      <c r="VAX11" s="65"/>
      <c r="VAY11" s="4"/>
      <c r="VAZ11" s="4"/>
      <c r="VBA11" s="4"/>
      <c r="VBD11" s="34"/>
      <c r="VBE11" s="34"/>
      <c r="VBG11" s="34"/>
      <c r="VBH11" s="72"/>
      <c r="VBI11" s="63"/>
      <c r="VBJ11" s="34"/>
      <c r="VBK11" s="64"/>
      <c r="VBL11" s="4"/>
      <c r="VBM11" s="65"/>
      <c r="VBN11" s="4"/>
      <c r="VBO11" s="4"/>
      <c r="VBP11" s="4"/>
      <c r="VBS11" s="34"/>
      <c r="VBT11" s="34"/>
      <c r="VBV11" s="34"/>
      <c r="VBW11" s="72"/>
      <c r="VBX11" s="63"/>
      <c r="VBY11" s="34"/>
      <c r="VBZ11" s="64"/>
      <c r="VCA11" s="4"/>
      <c r="VCB11" s="65"/>
      <c r="VCC11" s="4"/>
      <c r="VCD11" s="4"/>
      <c r="VCE11" s="4"/>
      <c r="VCH11" s="34"/>
      <c r="VCI11" s="34"/>
      <c r="VCK11" s="34"/>
      <c r="VCL11" s="72"/>
      <c r="VCM11" s="63"/>
      <c r="VCN11" s="34"/>
      <c r="VCO11" s="64"/>
      <c r="VCP11" s="4"/>
      <c r="VCQ11" s="65"/>
      <c r="VCR11" s="4"/>
      <c r="VCS11" s="4"/>
      <c r="VCT11" s="4"/>
      <c r="VCW11" s="34"/>
      <c r="VCX11" s="34"/>
      <c r="VCZ11" s="34"/>
      <c r="VDA11" s="72"/>
      <c r="VDB11" s="63"/>
      <c r="VDC11" s="34"/>
      <c r="VDD11" s="64"/>
      <c r="VDE11" s="4"/>
      <c r="VDF11" s="65"/>
      <c r="VDG11" s="4"/>
      <c r="VDH11" s="4"/>
      <c r="VDI11" s="4"/>
      <c r="VDL11" s="34"/>
      <c r="VDM11" s="34"/>
      <c r="VDO11" s="34"/>
      <c r="VDP11" s="72"/>
      <c r="VDQ11" s="63"/>
      <c r="VDR11" s="34"/>
      <c r="VDS11" s="64"/>
      <c r="VDT11" s="4"/>
      <c r="VDU11" s="65"/>
      <c r="VDV11" s="4"/>
      <c r="VDW11" s="4"/>
      <c r="VDX11" s="4"/>
      <c r="VEA11" s="34"/>
      <c r="VEB11" s="34"/>
      <c r="VED11" s="34"/>
      <c r="VEE11" s="72"/>
      <c r="VEF11" s="63"/>
      <c r="VEG11" s="34"/>
      <c r="VEH11" s="64"/>
      <c r="VEI11" s="4"/>
      <c r="VEJ11" s="65"/>
      <c r="VEK11" s="4"/>
      <c r="VEL11" s="4"/>
      <c r="VEM11" s="4"/>
      <c r="VEP11" s="34"/>
      <c r="VEQ11" s="34"/>
      <c r="VES11" s="34"/>
      <c r="VET11" s="72"/>
      <c r="VEU11" s="63"/>
      <c r="VEV11" s="34"/>
      <c r="VEW11" s="64"/>
      <c r="VEX11" s="4"/>
      <c r="VEY11" s="65"/>
      <c r="VEZ11" s="4"/>
      <c r="VFA11" s="4"/>
      <c r="VFB11" s="4"/>
      <c r="VFE11" s="34"/>
      <c r="VFF11" s="34"/>
      <c r="VFH11" s="34"/>
      <c r="VFI11" s="72"/>
      <c r="VFJ11" s="63"/>
      <c r="VFK11" s="34"/>
      <c r="VFL11" s="64"/>
      <c r="VFM11" s="4"/>
      <c r="VFN11" s="65"/>
      <c r="VFO11" s="4"/>
      <c r="VFP11" s="4"/>
      <c r="VFQ11" s="4"/>
      <c r="VFT11" s="34"/>
      <c r="VFU11" s="34"/>
      <c r="VFW11" s="34"/>
      <c r="VFX11" s="72"/>
      <c r="VFY11" s="63"/>
      <c r="VFZ11" s="34"/>
      <c r="VGA11" s="64"/>
      <c r="VGB11" s="4"/>
      <c r="VGC11" s="65"/>
      <c r="VGD11" s="4"/>
      <c r="VGE11" s="4"/>
      <c r="VGF11" s="4"/>
      <c r="VGI11" s="34"/>
      <c r="VGJ11" s="34"/>
      <c r="VGL11" s="34"/>
      <c r="VGM11" s="72"/>
      <c r="VGN11" s="63"/>
      <c r="VGO11" s="34"/>
      <c r="VGP11" s="64"/>
      <c r="VGQ11" s="4"/>
      <c r="VGR11" s="65"/>
      <c r="VGS11" s="4"/>
      <c r="VGT11" s="4"/>
      <c r="VGU11" s="4"/>
      <c r="VGX11" s="34"/>
      <c r="VGY11" s="34"/>
      <c r="VHA11" s="34"/>
      <c r="VHB11" s="72"/>
      <c r="VHC11" s="63"/>
      <c r="VHD11" s="34"/>
      <c r="VHE11" s="64"/>
      <c r="VHF11" s="4"/>
      <c r="VHG11" s="65"/>
      <c r="VHH11" s="4"/>
      <c r="VHI11" s="4"/>
      <c r="VHJ11" s="4"/>
      <c r="VHM11" s="34"/>
      <c r="VHN11" s="34"/>
      <c r="VHP11" s="34"/>
      <c r="VHQ11" s="72"/>
      <c r="VHR11" s="63"/>
      <c r="VHS11" s="34"/>
      <c r="VHT11" s="64"/>
      <c r="VHU11" s="4"/>
      <c r="VHV11" s="65"/>
      <c r="VHW11" s="4"/>
      <c r="VHX11" s="4"/>
      <c r="VHY11" s="4"/>
      <c r="VIB11" s="34"/>
      <c r="VIC11" s="34"/>
      <c r="VIE11" s="34"/>
      <c r="VIF11" s="72"/>
      <c r="VIG11" s="63"/>
      <c r="VIH11" s="34"/>
      <c r="VII11" s="64"/>
      <c r="VIJ11" s="4"/>
      <c r="VIK11" s="65"/>
      <c r="VIL11" s="4"/>
      <c r="VIM11" s="4"/>
      <c r="VIN11" s="4"/>
      <c r="VIQ11" s="34"/>
      <c r="VIR11" s="34"/>
      <c r="VIT11" s="34"/>
      <c r="VIU11" s="72"/>
      <c r="VIV11" s="63"/>
      <c r="VIW11" s="34"/>
      <c r="VIX11" s="64"/>
      <c r="VIY11" s="4"/>
      <c r="VIZ11" s="65"/>
      <c r="VJA11" s="4"/>
      <c r="VJB11" s="4"/>
      <c r="VJC11" s="4"/>
      <c r="VJF11" s="34"/>
      <c r="VJG11" s="34"/>
      <c r="VJI11" s="34"/>
      <c r="VJJ11" s="72"/>
      <c r="VJK11" s="63"/>
      <c r="VJL11" s="34"/>
      <c r="VJM11" s="64"/>
      <c r="VJN11" s="4"/>
      <c r="VJO11" s="65"/>
      <c r="VJP11" s="4"/>
      <c r="VJQ11" s="4"/>
      <c r="VJR11" s="4"/>
      <c r="VJU11" s="34"/>
      <c r="VJV11" s="34"/>
      <c r="VJX11" s="34"/>
      <c r="VJY11" s="72"/>
      <c r="VJZ11" s="63"/>
      <c r="VKA11" s="34"/>
      <c r="VKB11" s="64"/>
      <c r="VKC11" s="4"/>
      <c r="VKD11" s="65"/>
      <c r="VKE11" s="4"/>
      <c r="VKF11" s="4"/>
      <c r="VKG11" s="4"/>
      <c r="VKJ11" s="34"/>
      <c r="VKK11" s="34"/>
      <c r="VKM11" s="34"/>
      <c r="VKN11" s="72"/>
      <c r="VKO11" s="63"/>
      <c r="VKP11" s="34"/>
      <c r="VKQ11" s="64"/>
      <c r="VKR11" s="4"/>
      <c r="VKS11" s="65"/>
      <c r="VKT11" s="4"/>
      <c r="VKU11" s="4"/>
      <c r="VKV11" s="4"/>
      <c r="VKY11" s="34"/>
      <c r="VKZ11" s="34"/>
      <c r="VLB11" s="34"/>
      <c r="VLC11" s="72"/>
      <c r="VLD11" s="63"/>
      <c r="VLE11" s="34"/>
      <c r="VLF11" s="64"/>
      <c r="VLG11" s="4"/>
      <c r="VLH11" s="65"/>
      <c r="VLI11" s="4"/>
      <c r="VLJ11" s="4"/>
      <c r="VLK11" s="4"/>
      <c r="VLN11" s="34"/>
      <c r="VLO11" s="34"/>
      <c r="VLQ11" s="34"/>
      <c r="VLR11" s="72"/>
      <c r="VLS11" s="63"/>
      <c r="VLT11" s="34"/>
      <c r="VLU11" s="64"/>
      <c r="VLV11" s="4"/>
      <c r="VLW11" s="65"/>
      <c r="VLX11" s="4"/>
      <c r="VLY11" s="4"/>
      <c r="VLZ11" s="4"/>
      <c r="VMC11" s="34"/>
      <c r="VMD11" s="34"/>
      <c r="VMF11" s="34"/>
      <c r="VMG11" s="72"/>
      <c r="VMH11" s="63"/>
      <c r="VMI11" s="34"/>
      <c r="VMJ11" s="64"/>
      <c r="VMK11" s="4"/>
      <c r="VML11" s="65"/>
      <c r="VMM11" s="4"/>
      <c r="VMN11" s="4"/>
      <c r="VMO11" s="4"/>
      <c r="VMR11" s="34"/>
      <c r="VMS11" s="34"/>
      <c r="VMU11" s="34"/>
      <c r="VMV11" s="72"/>
      <c r="VMW11" s="63"/>
      <c r="VMX11" s="34"/>
      <c r="VMY11" s="64"/>
      <c r="VMZ11" s="4"/>
      <c r="VNA11" s="65"/>
      <c r="VNB11" s="4"/>
      <c r="VNC11" s="4"/>
      <c r="VND11" s="4"/>
      <c r="VNG11" s="34"/>
      <c r="VNH11" s="34"/>
      <c r="VNJ11" s="34"/>
      <c r="VNK11" s="72"/>
      <c r="VNL11" s="63"/>
      <c r="VNM11" s="34"/>
      <c r="VNN11" s="64"/>
      <c r="VNO11" s="4"/>
      <c r="VNP11" s="65"/>
      <c r="VNQ11" s="4"/>
      <c r="VNR11" s="4"/>
      <c r="VNS11" s="4"/>
      <c r="VNV11" s="34"/>
      <c r="VNW11" s="34"/>
      <c r="VNY11" s="34"/>
      <c r="VNZ11" s="72"/>
      <c r="VOA11" s="63"/>
      <c r="VOB11" s="34"/>
      <c r="VOC11" s="64"/>
      <c r="VOD11" s="4"/>
      <c r="VOE11" s="65"/>
      <c r="VOF11" s="4"/>
      <c r="VOG11" s="4"/>
      <c r="VOH11" s="4"/>
      <c r="VOK11" s="34"/>
      <c r="VOL11" s="34"/>
      <c r="VON11" s="34"/>
      <c r="VOO11" s="72"/>
      <c r="VOP11" s="63"/>
      <c r="VOQ11" s="34"/>
      <c r="VOR11" s="64"/>
      <c r="VOS11" s="4"/>
      <c r="VOT11" s="65"/>
      <c r="VOU11" s="4"/>
      <c r="VOV11" s="4"/>
      <c r="VOW11" s="4"/>
      <c r="VOZ11" s="34"/>
      <c r="VPA11" s="34"/>
      <c r="VPC11" s="34"/>
      <c r="VPD11" s="72"/>
      <c r="VPE11" s="63"/>
      <c r="VPF11" s="34"/>
      <c r="VPG11" s="64"/>
      <c r="VPH11" s="4"/>
      <c r="VPI11" s="65"/>
      <c r="VPJ11" s="4"/>
      <c r="VPK11" s="4"/>
      <c r="VPL11" s="4"/>
      <c r="VPO11" s="34"/>
      <c r="VPP11" s="34"/>
      <c r="VPR11" s="34"/>
      <c r="VPS11" s="72"/>
      <c r="VPT11" s="63"/>
      <c r="VPU11" s="34"/>
      <c r="VPV11" s="64"/>
      <c r="VPW11" s="4"/>
      <c r="VPX11" s="65"/>
      <c r="VPY11" s="4"/>
      <c r="VPZ11" s="4"/>
      <c r="VQA11" s="4"/>
      <c r="VQD11" s="34"/>
      <c r="VQE11" s="34"/>
      <c r="VQG11" s="34"/>
      <c r="VQH11" s="72"/>
      <c r="VQI11" s="63"/>
      <c r="VQJ11" s="34"/>
      <c r="VQK11" s="64"/>
      <c r="VQL11" s="4"/>
      <c r="VQM11" s="65"/>
      <c r="VQN11" s="4"/>
      <c r="VQO11" s="4"/>
      <c r="VQP11" s="4"/>
      <c r="VQS11" s="34"/>
      <c r="VQT11" s="34"/>
      <c r="VQV11" s="34"/>
      <c r="VQW11" s="72"/>
      <c r="VQX11" s="63"/>
      <c r="VQY11" s="34"/>
      <c r="VQZ11" s="64"/>
      <c r="VRA11" s="4"/>
      <c r="VRB11" s="65"/>
      <c r="VRC11" s="4"/>
      <c r="VRD11" s="4"/>
      <c r="VRE11" s="4"/>
      <c r="VRH11" s="34"/>
      <c r="VRI11" s="34"/>
      <c r="VRK11" s="34"/>
      <c r="VRL11" s="72"/>
      <c r="VRM11" s="63"/>
      <c r="VRN11" s="34"/>
      <c r="VRO11" s="64"/>
      <c r="VRP11" s="4"/>
      <c r="VRQ11" s="65"/>
      <c r="VRR11" s="4"/>
      <c r="VRS11" s="4"/>
      <c r="VRT11" s="4"/>
      <c r="VRW11" s="34"/>
      <c r="VRX11" s="34"/>
      <c r="VRZ11" s="34"/>
      <c r="VSA11" s="72"/>
      <c r="VSB11" s="63"/>
      <c r="VSC11" s="34"/>
      <c r="VSD11" s="64"/>
      <c r="VSE11" s="4"/>
      <c r="VSF11" s="65"/>
      <c r="VSG11" s="4"/>
      <c r="VSH11" s="4"/>
      <c r="VSI11" s="4"/>
      <c r="VSL11" s="34"/>
      <c r="VSM11" s="34"/>
      <c r="VSO11" s="34"/>
      <c r="VSP11" s="72"/>
      <c r="VSQ11" s="63"/>
      <c r="VSR11" s="34"/>
      <c r="VSS11" s="64"/>
      <c r="VST11" s="4"/>
      <c r="VSU11" s="65"/>
      <c r="VSV11" s="4"/>
      <c r="VSW11" s="4"/>
      <c r="VSX11" s="4"/>
      <c r="VTA11" s="34"/>
      <c r="VTB11" s="34"/>
      <c r="VTD11" s="34"/>
      <c r="VTE11" s="72"/>
      <c r="VTF11" s="63"/>
      <c r="VTG11" s="34"/>
      <c r="VTH11" s="64"/>
      <c r="VTI11" s="4"/>
      <c r="VTJ11" s="65"/>
      <c r="VTK11" s="4"/>
      <c r="VTL11" s="4"/>
      <c r="VTM11" s="4"/>
      <c r="VTP11" s="34"/>
      <c r="VTQ11" s="34"/>
      <c r="VTS11" s="34"/>
      <c r="VTT11" s="72"/>
      <c r="VTU11" s="63"/>
      <c r="VTV11" s="34"/>
      <c r="VTW11" s="64"/>
      <c r="VTX11" s="4"/>
      <c r="VTY11" s="65"/>
      <c r="VTZ11" s="4"/>
      <c r="VUA11" s="4"/>
      <c r="VUB11" s="4"/>
      <c r="VUE11" s="34"/>
      <c r="VUF11" s="34"/>
      <c r="VUH11" s="34"/>
      <c r="VUI11" s="72"/>
      <c r="VUJ11" s="63"/>
      <c r="VUK11" s="34"/>
      <c r="VUL11" s="64"/>
      <c r="VUM11" s="4"/>
      <c r="VUN11" s="65"/>
      <c r="VUO11" s="4"/>
      <c r="VUP11" s="4"/>
      <c r="VUQ11" s="4"/>
      <c r="VUT11" s="34"/>
      <c r="VUU11" s="34"/>
      <c r="VUW11" s="34"/>
      <c r="VUX11" s="72"/>
      <c r="VUY11" s="63"/>
      <c r="VUZ11" s="34"/>
      <c r="VVA11" s="64"/>
      <c r="VVB11" s="4"/>
      <c r="VVC11" s="65"/>
      <c r="VVD11" s="4"/>
      <c r="VVE11" s="4"/>
      <c r="VVF11" s="4"/>
      <c r="VVI11" s="34"/>
      <c r="VVJ11" s="34"/>
      <c r="VVL11" s="34"/>
      <c r="VVM11" s="72"/>
      <c r="VVN11" s="63"/>
      <c r="VVO11" s="34"/>
      <c r="VVP11" s="64"/>
      <c r="VVQ11" s="4"/>
      <c r="VVR11" s="65"/>
      <c r="VVS11" s="4"/>
      <c r="VVT11" s="4"/>
      <c r="VVU11" s="4"/>
      <c r="VVX11" s="34"/>
      <c r="VVY11" s="34"/>
      <c r="VWA11" s="34"/>
      <c r="VWB11" s="72"/>
      <c r="VWC11" s="63"/>
      <c r="VWD11" s="34"/>
      <c r="VWE11" s="64"/>
      <c r="VWF11" s="4"/>
      <c r="VWG11" s="65"/>
      <c r="VWH11" s="4"/>
      <c r="VWI11" s="4"/>
      <c r="VWJ11" s="4"/>
      <c r="VWM11" s="34"/>
      <c r="VWN11" s="34"/>
      <c r="VWP11" s="34"/>
      <c r="VWQ11" s="72"/>
      <c r="VWR11" s="63"/>
      <c r="VWS11" s="34"/>
      <c r="VWT11" s="64"/>
      <c r="VWU11" s="4"/>
      <c r="VWV11" s="65"/>
      <c r="VWW11" s="4"/>
      <c r="VWX11" s="4"/>
      <c r="VWY11" s="4"/>
      <c r="VXB11" s="34"/>
      <c r="VXC11" s="34"/>
      <c r="VXE11" s="34"/>
      <c r="VXF11" s="72"/>
      <c r="VXG11" s="63"/>
      <c r="VXH11" s="34"/>
      <c r="VXI11" s="64"/>
      <c r="VXJ11" s="4"/>
      <c r="VXK11" s="65"/>
      <c r="VXL11" s="4"/>
      <c r="VXM11" s="4"/>
      <c r="VXN11" s="4"/>
      <c r="VXQ11" s="34"/>
      <c r="VXR11" s="34"/>
      <c r="VXT11" s="34"/>
      <c r="VXU11" s="72"/>
      <c r="VXV11" s="63"/>
      <c r="VXW11" s="34"/>
      <c r="VXX11" s="64"/>
      <c r="VXY11" s="4"/>
      <c r="VXZ11" s="65"/>
      <c r="VYA11" s="4"/>
      <c r="VYB11" s="4"/>
      <c r="VYC11" s="4"/>
      <c r="VYF11" s="34"/>
      <c r="VYG11" s="34"/>
      <c r="VYI11" s="34"/>
      <c r="VYJ11" s="72"/>
      <c r="VYK11" s="63"/>
      <c r="VYL11" s="34"/>
      <c r="VYM11" s="64"/>
      <c r="VYN11" s="4"/>
      <c r="VYO11" s="65"/>
      <c r="VYP11" s="4"/>
      <c r="VYQ11" s="4"/>
      <c r="VYR11" s="4"/>
      <c r="VYU11" s="34"/>
      <c r="VYV11" s="34"/>
      <c r="VYX11" s="34"/>
      <c r="VYY11" s="72"/>
      <c r="VYZ11" s="63"/>
      <c r="VZA11" s="34"/>
      <c r="VZB11" s="64"/>
      <c r="VZC11" s="4"/>
      <c r="VZD11" s="65"/>
      <c r="VZE11" s="4"/>
      <c r="VZF11" s="4"/>
      <c r="VZG11" s="4"/>
      <c r="VZJ11" s="34"/>
      <c r="VZK11" s="34"/>
      <c r="VZM11" s="34"/>
      <c r="VZN11" s="72"/>
      <c r="VZO11" s="63"/>
      <c r="VZP11" s="34"/>
      <c r="VZQ11" s="64"/>
      <c r="VZR11" s="4"/>
      <c r="VZS11" s="65"/>
      <c r="VZT11" s="4"/>
      <c r="VZU11" s="4"/>
      <c r="VZV11" s="4"/>
      <c r="VZY11" s="34"/>
      <c r="VZZ11" s="34"/>
      <c r="WAB11" s="34"/>
      <c r="WAC11" s="72"/>
      <c r="WAD11" s="63"/>
      <c r="WAE11" s="34"/>
      <c r="WAF11" s="64"/>
      <c r="WAG11" s="4"/>
      <c r="WAH11" s="65"/>
      <c r="WAI11" s="4"/>
      <c r="WAJ11" s="4"/>
      <c r="WAK11" s="4"/>
      <c r="WAN11" s="34"/>
      <c r="WAO11" s="34"/>
      <c r="WAQ11" s="34"/>
      <c r="WAR11" s="72"/>
      <c r="WAS11" s="63"/>
      <c r="WAT11" s="34"/>
      <c r="WAU11" s="64"/>
      <c r="WAV11" s="4"/>
      <c r="WAW11" s="65"/>
      <c r="WAX11" s="4"/>
      <c r="WAY11" s="4"/>
      <c r="WAZ11" s="4"/>
      <c r="WBC11" s="34"/>
      <c r="WBD11" s="34"/>
      <c r="WBF11" s="34"/>
      <c r="WBG11" s="72"/>
      <c r="WBH11" s="63"/>
      <c r="WBI11" s="34"/>
      <c r="WBJ11" s="64"/>
      <c r="WBK11" s="4"/>
      <c r="WBL11" s="65"/>
      <c r="WBM11" s="4"/>
      <c r="WBN11" s="4"/>
      <c r="WBO11" s="4"/>
      <c r="WBR11" s="34"/>
      <c r="WBS11" s="34"/>
      <c r="WBU11" s="34"/>
      <c r="WBV11" s="72"/>
      <c r="WBW11" s="63"/>
      <c r="WBX11" s="34"/>
      <c r="WBY11" s="64"/>
      <c r="WBZ11" s="4"/>
      <c r="WCA11" s="65"/>
      <c r="WCB11" s="4"/>
      <c r="WCC11" s="4"/>
      <c r="WCD11" s="4"/>
      <c r="WCG11" s="34"/>
      <c r="WCH11" s="34"/>
      <c r="WCJ11" s="34"/>
      <c r="WCK11" s="72"/>
      <c r="WCL11" s="63"/>
      <c r="WCM11" s="34"/>
      <c r="WCN11" s="64"/>
      <c r="WCO11" s="4"/>
      <c r="WCP11" s="65"/>
      <c r="WCQ11" s="4"/>
      <c r="WCR11" s="4"/>
      <c r="WCS11" s="4"/>
      <c r="WCV11" s="34"/>
      <c r="WCW11" s="34"/>
      <c r="WCY11" s="34"/>
      <c r="WCZ11" s="72"/>
      <c r="WDA11" s="63"/>
      <c r="WDB11" s="34"/>
      <c r="WDC11" s="64"/>
      <c r="WDD11" s="4"/>
      <c r="WDE11" s="65"/>
      <c r="WDF11" s="4"/>
      <c r="WDG11" s="4"/>
      <c r="WDH11" s="4"/>
      <c r="WDK11" s="34"/>
      <c r="WDL11" s="34"/>
      <c r="WDN11" s="34"/>
      <c r="WDO11" s="72"/>
      <c r="WDP11" s="63"/>
      <c r="WDQ11" s="34"/>
      <c r="WDR11" s="64"/>
      <c r="WDS11" s="4"/>
      <c r="WDT11" s="65"/>
      <c r="WDU11" s="4"/>
      <c r="WDV11" s="4"/>
      <c r="WDW11" s="4"/>
      <c r="WDZ11" s="34"/>
      <c r="WEA11" s="34"/>
      <c r="WEC11" s="34"/>
      <c r="WED11" s="72"/>
      <c r="WEE11" s="63"/>
      <c r="WEF11" s="34"/>
      <c r="WEG11" s="64"/>
      <c r="WEH11" s="4"/>
      <c r="WEI11" s="65"/>
      <c r="WEJ11" s="4"/>
      <c r="WEK11" s="4"/>
      <c r="WEL11" s="4"/>
      <c r="WEO11" s="34"/>
      <c r="WEP11" s="34"/>
      <c r="WER11" s="34"/>
      <c r="WES11" s="72"/>
      <c r="WET11" s="63"/>
      <c r="WEU11" s="34"/>
      <c r="WEV11" s="64"/>
      <c r="WEW11" s="4"/>
      <c r="WEX11" s="65"/>
      <c r="WEY11" s="4"/>
      <c r="WEZ11" s="4"/>
      <c r="WFA11" s="4"/>
      <c r="WFD11" s="34"/>
      <c r="WFE11" s="34"/>
      <c r="WFG11" s="34"/>
      <c r="WFH11" s="72"/>
      <c r="WFI11" s="63"/>
      <c r="WFJ11" s="34"/>
      <c r="WFK11" s="64"/>
      <c r="WFL11" s="4"/>
      <c r="WFM11" s="65"/>
      <c r="WFN11" s="4"/>
      <c r="WFO11" s="4"/>
      <c r="WFP11" s="4"/>
      <c r="WFS11" s="34"/>
      <c r="WFT11" s="34"/>
      <c r="WFV11" s="34"/>
      <c r="WFW11" s="72"/>
      <c r="WFX11" s="63"/>
      <c r="WFY11" s="34"/>
      <c r="WFZ11" s="64"/>
      <c r="WGA11" s="4"/>
      <c r="WGB11" s="65"/>
      <c r="WGC11" s="4"/>
      <c r="WGD11" s="4"/>
      <c r="WGE11" s="4"/>
      <c r="WGH11" s="34"/>
      <c r="WGI11" s="34"/>
      <c r="WGK11" s="34"/>
      <c r="WGL11" s="72"/>
      <c r="WGM11" s="63"/>
      <c r="WGN11" s="34"/>
      <c r="WGO11" s="64"/>
      <c r="WGP11" s="4"/>
      <c r="WGQ11" s="65"/>
      <c r="WGR11" s="4"/>
      <c r="WGS11" s="4"/>
      <c r="WGT11" s="4"/>
      <c r="WGW11" s="34"/>
      <c r="WGX11" s="34"/>
      <c r="WGZ11" s="34"/>
      <c r="WHA11" s="72"/>
      <c r="WHB11" s="63"/>
      <c r="WHC11" s="34"/>
      <c r="WHD11" s="64"/>
      <c r="WHE11" s="4"/>
      <c r="WHF11" s="65"/>
      <c r="WHG11" s="4"/>
      <c r="WHH11" s="4"/>
      <c r="WHI11" s="4"/>
      <c r="WHL11" s="34"/>
      <c r="WHM11" s="34"/>
      <c r="WHO11" s="34"/>
      <c r="WHP11" s="72"/>
      <c r="WHQ11" s="63"/>
      <c r="WHR11" s="34"/>
      <c r="WHS11" s="64"/>
      <c r="WHT11" s="4"/>
      <c r="WHU11" s="65"/>
      <c r="WHV11" s="4"/>
      <c r="WHW11" s="4"/>
      <c r="WHX11" s="4"/>
      <c r="WIA11" s="34"/>
      <c r="WIB11" s="34"/>
      <c r="WID11" s="34"/>
      <c r="WIE11" s="72"/>
      <c r="WIF11" s="63"/>
      <c r="WIG11" s="34"/>
      <c r="WIH11" s="64"/>
      <c r="WII11" s="4"/>
      <c r="WIJ11" s="65"/>
      <c r="WIK11" s="4"/>
      <c r="WIL11" s="4"/>
      <c r="WIM11" s="4"/>
      <c r="WIP11" s="34"/>
      <c r="WIQ11" s="34"/>
      <c r="WIS11" s="34"/>
      <c r="WIT11" s="72"/>
      <c r="WIU11" s="63"/>
      <c r="WIV11" s="34"/>
      <c r="WIW11" s="64"/>
      <c r="WIX11" s="4"/>
      <c r="WIY11" s="65"/>
      <c r="WIZ11" s="4"/>
      <c r="WJA11" s="4"/>
      <c r="WJB11" s="4"/>
      <c r="WJE11" s="34"/>
      <c r="WJF11" s="34"/>
      <c r="WJH11" s="34"/>
      <c r="WJI11" s="72"/>
      <c r="WJJ11" s="63"/>
      <c r="WJK11" s="34"/>
      <c r="WJL11" s="64"/>
      <c r="WJM11" s="4"/>
      <c r="WJN11" s="65"/>
      <c r="WJO11" s="4"/>
      <c r="WJP11" s="4"/>
      <c r="WJQ11" s="4"/>
      <c r="WJT11" s="34"/>
      <c r="WJU11" s="34"/>
      <c r="WJW11" s="34"/>
      <c r="WJX11" s="72"/>
      <c r="WJY11" s="63"/>
      <c r="WJZ11" s="34"/>
      <c r="WKA11" s="64"/>
      <c r="WKB11" s="4"/>
      <c r="WKC11" s="65"/>
      <c r="WKD11" s="4"/>
      <c r="WKE11" s="4"/>
      <c r="WKF11" s="4"/>
      <c r="WKI11" s="34"/>
      <c r="WKJ11" s="34"/>
      <c r="WKL11" s="34"/>
      <c r="WKM11" s="72"/>
      <c r="WKN11" s="63"/>
      <c r="WKO11" s="34"/>
      <c r="WKP11" s="64"/>
      <c r="WKQ11" s="4"/>
      <c r="WKR11" s="65"/>
      <c r="WKS11" s="4"/>
      <c r="WKT11" s="4"/>
      <c r="WKU11" s="4"/>
      <c r="WKX11" s="34"/>
      <c r="WKY11" s="34"/>
      <c r="WLA11" s="34"/>
      <c r="WLB11" s="72"/>
      <c r="WLC11" s="63"/>
      <c r="WLD11" s="34"/>
      <c r="WLE11" s="64"/>
      <c r="WLF11" s="4"/>
      <c r="WLG11" s="65"/>
      <c r="WLH11" s="4"/>
      <c r="WLI11" s="4"/>
      <c r="WLJ11" s="4"/>
      <c r="WLM11" s="34"/>
      <c r="WLN11" s="34"/>
      <c r="WLP11" s="34"/>
      <c r="WLQ11" s="72"/>
      <c r="WLR11" s="63"/>
      <c r="WLS11" s="34"/>
      <c r="WLT11" s="64"/>
      <c r="WLU11" s="4"/>
      <c r="WLV11" s="65"/>
      <c r="WLW11" s="4"/>
      <c r="WLX11" s="4"/>
      <c r="WLY11" s="4"/>
      <c r="WMB11" s="34"/>
      <c r="WMC11" s="34"/>
      <c r="WME11" s="34"/>
      <c r="WMF11" s="72"/>
      <c r="WMG11" s="63"/>
      <c r="WMH11" s="34"/>
      <c r="WMI11" s="64"/>
      <c r="WMJ11" s="4"/>
      <c r="WMK11" s="65"/>
      <c r="WML11" s="4"/>
      <c r="WMM11" s="4"/>
      <c r="WMN11" s="4"/>
      <c r="WMQ11" s="34"/>
      <c r="WMR11" s="34"/>
      <c r="WMT11" s="34"/>
      <c r="WMU11" s="72"/>
      <c r="WMV11" s="63"/>
      <c r="WMW11" s="34"/>
      <c r="WMX11" s="64"/>
      <c r="WMY11" s="4"/>
      <c r="WMZ11" s="65"/>
      <c r="WNA11" s="4"/>
      <c r="WNB11" s="4"/>
      <c r="WNC11" s="4"/>
      <c r="WNF11" s="34"/>
      <c r="WNG11" s="34"/>
      <c r="WNI11" s="34"/>
      <c r="WNJ11" s="72"/>
      <c r="WNK11" s="63"/>
      <c r="WNL11" s="34"/>
      <c r="WNM11" s="64"/>
      <c r="WNN11" s="4"/>
      <c r="WNO11" s="65"/>
      <c r="WNP11" s="4"/>
      <c r="WNQ11" s="4"/>
      <c r="WNR11" s="4"/>
      <c r="WNU11" s="34"/>
      <c r="WNV11" s="34"/>
      <c r="WNX11" s="34"/>
      <c r="WNY11" s="72"/>
      <c r="WNZ11" s="63"/>
      <c r="WOA11" s="34"/>
      <c r="WOB11" s="64"/>
      <c r="WOC11" s="4"/>
      <c r="WOD11" s="65"/>
      <c r="WOE11" s="4"/>
      <c r="WOF11" s="4"/>
      <c r="WOG11" s="4"/>
      <c r="WOJ11" s="34"/>
      <c r="WOK11" s="34"/>
      <c r="WOM11" s="34"/>
      <c r="WON11" s="72"/>
      <c r="WOO11" s="63"/>
      <c r="WOP11" s="34"/>
      <c r="WOQ11" s="64"/>
      <c r="WOR11" s="4"/>
      <c r="WOS11" s="65"/>
      <c r="WOT11" s="4"/>
      <c r="WOU11" s="4"/>
      <c r="WOV11" s="4"/>
      <c r="WOY11" s="34"/>
      <c r="WOZ11" s="34"/>
      <c r="WPB11" s="34"/>
      <c r="WPC11" s="72"/>
      <c r="WPD11" s="63"/>
      <c r="WPE11" s="34"/>
      <c r="WPF11" s="64"/>
      <c r="WPG11" s="4"/>
      <c r="WPH11" s="65"/>
      <c r="WPI11" s="4"/>
      <c r="WPJ11" s="4"/>
      <c r="WPK11" s="4"/>
      <c r="WPN11" s="34"/>
      <c r="WPO11" s="34"/>
      <c r="WPQ11" s="34"/>
      <c r="WPR11" s="72"/>
      <c r="WPS11" s="63"/>
      <c r="WPT11" s="34"/>
      <c r="WPU11" s="64"/>
      <c r="WPV11" s="4"/>
      <c r="WPW11" s="65"/>
      <c r="WPX11" s="4"/>
      <c r="WPY11" s="4"/>
      <c r="WPZ11" s="4"/>
      <c r="WQC11" s="34"/>
      <c r="WQD11" s="34"/>
      <c r="WQF11" s="34"/>
      <c r="WQG11" s="72"/>
      <c r="WQH11" s="63"/>
      <c r="WQI11" s="34"/>
      <c r="WQJ11" s="64"/>
      <c r="WQK11" s="4"/>
      <c r="WQL11" s="65"/>
      <c r="WQM11" s="4"/>
      <c r="WQN11" s="4"/>
      <c r="WQO11" s="4"/>
      <c r="WQR11" s="34"/>
      <c r="WQS11" s="34"/>
      <c r="WQU11" s="34"/>
      <c r="WQV11" s="72"/>
      <c r="WQW11" s="63"/>
      <c r="WQX11" s="34"/>
      <c r="WQY11" s="64"/>
      <c r="WQZ11" s="4"/>
      <c r="WRA11" s="65"/>
      <c r="WRB11" s="4"/>
      <c r="WRC11" s="4"/>
      <c r="WRD11" s="4"/>
      <c r="WRG11" s="34"/>
      <c r="WRH11" s="34"/>
      <c r="WRJ11" s="34"/>
      <c r="WRK11" s="72"/>
      <c r="WRL11" s="63"/>
      <c r="WRM11" s="34"/>
      <c r="WRN11" s="64"/>
      <c r="WRO11" s="4"/>
      <c r="WRP11" s="65"/>
      <c r="WRQ11" s="4"/>
      <c r="WRR11" s="4"/>
      <c r="WRS11" s="4"/>
      <c r="WRV11" s="34"/>
      <c r="WRW11" s="34"/>
      <c r="WRY11" s="34"/>
      <c r="WRZ11" s="72"/>
      <c r="WSA11" s="63"/>
      <c r="WSB11" s="34"/>
      <c r="WSC11" s="64"/>
      <c r="WSD11" s="4"/>
      <c r="WSE11" s="65"/>
      <c r="WSF11" s="4"/>
      <c r="WSG11" s="4"/>
      <c r="WSH11" s="4"/>
      <c r="WSK11" s="34"/>
      <c r="WSL11" s="34"/>
      <c r="WSN11" s="34"/>
      <c r="WSO11" s="72"/>
      <c r="WSP11" s="63"/>
      <c r="WSQ11" s="34"/>
      <c r="WSR11" s="64"/>
      <c r="WSS11" s="4"/>
      <c r="WST11" s="65"/>
      <c r="WSU11" s="4"/>
      <c r="WSV11" s="4"/>
      <c r="WSW11" s="4"/>
      <c r="WSZ11" s="34"/>
      <c r="WTA11" s="34"/>
      <c r="WTC11" s="34"/>
      <c r="WTD11" s="72"/>
      <c r="WTE11" s="63"/>
      <c r="WTF11" s="34"/>
      <c r="WTG11" s="64"/>
      <c r="WTH11" s="4"/>
      <c r="WTI11" s="65"/>
      <c r="WTJ11" s="4"/>
      <c r="WTK11" s="4"/>
      <c r="WTL11" s="4"/>
      <c r="WTO11" s="34"/>
      <c r="WTP11" s="34"/>
      <c r="WTR11" s="34"/>
      <c r="WTS11" s="72"/>
      <c r="WTT11" s="63"/>
      <c r="WTU11" s="34"/>
      <c r="WTV11" s="64"/>
      <c r="WTW11" s="4"/>
      <c r="WTX11" s="65"/>
      <c r="WTY11" s="4"/>
      <c r="WTZ11" s="4"/>
      <c r="WUA11" s="4"/>
      <c r="WUD11" s="34"/>
      <c r="WUE11" s="34"/>
      <c r="WUG11" s="34"/>
      <c r="WUH11" s="72"/>
      <c r="WUI11" s="63"/>
      <c r="WUJ11" s="34"/>
      <c r="WUK11" s="64"/>
      <c r="WUL11" s="4"/>
      <c r="WUM11" s="65"/>
      <c r="WUN11" s="4"/>
      <c r="WUO11" s="4"/>
      <c r="WUP11" s="4"/>
      <c r="WUS11" s="34"/>
      <c r="WUT11" s="34"/>
      <c r="WUV11" s="34"/>
      <c r="WUW11" s="72"/>
      <c r="WUX11" s="63"/>
      <c r="WUY11" s="34"/>
      <c r="WUZ11" s="64"/>
      <c r="WVA11" s="4"/>
      <c r="WVB11" s="65"/>
      <c r="WVC11" s="4"/>
      <c r="WVD11" s="4"/>
      <c r="WVE11" s="4"/>
      <c r="WVH11" s="34"/>
      <c r="WVI11" s="34"/>
      <c r="WVK11" s="34"/>
      <c r="WVL11" s="72"/>
      <c r="WVM11" s="63"/>
      <c r="WVN11" s="34"/>
      <c r="WVO11" s="64"/>
      <c r="WVP11" s="4"/>
      <c r="WVQ11" s="65"/>
      <c r="WVR11" s="4"/>
      <c r="WVS11" s="4"/>
      <c r="WVT11" s="4"/>
      <c r="WVW11" s="34"/>
      <c r="WVX11" s="34"/>
      <c r="WVZ11" s="34"/>
      <c r="WWA11" s="72"/>
      <c r="WWB11" s="63"/>
      <c r="WWC11" s="34"/>
      <c r="WWD11" s="64"/>
      <c r="WWE11" s="4"/>
      <c r="WWF11" s="65"/>
      <c r="WWG11" s="4"/>
      <c r="WWH11" s="4"/>
      <c r="WWI11" s="4"/>
      <c r="WWL11" s="34"/>
      <c r="WWM11" s="34"/>
      <c r="WWO11" s="34"/>
      <c r="WWP11" s="72"/>
      <c r="WWQ11" s="63"/>
      <c r="WWR11" s="34"/>
      <c r="WWS11" s="64"/>
      <c r="WWT11" s="4"/>
      <c r="WWU11" s="65"/>
      <c r="WWV11" s="4"/>
      <c r="WWW11" s="4"/>
      <c r="WWX11" s="4"/>
      <c r="WXA11" s="34"/>
      <c r="WXB11" s="34"/>
      <c r="WXD11" s="34"/>
      <c r="WXE11" s="72"/>
      <c r="WXF11" s="63"/>
      <c r="WXG11" s="34"/>
      <c r="WXH11" s="64"/>
      <c r="WXI11" s="4"/>
      <c r="WXJ11" s="65"/>
      <c r="WXK11" s="4"/>
      <c r="WXL11" s="4"/>
      <c r="WXM11" s="4"/>
      <c r="WXP11" s="34"/>
      <c r="WXQ11" s="34"/>
      <c r="WXS11" s="34"/>
      <c r="WXT11" s="72"/>
      <c r="WXU11" s="63"/>
      <c r="WXV11" s="34"/>
      <c r="WXW11" s="64"/>
      <c r="WXX11" s="4"/>
      <c r="WXY11" s="65"/>
      <c r="WXZ11" s="4"/>
      <c r="WYA11" s="4"/>
      <c r="WYB11" s="4"/>
      <c r="WYE11" s="34"/>
      <c r="WYF11" s="34"/>
      <c r="WYH11" s="34"/>
      <c r="WYI11" s="72"/>
      <c r="WYJ11" s="63"/>
      <c r="WYK11" s="34"/>
      <c r="WYL11" s="64"/>
      <c r="WYM11" s="4"/>
      <c r="WYN11" s="65"/>
      <c r="WYO11" s="4"/>
      <c r="WYP11" s="4"/>
      <c r="WYQ11" s="4"/>
      <c r="WYT11" s="34"/>
      <c r="WYU11" s="34"/>
      <c r="WYW11" s="34"/>
      <c r="WYX11" s="72"/>
      <c r="WYY11" s="63"/>
      <c r="WYZ11" s="34"/>
      <c r="WZA11" s="64"/>
      <c r="WZB11" s="4"/>
      <c r="WZC11" s="65"/>
      <c r="WZD11" s="4"/>
      <c r="WZE11" s="4"/>
      <c r="WZF11" s="4"/>
      <c r="WZI11" s="34"/>
      <c r="WZJ11" s="34"/>
      <c r="WZL11" s="34"/>
      <c r="WZM11" s="72"/>
      <c r="WZN11" s="63"/>
      <c r="WZO11" s="34"/>
      <c r="WZP11" s="64"/>
      <c r="WZQ11" s="4"/>
      <c r="WZR11" s="65"/>
      <c r="WZS11" s="4"/>
      <c r="WZT11" s="4"/>
      <c r="WZU11" s="4"/>
      <c r="WZX11" s="34"/>
      <c r="WZY11" s="34"/>
      <c r="XAA11" s="34"/>
      <c r="XAB11" s="72"/>
      <c r="XAC11" s="63"/>
      <c r="XAD11" s="34"/>
      <c r="XAE11" s="64"/>
      <c r="XAF11" s="4"/>
      <c r="XAG11" s="65"/>
      <c r="XAH11" s="4"/>
      <c r="XAI11" s="4"/>
      <c r="XAJ11" s="4"/>
      <c r="XAM11" s="34"/>
      <c r="XAN11" s="34"/>
      <c r="XAP11" s="34"/>
      <c r="XAQ11" s="72"/>
      <c r="XAR11" s="63"/>
      <c r="XAS11" s="34"/>
      <c r="XAT11" s="64"/>
      <c r="XAU11" s="4"/>
      <c r="XAV11" s="65"/>
      <c r="XAW11" s="4"/>
      <c r="XAX11" s="4"/>
      <c r="XAY11" s="4"/>
      <c r="XBB11" s="34"/>
      <c r="XBC11" s="34"/>
      <c r="XBE11" s="34"/>
      <c r="XBF11" s="72"/>
      <c r="XBG11" s="63"/>
      <c r="XBH11" s="34"/>
      <c r="XBI11" s="64"/>
      <c r="XBJ11" s="4"/>
      <c r="XBK11" s="65"/>
      <c r="XBL11" s="4"/>
      <c r="XBM11" s="4"/>
      <c r="XBN11" s="4"/>
      <c r="XBQ11" s="34"/>
      <c r="XBR11" s="34"/>
      <c r="XBT11" s="34"/>
      <c r="XBU11" s="72"/>
      <c r="XBV11" s="63"/>
      <c r="XBW11" s="34"/>
      <c r="XBX11" s="64"/>
      <c r="XBY11" s="4"/>
      <c r="XBZ11" s="65"/>
      <c r="XCA11" s="4"/>
      <c r="XCB11" s="4"/>
      <c r="XCC11" s="4"/>
      <c r="XCF11" s="34"/>
      <c r="XCG11" s="34"/>
      <c r="XCI11" s="34"/>
      <c r="XCJ11" s="72"/>
      <c r="XCK11" s="63"/>
      <c r="XCL11" s="34"/>
      <c r="XCM11" s="64"/>
      <c r="XCN11" s="4"/>
      <c r="XCO11" s="65"/>
      <c r="XCP11" s="4"/>
      <c r="XCQ11" s="4"/>
      <c r="XCR11" s="4"/>
      <c r="XCU11" s="34"/>
      <c r="XCV11" s="34"/>
      <c r="XCX11" s="34"/>
      <c r="XCY11" s="72"/>
      <c r="XCZ11" s="63"/>
      <c r="XDA11" s="34"/>
      <c r="XDB11" s="64"/>
      <c r="XDC11" s="4"/>
      <c r="XDD11" s="65"/>
      <c r="XDE11" s="4"/>
      <c r="XDF11" s="4"/>
      <c r="XDG11" s="4"/>
      <c r="XDJ11" s="34"/>
      <c r="XDK11" s="34"/>
      <c r="XDM11" s="34"/>
      <c r="XDN11" s="72"/>
      <c r="XDO11" s="63"/>
      <c r="XDP11" s="34"/>
      <c r="XDQ11" s="64"/>
      <c r="XDR11" s="4"/>
      <c r="XDS11" s="65"/>
      <c r="XDT11" s="4"/>
      <c r="XDU11" s="4"/>
      <c r="XDV11" s="4"/>
      <c r="XDY11" s="34"/>
      <c r="XDZ11" s="34"/>
      <c r="XEB11" s="34"/>
      <c r="XEC11" s="72"/>
      <c r="XED11" s="63"/>
      <c r="XEE11" s="34"/>
      <c r="XEF11" s="64"/>
      <c r="XEG11" s="4"/>
      <c r="XEH11" s="65"/>
      <c r="XEI11" s="4"/>
      <c r="XEJ11" s="4"/>
      <c r="XEK11" s="4"/>
      <c r="XEN11" s="34"/>
      <c r="XEO11" s="34"/>
      <c r="XEQ11" s="34"/>
      <c r="XER11" s="72"/>
      <c r="XES11" s="63"/>
      <c r="XET11" s="34"/>
      <c r="XEU11" s="64"/>
      <c r="XEV11" s="4"/>
      <c r="XEW11" s="65"/>
      <c r="XEX11" s="4"/>
      <c r="XEY11" s="4"/>
      <c r="XEZ11" s="4"/>
      <c r="XFC11" s="34"/>
      <c r="XFD11" s="34"/>
    </row>
    <row r="12" spans="1:1024 1026:4095 4098:5119 5121:8190 8193:15360 15363:16384" x14ac:dyDescent="0.3">
      <c r="A12">
        <v>0</v>
      </c>
      <c r="B12">
        <v>0</v>
      </c>
      <c r="C12" s="34">
        <v>0.14095998541361726</v>
      </c>
      <c r="D12" s="34">
        <v>0.13376783811193002</v>
      </c>
      <c r="E12">
        <v>6</v>
      </c>
      <c r="F12" s="63">
        <v>1.9300000000000001E-3</v>
      </c>
      <c r="G12" s="88">
        <v>-0.18938001458638334</v>
      </c>
      <c r="H12" s="34">
        <v>-0.18857833477945052</v>
      </c>
      <c r="I12" s="34">
        <v>0.56287425149700598</v>
      </c>
      <c r="J12" s="64">
        <v>0.58108108108108103</v>
      </c>
      <c r="K12" s="4">
        <v>0.50588235294117645</v>
      </c>
      <c r="L12" s="65">
        <v>0.54088050314465397</v>
      </c>
      <c r="M12" s="4">
        <v>0.54838709677419351</v>
      </c>
      <c r="N12" s="4">
        <v>0.62195121951219512</v>
      </c>
      <c r="O12" s="4">
        <v>0.58285714285714285</v>
      </c>
      <c r="R12" s="34"/>
      <c r="S12" s="34"/>
      <c r="U12" s="34"/>
      <c r="V12" s="72"/>
      <c r="W12" s="63"/>
      <c r="X12" s="34"/>
      <c r="Y12" s="64"/>
      <c r="Z12" s="4"/>
      <c r="AA12" s="65"/>
      <c r="AB12" s="4"/>
      <c r="AC12" s="4"/>
      <c r="AD12" s="4"/>
      <c r="AG12" s="34"/>
      <c r="AH12" s="34"/>
      <c r="AJ12" s="34"/>
      <c r="AK12" s="72"/>
      <c r="AL12" s="63"/>
      <c r="AM12" s="34"/>
      <c r="AN12" s="64"/>
      <c r="AO12" s="4"/>
      <c r="AP12" s="65"/>
      <c r="AQ12" s="4"/>
      <c r="AR12" s="4"/>
      <c r="AS12" s="4"/>
      <c r="AV12" s="34"/>
      <c r="AW12" s="34"/>
      <c r="AY12" s="34"/>
      <c r="AZ12" s="72"/>
      <c r="BA12" s="63"/>
      <c r="BB12" s="34"/>
      <c r="BC12" s="64"/>
      <c r="BD12" s="4"/>
      <c r="BE12" s="65"/>
      <c r="BF12" s="4"/>
      <c r="BG12" s="4"/>
      <c r="BH12" s="4"/>
      <c r="BK12" s="34"/>
      <c r="BL12" s="34"/>
      <c r="BN12" s="34"/>
      <c r="BO12" s="72"/>
      <c r="BP12" s="63"/>
      <c r="BQ12" s="34"/>
      <c r="BR12" s="64"/>
      <c r="BS12" s="4"/>
      <c r="BT12" s="65"/>
      <c r="BU12" s="4"/>
      <c r="BV12" s="4"/>
      <c r="BW12" s="4"/>
      <c r="BZ12" s="34"/>
      <c r="CA12" s="34"/>
      <c r="CC12" s="34"/>
      <c r="CD12" s="72"/>
      <c r="CE12" s="63"/>
      <c r="CF12" s="34"/>
      <c r="CG12" s="64"/>
      <c r="CH12" s="4"/>
      <c r="CI12" s="65"/>
      <c r="CJ12" s="4"/>
      <c r="CK12" s="4"/>
      <c r="CL12" s="4"/>
      <c r="CO12" s="34"/>
      <c r="CP12" s="34"/>
      <c r="CR12" s="34"/>
      <c r="CS12" s="72"/>
      <c r="CT12" s="63"/>
      <c r="CU12" s="34"/>
      <c r="CV12" s="64"/>
      <c r="CW12" s="4"/>
      <c r="CX12" s="65"/>
      <c r="CY12" s="4"/>
      <c r="CZ12" s="4"/>
      <c r="DA12" s="4"/>
      <c r="DD12" s="34"/>
      <c r="DE12" s="34"/>
      <c r="DG12" s="34"/>
      <c r="DH12" s="72"/>
      <c r="DI12" s="63"/>
      <c r="DJ12" s="34"/>
      <c r="DK12" s="64"/>
      <c r="DL12" s="4"/>
      <c r="DM12" s="65"/>
      <c r="DN12" s="4"/>
      <c r="DO12" s="4"/>
      <c r="DP12" s="4"/>
      <c r="DS12" s="34"/>
      <c r="DT12" s="34"/>
      <c r="DV12" s="34"/>
      <c r="DW12" s="72"/>
      <c r="DX12" s="63"/>
      <c r="DY12" s="34"/>
      <c r="DZ12" s="64"/>
      <c r="EA12" s="4"/>
      <c r="EB12" s="65"/>
      <c r="EC12" s="4"/>
      <c r="ED12" s="4"/>
      <c r="EE12" s="4"/>
      <c r="EH12" s="34"/>
      <c r="EI12" s="34"/>
      <c r="EK12" s="34"/>
      <c r="EL12" s="72"/>
      <c r="EM12" s="63"/>
      <c r="EN12" s="34"/>
      <c r="EO12" s="64"/>
      <c r="EP12" s="4"/>
      <c r="EQ12" s="65"/>
      <c r="ER12" s="4"/>
      <c r="ES12" s="4"/>
      <c r="ET12" s="4"/>
      <c r="EW12" s="34"/>
      <c r="EX12" s="34"/>
      <c r="EZ12" s="34"/>
      <c r="FA12" s="72"/>
      <c r="FB12" s="63"/>
      <c r="FC12" s="34"/>
      <c r="FD12" s="64"/>
      <c r="FE12" s="4"/>
      <c r="FF12" s="65"/>
      <c r="FG12" s="4"/>
      <c r="FH12" s="4"/>
      <c r="FI12" s="4"/>
      <c r="FL12" s="34"/>
      <c r="FM12" s="34"/>
      <c r="FO12" s="34"/>
      <c r="FP12" s="72"/>
      <c r="FQ12" s="63"/>
      <c r="FR12" s="34"/>
      <c r="FS12" s="64"/>
      <c r="FT12" s="4"/>
      <c r="FU12" s="65"/>
      <c r="FV12" s="4"/>
      <c r="FW12" s="4"/>
      <c r="FX12" s="4"/>
      <c r="GA12" s="34"/>
      <c r="GB12" s="34"/>
      <c r="GD12" s="34"/>
      <c r="GE12" s="72"/>
      <c r="GF12" s="63"/>
      <c r="GG12" s="34"/>
      <c r="GH12" s="64"/>
      <c r="GI12" s="4"/>
      <c r="GJ12" s="65"/>
      <c r="GK12" s="4"/>
      <c r="GL12" s="4"/>
      <c r="GM12" s="4"/>
      <c r="GP12" s="34"/>
      <c r="GQ12" s="34"/>
      <c r="GS12" s="34"/>
      <c r="GT12" s="72"/>
      <c r="GU12" s="63"/>
      <c r="GV12" s="34"/>
      <c r="GW12" s="64"/>
      <c r="GX12" s="4"/>
      <c r="GY12" s="65"/>
      <c r="GZ12" s="4"/>
      <c r="HA12" s="4"/>
      <c r="HB12" s="4"/>
      <c r="HE12" s="34"/>
      <c r="HF12" s="34"/>
      <c r="HH12" s="34"/>
      <c r="HI12" s="72"/>
      <c r="HJ12" s="63"/>
      <c r="HK12" s="34"/>
      <c r="HL12" s="64"/>
      <c r="HM12" s="4"/>
      <c r="HN12" s="65"/>
      <c r="HO12" s="4"/>
      <c r="HP12" s="4"/>
      <c r="HQ12" s="4"/>
      <c r="HT12" s="34"/>
      <c r="HU12" s="34"/>
      <c r="HW12" s="34"/>
      <c r="HX12" s="72"/>
      <c r="HY12" s="63"/>
      <c r="HZ12" s="34"/>
      <c r="IA12" s="64"/>
      <c r="IB12" s="4"/>
      <c r="IC12" s="65"/>
      <c r="ID12" s="4"/>
      <c r="IE12" s="4"/>
      <c r="IF12" s="4"/>
      <c r="II12" s="34"/>
      <c r="IJ12" s="34"/>
      <c r="IL12" s="34"/>
      <c r="IM12" s="72"/>
      <c r="IN12" s="63"/>
      <c r="IO12" s="34"/>
      <c r="IP12" s="64"/>
      <c r="IQ12" s="4"/>
      <c r="IR12" s="65"/>
      <c r="IS12" s="4"/>
      <c r="IT12" s="4"/>
      <c r="IU12" s="4"/>
      <c r="IX12" s="34"/>
      <c r="IY12" s="34"/>
      <c r="JA12" s="34"/>
      <c r="JB12" s="72"/>
      <c r="JC12" s="63"/>
      <c r="JD12" s="34"/>
      <c r="JE12" s="64"/>
      <c r="JF12" s="4"/>
      <c r="JG12" s="65"/>
      <c r="JH12" s="4"/>
      <c r="JI12" s="4"/>
      <c r="JJ12" s="4"/>
      <c r="JM12" s="34"/>
      <c r="JN12" s="34"/>
      <c r="JP12" s="34"/>
      <c r="JQ12" s="72"/>
      <c r="JR12" s="63"/>
      <c r="JS12" s="34"/>
      <c r="JT12" s="64"/>
      <c r="JU12" s="4"/>
      <c r="JV12" s="65"/>
      <c r="JW12" s="4"/>
      <c r="JX12" s="4"/>
      <c r="JY12" s="4"/>
      <c r="KB12" s="34"/>
      <c r="KC12" s="34"/>
      <c r="KE12" s="34"/>
      <c r="KF12" s="72"/>
      <c r="KG12" s="63"/>
      <c r="KH12" s="34"/>
      <c r="KI12" s="64"/>
      <c r="KJ12" s="4"/>
      <c r="KK12" s="65"/>
      <c r="KL12" s="4"/>
      <c r="KM12" s="4"/>
      <c r="KN12" s="4"/>
      <c r="KQ12" s="34"/>
      <c r="KR12" s="34"/>
      <c r="KT12" s="34"/>
      <c r="KU12" s="72"/>
      <c r="KV12" s="63"/>
      <c r="KW12" s="34"/>
      <c r="KX12" s="64"/>
      <c r="KY12" s="4"/>
      <c r="KZ12" s="65"/>
      <c r="LA12" s="4"/>
      <c r="LB12" s="4"/>
      <c r="LC12" s="4"/>
      <c r="LF12" s="34"/>
      <c r="LG12" s="34"/>
      <c r="LI12" s="34"/>
      <c r="LJ12" s="72"/>
      <c r="LK12" s="63"/>
      <c r="LL12" s="34"/>
      <c r="LM12" s="64"/>
      <c r="LN12" s="4"/>
      <c r="LO12" s="65"/>
      <c r="LP12" s="4"/>
      <c r="LQ12" s="4"/>
      <c r="LR12" s="4"/>
      <c r="LU12" s="34"/>
      <c r="LV12" s="34"/>
      <c r="LX12" s="34"/>
      <c r="LY12" s="72"/>
      <c r="LZ12" s="63"/>
      <c r="MA12" s="34"/>
      <c r="MB12" s="64"/>
      <c r="MC12" s="4"/>
      <c r="MD12" s="65"/>
      <c r="ME12" s="4"/>
      <c r="MF12" s="4"/>
      <c r="MG12" s="4"/>
      <c r="MJ12" s="34"/>
      <c r="MK12" s="34"/>
      <c r="MM12" s="34"/>
      <c r="MN12" s="72"/>
      <c r="MO12" s="63"/>
      <c r="MP12" s="34"/>
      <c r="MQ12" s="64"/>
      <c r="MR12" s="4"/>
      <c r="MS12" s="65"/>
      <c r="MT12" s="4"/>
      <c r="MU12" s="4"/>
      <c r="MV12" s="4"/>
      <c r="MY12" s="34"/>
      <c r="MZ12" s="34"/>
      <c r="NB12" s="34"/>
      <c r="NC12" s="72"/>
      <c r="ND12" s="63"/>
      <c r="NE12" s="34"/>
      <c r="NF12" s="64"/>
      <c r="NG12" s="4"/>
      <c r="NH12" s="65"/>
      <c r="NI12" s="4"/>
      <c r="NJ12" s="4"/>
      <c r="NK12" s="4"/>
      <c r="NN12" s="34"/>
      <c r="NO12" s="34"/>
      <c r="NQ12" s="34"/>
      <c r="NR12" s="72"/>
      <c r="NS12" s="63"/>
      <c r="NT12" s="34"/>
      <c r="NU12" s="64"/>
      <c r="NV12" s="4"/>
      <c r="NW12" s="65"/>
      <c r="NX12" s="4"/>
      <c r="NY12" s="4"/>
      <c r="NZ12" s="4"/>
      <c r="OC12" s="34"/>
      <c r="OD12" s="34"/>
      <c r="OF12" s="34"/>
      <c r="OG12" s="72"/>
      <c r="OH12" s="63"/>
      <c r="OI12" s="34"/>
      <c r="OJ12" s="64"/>
      <c r="OK12" s="4"/>
      <c r="OL12" s="65"/>
      <c r="OM12" s="4"/>
      <c r="ON12" s="4"/>
      <c r="OO12" s="4"/>
      <c r="OR12" s="34"/>
      <c r="OS12" s="34"/>
      <c r="OU12" s="34"/>
      <c r="OV12" s="72"/>
      <c r="OW12" s="63"/>
      <c r="OX12" s="34"/>
      <c r="OY12" s="64"/>
      <c r="OZ12" s="4"/>
      <c r="PA12" s="65"/>
      <c r="PB12" s="4"/>
      <c r="PC12" s="4"/>
      <c r="PD12" s="4"/>
      <c r="PG12" s="34"/>
      <c r="PH12" s="34"/>
      <c r="PJ12" s="34"/>
      <c r="PK12" s="72"/>
      <c r="PL12" s="63"/>
      <c r="PM12" s="34"/>
      <c r="PN12" s="64"/>
      <c r="PO12" s="4"/>
      <c r="PP12" s="65"/>
      <c r="PQ12" s="4"/>
      <c r="PR12" s="4"/>
      <c r="PS12" s="4"/>
      <c r="PV12" s="34"/>
      <c r="PW12" s="34"/>
      <c r="PY12" s="34"/>
      <c r="PZ12" s="72"/>
      <c r="QA12" s="63"/>
      <c r="QB12" s="34"/>
      <c r="QC12" s="64"/>
      <c r="QD12" s="4"/>
      <c r="QE12" s="65"/>
      <c r="QF12" s="4"/>
      <c r="QG12" s="4"/>
      <c r="QH12" s="4"/>
      <c r="QK12" s="34"/>
      <c r="QL12" s="34"/>
      <c r="QN12" s="34"/>
      <c r="QO12" s="72"/>
      <c r="QP12" s="63"/>
      <c r="QQ12" s="34"/>
      <c r="QR12" s="64"/>
      <c r="QS12" s="4"/>
      <c r="QT12" s="65"/>
      <c r="QU12" s="4"/>
      <c r="QV12" s="4"/>
      <c r="QW12" s="4"/>
      <c r="QZ12" s="34"/>
      <c r="RA12" s="34"/>
      <c r="RC12" s="34"/>
      <c r="RD12" s="72"/>
      <c r="RE12" s="63"/>
      <c r="RF12" s="34"/>
      <c r="RG12" s="64"/>
      <c r="RH12" s="4"/>
      <c r="RI12" s="65"/>
      <c r="RJ12" s="4"/>
      <c r="RK12" s="4"/>
      <c r="RL12" s="4"/>
      <c r="RO12" s="34"/>
      <c r="RP12" s="34"/>
      <c r="RR12" s="34"/>
      <c r="RS12" s="72"/>
      <c r="RT12" s="63"/>
      <c r="RU12" s="34"/>
      <c r="RV12" s="64"/>
      <c r="RW12" s="4"/>
      <c r="RX12" s="65"/>
      <c r="RY12" s="4"/>
      <c r="RZ12" s="4"/>
      <c r="SA12" s="4"/>
      <c r="SD12" s="34"/>
      <c r="SE12" s="34"/>
      <c r="SG12" s="34"/>
      <c r="SH12" s="72"/>
      <c r="SI12" s="63"/>
      <c r="SJ12" s="34"/>
      <c r="SK12" s="64"/>
      <c r="SL12" s="4"/>
      <c r="SM12" s="65"/>
      <c r="SN12" s="4"/>
      <c r="SO12" s="4"/>
      <c r="SP12" s="4"/>
      <c r="SS12" s="34"/>
      <c r="ST12" s="34"/>
      <c r="SV12" s="34"/>
      <c r="SW12" s="72"/>
      <c r="SX12" s="63"/>
      <c r="SY12" s="34"/>
      <c r="SZ12" s="64"/>
      <c r="TA12" s="4"/>
      <c r="TB12" s="65"/>
      <c r="TC12" s="4"/>
      <c r="TD12" s="4"/>
      <c r="TE12" s="4"/>
      <c r="TH12" s="34"/>
      <c r="TI12" s="34"/>
      <c r="TK12" s="34"/>
      <c r="TL12" s="72"/>
      <c r="TM12" s="63"/>
      <c r="TN12" s="34"/>
      <c r="TO12" s="64"/>
      <c r="TP12" s="4"/>
      <c r="TQ12" s="65"/>
      <c r="TR12" s="4"/>
      <c r="TS12" s="4"/>
      <c r="TT12" s="4"/>
      <c r="TW12" s="34"/>
      <c r="TX12" s="34"/>
      <c r="TZ12" s="34"/>
      <c r="UA12" s="72"/>
      <c r="UB12" s="63"/>
      <c r="UC12" s="34"/>
      <c r="UD12" s="64"/>
      <c r="UE12" s="4"/>
      <c r="UF12" s="65"/>
      <c r="UG12" s="4"/>
      <c r="UH12" s="4"/>
      <c r="UI12" s="4"/>
      <c r="UL12" s="34"/>
      <c r="UM12" s="34"/>
      <c r="UO12" s="34"/>
      <c r="UP12" s="72"/>
      <c r="UQ12" s="63"/>
      <c r="UR12" s="34"/>
      <c r="US12" s="64"/>
      <c r="UT12" s="4"/>
      <c r="UU12" s="65"/>
      <c r="UV12" s="4"/>
      <c r="UW12" s="4"/>
      <c r="UX12" s="4"/>
      <c r="VA12" s="34"/>
      <c r="VB12" s="34"/>
      <c r="VD12" s="34"/>
      <c r="VE12" s="72"/>
      <c r="VF12" s="63"/>
      <c r="VG12" s="34"/>
      <c r="VH12" s="64"/>
      <c r="VI12" s="4"/>
      <c r="VJ12" s="65"/>
      <c r="VK12" s="4"/>
      <c r="VL12" s="4"/>
      <c r="VM12" s="4"/>
      <c r="VP12" s="34"/>
      <c r="VQ12" s="34"/>
      <c r="VS12" s="34"/>
      <c r="VT12" s="72"/>
      <c r="VU12" s="63"/>
      <c r="VV12" s="34"/>
      <c r="VW12" s="64"/>
      <c r="VX12" s="4"/>
      <c r="VY12" s="65"/>
      <c r="VZ12" s="4"/>
      <c r="WA12" s="4"/>
      <c r="WB12" s="4"/>
      <c r="WE12" s="34"/>
      <c r="WF12" s="34"/>
      <c r="WH12" s="34"/>
      <c r="WI12" s="72"/>
      <c r="WJ12" s="63"/>
      <c r="WK12" s="34"/>
      <c r="WL12" s="64"/>
      <c r="WM12" s="4"/>
      <c r="WN12" s="65"/>
      <c r="WO12" s="4"/>
      <c r="WP12" s="4"/>
      <c r="WQ12" s="4"/>
      <c r="WT12" s="34"/>
      <c r="WU12" s="34"/>
      <c r="WW12" s="34"/>
      <c r="WX12" s="72"/>
      <c r="WY12" s="63"/>
      <c r="WZ12" s="34"/>
      <c r="XA12" s="64"/>
      <c r="XB12" s="4"/>
      <c r="XC12" s="65"/>
      <c r="XD12" s="4"/>
      <c r="XE12" s="4"/>
      <c r="XF12" s="4"/>
      <c r="XI12" s="34"/>
      <c r="XJ12" s="34"/>
      <c r="XL12" s="34"/>
      <c r="XM12" s="72"/>
      <c r="XN12" s="63"/>
      <c r="XO12" s="34"/>
      <c r="XP12" s="64"/>
      <c r="XQ12" s="4"/>
      <c r="XR12" s="65"/>
      <c r="XS12" s="4"/>
      <c r="XT12" s="4"/>
      <c r="XU12" s="4"/>
      <c r="XX12" s="34"/>
      <c r="XY12" s="34"/>
      <c r="YA12" s="34"/>
      <c r="YB12" s="72"/>
      <c r="YC12" s="63"/>
      <c r="YD12" s="34"/>
      <c r="YE12" s="64"/>
      <c r="YF12" s="4"/>
      <c r="YG12" s="65"/>
      <c r="YH12" s="4"/>
      <c r="YI12" s="4"/>
      <c r="YJ12" s="4"/>
      <c r="YM12" s="34"/>
      <c r="YN12" s="34"/>
      <c r="YP12" s="34"/>
      <c r="YQ12" s="72"/>
      <c r="YR12" s="63"/>
      <c r="YS12" s="34"/>
      <c r="YT12" s="64"/>
      <c r="YU12" s="4"/>
      <c r="YV12" s="65"/>
      <c r="YW12" s="4"/>
      <c r="YX12" s="4"/>
      <c r="YY12" s="4"/>
      <c r="ZB12" s="34"/>
      <c r="ZC12" s="34"/>
      <c r="ZE12" s="34"/>
      <c r="ZF12" s="72"/>
      <c r="ZG12" s="63"/>
      <c r="ZH12" s="34"/>
      <c r="ZI12" s="64"/>
      <c r="ZJ12" s="4"/>
      <c r="ZK12" s="65"/>
      <c r="ZL12" s="4"/>
      <c r="ZM12" s="4"/>
      <c r="ZN12" s="4"/>
      <c r="ZQ12" s="34"/>
      <c r="ZR12" s="34"/>
      <c r="ZT12" s="34"/>
      <c r="ZU12" s="72"/>
      <c r="ZV12" s="63"/>
      <c r="ZW12" s="34"/>
      <c r="ZX12" s="64"/>
      <c r="ZY12" s="4"/>
      <c r="ZZ12" s="65"/>
      <c r="AAA12" s="4"/>
      <c r="AAB12" s="4"/>
      <c r="AAC12" s="4"/>
      <c r="AAF12" s="34"/>
      <c r="AAG12" s="34"/>
      <c r="AAI12" s="34"/>
      <c r="AAJ12" s="72"/>
      <c r="AAK12" s="63"/>
      <c r="AAL12" s="34"/>
      <c r="AAM12" s="64"/>
      <c r="AAN12" s="4"/>
      <c r="AAO12" s="65"/>
      <c r="AAP12" s="4"/>
      <c r="AAQ12" s="4"/>
      <c r="AAR12" s="4"/>
      <c r="AAU12" s="34"/>
      <c r="AAV12" s="34"/>
      <c r="AAX12" s="34"/>
      <c r="AAY12" s="72"/>
      <c r="AAZ12" s="63"/>
      <c r="ABA12" s="34"/>
      <c r="ABB12" s="64"/>
      <c r="ABC12" s="4"/>
      <c r="ABD12" s="65"/>
      <c r="ABE12" s="4"/>
      <c r="ABF12" s="4"/>
      <c r="ABG12" s="4"/>
      <c r="ABJ12" s="34"/>
      <c r="ABK12" s="34"/>
      <c r="ABM12" s="34"/>
      <c r="ABN12" s="72"/>
      <c r="ABO12" s="63"/>
      <c r="ABP12" s="34"/>
      <c r="ABQ12" s="64"/>
      <c r="ABR12" s="4"/>
      <c r="ABS12" s="65"/>
      <c r="ABT12" s="4"/>
      <c r="ABU12" s="4"/>
      <c r="ABV12" s="4"/>
      <c r="ABY12" s="34"/>
      <c r="ABZ12" s="34"/>
      <c r="ACB12" s="34"/>
      <c r="ACC12" s="72"/>
      <c r="ACD12" s="63"/>
      <c r="ACE12" s="34"/>
      <c r="ACF12" s="64"/>
      <c r="ACG12" s="4"/>
      <c r="ACH12" s="65"/>
      <c r="ACI12" s="4"/>
      <c r="ACJ12" s="4"/>
      <c r="ACK12" s="4"/>
      <c r="ACN12" s="34"/>
      <c r="ACO12" s="34"/>
      <c r="ACQ12" s="34"/>
      <c r="ACR12" s="72"/>
      <c r="ACS12" s="63"/>
      <c r="ACT12" s="34"/>
      <c r="ACU12" s="64"/>
      <c r="ACV12" s="4"/>
      <c r="ACW12" s="65"/>
      <c r="ACX12" s="4"/>
      <c r="ACY12" s="4"/>
      <c r="ACZ12" s="4"/>
      <c r="ADC12" s="34"/>
      <c r="ADD12" s="34"/>
      <c r="ADF12" s="34"/>
      <c r="ADG12" s="72"/>
      <c r="ADH12" s="63"/>
      <c r="ADI12" s="34"/>
      <c r="ADJ12" s="64"/>
      <c r="ADK12" s="4"/>
      <c r="ADL12" s="65"/>
      <c r="ADM12" s="4"/>
      <c r="ADN12" s="4"/>
      <c r="ADO12" s="4"/>
      <c r="ADR12" s="34"/>
      <c r="ADS12" s="34"/>
      <c r="ADU12" s="34"/>
      <c r="ADV12" s="72"/>
      <c r="ADW12" s="63"/>
      <c r="ADX12" s="34"/>
      <c r="ADY12" s="64"/>
      <c r="ADZ12" s="4"/>
      <c r="AEA12" s="65"/>
      <c r="AEB12" s="4"/>
      <c r="AEC12" s="4"/>
      <c r="AED12" s="4"/>
      <c r="AEG12" s="34"/>
      <c r="AEH12" s="34"/>
      <c r="AEJ12" s="34"/>
      <c r="AEK12" s="72"/>
      <c r="AEL12" s="63"/>
      <c r="AEM12" s="34"/>
      <c r="AEN12" s="64"/>
      <c r="AEO12" s="4"/>
      <c r="AEP12" s="65"/>
      <c r="AEQ12" s="4"/>
      <c r="AER12" s="4"/>
      <c r="AES12" s="4"/>
      <c r="AEV12" s="34"/>
      <c r="AEW12" s="34"/>
      <c r="AEY12" s="34"/>
      <c r="AEZ12" s="72"/>
      <c r="AFA12" s="63"/>
      <c r="AFB12" s="34"/>
      <c r="AFC12" s="64"/>
      <c r="AFD12" s="4"/>
      <c r="AFE12" s="65"/>
      <c r="AFF12" s="4"/>
      <c r="AFG12" s="4"/>
      <c r="AFH12" s="4"/>
      <c r="AFK12" s="34"/>
      <c r="AFL12" s="34"/>
      <c r="AFN12" s="34"/>
      <c r="AFO12" s="72"/>
      <c r="AFP12" s="63"/>
      <c r="AFQ12" s="34"/>
      <c r="AFR12" s="64"/>
      <c r="AFS12" s="4"/>
      <c r="AFT12" s="65"/>
      <c r="AFU12" s="4"/>
      <c r="AFV12" s="4"/>
      <c r="AFW12" s="4"/>
      <c r="AFZ12" s="34"/>
      <c r="AGA12" s="34"/>
      <c r="AGC12" s="34"/>
      <c r="AGD12" s="72"/>
      <c r="AGE12" s="63"/>
      <c r="AGF12" s="34"/>
      <c r="AGG12" s="64"/>
      <c r="AGH12" s="4"/>
      <c r="AGI12" s="65"/>
      <c r="AGJ12" s="4"/>
      <c r="AGK12" s="4"/>
      <c r="AGL12" s="4"/>
      <c r="AGO12" s="34"/>
      <c r="AGP12" s="34"/>
      <c r="AGR12" s="34"/>
      <c r="AGS12" s="72"/>
      <c r="AGT12" s="63"/>
      <c r="AGU12" s="34"/>
      <c r="AGV12" s="64"/>
      <c r="AGW12" s="4"/>
      <c r="AGX12" s="65"/>
      <c r="AGY12" s="4"/>
      <c r="AGZ12" s="4"/>
      <c r="AHA12" s="4"/>
      <c r="AHD12" s="34"/>
      <c r="AHE12" s="34"/>
      <c r="AHG12" s="34"/>
      <c r="AHH12" s="72"/>
      <c r="AHI12" s="63"/>
      <c r="AHJ12" s="34"/>
      <c r="AHK12" s="64"/>
      <c r="AHL12" s="4"/>
      <c r="AHM12" s="65"/>
      <c r="AHN12" s="4"/>
      <c r="AHO12" s="4"/>
      <c r="AHP12" s="4"/>
      <c r="AHS12" s="34"/>
      <c r="AHT12" s="34"/>
      <c r="AHV12" s="34"/>
      <c r="AHW12" s="72"/>
      <c r="AHX12" s="63"/>
      <c r="AHY12" s="34"/>
      <c r="AHZ12" s="64"/>
      <c r="AIA12" s="4"/>
      <c r="AIB12" s="65"/>
      <c r="AIC12" s="4"/>
      <c r="AID12" s="4"/>
      <c r="AIE12" s="4"/>
      <c r="AIH12" s="34"/>
      <c r="AII12" s="34"/>
      <c r="AIK12" s="34"/>
      <c r="AIL12" s="72"/>
      <c r="AIM12" s="63"/>
      <c r="AIN12" s="34"/>
      <c r="AIO12" s="64"/>
      <c r="AIP12" s="4"/>
      <c r="AIQ12" s="65"/>
      <c r="AIR12" s="4"/>
      <c r="AIS12" s="4"/>
      <c r="AIT12" s="4"/>
      <c r="AIW12" s="34"/>
      <c r="AIX12" s="34"/>
      <c r="AIZ12" s="34"/>
      <c r="AJA12" s="72"/>
      <c r="AJB12" s="63"/>
      <c r="AJC12" s="34"/>
      <c r="AJD12" s="64"/>
      <c r="AJE12" s="4"/>
      <c r="AJF12" s="65"/>
      <c r="AJG12" s="4"/>
      <c r="AJH12" s="4"/>
      <c r="AJI12" s="4"/>
      <c r="AJL12" s="34"/>
      <c r="AJM12" s="34"/>
      <c r="AJO12" s="34"/>
      <c r="AJP12" s="72"/>
      <c r="AJQ12" s="63"/>
      <c r="AJR12" s="34"/>
      <c r="AJS12" s="64"/>
      <c r="AJT12" s="4"/>
      <c r="AJU12" s="65"/>
      <c r="AJV12" s="4"/>
      <c r="AJW12" s="4"/>
      <c r="AJX12" s="4"/>
      <c r="AKA12" s="34"/>
      <c r="AKB12" s="34"/>
      <c r="AKD12" s="34"/>
      <c r="AKE12" s="72"/>
      <c r="AKF12" s="63"/>
      <c r="AKG12" s="34"/>
      <c r="AKH12" s="64"/>
      <c r="AKI12" s="4"/>
      <c r="AKJ12" s="65"/>
      <c r="AKK12" s="4"/>
      <c r="AKL12" s="4"/>
      <c r="AKM12" s="4"/>
      <c r="AKP12" s="34"/>
      <c r="AKQ12" s="34"/>
      <c r="AKS12" s="34"/>
      <c r="AKT12" s="72"/>
      <c r="AKU12" s="63"/>
      <c r="AKV12" s="34"/>
      <c r="AKW12" s="64"/>
      <c r="AKX12" s="4"/>
      <c r="AKY12" s="65"/>
      <c r="AKZ12" s="4"/>
      <c r="ALA12" s="4"/>
      <c r="ALB12" s="4"/>
      <c r="ALE12" s="34"/>
      <c r="ALF12" s="34"/>
      <c r="ALH12" s="34"/>
      <c r="ALI12" s="72"/>
      <c r="ALJ12" s="63"/>
      <c r="ALK12" s="34"/>
      <c r="ALL12" s="64"/>
      <c r="ALM12" s="4"/>
      <c r="ALN12" s="65"/>
      <c r="ALO12" s="4"/>
      <c r="ALP12" s="4"/>
      <c r="ALQ12" s="4"/>
      <c r="ALT12" s="34"/>
      <c r="ALU12" s="34"/>
      <c r="ALW12" s="34"/>
      <c r="ALX12" s="72"/>
      <c r="ALY12" s="63"/>
      <c r="ALZ12" s="34"/>
      <c r="AMA12" s="64"/>
      <c r="AMB12" s="4"/>
      <c r="AMC12" s="65"/>
      <c r="AMD12" s="4"/>
      <c r="AME12" s="4"/>
      <c r="AMF12" s="4"/>
      <c r="AMI12" s="34"/>
      <c r="AMJ12" s="34"/>
      <c r="AML12" s="34"/>
      <c r="AMM12" s="72"/>
      <c r="AMN12" s="63"/>
      <c r="AMO12" s="34"/>
      <c r="AMP12" s="64"/>
      <c r="AMQ12" s="4"/>
      <c r="AMR12" s="65"/>
      <c r="AMS12" s="4"/>
      <c r="AMT12" s="4"/>
      <c r="AMU12" s="4"/>
      <c r="AMX12" s="34"/>
      <c r="AMY12" s="34"/>
      <c r="ANA12" s="34"/>
      <c r="ANB12" s="72"/>
      <c r="ANC12" s="63"/>
      <c r="AND12" s="34"/>
      <c r="ANE12" s="64"/>
      <c r="ANF12" s="4"/>
      <c r="ANG12" s="65"/>
      <c r="ANH12" s="4"/>
      <c r="ANI12" s="4"/>
      <c r="ANJ12" s="4"/>
      <c r="ANM12" s="34"/>
      <c r="ANN12" s="34"/>
      <c r="ANP12" s="34"/>
      <c r="ANQ12" s="72"/>
      <c r="ANR12" s="63"/>
      <c r="ANS12" s="34"/>
      <c r="ANT12" s="64"/>
      <c r="ANU12" s="4"/>
      <c r="ANV12" s="65"/>
      <c r="ANW12" s="4"/>
      <c r="ANX12" s="4"/>
      <c r="ANY12" s="4"/>
      <c r="AOB12" s="34"/>
      <c r="AOC12" s="34"/>
      <c r="AOE12" s="34"/>
      <c r="AOF12" s="72"/>
      <c r="AOG12" s="63"/>
      <c r="AOH12" s="34"/>
      <c r="AOI12" s="64"/>
      <c r="AOJ12" s="4"/>
      <c r="AOK12" s="65"/>
      <c r="AOL12" s="4"/>
      <c r="AOM12" s="4"/>
      <c r="AON12" s="4"/>
      <c r="AOQ12" s="34"/>
      <c r="AOR12" s="34"/>
      <c r="AOT12" s="34"/>
      <c r="AOU12" s="72"/>
      <c r="AOV12" s="63"/>
      <c r="AOW12" s="34"/>
      <c r="AOX12" s="64"/>
      <c r="AOY12" s="4"/>
      <c r="AOZ12" s="65"/>
      <c r="APA12" s="4"/>
      <c r="APB12" s="4"/>
      <c r="APC12" s="4"/>
      <c r="APF12" s="34"/>
      <c r="APG12" s="34"/>
      <c r="API12" s="34"/>
      <c r="APJ12" s="72"/>
      <c r="APK12" s="63"/>
      <c r="APL12" s="34"/>
      <c r="APM12" s="64"/>
      <c r="APN12" s="4"/>
      <c r="APO12" s="65"/>
      <c r="APP12" s="4"/>
      <c r="APQ12" s="4"/>
      <c r="APR12" s="4"/>
      <c r="APU12" s="34"/>
      <c r="APV12" s="34"/>
      <c r="APX12" s="34"/>
      <c r="APY12" s="72"/>
      <c r="APZ12" s="63"/>
      <c r="AQA12" s="34"/>
      <c r="AQB12" s="64"/>
      <c r="AQC12" s="4"/>
      <c r="AQD12" s="65"/>
      <c r="AQE12" s="4"/>
      <c r="AQF12" s="4"/>
      <c r="AQG12" s="4"/>
      <c r="AQJ12" s="34"/>
      <c r="AQK12" s="34"/>
      <c r="AQM12" s="34"/>
      <c r="AQN12" s="72"/>
      <c r="AQO12" s="63"/>
      <c r="AQP12" s="34"/>
      <c r="AQQ12" s="64"/>
      <c r="AQR12" s="4"/>
      <c r="AQS12" s="65"/>
      <c r="AQT12" s="4"/>
      <c r="AQU12" s="4"/>
      <c r="AQV12" s="4"/>
      <c r="AQY12" s="34"/>
      <c r="AQZ12" s="34"/>
      <c r="ARB12" s="34"/>
      <c r="ARC12" s="72"/>
      <c r="ARD12" s="63"/>
      <c r="ARE12" s="34"/>
      <c r="ARF12" s="64"/>
      <c r="ARG12" s="4"/>
      <c r="ARH12" s="65"/>
      <c r="ARI12" s="4"/>
      <c r="ARJ12" s="4"/>
      <c r="ARK12" s="4"/>
      <c r="ARN12" s="34"/>
      <c r="ARO12" s="34"/>
      <c r="ARQ12" s="34"/>
      <c r="ARR12" s="72"/>
      <c r="ARS12" s="63"/>
      <c r="ART12" s="34"/>
      <c r="ARU12" s="64"/>
      <c r="ARV12" s="4"/>
      <c r="ARW12" s="65"/>
      <c r="ARX12" s="4"/>
      <c r="ARY12" s="4"/>
      <c r="ARZ12" s="4"/>
      <c r="ASC12" s="34"/>
      <c r="ASD12" s="34"/>
      <c r="ASF12" s="34"/>
      <c r="ASG12" s="72"/>
      <c r="ASH12" s="63"/>
      <c r="ASI12" s="34"/>
      <c r="ASJ12" s="64"/>
      <c r="ASK12" s="4"/>
      <c r="ASL12" s="65"/>
      <c r="ASM12" s="4"/>
      <c r="ASN12" s="4"/>
      <c r="ASO12" s="4"/>
      <c r="ASR12" s="34"/>
      <c r="ASS12" s="34"/>
      <c r="ASU12" s="34"/>
      <c r="ASV12" s="72"/>
      <c r="ASW12" s="63"/>
      <c r="ASX12" s="34"/>
      <c r="ASY12" s="64"/>
      <c r="ASZ12" s="4"/>
      <c r="ATA12" s="65"/>
      <c r="ATB12" s="4"/>
      <c r="ATC12" s="4"/>
      <c r="ATD12" s="4"/>
      <c r="ATG12" s="34"/>
      <c r="ATH12" s="34"/>
      <c r="ATJ12" s="34"/>
      <c r="ATK12" s="72"/>
      <c r="ATL12" s="63"/>
      <c r="ATM12" s="34"/>
      <c r="ATN12" s="64"/>
      <c r="ATO12" s="4"/>
      <c r="ATP12" s="65"/>
      <c r="ATQ12" s="4"/>
      <c r="ATR12" s="4"/>
      <c r="ATS12" s="4"/>
      <c r="ATV12" s="34"/>
      <c r="ATW12" s="34"/>
      <c r="ATY12" s="34"/>
      <c r="ATZ12" s="72"/>
      <c r="AUA12" s="63"/>
      <c r="AUB12" s="34"/>
      <c r="AUC12" s="64"/>
      <c r="AUD12" s="4"/>
      <c r="AUE12" s="65"/>
      <c r="AUF12" s="4"/>
      <c r="AUG12" s="4"/>
      <c r="AUH12" s="4"/>
      <c r="AUK12" s="34"/>
      <c r="AUL12" s="34"/>
      <c r="AUN12" s="34"/>
      <c r="AUO12" s="72"/>
      <c r="AUP12" s="63"/>
      <c r="AUQ12" s="34"/>
      <c r="AUR12" s="64"/>
      <c r="AUS12" s="4"/>
      <c r="AUT12" s="65"/>
      <c r="AUU12" s="4"/>
      <c r="AUV12" s="4"/>
      <c r="AUW12" s="4"/>
      <c r="AUZ12" s="34"/>
      <c r="AVA12" s="34"/>
      <c r="AVC12" s="34"/>
      <c r="AVD12" s="72"/>
      <c r="AVE12" s="63"/>
      <c r="AVF12" s="34"/>
      <c r="AVG12" s="64"/>
      <c r="AVH12" s="4"/>
      <c r="AVI12" s="65"/>
      <c r="AVJ12" s="4"/>
      <c r="AVK12" s="4"/>
      <c r="AVL12" s="4"/>
      <c r="AVO12" s="34"/>
      <c r="AVP12" s="34"/>
      <c r="AVR12" s="34"/>
      <c r="AVS12" s="72"/>
      <c r="AVT12" s="63"/>
      <c r="AVU12" s="34"/>
      <c r="AVV12" s="64"/>
      <c r="AVW12" s="4"/>
      <c r="AVX12" s="65"/>
      <c r="AVY12" s="4"/>
      <c r="AVZ12" s="4"/>
      <c r="AWA12" s="4"/>
      <c r="AWD12" s="34"/>
      <c r="AWE12" s="34"/>
      <c r="AWG12" s="34"/>
      <c r="AWH12" s="72"/>
      <c r="AWI12" s="63"/>
      <c r="AWJ12" s="34"/>
      <c r="AWK12" s="64"/>
      <c r="AWL12" s="4"/>
      <c r="AWM12" s="65"/>
      <c r="AWN12" s="4"/>
      <c r="AWO12" s="4"/>
      <c r="AWP12" s="4"/>
      <c r="AWS12" s="34"/>
      <c r="AWT12" s="34"/>
      <c r="AWV12" s="34"/>
      <c r="AWW12" s="72"/>
      <c r="AWX12" s="63"/>
      <c r="AWY12" s="34"/>
      <c r="AWZ12" s="64"/>
      <c r="AXA12" s="4"/>
      <c r="AXB12" s="65"/>
      <c r="AXC12" s="4"/>
      <c r="AXD12" s="4"/>
      <c r="AXE12" s="4"/>
      <c r="AXH12" s="34"/>
      <c r="AXI12" s="34"/>
      <c r="AXK12" s="34"/>
      <c r="AXL12" s="72"/>
      <c r="AXM12" s="63"/>
      <c r="AXN12" s="34"/>
      <c r="AXO12" s="64"/>
      <c r="AXP12" s="4"/>
      <c r="AXQ12" s="65"/>
      <c r="AXR12" s="4"/>
      <c r="AXS12" s="4"/>
      <c r="AXT12" s="4"/>
      <c r="AXW12" s="34"/>
      <c r="AXX12" s="34"/>
      <c r="AXZ12" s="34"/>
      <c r="AYA12" s="72"/>
      <c r="AYB12" s="63"/>
      <c r="AYC12" s="34"/>
      <c r="AYD12" s="64"/>
      <c r="AYE12" s="4"/>
      <c r="AYF12" s="65"/>
      <c r="AYG12" s="4"/>
      <c r="AYH12" s="4"/>
      <c r="AYI12" s="4"/>
      <c r="AYL12" s="34"/>
      <c r="AYM12" s="34"/>
      <c r="AYO12" s="34"/>
      <c r="AYP12" s="72"/>
      <c r="AYQ12" s="63"/>
      <c r="AYR12" s="34"/>
      <c r="AYS12" s="64"/>
      <c r="AYT12" s="4"/>
      <c r="AYU12" s="65"/>
      <c r="AYV12" s="4"/>
      <c r="AYW12" s="4"/>
      <c r="AYX12" s="4"/>
      <c r="AZA12" s="34"/>
      <c r="AZB12" s="34"/>
      <c r="AZD12" s="34"/>
      <c r="AZE12" s="72"/>
      <c r="AZF12" s="63"/>
      <c r="AZG12" s="34"/>
      <c r="AZH12" s="64"/>
      <c r="AZI12" s="4"/>
      <c r="AZJ12" s="65"/>
      <c r="AZK12" s="4"/>
      <c r="AZL12" s="4"/>
      <c r="AZM12" s="4"/>
      <c r="AZP12" s="34"/>
      <c r="AZQ12" s="34"/>
      <c r="AZS12" s="34"/>
      <c r="AZT12" s="72"/>
      <c r="AZU12" s="63"/>
      <c r="AZV12" s="34"/>
      <c r="AZW12" s="64"/>
      <c r="AZX12" s="4"/>
      <c r="AZY12" s="65"/>
      <c r="AZZ12" s="4"/>
      <c r="BAA12" s="4"/>
      <c r="BAB12" s="4"/>
      <c r="BAE12" s="34"/>
      <c r="BAF12" s="34"/>
      <c r="BAH12" s="34"/>
      <c r="BAI12" s="72"/>
      <c r="BAJ12" s="63"/>
      <c r="BAK12" s="34"/>
      <c r="BAL12" s="64"/>
      <c r="BAM12" s="4"/>
      <c r="BAN12" s="65"/>
      <c r="BAO12" s="4"/>
      <c r="BAP12" s="4"/>
      <c r="BAQ12" s="4"/>
      <c r="BAT12" s="34"/>
      <c r="BAU12" s="34"/>
      <c r="BAW12" s="34"/>
      <c r="BAX12" s="72"/>
      <c r="BAY12" s="63"/>
      <c r="BAZ12" s="34"/>
      <c r="BBA12" s="64"/>
      <c r="BBB12" s="4"/>
      <c r="BBC12" s="65"/>
      <c r="BBD12" s="4"/>
      <c r="BBE12" s="4"/>
      <c r="BBF12" s="4"/>
      <c r="BBI12" s="34"/>
      <c r="BBJ12" s="34"/>
      <c r="BBL12" s="34"/>
      <c r="BBM12" s="72"/>
      <c r="BBN12" s="63"/>
      <c r="BBO12" s="34"/>
      <c r="BBP12" s="64"/>
      <c r="BBQ12" s="4"/>
      <c r="BBR12" s="65"/>
      <c r="BBS12" s="4"/>
      <c r="BBT12" s="4"/>
      <c r="BBU12" s="4"/>
      <c r="BBX12" s="34"/>
      <c r="BBY12" s="34"/>
      <c r="BCA12" s="34"/>
      <c r="BCB12" s="72"/>
      <c r="BCC12" s="63"/>
      <c r="BCD12" s="34"/>
      <c r="BCE12" s="64"/>
      <c r="BCF12" s="4"/>
      <c r="BCG12" s="65"/>
      <c r="BCH12" s="4"/>
      <c r="BCI12" s="4"/>
      <c r="BCJ12" s="4"/>
      <c r="BCM12" s="34"/>
      <c r="BCN12" s="34"/>
      <c r="BCP12" s="34"/>
      <c r="BCQ12" s="72"/>
      <c r="BCR12" s="63"/>
      <c r="BCS12" s="34"/>
      <c r="BCT12" s="64"/>
      <c r="BCU12" s="4"/>
      <c r="BCV12" s="65"/>
      <c r="BCW12" s="4"/>
      <c r="BCX12" s="4"/>
      <c r="BCY12" s="4"/>
      <c r="BDB12" s="34"/>
      <c r="BDC12" s="34"/>
      <c r="BDE12" s="34"/>
      <c r="BDF12" s="72"/>
      <c r="BDG12" s="63"/>
      <c r="BDH12" s="34"/>
      <c r="BDI12" s="64"/>
      <c r="BDJ12" s="4"/>
      <c r="BDK12" s="65"/>
      <c r="BDL12" s="4"/>
      <c r="BDM12" s="4"/>
      <c r="BDN12" s="4"/>
      <c r="BDQ12" s="34"/>
      <c r="BDR12" s="34"/>
      <c r="BDT12" s="34"/>
      <c r="BDU12" s="72"/>
      <c r="BDV12" s="63"/>
      <c r="BDW12" s="34"/>
      <c r="BDX12" s="64"/>
      <c r="BDY12" s="4"/>
      <c r="BDZ12" s="65"/>
      <c r="BEA12" s="4"/>
      <c r="BEB12" s="4"/>
      <c r="BEC12" s="4"/>
      <c r="BEF12" s="34"/>
      <c r="BEG12" s="34"/>
      <c r="BEI12" s="34"/>
      <c r="BEJ12" s="72"/>
      <c r="BEK12" s="63"/>
      <c r="BEL12" s="34"/>
      <c r="BEM12" s="64"/>
      <c r="BEN12" s="4"/>
      <c r="BEO12" s="65"/>
      <c r="BEP12" s="4"/>
      <c r="BEQ12" s="4"/>
      <c r="BER12" s="4"/>
      <c r="BEU12" s="34"/>
      <c r="BEV12" s="34"/>
      <c r="BEX12" s="34"/>
      <c r="BEY12" s="72"/>
      <c r="BEZ12" s="63"/>
      <c r="BFA12" s="34"/>
      <c r="BFB12" s="64"/>
      <c r="BFC12" s="4"/>
      <c r="BFD12" s="65"/>
      <c r="BFE12" s="4"/>
      <c r="BFF12" s="4"/>
      <c r="BFG12" s="4"/>
      <c r="BFJ12" s="34"/>
      <c r="BFK12" s="34"/>
      <c r="BFM12" s="34"/>
      <c r="BFN12" s="72"/>
      <c r="BFO12" s="63"/>
      <c r="BFP12" s="34"/>
      <c r="BFQ12" s="64"/>
      <c r="BFR12" s="4"/>
      <c r="BFS12" s="65"/>
      <c r="BFT12" s="4"/>
      <c r="BFU12" s="4"/>
      <c r="BFV12" s="4"/>
      <c r="BFY12" s="34"/>
      <c r="BFZ12" s="34"/>
      <c r="BGB12" s="34"/>
      <c r="BGC12" s="72"/>
      <c r="BGD12" s="63"/>
      <c r="BGE12" s="34"/>
      <c r="BGF12" s="64"/>
      <c r="BGG12" s="4"/>
      <c r="BGH12" s="65"/>
      <c r="BGI12" s="4"/>
      <c r="BGJ12" s="4"/>
      <c r="BGK12" s="4"/>
      <c r="BGN12" s="34"/>
      <c r="BGO12" s="34"/>
      <c r="BGQ12" s="34"/>
      <c r="BGR12" s="72"/>
      <c r="BGS12" s="63"/>
      <c r="BGT12" s="34"/>
      <c r="BGU12" s="64"/>
      <c r="BGV12" s="4"/>
      <c r="BGW12" s="65"/>
      <c r="BGX12" s="4"/>
      <c r="BGY12" s="4"/>
      <c r="BGZ12" s="4"/>
      <c r="BHC12" s="34"/>
      <c r="BHD12" s="34"/>
      <c r="BHF12" s="34"/>
      <c r="BHG12" s="72"/>
      <c r="BHH12" s="63"/>
      <c r="BHI12" s="34"/>
      <c r="BHJ12" s="64"/>
      <c r="BHK12" s="4"/>
      <c r="BHL12" s="65"/>
      <c r="BHM12" s="4"/>
      <c r="BHN12" s="4"/>
      <c r="BHO12" s="4"/>
      <c r="BHR12" s="34"/>
      <c r="BHS12" s="34"/>
      <c r="BHU12" s="34"/>
      <c r="BHV12" s="72"/>
      <c r="BHW12" s="63"/>
      <c r="BHX12" s="34"/>
      <c r="BHY12" s="64"/>
      <c r="BHZ12" s="4"/>
      <c r="BIA12" s="65"/>
      <c r="BIB12" s="4"/>
      <c r="BIC12" s="4"/>
      <c r="BID12" s="4"/>
      <c r="BIG12" s="34"/>
      <c r="BIH12" s="34"/>
      <c r="BIJ12" s="34"/>
      <c r="BIK12" s="72"/>
      <c r="BIL12" s="63"/>
      <c r="BIM12" s="34"/>
      <c r="BIN12" s="64"/>
      <c r="BIO12" s="4"/>
      <c r="BIP12" s="65"/>
      <c r="BIQ12" s="4"/>
      <c r="BIR12" s="4"/>
      <c r="BIS12" s="4"/>
      <c r="BIV12" s="34"/>
      <c r="BIW12" s="34"/>
      <c r="BIY12" s="34"/>
      <c r="BIZ12" s="72"/>
      <c r="BJA12" s="63"/>
      <c r="BJB12" s="34"/>
      <c r="BJC12" s="64"/>
      <c r="BJD12" s="4"/>
      <c r="BJE12" s="65"/>
      <c r="BJF12" s="4"/>
      <c r="BJG12" s="4"/>
      <c r="BJH12" s="4"/>
      <c r="BJK12" s="34"/>
      <c r="BJL12" s="34"/>
      <c r="BJN12" s="34"/>
      <c r="BJO12" s="72"/>
      <c r="BJP12" s="63"/>
      <c r="BJQ12" s="34"/>
      <c r="BJR12" s="64"/>
      <c r="BJS12" s="4"/>
      <c r="BJT12" s="65"/>
      <c r="BJU12" s="4"/>
      <c r="BJV12" s="4"/>
      <c r="BJW12" s="4"/>
      <c r="BJZ12" s="34"/>
      <c r="BKA12" s="34"/>
      <c r="BKC12" s="34"/>
      <c r="BKD12" s="72"/>
      <c r="BKE12" s="63"/>
      <c r="BKF12" s="34"/>
      <c r="BKG12" s="64"/>
      <c r="BKH12" s="4"/>
      <c r="BKI12" s="65"/>
      <c r="BKJ12" s="4"/>
      <c r="BKK12" s="4"/>
      <c r="BKL12" s="4"/>
      <c r="BKO12" s="34"/>
      <c r="BKP12" s="34"/>
      <c r="BKR12" s="34"/>
      <c r="BKS12" s="72"/>
      <c r="BKT12" s="63"/>
      <c r="BKU12" s="34"/>
      <c r="BKV12" s="64"/>
      <c r="BKW12" s="4"/>
      <c r="BKX12" s="65"/>
      <c r="BKY12" s="4"/>
      <c r="BKZ12" s="4"/>
      <c r="BLA12" s="4"/>
      <c r="BLD12" s="34"/>
      <c r="BLE12" s="34"/>
      <c r="BLG12" s="34"/>
      <c r="BLH12" s="72"/>
      <c r="BLI12" s="63"/>
      <c r="BLJ12" s="34"/>
      <c r="BLK12" s="64"/>
      <c r="BLL12" s="4"/>
      <c r="BLM12" s="65"/>
      <c r="BLN12" s="4"/>
      <c r="BLO12" s="4"/>
      <c r="BLP12" s="4"/>
      <c r="BLS12" s="34"/>
      <c r="BLT12" s="34"/>
      <c r="BLV12" s="34"/>
      <c r="BLW12" s="72"/>
      <c r="BLX12" s="63"/>
      <c r="BLY12" s="34"/>
      <c r="BLZ12" s="64"/>
      <c r="BMA12" s="4"/>
      <c r="BMB12" s="65"/>
      <c r="BMC12" s="4"/>
      <c r="BMD12" s="4"/>
      <c r="BME12" s="4"/>
      <c r="BMH12" s="34"/>
      <c r="BMI12" s="34"/>
      <c r="BMK12" s="34"/>
      <c r="BML12" s="72"/>
      <c r="BMM12" s="63"/>
      <c r="BMN12" s="34"/>
      <c r="BMO12" s="64"/>
      <c r="BMP12" s="4"/>
      <c r="BMQ12" s="65"/>
      <c r="BMR12" s="4"/>
      <c r="BMS12" s="4"/>
      <c r="BMT12" s="4"/>
      <c r="BMW12" s="34"/>
      <c r="BMX12" s="34"/>
      <c r="BMZ12" s="34"/>
      <c r="BNA12" s="72"/>
      <c r="BNB12" s="63"/>
      <c r="BNC12" s="34"/>
      <c r="BND12" s="64"/>
      <c r="BNE12" s="4"/>
      <c r="BNF12" s="65"/>
      <c r="BNG12" s="4"/>
      <c r="BNH12" s="4"/>
      <c r="BNI12" s="4"/>
      <c r="BNL12" s="34"/>
      <c r="BNM12" s="34"/>
      <c r="BNO12" s="34"/>
      <c r="BNP12" s="72"/>
      <c r="BNQ12" s="63"/>
      <c r="BNR12" s="34"/>
      <c r="BNS12" s="64"/>
      <c r="BNT12" s="4"/>
      <c r="BNU12" s="65"/>
      <c r="BNV12" s="4"/>
      <c r="BNW12" s="4"/>
      <c r="BNX12" s="4"/>
      <c r="BOA12" s="34"/>
      <c r="BOB12" s="34"/>
      <c r="BOD12" s="34"/>
      <c r="BOE12" s="72"/>
      <c r="BOF12" s="63"/>
      <c r="BOG12" s="34"/>
      <c r="BOH12" s="64"/>
      <c r="BOI12" s="4"/>
      <c r="BOJ12" s="65"/>
      <c r="BOK12" s="4"/>
      <c r="BOL12" s="4"/>
      <c r="BOM12" s="4"/>
      <c r="BOP12" s="34"/>
      <c r="BOQ12" s="34"/>
      <c r="BOS12" s="34"/>
      <c r="BOT12" s="72"/>
      <c r="BOU12" s="63"/>
      <c r="BOV12" s="34"/>
      <c r="BOW12" s="64"/>
      <c r="BOX12" s="4"/>
      <c r="BOY12" s="65"/>
      <c r="BOZ12" s="4"/>
      <c r="BPA12" s="4"/>
      <c r="BPB12" s="4"/>
      <c r="BPE12" s="34"/>
      <c r="BPF12" s="34"/>
      <c r="BPH12" s="34"/>
      <c r="BPI12" s="72"/>
      <c r="BPJ12" s="63"/>
      <c r="BPK12" s="34"/>
      <c r="BPL12" s="64"/>
      <c r="BPM12" s="4"/>
      <c r="BPN12" s="65"/>
      <c r="BPO12" s="4"/>
      <c r="BPP12" s="4"/>
      <c r="BPQ12" s="4"/>
      <c r="BPT12" s="34"/>
      <c r="BPU12" s="34"/>
      <c r="BPW12" s="34"/>
      <c r="BPX12" s="72"/>
      <c r="BPY12" s="63"/>
      <c r="BPZ12" s="34"/>
      <c r="BQA12" s="64"/>
      <c r="BQB12" s="4"/>
      <c r="BQC12" s="65"/>
      <c r="BQD12" s="4"/>
      <c r="BQE12" s="4"/>
      <c r="BQF12" s="4"/>
      <c r="BQI12" s="34"/>
      <c r="BQJ12" s="34"/>
      <c r="BQL12" s="34"/>
      <c r="BQM12" s="72"/>
      <c r="BQN12" s="63"/>
      <c r="BQO12" s="34"/>
      <c r="BQP12" s="64"/>
      <c r="BQQ12" s="4"/>
      <c r="BQR12" s="65"/>
      <c r="BQS12" s="4"/>
      <c r="BQT12" s="4"/>
      <c r="BQU12" s="4"/>
      <c r="BQX12" s="34"/>
      <c r="BQY12" s="34"/>
      <c r="BRA12" s="34"/>
      <c r="BRB12" s="72"/>
      <c r="BRC12" s="63"/>
      <c r="BRD12" s="34"/>
      <c r="BRE12" s="64"/>
      <c r="BRF12" s="4"/>
      <c r="BRG12" s="65"/>
      <c r="BRH12" s="4"/>
      <c r="BRI12" s="4"/>
      <c r="BRJ12" s="4"/>
      <c r="BRM12" s="34"/>
      <c r="BRN12" s="34"/>
      <c r="BRP12" s="34"/>
      <c r="BRQ12" s="72"/>
      <c r="BRR12" s="63"/>
      <c r="BRS12" s="34"/>
      <c r="BRT12" s="64"/>
      <c r="BRU12" s="4"/>
      <c r="BRV12" s="65"/>
      <c r="BRW12" s="4"/>
      <c r="BRX12" s="4"/>
      <c r="BRY12" s="4"/>
      <c r="BSB12" s="34"/>
      <c r="BSC12" s="34"/>
      <c r="BSE12" s="34"/>
      <c r="BSF12" s="72"/>
      <c r="BSG12" s="63"/>
      <c r="BSH12" s="34"/>
      <c r="BSI12" s="64"/>
      <c r="BSJ12" s="4"/>
      <c r="BSK12" s="65"/>
      <c r="BSL12" s="4"/>
      <c r="BSM12" s="4"/>
      <c r="BSN12" s="4"/>
      <c r="BSQ12" s="34"/>
      <c r="BSR12" s="34"/>
      <c r="BST12" s="34"/>
      <c r="BSU12" s="72"/>
      <c r="BSV12" s="63"/>
      <c r="BSW12" s="34"/>
      <c r="BSX12" s="64"/>
      <c r="BSY12" s="4"/>
      <c r="BSZ12" s="65"/>
      <c r="BTA12" s="4"/>
      <c r="BTB12" s="4"/>
      <c r="BTC12" s="4"/>
      <c r="BTF12" s="34"/>
      <c r="BTG12" s="34"/>
      <c r="BTI12" s="34"/>
      <c r="BTJ12" s="72"/>
      <c r="BTK12" s="63"/>
      <c r="BTL12" s="34"/>
      <c r="BTM12" s="64"/>
      <c r="BTN12" s="4"/>
      <c r="BTO12" s="65"/>
      <c r="BTP12" s="4"/>
      <c r="BTQ12" s="4"/>
      <c r="BTR12" s="4"/>
      <c r="BTU12" s="34"/>
      <c r="BTV12" s="34"/>
      <c r="BTX12" s="34"/>
      <c r="BTY12" s="72"/>
      <c r="BTZ12" s="63"/>
      <c r="BUA12" s="34"/>
      <c r="BUB12" s="64"/>
      <c r="BUC12" s="4"/>
      <c r="BUD12" s="65"/>
      <c r="BUE12" s="4"/>
      <c r="BUF12" s="4"/>
      <c r="BUG12" s="4"/>
      <c r="BUJ12" s="34"/>
      <c r="BUK12" s="34"/>
      <c r="BUM12" s="34"/>
      <c r="BUN12" s="72"/>
      <c r="BUO12" s="63"/>
      <c r="BUP12" s="34"/>
      <c r="BUQ12" s="64"/>
      <c r="BUR12" s="4"/>
      <c r="BUS12" s="65"/>
      <c r="BUT12" s="4"/>
      <c r="BUU12" s="4"/>
      <c r="BUV12" s="4"/>
      <c r="BUY12" s="34"/>
      <c r="BUZ12" s="34"/>
      <c r="BVB12" s="34"/>
      <c r="BVC12" s="72"/>
      <c r="BVD12" s="63"/>
      <c r="BVE12" s="34"/>
      <c r="BVF12" s="64"/>
      <c r="BVG12" s="4"/>
      <c r="BVH12" s="65"/>
      <c r="BVI12" s="4"/>
      <c r="BVJ12" s="4"/>
      <c r="BVK12" s="4"/>
      <c r="BVN12" s="34"/>
      <c r="BVO12" s="34"/>
      <c r="BVQ12" s="34"/>
      <c r="BVR12" s="72"/>
      <c r="BVS12" s="63"/>
      <c r="BVT12" s="34"/>
      <c r="BVU12" s="64"/>
      <c r="BVV12" s="4"/>
      <c r="BVW12" s="65"/>
      <c r="BVX12" s="4"/>
      <c r="BVY12" s="4"/>
      <c r="BVZ12" s="4"/>
      <c r="BWC12" s="34"/>
      <c r="BWD12" s="34"/>
      <c r="BWF12" s="34"/>
      <c r="BWG12" s="72"/>
      <c r="BWH12" s="63"/>
      <c r="BWI12" s="34"/>
      <c r="BWJ12" s="64"/>
      <c r="BWK12" s="4"/>
      <c r="BWL12" s="65"/>
      <c r="BWM12" s="4"/>
      <c r="BWN12" s="4"/>
      <c r="BWO12" s="4"/>
      <c r="BWR12" s="34"/>
      <c r="BWS12" s="34"/>
      <c r="BWU12" s="34"/>
      <c r="BWV12" s="72"/>
      <c r="BWW12" s="63"/>
      <c r="BWX12" s="34"/>
      <c r="BWY12" s="64"/>
      <c r="BWZ12" s="4"/>
      <c r="BXA12" s="65"/>
      <c r="BXB12" s="4"/>
      <c r="BXC12" s="4"/>
      <c r="BXD12" s="4"/>
      <c r="BXG12" s="34"/>
      <c r="BXH12" s="34"/>
      <c r="BXJ12" s="34"/>
      <c r="BXK12" s="72"/>
      <c r="BXL12" s="63"/>
      <c r="BXM12" s="34"/>
      <c r="BXN12" s="64"/>
      <c r="BXO12" s="4"/>
      <c r="BXP12" s="65"/>
      <c r="BXQ12" s="4"/>
      <c r="BXR12" s="4"/>
      <c r="BXS12" s="4"/>
      <c r="BXV12" s="34"/>
      <c r="BXW12" s="34"/>
      <c r="BXY12" s="34"/>
      <c r="BXZ12" s="72"/>
      <c r="BYA12" s="63"/>
      <c r="BYB12" s="34"/>
      <c r="BYC12" s="64"/>
      <c r="BYD12" s="4"/>
      <c r="BYE12" s="65"/>
      <c r="BYF12" s="4"/>
      <c r="BYG12" s="4"/>
      <c r="BYH12" s="4"/>
      <c r="BYK12" s="34"/>
      <c r="BYL12" s="34"/>
      <c r="BYN12" s="34"/>
      <c r="BYO12" s="72"/>
      <c r="BYP12" s="63"/>
      <c r="BYQ12" s="34"/>
      <c r="BYR12" s="64"/>
      <c r="BYS12" s="4"/>
      <c r="BYT12" s="65"/>
      <c r="BYU12" s="4"/>
      <c r="BYV12" s="4"/>
      <c r="BYW12" s="4"/>
      <c r="BYZ12" s="34"/>
      <c r="BZA12" s="34"/>
      <c r="BZC12" s="34"/>
      <c r="BZD12" s="72"/>
      <c r="BZE12" s="63"/>
      <c r="BZF12" s="34"/>
      <c r="BZG12" s="64"/>
      <c r="BZH12" s="4"/>
      <c r="BZI12" s="65"/>
      <c r="BZJ12" s="4"/>
      <c r="BZK12" s="4"/>
      <c r="BZL12" s="4"/>
      <c r="BZO12" s="34"/>
      <c r="BZP12" s="34"/>
      <c r="BZR12" s="34"/>
      <c r="BZS12" s="72"/>
      <c r="BZT12" s="63"/>
      <c r="BZU12" s="34"/>
      <c r="BZV12" s="64"/>
      <c r="BZW12" s="4"/>
      <c r="BZX12" s="65"/>
      <c r="BZY12" s="4"/>
      <c r="BZZ12" s="4"/>
      <c r="CAA12" s="4"/>
      <c r="CAD12" s="34"/>
      <c r="CAE12" s="34"/>
      <c r="CAG12" s="34"/>
      <c r="CAH12" s="72"/>
      <c r="CAI12" s="63"/>
      <c r="CAJ12" s="34"/>
      <c r="CAK12" s="64"/>
      <c r="CAL12" s="4"/>
      <c r="CAM12" s="65"/>
      <c r="CAN12" s="4"/>
      <c r="CAO12" s="4"/>
      <c r="CAP12" s="4"/>
      <c r="CAS12" s="34"/>
      <c r="CAT12" s="34"/>
      <c r="CAV12" s="34"/>
      <c r="CAW12" s="72"/>
      <c r="CAX12" s="63"/>
      <c r="CAY12" s="34"/>
      <c r="CAZ12" s="64"/>
      <c r="CBA12" s="4"/>
      <c r="CBB12" s="65"/>
      <c r="CBC12" s="4"/>
      <c r="CBD12" s="4"/>
      <c r="CBE12" s="4"/>
      <c r="CBH12" s="34"/>
      <c r="CBI12" s="34"/>
      <c r="CBK12" s="34"/>
      <c r="CBL12" s="72"/>
      <c r="CBM12" s="63"/>
      <c r="CBN12" s="34"/>
      <c r="CBO12" s="64"/>
      <c r="CBP12" s="4"/>
      <c r="CBQ12" s="65"/>
      <c r="CBR12" s="4"/>
      <c r="CBS12" s="4"/>
      <c r="CBT12" s="4"/>
      <c r="CBW12" s="34"/>
      <c r="CBX12" s="34"/>
      <c r="CBZ12" s="34"/>
      <c r="CCA12" s="72"/>
      <c r="CCB12" s="63"/>
      <c r="CCC12" s="34"/>
      <c r="CCD12" s="64"/>
      <c r="CCE12" s="4"/>
      <c r="CCF12" s="65"/>
      <c r="CCG12" s="4"/>
      <c r="CCH12" s="4"/>
      <c r="CCI12" s="4"/>
      <c r="CCL12" s="34"/>
      <c r="CCM12" s="34"/>
      <c r="CCO12" s="34"/>
      <c r="CCP12" s="72"/>
      <c r="CCQ12" s="63"/>
      <c r="CCR12" s="34"/>
      <c r="CCS12" s="64"/>
      <c r="CCT12" s="4"/>
      <c r="CCU12" s="65"/>
      <c r="CCV12" s="4"/>
      <c r="CCW12" s="4"/>
      <c r="CCX12" s="4"/>
      <c r="CDA12" s="34"/>
      <c r="CDB12" s="34"/>
      <c r="CDD12" s="34"/>
      <c r="CDE12" s="72"/>
      <c r="CDF12" s="63"/>
      <c r="CDG12" s="34"/>
      <c r="CDH12" s="64"/>
      <c r="CDI12" s="4"/>
      <c r="CDJ12" s="65"/>
      <c r="CDK12" s="4"/>
      <c r="CDL12" s="4"/>
      <c r="CDM12" s="4"/>
      <c r="CDP12" s="34"/>
      <c r="CDQ12" s="34"/>
      <c r="CDS12" s="34"/>
      <c r="CDT12" s="72"/>
      <c r="CDU12" s="63"/>
      <c r="CDV12" s="34"/>
      <c r="CDW12" s="64"/>
      <c r="CDX12" s="4"/>
      <c r="CDY12" s="65"/>
      <c r="CDZ12" s="4"/>
      <c r="CEA12" s="4"/>
      <c r="CEB12" s="4"/>
      <c r="CEE12" s="34"/>
      <c r="CEF12" s="34"/>
      <c r="CEH12" s="34"/>
      <c r="CEI12" s="72"/>
      <c r="CEJ12" s="63"/>
      <c r="CEK12" s="34"/>
      <c r="CEL12" s="64"/>
      <c r="CEM12" s="4"/>
      <c r="CEN12" s="65"/>
      <c r="CEO12" s="4"/>
      <c r="CEP12" s="4"/>
      <c r="CEQ12" s="4"/>
      <c r="CET12" s="34"/>
      <c r="CEU12" s="34"/>
      <c r="CEW12" s="34"/>
      <c r="CEX12" s="72"/>
      <c r="CEY12" s="63"/>
      <c r="CEZ12" s="34"/>
      <c r="CFA12" s="64"/>
      <c r="CFB12" s="4"/>
      <c r="CFC12" s="65"/>
      <c r="CFD12" s="4"/>
      <c r="CFE12" s="4"/>
      <c r="CFF12" s="4"/>
      <c r="CFI12" s="34"/>
      <c r="CFJ12" s="34"/>
      <c r="CFL12" s="34"/>
      <c r="CFM12" s="72"/>
      <c r="CFN12" s="63"/>
      <c r="CFO12" s="34"/>
      <c r="CFP12" s="64"/>
      <c r="CFQ12" s="4"/>
      <c r="CFR12" s="65"/>
      <c r="CFS12" s="4"/>
      <c r="CFT12" s="4"/>
      <c r="CFU12" s="4"/>
      <c r="CFX12" s="34"/>
      <c r="CFY12" s="34"/>
      <c r="CGA12" s="34"/>
      <c r="CGB12" s="72"/>
      <c r="CGC12" s="63"/>
      <c r="CGD12" s="34"/>
      <c r="CGE12" s="64"/>
      <c r="CGF12" s="4"/>
      <c r="CGG12" s="65"/>
      <c r="CGH12" s="4"/>
      <c r="CGI12" s="4"/>
      <c r="CGJ12" s="4"/>
      <c r="CGM12" s="34"/>
      <c r="CGN12" s="34"/>
      <c r="CGP12" s="34"/>
      <c r="CGQ12" s="72"/>
      <c r="CGR12" s="63"/>
      <c r="CGS12" s="34"/>
      <c r="CGT12" s="64"/>
      <c r="CGU12" s="4"/>
      <c r="CGV12" s="65"/>
      <c r="CGW12" s="4"/>
      <c r="CGX12" s="4"/>
      <c r="CGY12" s="4"/>
      <c r="CHB12" s="34"/>
      <c r="CHC12" s="34"/>
      <c r="CHE12" s="34"/>
      <c r="CHF12" s="72"/>
      <c r="CHG12" s="63"/>
      <c r="CHH12" s="34"/>
      <c r="CHI12" s="64"/>
      <c r="CHJ12" s="4"/>
      <c r="CHK12" s="65"/>
      <c r="CHL12" s="4"/>
      <c r="CHM12" s="4"/>
      <c r="CHN12" s="4"/>
      <c r="CHQ12" s="34"/>
      <c r="CHR12" s="34"/>
      <c r="CHT12" s="34"/>
      <c r="CHU12" s="72"/>
      <c r="CHV12" s="63"/>
      <c r="CHW12" s="34"/>
      <c r="CHX12" s="64"/>
      <c r="CHY12" s="4"/>
      <c r="CHZ12" s="65"/>
      <c r="CIA12" s="4"/>
      <c r="CIB12" s="4"/>
      <c r="CIC12" s="4"/>
      <c r="CIF12" s="34"/>
      <c r="CIG12" s="34"/>
      <c r="CII12" s="34"/>
      <c r="CIJ12" s="72"/>
      <c r="CIK12" s="63"/>
      <c r="CIL12" s="34"/>
      <c r="CIM12" s="64"/>
      <c r="CIN12" s="4"/>
      <c r="CIO12" s="65"/>
      <c r="CIP12" s="4"/>
      <c r="CIQ12" s="4"/>
      <c r="CIR12" s="4"/>
      <c r="CIU12" s="34"/>
      <c r="CIV12" s="34"/>
      <c r="CIX12" s="34"/>
      <c r="CIY12" s="72"/>
      <c r="CIZ12" s="63"/>
      <c r="CJA12" s="34"/>
      <c r="CJB12" s="64"/>
      <c r="CJC12" s="4"/>
      <c r="CJD12" s="65"/>
      <c r="CJE12" s="4"/>
      <c r="CJF12" s="4"/>
      <c r="CJG12" s="4"/>
      <c r="CJJ12" s="34"/>
      <c r="CJK12" s="34"/>
      <c r="CJM12" s="34"/>
      <c r="CJN12" s="72"/>
      <c r="CJO12" s="63"/>
      <c r="CJP12" s="34"/>
      <c r="CJQ12" s="64"/>
      <c r="CJR12" s="4"/>
      <c r="CJS12" s="65"/>
      <c r="CJT12" s="4"/>
      <c r="CJU12" s="4"/>
      <c r="CJV12" s="4"/>
      <c r="CJY12" s="34"/>
      <c r="CJZ12" s="34"/>
      <c r="CKB12" s="34"/>
      <c r="CKC12" s="72"/>
      <c r="CKD12" s="63"/>
      <c r="CKE12" s="34"/>
      <c r="CKF12" s="64"/>
      <c r="CKG12" s="4"/>
      <c r="CKH12" s="65"/>
      <c r="CKI12" s="4"/>
      <c r="CKJ12" s="4"/>
      <c r="CKK12" s="4"/>
      <c r="CKN12" s="34"/>
      <c r="CKO12" s="34"/>
      <c r="CKQ12" s="34"/>
      <c r="CKR12" s="72"/>
      <c r="CKS12" s="63"/>
      <c r="CKT12" s="34"/>
      <c r="CKU12" s="64"/>
      <c r="CKV12" s="4"/>
      <c r="CKW12" s="65"/>
      <c r="CKX12" s="4"/>
      <c r="CKY12" s="4"/>
      <c r="CKZ12" s="4"/>
      <c r="CLC12" s="34"/>
      <c r="CLD12" s="34"/>
      <c r="CLF12" s="34"/>
      <c r="CLG12" s="72"/>
      <c r="CLH12" s="63"/>
      <c r="CLI12" s="34"/>
      <c r="CLJ12" s="64"/>
      <c r="CLK12" s="4"/>
      <c r="CLL12" s="65"/>
      <c r="CLM12" s="4"/>
      <c r="CLN12" s="4"/>
      <c r="CLO12" s="4"/>
      <c r="CLR12" s="34"/>
      <c r="CLS12" s="34"/>
      <c r="CLU12" s="34"/>
      <c r="CLV12" s="72"/>
      <c r="CLW12" s="63"/>
      <c r="CLX12" s="34"/>
      <c r="CLY12" s="64"/>
      <c r="CLZ12" s="4"/>
      <c r="CMA12" s="65"/>
      <c r="CMB12" s="4"/>
      <c r="CMC12" s="4"/>
      <c r="CMD12" s="4"/>
      <c r="CMG12" s="34"/>
      <c r="CMH12" s="34"/>
      <c r="CMJ12" s="34"/>
      <c r="CMK12" s="72"/>
      <c r="CML12" s="63"/>
      <c r="CMM12" s="34"/>
      <c r="CMN12" s="64"/>
      <c r="CMO12" s="4"/>
      <c r="CMP12" s="65"/>
      <c r="CMQ12" s="4"/>
      <c r="CMR12" s="4"/>
      <c r="CMS12" s="4"/>
      <c r="CMV12" s="34"/>
      <c r="CMW12" s="34"/>
      <c r="CMY12" s="34"/>
      <c r="CMZ12" s="72"/>
      <c r="CNA12" s="63"/>
      <c r="CNB12" s="34"/>
      <c r="CNC12" s="64"/>
      <c r="CND12" s="4"/>
      <c r="CNE12" s="65"/>
      <c r="CNF12" s="4"/>
      <c r="CNG12" s="4"/>
      <c r="CNH12" s="4"/>
      <c r="CNK12" s="34"/>
      <c r="CNL12" s="34"/>
      <c r="CNN12" s="34"/>
      <c r="CNO12" s="72"/>
      <c r="CNP12" s="63"/>
      <c r="CNQ12" s="34"/>
      <c r="CNR12" s="64"/>
      <c r="CNS12" s="4"/>
      <c r="CNT12" s="65"/>
      <c r="CNU12" s="4"/>
      <c r="CNV12" s="4"/>
      <c r="CNW12" s="4"/>
      <c r="CNZ12" s="34"/>
      <c r="COA12" s="34"/>
      <c r="COC12" s="34"/>
      <c r="COD12" s="72"/>
      <c r="COE12" s="63"/>
      <c r="COF12" s="34"/>
      <c r="COG12" s="64"/>
      <c r="COH12" s="4"/>
      <c r="COI12" s="65"/>
      <c r="COJ12" s="4"/>
      <c r="COK12" s="4"/>
      <c r="COL12" s="4"/>
      <c r="COO12" s="34"/>
      <c r="COP12" s="34"/>
      <c r="COR12" s="34"/>
      <c r="COS12" s="72"/>
      <c r="COT12" s="63"/>
      <c r="COU12" s="34"/>
      <c r="COV12" s="64"/>
      <c r="COW12" s="4"/>
      <c r="COX12" s="65"/>
      <c r="COY12" s="4"/>
      <c r="COZ12" s="4"/>
      <c r="CPA12" s="4"/>
      <c r="CPD12" s="34"/>
      <c r="CPE12" s="34"/>
      <c r="CPG12" s="34"/>
      <c r="CPH12" s="72"/>
      <c r="CPI12" s="63"/>
      <c r="CPJ12" s="34"/>
      <c r="CPK12" s="64"/>
      <c r="CPL12" s="4"/>
      <c r="CPM12" s="65"/>
      <c r="CPN12" s="4"/>
      <c r="CPO12" s="4"/>
      <c r="CPP12" s="4"/>
      <c r="CPS12" s="34"/>
      <c r="CPT12" s="34"/>
      <c r="CPV12" s="34"/>
      <c r="CPW12" s="72"/>
      <c r="CPX12" s="63"/>
      <c r="CPY12" s="34"/>
      <c r="CPZ12" s="64"/>
      <c r="CQA12" s="4"/>
      <c r="CQB12" s="65"/>
      <c r="CQC12" s="4"/>
      <c r="CQD12" s="4"/>
      <c r="CQE12" s="4"/>
      <c r="CQH12" s="34"/>
      <c r="CQI12" s="34"/>
      <c r="CQK12" s="34"/>
      <c r="CQL12" s="72"/>
      <c r="CQM12" s="63"/>
      <c r="CQN12" s="34"/>
      <c r="CQO12" s="64"/>
      <c r="CQP12" s="4"/>
      <c r="CQQ12" s="65"/>
      <c r="CQR12" s="4"/>
      <c r="CQS12" s="4"/>
      <c r="CQT12" s="4"/>
      <c r="CQW12" s="34"/>
      <c r="CQX12" s="34"/>
      <c r="CQZ12" s="34"/>
      <c r="CRA12" s="72"/>
      <c r="CRB12" s="63"/>
      <c r="CRC12" s="34"/>
      <c r="CRD12" s="64"/>
      <c r="CRE12" s="4"/>
      <c r="CRF12" s="65"/>
      <c r="CRG12" s="4"/>
      <c r="CRH12" s="4"/>
      <c r="CRI12" s="4"/>
      <c r="CRL12" s="34"/>
      <c r="CRM12" s="34"/>
      <c r="CRO12" s="34"/>
      <c r="CRP12" s="72"/>
      <c r="CRQ12" s="63"/>
      <c r="CRR12" s="34"/>
      <c r="CRS12" s="64"/>
      <c r="CRT12" s="4"/>
      <c r="CRU12" s="65"/>
      <c r="CRV12" s="4"/>
      <c r="CRW12" s="4"/>
      <c r="CRX12" s="4"/>
      <c r="CSA12" s="34"/>
      <c r="CSB12" s="34"/>
      <c r="CSD12" s="34"/>
      <c r="CSE12" s="72"/>
      <c r="CSF12" s="63"/>
      <c r="CSG12" s="34"/>
      <c r="CSH12" s="64"/>
      <c r="CSI12" s="4"/>
      <c r="CSJ12" s="65"/>
      <c r="CSK12" s="4"/>
      <c r="CSL12" s="4"/>
      <c r="CSM12" s="4"/>
      <c r="CSP12" s="34"/>
      <c r="CSQ12" s="34"/>
      <c r="CSS12" s="34"/>
      <c r="CST12" s="72"/>
      <c r="CSU12" s="63"/>
      <c r="CSV12" s="34"/>
      <c r="CSW12" s="64"/>
      <c r="CSX12" s="4"/>
      <c r="CSY12" s="65"/>
      <c r="CSZ12" s="4"/>
      <c r="CTA12" s="4"/>
      <c r="CTB12" s="4"/>
      <c r="CTE12" s="34"/>
      <c r="CTF12" s="34"/>
      <c r="CTH12" s="34"/>
      <c r="CTI12" s="72"/>
      <c r="CTJ12" s="63"/>
      <c r="CTK12" s="34"/>
      <c r="CTL12" s="64"/>
      <c r="CTM12" s="4"/>
      <c r="CTN12" s="65"/>
      <c r="CTO12" s="4"/>
      <c r="CTP12" s="4"/>
      <c r="CTQ12" s="4"/>
      <c r="CTT12" s="34"/>
      <c r="CTU12" s="34"/>
      <c r="CTW12" s="34"/>
      <c r="CTX12" s="72"/>
      <c r="CTY12" s="63"/>
      <c r="CTZ12" s="34"/>
      <c r="CUA12" s="64"/>
      <c r="CUB12" s="4"/>
      <c r="CUC12" s="65"/>
      <c r="CUD12" s="4"/>
      <c r="CUE12" s="4"/>
      <c r="CUF12" s="4"/>
      <c r="CUI12" s="34"/>
      <c r="CUJ12" s="34"/>
      <c r="CUL12" s="34"/>
      <c r="CUM12" s="72"/>
      <c r="CUN12" s="63"/>
      <c r="CUO12" s="34"/>
      <c r="CUP12" s="64"/>
      <c r="CUQ12" s="4"/>
      <c r="CUR12" s="65"/>
      <c r="CUS12" s="4"/>
      <c r="CUT12" s="4"/>
      <c r="CUU12" s="4"/>
      <c r="CUX12" s="34"/>
      <c r="CUY12" s="34"/>
      <c r="CVA12" s="34"/>
      <c r="CVB12" s="72"/>
      <c r="CVC12" s="63"/>
      <c r="CVD12" s="34"/>
      <c r="CVE12" s="64"/>
      <c r="CVF12" s="4"/>
      <c r="CVG12" s="65"/>
      <c r="CVH12" s="4"/>
      <c r="CVI12" s="4"/>
      <c r="CVJ12" s="4"/>
      <c r="CVM12" s="34"/>
      <c r="CVN12" s="34"/>
      <c r="CVP12" s="34"/>
      <c r="CVQ12" s="72"/>
      <c r="CVR12" s="63"/>
      <c r="CVS12" s="34"/>
      <c r="CVT12" s="64"/>
      <c r="CVU12" s="4"/>
      <c r="CVV12" s="65"/>
      <c r="CVW12" s="4"/>
      <c r="CVX12" s="4"/>
      <c r="CVY12" s="4"/>
      <c r="CWB12" s="34"/>
      <c r="CWC12" s="34"/>
      <c r="CWE12" s="34"/>
      <c r="CWF12" s="72"/>
      <c r="CWG12" s="63"/>
      <c r="CWH12" s="34"/>
      <c r="CWI12" s="64"/>
      <c r="CWJ12" s="4"/>
      <c r="CWK12" s="65"/>
      <c r="CWL12" s="4"/>
      <c r="CWM12" s="4"/>
      <c r="CWN12" s="4"/>
      <c r="CWQ12" s="34"/>
      <c r="CWR12" s="34"/>
      <c r="CWT12" s="34"/>
      <c r="CWU12" s="72"/>
      <c r="CWV12" s="63"/>
      <c r="CWW12" s="34"/>
      <c r="CWX12" s="64"/>
      <c r="CWY12" s="4"/>
      <c r="CWZ12" s="65"/>
      <c r="CXA12" s="4"/>
      <c r="CXB12" s="4"/>
      <c r="CXC12" s="4"/>
      <c r="CXF12" s="34"/>
      <c r="CXG12" s="34"/>
      <c r="CXI12" s="34"/>
      <c r="CXJ12" s="72"/>
      <c r="CXK12" s="63"/>
      <c r="CXL12" s="34"/>
      <c r="CXM12" s="64"/>
      <c r="CXN12" s="4"/>
      <c r="CXO12" s="65"/>
      <c r="CXP12" s="4"/>
      <c r="CXQ12" s="4"/>
      <c r="CXR12" s="4"/>
      <c r="CXU12" s="34"/>
      <c r="CXV12" s="34"/>
      <c r="CXX12" s="34"/>
      <c r="CXY12" s="72"/>
      <c r="CXZ12" s="63"/>
      <c r="CYA12" s="34"/>
      <c r="CYB12" s="64"/>
      <c r="CYC12" s="4"/>
      <c r="CYD12" s="65"/>
      <c r="CYE12" s="4"/>
      <c r="CYF12" s="4"/>
      <c r="CYG12" s="4"/>
      <c r="CYJ12" s="34"/>
      <c r="CYK12" s="34"/>
      <c r="CYM12" s="34"/>
      <c r="CYN12" s="72"/>
      <c r="CYO12" s="63"/>
      <c r="CYP12" s="34"/>
      <c r="CYQ12" s="64"/>
      <c r="CYR12" s="4"/>
      <c r="CYS12" s="65"/>
      <c r="CYT12" s="4"/>
      <c r="CYU12" s="4"/>
      <c r="CYV12" s="4"/>
      <c r="CYY12" s="34"/>
      <c r="CYZ12" s="34"/>
      <c r="CZB12" s="34"/>
      <c r="CZC12" s="72"/>
      <c r="CZD12" s="63"/>
      <c r="CZE12" s="34"/>
      <c r="CZF12" s="64"/>
      <c r="CZG12" s="4"/>
      <c r="CZH12" s="65"/>
      <c r="CZI12" s="4"/>
      <c r="CZJ12" s="4"/>
      <c r="CZK12" s="4"/>
      <c r="CZN12" s="34"/>
      <c r="CZO12" s="34"/>
      <c r="CZQ12" s="34"/>
      <c r="CZR12" s="72"/>
      <c r="CZS12" s="63"/>
      <c r="CZT12" s="34"/>
      <c r="CZU12" s="64"/>
      <c r="CZV12" s="4"/>
      <c r="CZW12" s="65"/>
      <c r="CZX12" s="4"/>
      <c r="CZY12" s="4"/>
      <c r="CZZ12" s="4"/>
      <c r="DAC12" s="34"/>
      <c r="DAD12" s="34"/>
      <c r="DAF12" s="34"/>
      <c r="DAG12" s="72"/>
      <c r="DAH12" s="63"/>
      <c r="DAI12" s="34"/>
      <c r="DAJ12" s="64"/>
      <c r="DAK12" s="4"/>
      <c r="DAL12" s="65"/>
      <c r="DAM12" s="4"/>
      <c r="DAN12" s="4"/>
      <c r="DAO12" s="4"/>
      <c r="DAR12" s="34"/>
      <c r="DAS12" s="34"/>
      <c r="DAU12" s="34"/>
      <c r="DAV12" s="72"/>
      <c r="DAW12" s="63"/>
      <c r="DAX12" s="34"/>
      <c r="DAY12" s="64"/>
      <c r="DAZ12" s="4"/>
      <c r="DBA12" s="65"/>
      <c r="DBB12" s="4"/>
      <c r="DBC12" s="4"/>
      <c r="DBD12" s="4"/>
      <c r="DBG12" s="34"/>
      <c r="DBH12" s="34"/>
      <c r="DBJ12" s="34"/>
      <c r="DBK12" s="72"/>
      <c r="DBL12" s="63"/>
      <c r="DBM12" s="34"/>
      <c r="DBN12" s="64"/>
      <c r="DBO12" s="4"/>
      <c r="DBP12" s="65"/>
      <c r="DBQ12" s="4"/>
      <c r="DBR12" s="4"/>
      <c r="DBS12" s="4"/>
      <c r="DBV12" s="34"/>
      <c r="DBW12" s="34"/>
      <c r="DBY12" s="34"/>
      <c r="DBZ12" s="72"/>
      <c r="DCA12" s="63"/>
      <c r="DCB12" s="34"/>
      <c r="DCC12" s="64"/>
      <c r="DCD12" s="4"/>
      <c r="DCE12" s="65"/>
      <c r="DCF12" s="4"/>
      <c r="DCG12" s="4"/>
      <c r="DCH12" s="4"/>
      <c r="DCK12" s="34"/>
      <c r="DCL12" s="34"/>
      <c r="DCN12" s="34"/>
      <c r="DCO12" s="72"/>
      <c r="DCP12" s="63"/>
      <c r="DCQ12" s="34"/>
      <c r="DCR12" s="64"/>
      <c r="DCS12" s="4"/>
      <c r="DCT12" s="65"/>
      <c r="DCU12" s="4"/>
      <c r="DCV12" s="4"/>
      <c r="DCW12" s="4"/>
      <c r="DCZ12" s="34"/>
      <c r="DDA12" s="34"/>
      <c r="DDC12" s="34"/>
      <c r="DDD12" s="72"/>
      <c r="DDE12" s="63"/>
      <c r="DDF12" s="34"/>
      <c r="DDG12" s="64"/>
      <c r="DDH12" s="4"/>
      <c r="DDI12" s="65"/>
      <c r="DDJ12" s="4"/>
      <c r="DDK12" s="4"/>
      <c r="DDL12" s="4"/>
      <c r="DDO12" s="34"/>
      <c r="DDP12" s="34"/>
      <c r="DDR12" s="34"/>
      <c r="DDS12" s="72"/>
      <c r="DDT12" s="63"/>
      <c r="DDU12" s="34"/>
      <c r="DDV12" s="64"/>
      <c r="DDW12" s="4"/>
      <c r="DDX12" s="65"/>
      <c r="DDY12" s="4"/>
      <c r="DDZ12" s="4"/>
      <c r="DEA12" s="4"/>
      <c r="DED12" s="34"/>
      <c r="DEE12" s="34"/>
      <c r="DEG12" s="34"/>
      <c r="DEH12" s="72"/>
      <c r="DEI12" s="63"/>
      <c r="DEJ12" s="34"/>
      <c r="DEK12" s="64"/>
      <c r="DEL12" s="4"/>
      <c r="DEM12" s="65"/>
      <c r="DEN12" s="4"/>
      <c r="DEO12" s="4"/>
      <c r="DEP12" s="4"/>
      <c r="DES12" s="34"/>
      <c r="DET12" s="34"/>
      <c r="DEV12" s="34"/>
      <c r="DEW12" s="72"/>
      <c r="DEX12" s="63"/>
      <c r="DEY12" s="34"/>
      <c r="DEZ12" s="64"/>
      <c r="DFA12" s="4"/>
      <c r="DFB12" s="65"/>
      <c r="DFC12" s="4"/>
      <c r="DFD12" s="4"/>
      <c r="DFE12" s="4"/>
      <c r="DFH12" s="34"/>
      <c r="DFI12" s="34"/>
      <c r="DFK12" s="34"/>
      <c r="DFL12" s="72"/>
      <c r="DFM12" s="63"/>
      <c r="DFN12" s="34"/>
      <c r="DFO12" s="64"/>
      <c r="DFP12" s="4"/>
      <c r="DFQ12" s="65"/>
      <c r="DFR12" s="4"/>
      <c r="DFS12" s="4"/>
      <c r="DFT12" s="4"/>
      <c r="DFW12" s="34"/>
      <c r="DFX12" s="34"/>
      <c r="DFZ12" s="34"/>
      <c r="DGA12" s="72"/>
      <c r="DGB12" s="63"/>
      <c r="DGC12" s="34"/>
      <c r="DGD12" s="64"/>
      <c r="DGE12" s="4"/>
      <c r="DGF12" s="65"/>
      <c r="DGG12" s="4"/>
      <c r="DGH12" s="4"/>
      <c r="DGI12" s="4"/>
      <c r="DGL12" s="34"/>
      <c r="DGM12" s="34"/>
      <c r="DGO12" s="34"/>
      <c r="DGP12" s="72"/>
      <c r="DGQ12" s="63"/>
      <c r="DGR12" s="34"/>
      <c r="DGS12" s="64"/>
      <c r="DGT12" s="4"/>
      <c r="DGU12" s="65"/>
      <c r="DGV12" s="4"/>
      <c r="DGW12" s="4"/>
      <c r="DGX12" s="4"/>
      <c r="DHA12" s="34"/>
      <c r="DHB12" s="34"/>
      <c r="DHD12" s="34"/>
      <c r="DHE12" s="72"/>
      <c r="DHF12" s="63"/>
      <c r="DHG12" s="34"/>
      <c r="DHH12" s="64"/>
      <c r="DHI12" s="4"/>
      <c r="DHJ12" s="65"/>
      <c r="DHK12" s="4"/>
      <c r="DHL12" s="4"/>
      <c r="DHM12" s="4"/>
      <c r="DHP12" s="34"/>
      <c r="DHQ12" s="34"/>
      <c r="DHS12" s="34"/>
      <c r="DHT12" s="72"/>
      <c r="DHU12" s="63"/>
      <c r="DHV12" s="34"/>
      <c r="DHW12" s="64"/>
      <c r="DHX12" s="4"/>
      <c r="DHY12" s="65"/>
      <c r="DHZ12" s="4"/>
      <c r="DIA12" s="4"/>
      <c r="DIB12" s="4"/>
      <c r="DIE12" s="34"/>
      <c r="DIF12" s="34"/>
      <c r="DIH12" s="34"/>
      <c r="DII12" s="72"/>
      <c r="DIJ12" s="63"/>
      <c r="DIK12" s="34"/>
      <c r="DIL12" s="64"/>
      <c r="DIM12" s="4"/>
      <c r="DIN12" s="65"/>
      <c r="DIO12" s="4"/>
      <c r="DIP12" s="4"/>
      <c r="DIQ12" s="4"/>
      <c r="DIT12" s="34"/>
      <c r="DIU12" s="34"/>
      <c r="DIW12" s="34"/>
      <c r="DIX12" s="72"/>
      <c r="DIY12" s="63"/>
      <c r="DIZ12" s="34"/>
      <c r="DJA12" s="64"/>
      <c r="DJB12" s="4"/>
      <c r="DJC12" s="65"/>
      <c r="DJD12" s="4"/>
      <c r="DJE12" s="4"/>
      <c r="DJF12" s="4"/>
      <c r="DJI12" s="34"/>
      <c r="DJJ12" s="34"/>
      <c r="DJL12" s="34"/>
      <c r="DJM12" s="72"/>
      <c r="DJN12" s="63"/>
      <c r="DJO12" s="34"/>
      <c r="DJP12" s="64"/>
      <c r="DJQ12" s="4"/>
      <c r="DJR12" s="65"/>
      <c r="DJS12" s="4"/>
      <c r="DJT12" s="4"/>
      <c r="DJU12" s="4"/>
      <c r="DJX12" s="34"/>
      <c r="DJY12" s="34"/>
      <c r="DKA12" s="34"/>
      <c r="DKB12" s="72"/>
      <c r="DKC12" s="63"/>
      <c r="DKD12" s="34"/>
      <c r="DKE12" s="64"/>
      <c r="DKF12" s="4"/>
      <c r="DKG12" s="65"/>
      <c r="DKH12" s="4"/>
      <c r="DKI12" s="4"/>
      <c r="DKJ12" s="4"/>
      <c r="DKM12" s="34"/>
      <c r="DKN12" s="34"/>
      <c r="DKP12" s="34"/>
      <c r="DKQ12" s="72"/>
      <c r="DKR12" s="63"/>
      <c r="DKS12" s="34"/>
      <c r="DKT12" s="64"/>
      <c r="DKU12" s="4"/>
      <c r="DKV12" s="65"/>
      <c r="DKW12" s="4"/>
      <c r="DKX12" s="4"/>
      <c r="DKY12" s="4"/>
      <c r="DLB12" s="34"/>
      <c r="DLC12" s="34"/>
      <c r="DLE12" s="34"/>
      <c r="DLF12" s="72"/>
      <c r="DLG12" s="63"/>
      <c r="DLH12" s="34"/>
      <c r="DLI12" s="64"/>
      <c r="DLJ12" s="4"/>
      <c r="DLK12" s="65"/>
      <c r="DLL12" s="4"/>
      <c r="DLM12" s="4"/>
      <c r="DLN12" s="4"/>
      <c r="DLQ12" s="34"/>
      <c r="DLR12" s="34"/>
      <c r="DLT12" s="34"/>
      <c r="DLU12" s="72"/>
      <c r="DLV12" s="63"/>
      <c r="DLW12" s="34"/>
      <c r="DLX12" s="64"/>
      <c r="DLY12" s="4"/>
      <c r="DLZ12" s="65"/>
      <c r="DMA12" s="4"/>
      <c r="DMB12" s="4"/>
      <c r="DMC12" s="4"/>
      <c r="DMF12" s="34"/>
      <c r="DMG12" s="34"/>
      <c r="DMI12" s="34"/>
      <c r="DMJ12" s="72"/>
      <c r="DMK12" s="63"/>
      <c r="DML12" s="34"/>
      <c r="DMM12" s="64"/>
      <c r="DMN12" s="4"/>
      <c r="DMO12" s="65"/>
      <c r="DMP12" s="4"/>
      <c r="DMQ12" s="4"/>
      <c r="DMR12" s="4"/>
      <c r="DMU12" s="34"/>
      <c r="DMV12" s="34"/>
      <c r="DMX12" s="34"/>
      <c r="DMY12" s="72"/>
      <c r="DMZ12" s="63"/>
      <c r="DNA12" s="34"/>
      <c r="DNB12" s="64"/>
      <c r="DNC12" s="4"/>
      <c r="DND12" s="65"/>
      <c r="DNE12" s="4"/>
      <c r="DNF12" s="4"/>
      <c r="DNG12" s="4"/>
      <c r="DNJ12" s="34"/>
      <c r="DNK12" s="34"/>
      <c r="DNM12" s="34"/>
      <c r="DNN12" s="72"/>
      <c r="DNO12" s="63"/>
      <c r="DNP12" s="34"/>
      <c r="DNQ12" s="64"/>
      <c r="DNR12" s="4"/>
      <c r="DNS12" s="65"/>
      <c r="DNT12" s="4"/>
      <c r="DNU12" s="4"/>
      <c r="DNV12" s="4"/>
      <c r="DNY12" s="34"/>
      <c r="DNZ12" s="34"/>
      <c r="DOB12" s="34"/>
      <c r="DOC12" s="72"/>
      <c r="DOD12" s="63"/>
      <c r="DOE12" s="34"/>
      <c r="DOF12" s="64"/>
      <c r="DOG12" s="4"/>
      <c r="DOH12" s="65"/>
      <c r="DOI12" s="4"/>
      <c r="DOJ12" s="4"/>
      <c r="DOK12" s="4"/>
      <c r="DON12" s="34"/>
      <c r="DOO12" s="34"/>
      <c r="DOQ12" s="34"/>
      <c r="DOR12" s="72"/>
      <c r="DOS12" s="63"/>
      <c r="DOT12" s="34"/>
      <c r="DOU12" s="64"/>
      <c r="DOV12" s="4"/>
      <c r="DOW12" s="65"/>
      <c r="DOX12" s="4"/>
      <c r="DOY12" s="4"/>
      <c r="DOZ12" s="4"/>
      <c r="DPC12" s="34"/>
      <c r="DPD12" s="34"/>
      <c r="DPF12" s="34"/>
      <c r="DPG12" s="72"/>
      <c r="DPH12" s="63"/>
      <c r="DPI12" s="34"/>
      <c r="DPJ12" s="64"/>
      <c r="DPK12" s="4"/>
      <c r="DPL12" s="65"/>
      <c r="DPM12" s="4"/>
      <c r="DPN12" s="4"/>
      <c r="DPO12" s="4"/>
      <c r="DPR12" s="34"/>
      <c r="DPS12" s="34"/>
      <c r="DPU12" s="34"/>
      <c r="DPV12" s="72"/>
      <c r="DPW12" s="63"/>
      <c r="DPX12" s="34"/>
      <c r="DPY12" s="64"/>
      <c r="DPZ12" s="4"/>
      <c r="DQA12" s="65"/>
      <c r="DQB12" s="4"/>
      <c r="DQC12" s="4"/>
      <c r="DQD12" s="4"/>
      <c r="DQG12" s="34"/>
      <c r="DQH12" s="34"/>
      <c r="DQJ12" s="34"/>
      <c r="DQK12" s="72"/>
      <c r="DQL12" s="63"/>
      <c r="DQM12" s="34"/>
      <c r="DQN12" s="64"/>
      <c r="DQO12" s="4"/>
      <c r="DQP12" s="65"/>
      <c r="DQQ12" s="4"/>
      <c r="DQR12" s="4"/>
      <c r="DQS12" s="4"/>
      <c r="DQV12" s="34"/>
      <c r="DQW12" s="34"/>
      <c r="DQY12" s="34"/>
      <c r="DQZ12" s="72"/>
      <c r="DRA12" s="63"/>
      <c r="DRB12" s="34"/>
      <c r="DRC12" s="64"/>
      <c r="DRD12" s="4"/>
      <c r="DRE12" s="65"/>
      <c r="DRF12" s="4"/>
      <c r="DRG12" s="4"/>
      <c r="DRH12" s="4"/>
      <c r="DRK12" s="34"/>
      <c r="DRL12" s="34"/>
      <c r="DRN12" s="34"/>
      <c r="DRO12" s="72"/>
      <c r="DRP12" s="63"/>
      <c r="DRQ12" s="34"/>
      <c r="DRR12" s="64"/>
      <c r="DRS12" s="4"/>
      <c r="DRT12" s="65"/>
      <c r="DRU12" s="4"/>
      <c r="DRV12" s="4"/>
      <c r="DRW12" s="4"/>
      <c r="DRZ12" s="34"/>
      <c r="DSA12" s="34"/>
      <c r="DSC12" s="34"/>
      <c r="DSD12" s="72"/>
      <c r="DSE12" s="63"/>
      <c r="DSF12" s="34"/>
      <c r="DSG12" s="64"/>
      <c r="DSH12" s="4"/>
      <c r="DSI12" s="65"/>
      <c r="DSJ12" s="4"/>
      <c r="DSK12" s="4"/>
      <c r="DSL12" s="4"/>
      <c r="DSO12" s="34"/>
      <c r="DSP12" s="34"/>
      <c r="DSR12" s="34"/>
      <c r="DSS12" s="72"/>
      <c r="DST12" s="63"/>
      <c r="DSU12" s="34"/>
      <c r="DSV12" s="64"/>
      <c r="DSW12" s="4"/>
      <c r="DSX12" s="65"/>
      <c r="DSY12" s="4"/>
      <c r="DSZ12" s="4"/>
      <c r="DTA12" s="4"/>
      <c r="DTD12" s="34"/>
      <c r="DTE12" s="34"/>
      <c r="DTG12" s="34"/>
      <c r="DTH12" s="72"/>
      <c r="DTI12" s="63"/>
      <c r="DTJ12" s="34"/>
      <c r="DTK12" s="64"/>
      <c r="DTL12" s="4"/>
      <c r="DTM12" s="65"/>
      <c r="DTN12" s="4"/>
      <c r="DTO12" s="4"/>
      <c r="DTP12" s="4"/>
      <c r="DTS12" s="34"/>
      <c r="DTT12" s="34"/>
      <c r="DTV12" s="34"/>
      <c r="DTW12" s="72"/>
      <c r="DTX12" s="63"/>
      <c r="DTY12" s="34"/>
      <c r="DTZ12" s="64"/>
      <c r="DUA12" s="4"/>
      <c r="DUB12" s="65"/>
      <c r="DUC12" s="4"/>
      <c r="DUD12" s="4"/>
      <c r="DUE12" s="4"/>
      <c r="DUH12" s="34"/>
      <c r="DUI12" s="34"/>
      <c r="DUK12" s="34"/>
      <c r="DUL12" s="72"/>
      <c r="DUM12" s="63"/>
      <c r="DUN12" s="34"/>
      <c r="DUO12" s="64"/>
      <c r="DUP12" s="4"/>
      <c r="DUQ12" s="65"/>
      <c r="DUR12" s="4"/>
      <c r="DUS12" s="4"/>
      <c r="DUT12" s="4"/>
      <c r="DUW12" s="34"/>
      <c r="DUX12" s="34"/>
      <c r="DUZ12" s="34"/>
      <c r="DVA12" s="72"/>
      <c r="DVB12" s="63"/>
      <c r="DVC12" s="34"/>
      <c r="DVD12" s="64"/>
      <c r="DVE12" s="4"/>
      <c r="DVF12" s="65"/>
      <c r="DVG12" s="4"/>
      <c r="DVH12" s="4"/>
      <c r="DVI12" s="4"/>
      <c r="DVL12" s="34"/>
      <c r="DVM12" s="34"/>
      <c r="DVO12" s="34"/>
      <c r="DVP12" s="72"/>
      <c r="DVQ12" s="63"/>
      <c r="DVR12" s="34"/>
      <c r="DVS12" s="64"/>
      <c r="DVT12" s="4"/>
      <c r="DVU12" s="65"/>
      <c r="DVV12" s="4"/>
      <c r="DVW12" s="4"/>
      <c r="DVX12" s="4"/>
      <c r="DWA12" s="34"/>
      <c r="DWB12" s="34"/>
      <c r="DWD12" s="34"/>
      <c r="DWE12" s="72"/>
      <c r="DWF12" s="63"/>
      <c r="DWG12" s="34"/>
      <c r="DWH12" s="64"/>
      <c r="DWI12" s="4"/>
      <c r="DWJ12" s="65"/>
      <c r="DWK12" s="4"/>
      <c r="DWL12" s="4"/>
      <c r="DWM12" s="4"/>
      <c r="DWP12" s="34"/>
      <c r="DWQ12" s="34"/>
      <c r="DWS12" s="34"/>
      <c r="DWT12" s="72"/>
      <c r="DWU12" s="63"/>
      <c r="DWV12" s="34"/>
      <c r="DWW12" s="64"/>
      <c r="DWX12" s="4"/>
      <c r="DWY12" s="65"/>
      <c r="DWZ12" s="4"/>
      <c r="DXA12" s="4"/>
      <c r="DXB12" s="4"/>
      <c r="DXE12" s="34"/>
      <c r="DXF12" s="34"/>
      <c r="DXH12" s="34"/>
      <c r="DXI12" s="72"/>
      <c r="DXJ12" s="63"/>
      <c r="DXK12" s="34"/>
      <c r="DXL12" s="64"/>
      <c r="DXM12" s="4"/>
      <c r="DXN12" s="65"/>
      <c r="DXO12" s="4"/>
      <c r="DXP12" s="4"/>
      <c r="DXQ12" s="4"/>
      <c r="DXT12" s="34"/>
      <c r="DXU12" s="34"/>
      <c r="DXW12" s="34"/>
      <c r="DXX12" s="72"/>
      <c r="DXY12" s="63"/>
      <c r="DXZ12" s="34"/>
      <c r="DYA12" s="64"/>
      <c r="DYB12" s="4"/>
      <c r="DYC12" s="65"/>
      <c r="DYD12" s="4"/>
      <c r="DYE12" s="4"/>
      <c r="DYF12" s="4"/>
      <c r="DYI12" s="34"/>
      <c r="DYJ12" s="34"/>
      <c r="DYL12" s="34"/>
      <c r="DYM12" s="72"/>
      <c r="DYN12" s="63"/>
      <c r="DYO12" s="34"/>
      <c r="DYP12" s="64"/>
      <c r="DYQ12" s="4"/>
      <c r="DYR12" s="65"/>
      <c r="DYS12" s="4"/>
      <c r="DYT12" s="4"/>
      <c r="DYU12" s="4"/>
      <c r="DYX12" s="34"/>
      <c r="DYY12" s="34"/>
      <c r="DZA12" s="34"/>
      <c r="DZB12" s="72"/>
      <c r="DZC12" s="63"/>
      <c r="DZD12" s="34"/>
      <c r="DZE12" s="64"/>
      <c r="DZF12" s="4"/>
      <c r="DZG12" s="65"/>
      <c r="DZH12" s="4"/>
      <c r="DZI12" s="4"/>
      <c r="DZJ12" s="4"/>
      <c r="DZM12" s="34"/>
      <c r="DZN12" s="34"/>
      <c r="DZP12" s="34"/>
      <c r="DZQ12" s="72"/>
      <c r="DZR12" s="63"/>
      <c r="DZS12" s="34"/>
      <c r="DZT12" s="64"/>
      <c r="DZU12" s="4"/>
      <c r="DZV12" s="65"/>
      <c r="DZW12" s="4"/>
      <c r="DZX12" s="4"/>
      <c r="DZY12" s="4"/>
      <c r="EAB12" s="34"/>
      <c r="EAC12" s="34"/>
      <c r="EAE12" s="34"/>
      <c r="EAF12" s="72"/>
      <c r="EAG12" s="63"/>
      <c r="EAH12" s="34"/>
      <c r="EAI12" s="64"/>
      <c r="EAJ12" s="4"/>
      <c r="EAK12" s="65"/>
      <c r="EAL12" s="4"/>
      <c r="EAM12" s="4"/>
      <c r="EAN12" s="4"/>
      <c r="EAQ12" s="34"/>
      <c r="EAR12" s="34"/>
      <c r="EAT12" s="34"/>
      <c r="EAU12" s="72"/>
      <c r="EAV12" s="63"/>
      <c r="EAW12" s="34"/>
      <c r="EAX12" s="64"/>
      <c r="EAY12" s="4"/>
      <c r="EAZ12" s="65"/>
      <c r="EBA12" s="4"/>
      <c r="EBB12" s="4"/>
      <c r="EBC12" s="4"/>
      <c r="EBF12" s="34"/>
      <c r="EBG12" s="34"/>
      <c r="EBI12" s="34"/>
      <c r="EBJ12" s="72"/>
      <c r="EBK12" s="63"/>
      <c r="EBL12" s="34"/>
      <c r="EBM12" s="64"/>
      <c r="EBN12" s="4"/>
      <c r="EBO12" s="65"/>
      <c r="EBP12" s="4"/>
      <c r="EBQ12" s="4"/>
      <c r="EBR12" s="4"/>
      <c r="EBU12" s="34"/>
      <c r="EBV12" s="34"/>
      <c r="EBX12" s="34"/>
      <c r="EBY12" s="72"/>
      <c r="EBZ12" s="63"/>
      <c r="ECA12" s="34"/>
      <c r="ECB12" s="64"/>
      <c r="ECC12" s="4"/>
      <c r="ECD12" s="65"/>
      <c r="ECE12" s="4"/>
      <c r="ECF12" s="4"/>
      <c r="ECG12" s="4"/>
      <c r="ECJ12" s="34"/>
      <c r="ECK12" s="34"/>
      <c r="ECM12" s="34"/>
      <c r="ECN12" s="72"/>
      <c r="ECO12" s="63"/>
      <c r="ECP12" s="34"/>
      <c r="ECQ12" s="64"/>
      <c r="ECR12" s="4"/>
      <c r="ECS12" s="65"/>
      <c r="ECT12" s="4"/>
      <c r="ECU12" s="4"/>
      <c r="ECV12" s="4"/>
      <c r="ECY12" s="34"/>
      <c r="ECZ12" s="34"/>
      <c r="EDB12" s="34"/>
      <c r="EDC12" s="72"/>
      <c r="EDD12" s="63"/>
      <c r="EDE12" s="34"/>
      <c r="EDF12" s="64"/>
      <c r="EDG12" s="4"/>
      <c r="EDH12" s="65"/>
      <c r="EDI12" s="4"/>
      <c r="EDJ12" s="4"/>
      <c r="EDK12" s="4"/>
      <c r="EDN12" s="34"/>
      <c r="EDO12" s="34"/>
      <c r="EDQ12" s="34"/>
      <c r="EDR12" s="72"/>
      <c r="EDS12" s="63"/>
      <c r="EDT12" s="34"/>
      <c r="EDU12" s="64"/>
      <c r="EDV12" s="4"/>
      <c r="EDW12" s="65"/>
      <c r="EDX12" s="4"/>
      <c r="EDY12" s="4"/>
      <c r="EDZ12" s="4"/>
      <c r="EEC12" s="34"/>
      <c r="EED12" s="34"/>
      <c r="EEF12" s="34"/>
      <c r="EEG12" s="72"/>
      <c r="EEH12" s="63"/>
      <c r="EEI12" s="34"/>
      <c r="EEJ12" s="64"/>
      <c r="EEK12" s="4"/>
      <c r="EEL12" s="65"/>
      <c r="EEM12" s="4"/>
      <c r="EEN12" s="4"/>
      <c r="EEO12" s="4"/>
      <c r="EER12" s="34"/>
      <c r="EES12" s="34"/>
      <c r="EEU12" s="34"/>
      <c r="EEV12" s="72"/>
      <c r="EEW12" s="63"/>
      <c r="EEX12" s="34"/>
      <c r="EEY12" s="64"/>
      <c r="EEZ12" s="4"/>
      <c r="EFA12" s="65"/>
      <c r="EFB12" s="4"/>
      <c r="EFC12" s="4"/>
      <c r="EFD12" s="4"/>
      <c r="EFG12" s="34"/>
      <c r="EFH12" s="34"/>
      <c r="EFJ12" s="34"/>
      <c r="EFK12" s="72"/>
      <c r="EFL12" s="63"/>
      <c r="EFM12" s="34"/>
      <c r="EFN12" s="64"/>
      <c r="EFO12" s="4"/>
      <c r="EFP12" s="65"/>
      <c r="EFQ12" s="4"/>
      <c r="EFR12" s="4"/>
      <c r="EFS12" s="4"/>
      <c r="EFV12" s="34"/>
      <c r="EFW12" s="34"/>
      <c r="EFY12" s="34"/>
      <c r="EFZ12" s="72"/>
      <c r="EGA12" s="63"/>
      <c r="EGB12" s="34"/>
      <c r="EGC12" s="64"/>
      <c r="EGD12" s="4"/>
      <c r="EGE12" s="65"/>
      <c r="EGF12" s="4"/>
      <c r="EGG12" s="4"/>
      <c r="EGH12" s="4"/>
      <c r="EGK12" s="34"/>
      <c r="EGL12" s="34"/>
      <c r="EGN12" s="34"/>
      <c r="EGO12" s="72"/>
      <c r="EGP12" s="63"/>
      <c r="EGQ12" s="34"/>
      <c r="EGR12" s="64"/>
      <c r="EGS12" s="4"/>
      <c r="EGT12" s="65"/>
      <c r="EGU12" s="4"/>
      <c r="EGV12" s="4"/>
      <c r="EGW12" s="4"/>
      <c r="EGZ12" s="34"/>
      <c r="EHA12" s="34"/>
      <c r="EHC12" s="34"/>
      <c r="EHD12" s="72"/>
      <c r="EHE12" s="63"/>
      <c r="EHF12" s="34"/>
      <c r="EHG12" s="64"/>
      <c r="EHH12" s="4"/>
      <c r="EHI12" s="65"/>
      <c r="EHJ12" s="4"/>
      <c r="EHK12" s="4"/>
      <c r="EHL12" s="4"/>
      <c r="EHO12" s="34"/>
      <c r="EHP12" s="34"/>
      <c r="EHR12" s="34"/>
      <c r="EHS12" s="72"/>
      <c r="EHT12" s="63"/>
      <c r="EHU12" s="34"/>
      <c r="EHV12" s="64"/>
      <c r="EHW12" s="4"/>
      <c r="EHX12" s="65"/>
      <c r="EHY12" s="4"/>
      <c r="EHZ12" s="4"/>
      <c r="EIA12" s="4"/>
      <c r="EID12" s="34"/>
      <c r="EIE12" s="34"/>
      <c r="EIG12" s="34"/>
      <c r="EIH12" s="72"/>
      <c r="EII12" s="63"/>
      <c r="EIJ12" s="34"/>
      <c r="EIK12" s="64"/>
      <c r="EIL12" s="4"/>
      <c r="EIM12" s="65"/>
      <c r="EIN12" s="4"/>
      <c r="EIO12" s="4"/>
      <c r="EIP12" s="4"/>
      <c r="EIS12" s="34"/>
      <c r="EIT12" s="34"/>
      <c r="EIV12" s="34"/>
      <c r="EIW12" s="72"/>
      <c r="EIX12" s="63"/>
      <c r="EIY12" s="34"/>
      <c r="EIZ12" s="64"/>
      <c r="EJA12" s="4"/>
      <c r="EJB12" s="65"/>
      <c r="EJC12" s="4"/>
      <c r="EJD12" s="4"/>
      <c r="EJE12" s="4"/>
      <c r="EJH12" s="34"/>
      <c r="EJI12" s="34"/>
      <c r="EJK12" s="34"/>
      <c r="EJL12" s="72"/>
      <c r="EJM12" s="63"/>
      <c r="EJN12" s="34"/>
      <c r="EJO12" s="64"/>
      <c r="EJP12" s="4"/>
      <c r="EJQ12" s="65"/>
      <c r="EJR12" s="4"/>
      <c r="EJS12" s="4"/>
      <c r="EJT12" s="4"/>
      <c r="EJW12" s="34"/>
      <c r="EJX12" s="34"/>
      <c r="EJZ12" s="34"/>
      <c r="EKA12" s="72"/>
      <c r="EKB12" s="63"/>
      <c r="EKC12" s="34"/>
      <c r="EKD12" s="64"/>
      <c r="EKE12" s="4"/>
      <c r="EKF12" s="65"/>
      <c r="EKG12" s="4"/>
      <c r="EKH12" s="4"/>
      <c r="EKI12" s="4"/>
      <c r="EKL12" s="34"/>
      <c r="EKM12" s="34"/>
      <c r="EKO12" s="34"/>
      <c r="EKP12" s="72"/>
      <c r="EKQ12" s="63"/>
      <c r="EKR12" s="34"/>
      <c r="EKS12" s="64"/>
      <c r="EKT12" s="4"/>
      <c r="EKU12" s="65"/>
      <c r="EKV12" s="4"/>
      <c r="EKW12" s="4"/>
      <c r="EKX12" s="4"/>
      <c r="ELA12" s="34"/>
      <c r="ELB12" s="34"/>
      <c r="ELD12" s="34"/>
      <c r="ELE12" s="72"/>
      <c r="ELF12" s="63"/>
      <c r="ELG12" s="34"/>
      <c r="ELH12" s="64"/>
      <c r="ELI12" s="4"/>
      <c r="ELJ12" s="65"/>
      <c r="ELK12" s="4"/>
      <c r="ELL12" s="4"/>
      <c r="ELM12" s="4"/>
      <c r="ELP12" s="34"/>
      <c r="ELQ12" s="34"/>
      <c r="ELS12" s="34"/>
      <c r="ELT12" s="72"/>
      <c r="ELU12" s="63"/>
      <c r="ELV12" s="34"/>
      <c r="ELW12" s="64"/>
      <c r="ELX12" s="4"/>
      <c r="ELY12" s="65"/>
      <c r="ELZ12" s="4"/>
      <c r="EMA12" s="4"/>
      <c r="EMB12" s="4"/>
      <c r="EME12" s="34"/>
      <c r="EMF12" s="34"/>
      <c r="EMH12" s="34"/>
      <c r="EMI12" s="72"/>
      <c r="EMJ12" s="63"/>
      <c r="EMK12" s="34"/>
      <c r="EML12" s="64"/>
      <c r="EMM12" s="4"/>
      <c r="EMN12" s="65"/>
      <c r="EMO12" s="4"/>
      <c r="EMP12" s="4"/>
      <c r="EMQ12" s="4"/>
      <c r="EMT12" s="34"/>
      <c r="EMU12" s="34"/>
      <c r="EMW12" s="34"/>
      <c r="EMX12" s="72"/>
      <c r="EMY12" s="63"/>
      <c r="EMZ12" s="34"/>
      <c r="ENA12" s="64"/>
      <c r="ENB12" s="4"/>
      <c r="ENC12" s="65"/>
      <c r="END12" s="4"/>
      <c r="ENE12" s="4"/>
      <c r="ENF12" s="4"/>
      <c r="ENI12" s="34"/>
      <c r="ENJ12" s="34"/>
      <c r="ENL12" s="34"/>
      <c r="ENM12" s="72"/>
      <c r="ENN12" s="63"/>
      <c r="ENO12" s="34"/>
      <c r="ENP12" s="64"/>
      <c r="ENQ12" s="4"/>
      <c r="ENR12" s="65"/>
      <c r="ENS12" s="4"/>
      <c r="ENT12" s="4"/>
      <c r="ENU12" s="4"/>
      <c r="ENX12" s="34"/>
      <c r="ENY12" s="34"/>
      <c r="EOA12" s="34"/>
      <c r="EOB12" s="72"/>
      <c r="EOC12" s="63"/>
      <c r="EOD12" s="34"/>
      <c r="EOE12" s="64"/>
      <c r="EOF12" s="4"/>
      <c r="EOG12" s="65"/>
      <c r="EOH12" s="4"/>
      <c r="EOI12" s="4"/>
      <c r="EOJ12" s="4"/>
      <c r="EOM12" s="34"/>
      <c r="EON12" s="34"/>
      <c r="EOP12" s="34"/>
      <c r="EOQ12" s="72"/>
      <c r="EOR12" s="63"/>
      <c r="EOS12" s="34"/>
      <c r="EOT12" s="64"/>
      <c r="EOU12" s="4"/>
      <c r="EOV12" s="65"/>
      <c r="EOW12" s="4"/>
      <c r="EOX12" s="4"/>
      <c r="EOY12" s="4"/>
      <c r="EPB12" s="34"/>
      <c r="EPC12" s="34"/>
      <c r="EPE12" s="34"/>
      <c r="EPF12" s="72"/>
      <c r="EPG12" s="63"/>
      <c r="EPH12" s="34"/>
      <c r="EPI12" s="64"/>
      <c r="EPJ12" s="4"/>
      <c r="EPK12" s="65"/>
      <c r="EPL12" s="4"/>
      <c r="EPM12" s="4"/>
      <c r="EPN12" s="4"/>
      <c r="EPQ12" s="34"/>
      <c r="EPR12" s="34"/>
      <c r="EPT12" s="34"/>
      <c r="EPU12" s="72"/>
      <c r="EPV12" s="63"/>
      <c r="EPW12" s="34"/>
      <c r="EPX12" s="64"/>
      <c r="EPY12" s="4"/>
      <c r="EPZ12" s="65"/>
      <c r="EQA12" s="4"/>
      <c r="EQB12" s="4"/>
      <c r="EQC12" s="4"/>
      <c r="EQF12" s="34"/>
      <c r="EQG12" s="34"/>
      <c r="EQI12" s="34"/>
      <c r="EQJ12" s="72"/>
      <c r="EQK12" s="63"/>
      <c r="EQL12" s="34"/>
      <c r="EQM12" s="64"/>
      <c r="EQN12" s="4"/>
      <c r="EQO12" s="65"/>
      <c r="EQP12" s="4"/>
      <c r="EQQ12" s="4"/>
      <c r="EQR12" s="4"/>
      <c r="EQU12" s="34"/>
      <c r="EQV12" s="34"/>
      <c r="EQX12" s="34"/>
      <c r="EQY12" s="72"/>
      <c r="EQZ12" s="63"/>
      <c r="ERA12" s="34"/>
      <c r="ERB12" s="64"/>
      <c r="ERC12" s="4"/>
      <c r="ERD12" s="65"/>
      <c r="ERE12" s="4"/>
      <c r="ERF12" s="4"/>
      <c r="ERG12" s="4"/>
      <c r="ERJ12" s="34"/>
      <c r="ERK12" s="34"/>
      <c r="ERM12" s="34"/>
      <c r="ERN12" s="72"/>
      <c r="ERO12" s="63"/>
      <c r="ERP12" s="34"/>
      <c r="ERQ12" s="64"/>
      <c r="ERR12" s="4"/>
      <c r="ERS12" s="65"/>
      <c r="ERT12" s="4"/>
      <c r="ERU12" s="4"/>
      <c r="ERV12" s="4"/>
      <c r="ERY12" s="34"/>
      <c r="ERZ12" s="34"/>
      <c r="ESB12" s="34"/>
      <c r="ESC12" s="72"/>
      <c r="ESD12" s="63"/>
      <c r="ESE12" s="34"/>
      <c r="ESF12" s="64"/>
      <c r="ESG12" s="4"/>
      <c r="ESH12" s="65"/>
      <c r="ESI12" s="4"/>
      <c r="ESJ12" s="4"/>
      <c r="ESK12" s="4"/>
      <c r="ESN12" s="34"/>
      <c r="ESO12" s="34"/>
      <c r="ESQ12" s="34"/>
      <c r="ESR12" s="72"/>
      <c r="ESS12" s="63"/>
      <c r="EST12" s="34"/>
      <c r="ESU12" s="64"/>
      <c r="ESV12" s="4"/>
      <c r="ESW12" s="65"/>
      <c r="ESX12" s="4"/>
      <c r="ESY12" s="4"/>
      <c r="ESZ12" s="4"/>
      <c r="ETC12" s="34"/>
      <c r="ETD12" s="34"/>
      <c r="ETF12" s="34"/>
      <c r="ETG12" s="72"/>
      <c r="ETH12" s="63"/>
      <c r="ETI12" s="34"/>
      <c r="ETJ12" s="64"/>
      <c r="ETK12" s="4"/>
      <c r="ETL12" s="65"/>
      <c r="ETM12" s="4"/>
      <c r="ETN12" s="4"/>
      <c r="ETO12" s="4"/>
      <c r="ETR12" s="34"/>
      <c r="ETS12" s="34"/>
      <c r="ETU12" s="34"/>
      <c r="ETV12" s="72"/>
      <c r="ETW12" s="63"/>
      <c r="ETX12" s="34"/>
      <c r="ETY12" s="64"/>
      <c r="ETZ12" s="4"/>
      <c r="EUA12" s="65"/>
      <c r="EUB12" s="4"/>
      <c r="EUC12" s="4"/>
      <c r="EUD12" s="4"/>
      <c r="EUG12" s="34"/>
      <c r="EUH12" s="34"/>
      <c r="EUJ12" s="34"/>
      <c r="EUK12" s="72"/>
      <c r="EUL12" s="63"/>
      <c r="EUM12" s="34"/>
      <c r="EUN12" s="64"/>
      <c r="EUO12" s="4"/>
      <c r="EUP12" s="65"/>
      <c r="EUQ12" s="4"/>
      <c r="EUR12" s="4"/>
      <c r="EUS12" s="4"/>
      <c r="EUV12" s="34"/>
      <c r="EUW12" s="34"/>
      <c r="EUY12" s="34"/>
      <c r="EUZ12" s="72"/>
      <c r="EVA12" s="63"/>
      <c r="EVB12" s="34"/>
      <c r="EVC12" s="64"/>
      <c r="EVD12" s="4"/>
      <c r="EVE12" s="65"/>
      <c r="EVF12" s="4"/>
      <c r="EVG12" s="4"/>
      <c r="EVH12" s="4"/>
      <c r="EVK12" s="34"/>
      <c r="EVL12" s="34"/>
      <c r="EVN12" s="34"/>
      <c r="EVO12" s="72"/>
      <c r="EVP12" s="63"/>
      <c r="EVQ12" s="34"/>
      <c r="EVR12" s="64"/>
      <c r="EVS12" s="4"/>
      <c r="EVT12" s="65"/>
      <c r="EVU12" s="4"/>
      <c r="EVV12" s="4"/>
      <c r="EVW12" s="4"/>
      <c r="EVZ12" s="34"/>
      <c r="EWA12" s="34"/>
      <c r="EWC12" s="34"/>
      <c r="EWD12" s="72"/>
      <c r="EWE12" s="63"/>
      <c r="EWF12" s="34"/>
      <c r="EWG12" s="64"/>
      <c r="EWH12" s="4"/>
      <c r="EWI12" s="65"/>
      <c r="EWJ12" s="4"/>
      <c r="EWK12" s="4"/>
      <c r="EWL12" s="4"/>
      <c r="EWO12" s="34"/>
      <c r="EWP12" s="34"/>
      <c r="EWR12" s="34"/>
      <c r="EWS12" s="72"/>
      <c r="EWT12" s="63"/>
      <c r="EWU12" s="34"/>
      <c r="EWV12" s="64"/>
      <c r="EWW12" s="4"/>
      <c r="EWX12" s="65"/>
      <c r="EWY12" s="4"/>
      <c r="EWZ12" s="4"/>
      <c r="EXA12" s="4"/>
      <c r="EXD12" s="34"/>
      <c r="EXE12" s="34"/>
      <c r="EXG12" s="34"/>
      <c r="EXH12" s="72"/>
      <c r="EXI12" s="63"/>
      <c r="EXJ12" s="34"/>
      <c r="EXK12" s="64"/>
      <c r="EXL12" s="4"/>
      <c r="EXM12" s="65"/>
      <c r="EXN12" s="4"/>
      <c r="EXO12" s="4"/>
      <c r="EXP12" s="4"/>
      <c r="EXS12" s="34"/>
      <c r="EXT12" s="34"/>
      <c r="EXV12" s="34"/>
      <c r="EXW12" s="72"/>
      <c r="EXX12" s="63"/>
      <c r="EXY12" s="34"/>
      <c r="EXZ12" s="64"/>
      <c r="EYA12" s="4"/>
      <c r="EYB12" s="65"/>
      <c r="EYC12" s="4"/>
      <c r="EYD12" s="4"/>
      <c r="EYE12" s="4"/>
      <c r="EYH12" s="34"/>
      <c r="EYI12" s="34"/>
      <c r="EYK12" s="34"/>
      <c r="EYL12" s="72"/>
      <c r="EYM12" s="63"/>
      <c r="EYN12" s="34"/>
      <c r="EYO12" s="64"/>
      <c r="EYP12" s="4"/>
      <c r="EYQ12" s="65"/>
      <c r="EYR12" s="4"/>
      <c r="EYS12" s="4"/>
      <c r="EYT12" s="4"/>
      <c r="EYW12" s="34"/>
      <c r="EYX12" s="34"/>
      <c r="EYZ12" s="34"/>
      <c r="EZA12" s="72"/>
      <c r="EZB12" s="63"/>
      <c r="EZC12" s="34"/>
      <c r="EZD12" s="64"/>
      <c r="EZE12" s="4"/>
      <c r="EZF12" s="65"/>
      <c r="EZG12" s="4"/>
      <c r="EZH12" s="4"/>
      <c r="EZI12" s="4"/>
      <c r="EZL12" s="34"/>
      <c r="EZM12" s="34"/>
      <c r="EZO12" s="34"/>
      <c r="EZP12" s="72"/>
      <c r="EZQ12" s="63"/>
      <c r="EZR12" s="34"/>
      <c r="EZS12" s="64"/>
      <c r="EZT12" s="4"/>
      <c r="EZU12" s="65"/>
      <c r="EZV12" s="4"/>
      <c r="EZW12" s="4"/>
      <c r="EZX12" s="4"/>
      <c r="FAA12" s="34"/>
      <c r="FAB12" s="34"/>
      <c r="FAD12" s="34"/>
      <c r="FAE12" s="72"/>
      <c r="FAF12" s="63"/>
      <c r="FAG12" s="34"/>
      <c r="FAH12" s="64"/>
      <c r="FAI12" s="4"/>
      <c r="FAJ12" s="65"/>
      <c r="FAK12" s="4"/>
      <c r="FAL12" s="4"/>
      <c r="FAM12" s="4"/>
      <c r="FAP12" s="34"/>
      <c r="FAQ12" s="34"/>
      <c r="FAS12" s="34"/>
      <c r="FAT12" s="72"/>
      <c r="FAU12" s="63"/>
      <c r="FAV12" s="34"/>
      <c r="FAW12" s="64"/>
      <c r="FAX12" s="4"/>
      <c r="FAY12" s="65"/>
      <c r="FAZ12" s="4"/>
      <c r="FBA12" s="4"/>
      <c r="FBB12" s="4"/>
      <c r="FBE12" s="34"/>
      <c r="FBF12" s="34"/>
      <c r="FBH12" s="34"/>
      <c r="FBI12" s="72"/>
      <c r="FBJ12" s="63"/>
      <c r="FBK12" s="34"/>
      <c r="FBL12" s="64"/>
      <c r="FBM12" s="4"/>
      <c r="FBN12" s="65"/>
      <c r="FBO12" s="4"/>
      <c r="FBP12" s="4"/>
      <c r="FBQ12" s="4"/>
      <c r="FBT12" s="34"/>
      <c r="FBU12" s="34"/>
      <c r="FBW12" s="34"/>
      <c r="FBX12" s="72"/>
      <c r="FBY12" s="63"/>
      <c r="FBZ12" s="34"/>
      <c r="FCA12" s="64"/>
      <c r="FCB12" s="4"/>
      <c r="FCC12" s="65"/>
      <c r="FCD12" s="4"/>
      <c r="FCE12" s="4"/>
      <c r="FCF12" s="4"/>
      <c r="FCI12" s="34"/>
      <c r="FCJ12" s="34"/>
      <c r="FCL12" s="34"/>
      <c r="FCM12" s="72"/>
      <c r="FCN12" s="63"/>
      <c r="FCO12" s="34"/>
      <c r="FCP12" s="64"/>
      <c r="FCQ12" s="4"/>
      <c r="FCR12" s="65"/>
      <c r="FCS12" s="4"/>
      <c r="FCT12" s="4"/>
      <c r="FCU12" s="4"/>
      <c r="FCX12" s="34"/>
      <c r="FCY12" s="34"/>
      <c r="FDA12" s="34"/>
      <c r="FDB12" s="72"/>
      <c r="FDC12" s="63"/>
      <c r="FDD12" s="34"/>
      <c r="FDE12" s="64"/>
      <c r="FDF12" s="4"/>
      <c r="FDG12" s="65"/>
      <c r="FDH12" s="4"/>
      <c r="FDI12" s="4"/>
      <c r="FDJ12" s="4"/>
      <c r="FDM12" s="34"/>
      <c r="FDN12" s="34"/>
      <c r="FDP12" s="34"/>
      <c r="FDQ12" s="72"/>
      <c r="FDR12" s="63"/>
      <c r="FDS12" s="34"/>
      <c r="FDT12" s="64"/>
      <c r="FDU12" s="4"/>
      <c r="FDV12" s="65"/>
      <c r="FDW12" s="4"/>
      <c r="FDX12" s="4"/>
      <c r="FDY12" s="4"/>
      <c r="FEB12" s="34"/>
      <c r="FEC12" s="34"/>
      <c r="FEE12" s="34"/>
      <c r="FEF12" s="72"/>
      <c r="FEG12" s="63"/>
      <c r="FEH12" s="34"/>
      <c r="FEI12" s="64"/>
      <c r="FEJ12" s="4"/>
      <c r="FEK12" s="65"/>
      <c r="FEL12" s="4"/>
      <c r="FEM12" s="4"/>
      <c r="FEN12" s="4"/>
      <c r="FEQ12" s="34"/>
      <c r="FER12" s="34"/>
      <c r="FET12" s="34"/>
      <c r="FEU12" s="72"/>
      <c r="FEV12" s="63"/>
      <c r="FEW12" s="34"/>
      <c r="FEX12" s="64"/>
      <c r="FEY12" s="4"/>
      <c r="FEZ12" s="65"/>
      <c r="FFA12" s="4"/>
      <c r="FFB12" s="4"/>
      <c r="FFC12" s="4"/>
      <c r="FFF12" s="34"/>
      <c r="FFG12" s="34"/>
      <c r="FFI12" s="34"/>
      <c r="FFJ12" s="72"/>
      <c r="FFK12" s="63"/>
      <c r="FFL12" s="34"/>
      <c r="FFM12" s="64"/>
      <c r="FFN12" s="4"/>
      <c r="FFO12" s="65"/>
      <c r="FFP12" s="4"/>
      <c r="FFQ12" s="4"/>
      <c r="FFR12" s="4"/>
      <c r="FFU12" s="34"/>
      <c r="FFV12" s="34"/>
      <c r="FFX12" s="34"/>
      <c r="FFY12" s="72"/>
      <c r="FFZ12" s="63"/>
      <c r="FGA12" s="34"/>
      <c r="FGB12" s="64"/>
      <c r="FGC12" s="4"/>
      <c r="FGD12" s="65"/>
      <c r="FGE12" s="4"/>
      <c r="FGF12" s="4"/>
      <c r="FGG12" s="4"/>
      <c r="FGJ12" s="34"/>
      <c r="FGK12" s="34"/>
      <c r="FGM12" s="34"/>
      <c r="FGN12" s="72"/>
      <c r="FGO12" s="63"/>
      <c r="FGP12" s="34"/>
      <c r="FGQ12" s="64"/>
      <c r="FGR12" s="4"/>
      <c r="FGS12" s="65"/>
      <c r="FGT12" s="4"/>
      <c r="FGU12" s="4"/>
      <c r="FGV12" s="4"/>
      <c r="FGY12" s="34"/>
      <c r="FGZ12" s="34"/>
      <c r="FHB12" s="34"/>
      <c r="FHC12" s="72"/>
      <c r="FHD12" s="63"/>
      <c r="FHE12" s="34"/>
      <c r="FHF12" s="64"/>
      <c r="FHG12" s="4"/>
      <c r="FHH12" s="65"/>
      <c r="FHI12" s="4"/>
      <c r="FHJ12" s="4"/>
      <c r="FHK12" s="4"/>
      <c r="FHN12" s="34"/>
      <c r="FHO12" s="34"/>
      <c r="FHQ12" s="34"/>
      <c r="FHR12" s="72"/>
      <c r="FHS12" s="63"/>
      <c r="FHT12" s="34"/>
      <c r="FHU12" s="64"/>
      <c r="FHV12" s="4"/>
      <c r="FHW12" s="65"/>
      <c r="FHX12" s="4"/>
      <c r="FHY12" s="4"/>
      <c r="FHZ12" s="4"/>
      <c r="FIC12" s="34"/>
      <c r="FID12" s="34"/>
      <c r="FIF12" s="34"/>
      <c r="FIG12" s="72"/>
      <c r="FIH12" s="63"/>
      <c r="FII12" s="34"/>
      <c r="FIJ12" s="64"/>
      <c r="FIK12" s="4"/>
      <c r="FIL12" s="65"/>
      <c r="FIM12" s="4"/>
      <c r="FIN12" s="4"/>
      <c r="FIO12" s="4"/>
      <c r="FIR12" s="34"/>
      <c r="FIS12" s="34"/>
      <c r="FIU12" s="34"/>
      <c r="FIV12" s="72"/>
      <c r="FIW12" s="63"/>
      <c r="FIX12" s="34"/>
      <c r="FIY12" s="64"/>
      <c r="FIZ12" s="4"/>
      <c r="FJA12" s="65"/>
      <c r="FJB12" s="4"/>
      <c r="FJC12" s="4"/>
      <c r="FJD12" s="4"/>
      <c r="FJG12" s="34"/>
      <c r="FJH12" s="34"/>
      <c r="FJJ12" s="34"/>
      <c r="FJK12" s="72"/>
      <c r="FJL12" s="63"/>
      <c r="FJM12" s="34"/>
      <c r="FJN12" s="64"/>
      <c r="FJO12" s="4"/>
      <c r="FJP12" s="65"/>
      <c r="FJQ12" s="4"/>
      <c r="FJR12" s="4"/>
      <c r="FJS12" s="4"/>
      <c r="FJV12" s="34"/>
      <c r="FJW12" s="34"/>
      <c r="FJY12" s="34"/>
      <c r="FJZ12" s="72"/>
      <c r="FKA12" s="63"/>
      <c r="FKB12" s="34"/>
      <c r="FKC12" s="64"/>
      <c r="FKD12" s="4"/>
      <c r="FKE12" s="65"/>
      <c r="FKF12" s="4"/>
      <c r="FKG12" s="4"/>
      <c r="FKH12" s="4"/>
      <c r="FKK12" s="34"/>
      <c r="FKL12" s="34"/>
      <c r="FKN12" s="34"/>
      <c r="FKO12" s="72"/>
      <c r="FKP12" s="63"/>
      <c r="FKQ12" s="34"/>
      <c r="FKR12" s="64"/>
      <c r="FKS12" s="4"/>
      <c r="FKT12" s="65"/>
      <c r="FKU12" s="4"/>
      <c r="FKV12" s="4"/>
      <c r="FKW12" s="4"/>
      <c r="FKZ12" s="34"/>
      <c r="FLA12" s="34"/>
      <c r="FLC12" s="34"/>
      <c r="FLD12" s="72"/>
      <c r="FLE12" s="63"/>
      <c r="FLF12" s="34"/>
      <c r="FLG12" s="64"/>
      <c r="FLH12" s="4"/>
      <c r="FLI12" s="65"/>
      <c r="FLJ12" s="4"/>
      <c r="FLK12" s="4"/>
      <c r="FLL12" s="4"/>
      <c r="FLO12" s="34"/>
      <c r="FLP12" s="34"/>
      <c r="FLR12" s="34"/>
      <c r="FLS12" s="72"/>
      <c r="FLT12" s="63"/>
      <c r="FLU12" s="34"/>
      <c r="FLV12" s="64"/>
      <c r="FLW12" s="4"/>
      <c r="FLX12" s="65"/>
      <c r="FLY12" s="4"/>
      <c r="FLZ12" s="4"/>
      <c r="FMA12" s="4"/>
      <c r="FMD12" s="34"/>
      <c r="FME12" s="34"/>
      <c r="FMG12" s="34"/>
      <c r="FMH12" s="72"/>
      <c r="FMI12" s="63"/>
      <c r="FMJ12" s="34"/>
      <c r="FMK12" s="64"/>
      <c r="FML12" s="4"/>
      <c r="FMM12" s="65"/>
      <c r="FMN12" s="4"/>
      <c r="FMO12" s="4"/>
      <c r="FMP12" s="4"/>
      <c r="FMS12" s="34"/>
      <c r="FMT12" s="34"/>
      <c r="FMV12" s="34"/>
      <c r="FMW12" s="72"/>
      <c r="FMX12" s="63"/>
      <c r="FMY12" s="34"/>
      <c r="FMZ12" s="64"/>
      <c r="FNA12" s="4"/>
      <c r="FNB12" s="65"/>
      <c r="FNC12" s="4"/>
      <c r="FND12" s="4"/>
      <c r="FNE12" s="4"/>
      <c r="FNH12" s="34"/>
      <c r="FNI12" s="34"/>
      <c r="FNK12" s="34"/>
      <c r="FNL12" s="72"/>
      <c r="FNM12" s="63"/>
      <c r="FNN12" s="34"/>
      <c r="FNO12" s="64"/>
      <c r="FNP12" s="4"/>
      <c r="FNQ12" s="65"/>
      <c r="FNR12" s="4"/>
      <c r="FNS12" s="4"/>
      <c r="FNT12" s="4"/>
      <c r="FNW12" s="34"/>
      <c r="FNX12" s="34"/>
      <c r="FNZ12" s="34"/>
      <c r="FOA12" s="72"/>
      <c r="FOB12" s="63"/>
      <c r="FOC12" s="34"/>
      <c r="FOD12" s="64"/>
      <c r="FOE12" s="4"/>
      <c r="FOF12" s="65"/>
      <c r="FOG12" s="4"/>
      <c r="FOH12" s="4"/>
      <c r="FOI12" s="4"/>
      <c r="FOL12" s="34"/>
      <c r="FOM12" s="34"/>
      <c r="FOO12" s="34"/>
      <c r="FOP12" s="72"/>
      <c r="FOQ12" s="63"/>
      <c r="FOR12" s="34"/>
      <c r="FOS12" s="64"/>
      <c r="FOT12" s="4"/>
      <c r="FOU12" s="65"/>
      <c r="FOV12" s="4"/>
      <c r="FOW12" s="4"/>
      <c r="FOX12" s="4"/>
      <c r="FPA12" s="34"/>
      <c r="FPB12" s="34"/>
      <c r="FPD12" s="34"/>
      <c r="FPE12" s="72"/>
      <c r="FPF12" s="63"/>
      <c r="FPG12" s="34"/>
      <c r="FPH12" s="64"/>
      <c r="FPI12" s="4"/>
      <c r="FPJ12" s="65"/>
      <c r="FPK12" s="4"/>
      <c r="FPL12" s="4"/>
      <c r="FPM12" s="4"/>
      <c r="FPP12" s="34"/>
      <c r="FPQ12" s="34"/>
      <c r="FPS12" s="34"/>
      <c r="FPT12" s="72"/>
      <c r="FPU12" s="63"/>
      <c r="FPV12" s="34"/>
      <c r="FPW12" s="64"/>
      <c r="FPX12" s="4"/>
      <c r="FPY12" s="65"/>
      <c r="FPZ12" s="4"/>
      <c r="FQA12" s="4"/>
      <c r="FQB12" s="4"/>
      <c r="FQE12" s="34"/>
      <c r="FQF12" s="34"/>
      <c r="FQH12" s="34"/>
      <c r="FQI12" s="72"/>
      <c r="FQJ12" s="63"/>
      <c r="FQK12" s="34"/>
      <c r="FQL12" s="64"/>
      <c r="FQM12" s="4"/>
      <c r="FQN12" s="65"/>
      <c r="FQO12" s="4"/>
      <c r="FQP12" s="4"/>
      <c r="FQQ12" s="4"/>
      <c r="FQT12" s="34"/>
      <c r="FQU12" s="34"/>
      <c r="FQW12" s="34"/>
      <c r="FQX12" s="72"/>
      <c r="FQY12" s="63"/>
      <c r="FQZ12" s="34"/>
      <c r="FRA12" s="64"/>
      <c r="FRB12" s="4"/>
      <c r="FRC12" s="65"/>
      <c r="FRD12" s="4"/>
      <c r="FRE12" s="4"/>
      <c r="FRF12" s="4"/>
      <c r="FRI12" s="34"/>
      <c r="FRJ12" s="34"/>
      <c r="FRL12" s="34"/>
      <c r="FRM12" s="72"/>
      <c r="FRN12" s="63"/>
      <c r="FRO12" s="34"/>
      <c r="FRP12" s="64"/>
      <c r="FRQ12" s="4"/>
      <c r="FRR12" s="65"/>
      <c r="FRS12" s="4"/>
      <c r="FRT12" s="4"/>
      <c r="FRU12" s="4"/>
      <c r="FRX12" s="34"/>
      <c r="FRY12" s="34"/>
      <c r="FSA12" s="34"/>
      <c r="FSB12" s="72"/>
      <c r="FSC12" s="63"/>
      <c r="FSD12" s="34"/>
      <c r="FSE12" s="64"/>
      <c r="FSF12" s="4"/>
      <c r="FSG12" s="65"/>
      <c r="FSH12" s="4"/>
      <c r="FSI12" s="4"/>
      <c r="FSJ12" s="4"/>
      <c r="FSM12" s="34"/>
      <c r="FSN12" s="34"/>
      <c r="FSP12" s="34"/>
      <c r="FSQ12" s="72"/>
      <c r="FSR12" s="63"/>
      <c r="FSS12" s="34"/>
      <c r="FST12" s="64"/>
      <c r="FSU12" s="4"/>
      <c r="FSV12" s="65"/>
      <c r="FSW12" s="4"/>
      <c r="FSX12" s="4"/>
      <c r="FSY12" s="4"/>
      <c r="FTB12" s="34"/>
      <c r="FTC12" s="34"/>
      <c r="FTE12" s="34"/>
      <c r="FTF12" s="72"/>
      <c r="FTG12" s="63"/>
      <c r="FTH12" s="34"/>
      <c r="FTI12" s="64"/>
      <c r="FTJ12" s="4"/>
      <c r="FTK12" s="65"/>
      <c r="FTL12" s="4"/>
      <c r="FTM12" s="4"/>
      <c r="FTN12" s="4"/>
      <c r="FTQ12" s="34"/>
      <c r="FTR12" s="34"/>
      <c r="FTT12" s="34"/>
      <c r="FTU12" s="72"/>
      <c r="FTV12" s="63"/>
      <c r="FTW12" s="34"/>
      <c r="FTX12" s="64"/>
      <c r="FTY12" s="4"/>
      <c r="FTZ12" s="65"/>
      <c r="FUA12" s="4"/>
      <c r="FUB12" s="4"/>
      <c r="FUC12" s="4"/>
      <c r="FUF12" s="34"/>
      <c r="FUG12" s="34"/>
      <c r="FUI12" s="34"/>
      <c r="FUJ12" s="72"/>
      <c r="FUK12" s="63"/>
      <c r="FUL12" s="34"/>
      <c r="FUM12" s="64"/>
      <c r="FUN12" s="4"/>
      <c r="FUO12" s="65"/>
      <c r="FUP12" s="4"/>
      <c r="FUQ12" s="4"/>
      <c r="FUR12" s="4"/>
      <c r="FUU12" s="34"/>
      <c r="FUV12" s="34"/>
      <c r="FUX12" s="34"/>
      <c r="FUY12" s="72"/>
      <c r="FUZ12" s="63"/>
      <c r="FVA12" s="34"/>
      <c r="FVB12" s="64"/>
      <c r="FVC12" s="4"/>
      <c r="FVD12" s="65"/>
      <c r="FVE12" s="4"/>
      <c r="FVF12" s="4"/>
      <c r="FVG12" s="4"/>
      <c r="FVJ12" s="34"/>
      <c r="FVK12" s="34"/>
      <c r="FVM12" s="34"/>
      <c r="FVN12" s="72"/>
      <c r="FVO12" s="63"/>
      <c r="FVP12" s="34"/>
      <c r="FVQ12" s="64"/>
      <c r="FVR12" s="4"/>
      <c r="FVS12" s="65"/>
      <c r="FVT12" s="4"/>
      <c r="FVU12" s="4"/>
      <c r="FVV12" s="4"/>
      <c r="FVY12" s="34"/>
      <c r="FVZ12" s="34"/>
      <c r="FWB12" s="34"/>
      <c r="FWC12" s="72"/>
      <c r="FWD12" s="63"/>
      <c r="FWE12" s="34"/>
      <c r="FWF12" s="64"/>
      <c r="FWG12" s="4"/>
      <c r="FWH12" s="65"/>
      <c r="FWI12" s="4"/>
      <c r="FWJ12" s="4"/>
      <c r="FWK12" s="4"/>
      <c r="FWN12" s="34"/>
      <c r="FWO12" s="34"/>
      <c r="FWQ12" s="34"/>
      <c r="FWR12" s="72"/>
      <c r="FWS12" s="63"/>
      <c r="FWT12" s="34"/>
      <c r="FWU12" s="64"/>
      <c r="FWV12" s="4"/>
      <c r="FWW12" s="65"/>
      <c r="FWX12" s="4"/>
      <c r="FWY12" s="4"/>
      <c r="FWZ12" s="4"/>
      <c r="FXC12" s="34"/>
      <c r="FXD12" s="34"/>
      <c r="FXF12" s="34"/>
      <c r="FXG12" s="72"/>
      <c r="FXH12" s="63"/>
      <c r="FXI12" s="34"/>
      <c r="FXJ12" s="64"/>
      <c r="FXK12" s="4"/>
      <c r="FXL12" s="65"/>
      <c r="FXM12" s="4"/>
      <c r="FXN12" s="4"/>
      <c r="FXO12" s="4"/>
      <c r="FXR12" s="34"/>
      <c r="FXS12" s="34"/>
      <c r="FXU12" s="34"/>
      <c r="FXV12" s="72"/>
      <c r="FXW12" s="63"/>
      <c r="FXX12" s="34"/>
      <c r="FXY12" s="64"/>
      <c r="FXZ12" s="4"/>
      <c r="FYA12" s="65"/>
      <c r="FYB12" s="4"/>
      <c r="FYC12" s="4"/>
      <c r="FYD12" s="4"/>
      <c r="FYG12" s="34"/>
      <c r="FYH12" s="34"/>
      <c r="FYJ12" s="34"/>
      <c r="FYK12" s="72"/>
      <c r="FYL12" s="63"/>
      <c r="FYM12" s="34"/>
      <c r="FYN12" s="64"/>
      <c r="FYO12" s="4"/>
      <c r="FYP12" s="65"/>
      <c r="FYQ12" s="4"/>
      <c r="FYR12" s="4"/>
      <c r="FYS12" s="4"/>
      <c r="FYV12" s="34"/>
      <c r="FYW12" s="34"/>
      <c r="FYY12" s="34"/>
      <c r="FYZ12" s="72"/>
      <c r="FZA12" s="63"/>
      <c r="FZB12" s="34"/>
      <c r="FZC12" s="64"/>
      <c r="FZD12" s="4"/>
      <c r="FZE12" s="65"/>
      <c r="FZF12" s="4"/>
      <c r="FZG12" s="4"/>
      <c r="FZH12" s="4"/>
      <c r="FZK12" s="34"/>
      <c r="FZL12" s="34"/>
      <c r="FZN12" s="34"/>
      <c r="FZO12" s="72"/>
      <c r="FZP12" s="63"/>
      <c r="FZQ12" s="34"/>
      <c r="FZR12" s="64"/>
      <c r="FZS12" s="4"/>
      <c r="FZT12" s="65"/>
      <c r="FZU12" s="4"/>
      <c r="FZV12" s="4"/>
      <c r="FZW12" s="4"/>
      <c r="FZZ12" s="34"/>
      <c r="GAA12" s="34"/>
      <c r="GAC12" s="34"/>
      <c r="GAD12" s="72"/>
      <c r="GAE12" s="63"/>
      <c r="GAF12" s="34"/>
      <c r="GAG12" s="64"/>
      <c r="GAH12" s="4"/>
      <c r="GAI12" s="65"/>
      <c r="GAJ12" s="4"/>
      <c r="GAK12" s="4"/>
      <c r="GAL12" s="4"/>
      <c r="GAO12" s="34"/>
      <c r="GAP12" s="34"/>
      <c r="GAR12" s="34"/>
      <c r="GAS12" s="72"/>
      <c r="GAT12" s="63"/>
      <c r="GAU12" s="34"/>
      <c r="GAV12" s="64"/>
      <c r="GAW12" s="4"/>
      <c r="GAX12" s="65"/>
      <c r="GAY12" s="4"/>
      <c r="GAZ12" s="4"/>
      <c r="GBA12" s="4"/>
      <c r="GBD12" s="34"/>
      <c r="GBE12" s="34"/>
      <c r="GBG12" s="34"/>
      <c r="GBH12" s="72"/>
      <c r="GBI12" s="63"/>
      <c r="GBJ12" s="34"/>
      <c r="GBK12" s="64"/>
      <c r="GBL12" s="4"/>
      <c r="GBM12" s="65"/>
      <c r="GBN12" s="4"/>
      <c r="GBO12" s="4"/>
      <c r="GBP12" s="4"/>
      <c r="GBS12" s="34"/>
      <c r="GBT12" s="34"/>
      <c r="GBV12" s="34"/>
      <c r="GBW12" s="72"/>
      <c r="GBX12" s="63"/>
      <c r="GBY12" s="34"/>
      <c r="GBZ12" s="64"/>
      <c r="GCA12" s="4"/>
      <c r="GCB12" s="65"/>
      <c r="GCC12" s="4"/>
      <c r="GCD12" s="4"/>
      <c r="GCE12" s="4"/>
      <c r="GCH12" s="34"/>
      <c r="GCI12" s="34"/>
      <c r="GCK12" s="34"/>
      <c r="GCL12" s="72"/>
      <c r="GCM12" s="63"/>
      <c r="GCN12" s="34"/>
      <c r="GCO12" s="64"/>
      <c r="GCP12" s="4"/>
      <c r="GCQ12" s="65"/>
      <c r="GCR12" s="4"/>
      <c r="GCS12" s="4"/>
      <c r="GCT12" s="4"/>
      <c r="GCW12" s="34"/>
      <c r="GCX12" s="34"/>
      <c r="GCZ12" s="34"/>
      <c r="GDA12" s="72"/>
      <c r="GDB12" s="63"/>
      <c r="GDC12" s="34"/>
      <c r="GDD12" s="64"/>
      <c r="GDE12" s="4"/>
      <c r="GDF12" s="65"/>
      <c r="GDG12" s="4"/>
      <c r="GDH12" s="4"/>
      <c r="GDI12" s="4"/>
      <c r="GDL12" s="34"/>
      <c r="GDM12" s="34"/>
      <c r="GDO12" s="34"/>
      <c r="GDP12" s="72"/>
      <c r="GDQ12" s="63"/>
      <c r="GDR12" s="34"/>
      <c r="GDS12" s="64"/>
      <c r="GDT12" s="4"/>
      <c r="GDU12" s="65"/>
      <c r="GDV12" s="4"/>
      <c r="GDW12" s="4"/>
      <c r="GDX12" s="4"/>
      <c r="GEA12" s="34"/>
      <c r="GEB12" s="34"/>
      <c r="GED12" s="34"/>
      <c r="GEE12" s="72"/>
      <c r="GEF12" s="63"/>
      <c r="GEG12" s="34"/>
      <c r="GEH12" s="64"/>
      <c r="GEI12" s="4"/>
      <c r="GEJ12" s="65"/>
      <c r="GEK12" s="4"/>
      <c r="GEL12" s="4"/>
      <c r="GEM12" s="4"/>
      <c r="GEP12" s="34"/>
      <c r="GEQ12" s="34"/>
      <c r="GES12" s="34"/>
      <c r="GET12" s="72"/>
      <c r="GEU12" s="63"/>
      <c r="GEV12" s="34"/>
      <c r="GEW12" s="64"/>
      <c r="GEX12" s="4"/>
      <c r="GEY12" s="65"/>
      <c r="GEZ12" s="4"/>
      <c r="GFA12" s="4"/>
      <c r="GFB12" s="4"/>
      <c r="GFE12" s="34"/>
      <c r="GFF12" s="34"/>
      <c r="GFH12" s="34"/>
      <c r="GFI12" s="72"/>
      <c r="GFJ12" s="63"/>
      <c r="GFK12" s="34"/>
      <c r="GFL12" s="64"/>
      <c r="GFM12" s="4"/>
      <c r="GFN12" s="65"/>
      <c r="GFO12" s="4"/>
      <c r="GFP12" s="4"/>
      <c r="GFQ12" s="4"/>
      <c r="GFT12" s="34"/>
      <c r="GFU12" s="34"/>
      <c r="GFW12" s="34"/>
      <c r="GFX12" s="72"/>
      <c r="GFY12" s="63"/>
      <c r="GFZ12" s="34"/>
      <c r="GGA12" s="64"/>
      <c r="GGB12" s="4"/>
      <c r="GGC12" s="65"/>
      <c r="GGD12" s="4"/>
      <c r="GGE12" s="4"/>
      <c r="GGF12" s="4"/>
      <c r="GGI12" s="34"/>
      <c r="GGJ12" s="34"/>
      <c r="GGL12" s="34"/>
      <c r="GGM12" s="72"/>
      <c r="GGN12" s="63"/>
      <c r="GGO12" s="34"/>
      <c r="GGP12" s="64"/>
      <c r="GGQ12" s="4"/>
      <c r="GGR12" s="65"/>
      <c r="GGS12" s="4"/>
      <c r="GGT12" s="4"/>
      <c r="GGU12" s="4"/>
      <c r="GGX12" s="34"/>
      <c r="GGY12" s="34"/>
      <c r="GHA12" s="34"/>
      <c r="GHB12" s="72"/>
      <c r="GHC12" s="63"/>
      <c r="GHD12" s="34"/>
      <c r="GHE12" s="64"/>
      <c r="GHF12" s="4"/>
      <c r="GHG12" s="65"/>
      <c r="GHH12" s="4"/>
      <c r="GHI12" s="4"/>
      <c r="GHJ12" s="4"/>
      <c r="GHM12" s="34"/>
      <c r="GHN12" s="34"/>
      <c r="GHP12" s="34"/>
      <c r="GHQ12" s="72"/>
      <c r="GHR12" s="63"/>
      <c r="GHS12" s="34"/>
      <c r="GHT12" s="64"/>
      <c r="GHU12" s="4"/>
      <c r="GHV12" s="65"/>
      <c r="GHW12" s="4"/>
      <c r="GHX12" s="4"/>
      <c r="GHY12" s="4"/>
      <c r="GIB12" s="34"/>
      <c r="GIC12" s="34"/>
      <c r="GIE12" s="34"/>
      <c r="GIF12" s="72"/>
      <c r="GIG12" s="63"/>
      <c r="GIH12" s="34"/>
      <c r="GII12" s="64"/>
      <c r="GIJ12" s="4"/>
      <c r="GIK12" s="65"/>
      <c r="GIL12" s="4"/>
      <c r="GIM12" s="4"/>
      <c r="GIN12" s="4"/>
      <c r="GIQ12" s="34"/>
      <c r="GIR12" s="34"/>
      <c r="GIT12" s="34"/>
      <c r="GIU12" s="72"/>
      <c r="GIV12" s="63"/>
      <c r="GIW12" s="34"/>
      <c r="GIX12" s="64"/>
      <c r="GIY12" s="4"/>
      <c r="GIZ12" s="65"/>
      <c r="GJA12" s="4"/>
      <c r="GJB12" s="4"/>
      <c r="GJC12" s="4"/>
      <c r="GJF12" s="34"/>
      <c r="GJG12" s="34"/>
      <c r="GJI12" s="34"/>
      <c r="GJJ12" s="72"/>
      <c r="GJK12" s="63"/>
      <c r="GJL12" s="34"/>
      <c r="GJM12" s="64"/>
      <c r="GJN12" s="4"/>
      <c r="GJO12" s="65"/>
      <c r="GJP12" s="4"/>
      <c r="GJQ12" s="4"/>
      <c r="GJR12" s="4"/>
      <c r="GJU12" s="34"/>
      <c r="GJV12" s="34"/>
      <c r="GJX12" s="34"/>
      <c r="GJY12" s="72"/>
      <c r="GJZ12" s="63"/>
      <c r="GKA12" s="34"/>
      <c r="GKB12" s="64"/>
      <c r="GKC12" s="4"/>
      <c r="GKD12" s="65"/>
      <c r="GKE12" s="4"/>
      <c r="GKF12" s="4"/>
      <c r="GKG12" s="4"/>
      <c r="GKJ12" s="34"/>
      <c r="GKK12" s="34"/>
      <c r="GKM12" s="34"/>
      <c r="GKN12" s="72"/>
      <c r="GKO12" s="63"/>
      <c r="GKP12" s="34"/>
      <c r="GKQ12" s="64"/>
      <c r="GKR12" s="4"/>
      <c r="GKS12" s="65"/>
      <c r="GKT12" s="4"/>
      <c r="GKU12" s="4"/>
      <c r="GKV12" s="4"/>
      <c r="GKY12" s="34"/>
      <c r="GKZ12" s="34"/>
      <c r="GLB12" s="34"/>
      <c r="GLC12" s="72"/>
      <c r="GLD12" s="63"/>
      <c r="GLE12" s="34"/>
      <c r="GLF12" s="64"/>
      <c r="GLG12" s="4"/>
      <c r="GLH12" s="65"/>
      <c r="GLI12" s="4"/>
      <c r="GLJ12" s="4"/>
      <c r="GLK12" s="4"/>
      <c r="GLN12" s="34"/>
      <c r="GLO12" s="34"/>
      <c r="GLQ12" s="34"/>
      <c r="GLR12" s="72"/>
      <c r="GLS12" s="63"/>
      <c r="GLT12" s="34"/>
      <c r="GLU12" s="64"/>
      <c r="GLV12" s="4"/>
      <c r="GLW12" s="65"/>
      <c r="GLX12" s="4"/>
      <c r="GLY12" s="4"/>
      <c r="GLZ12" s="4"/>
      <c r="GMC12" s="34"/>
      <c r="GMD12" s="34"/>
      <c r="GMF12" s="34"/>
      <c r="GMG12" s="72"/>
      <c r="GMH12" s="63"/>
      <c r="GMI12" s="34"/>
      <c r="GMJ12" s="64"/>
      <c r="GMK12" s="4"/>
      <c r="GML12" s="65"/>
      <c r="GMM12" s="4"/>
      <c r="GMN12" s="4"/>
      <c r="GMO12" s="4"/>
      <c r="GMR12" s="34"/>
      <c r="GMS12" s="34"/>
      <c r="GMU12" s="34"/>
      <c r="GMV12" s="72"/>
      <c r="GMW12" s="63"/>
      <c r="GMX12" s="34"/>
      <c r="GMY12" s="64"/>
      <c r="GMZ12" s="4"/>
      <c r="GNA12" s="65"/>
      <c r="GNB12" s="4"/>
      <c r="GNC12" s="4"/>
      <c r="GND12" s="4"/>
      <c r="GNG12" s="34"/>
      <c r="GNH12" s="34"/>
      <c r="GNJ12" s="34"/>
      <c r="GNK12" s="72"/>
      <c r="GNL12" s="63"/>
      <c r="GNM12" s="34"/>
      <c r="GNN12" s="64"/>
      <c r="GNO12" s="4"/>
      <c r="GNP12" s="65"/>
      <c r="GNQ12" s="4"/>
      <c r="GNR12" s="4"/>
      <c r="GNS12" s="4"/>
      <c r="GNV12" s="34"/>
      <c r="GNW12" s="34"/>
      <c r="GNY12" s="34"/>
      <c r="GNZ12" s="72"/>
      <c r="GOA12" s="63"/>
      <c r="GOB12" s="34"/>
      <c r="GOC12" s="64"/>
      <c r="GOD12" s="4"/>
      <c r="GOE12" s="65"/>
      <c r="GOF12" s="4"/>
      <c r="GOG12" s="4"/>
      <c r="GOH12" s="4"/>
      <c r="GOK12" s="34"/>
      <c r="GOL12" s="34"/>
      <c r="GON12" s="34"/>
      <c r="GOO12" s="72"/>
      <c r="GOP12" s="63"/>
      <c r="GOQ12" s="34"/>
      <c r="GOR12" s="64"/>
      <c r="GOS12" s="4"/>
      <c r="GOT12" s="65"/>
      <c r="GOU12" s="4"/>
      <c r="GOV12" s="4"/>
      <c r="GOW12" s="4"/>
      <c r="GOZ12" s="34"/>
      <c r="GPA12" s="34"/>
      <c r="GPC12" s="34"/>
      <c r="GPD12" s="72"/>
      <c r="GPE12" s="63"/>
      <c r="GPF12" s="34"/>
      <c r="GPG12" s="64"/>
      <c r="GPH12" s="4"/>
      <c r="GPI12" s="65"/>
      <c r="GPJ12" s="4"/>
      <c r="GPK12" s="4"/>
      <c r="GPL12" s="4"/>
      <c r="GPO12" s="34"/>
      <c r="GPP12" s="34"/>
      <c r="GPR12" s="34"/>
      <c r="GPS12" s="72"/>
      <c r="GPT12" s="63"/>
      <c r="GPU12" s="34"/>
      <c r="GPV12" s="64"/>
      <c r="GPW12" s="4"/>
      <c r="GPX12" s="65"/>
      <c r="GPY12" s="4"/>
      <c r="GPZ12" s="4"/>
      <c r="GQA12" s="4"/>
      <c r="GQD12" s="34"/>
      <c r="GQE12" s="34"/>
      <c r="GQG12" s="34"/>
      <c r="GQH12" s="72"/>
      <c r="GQI12" s="63"/>
      <c r="GQJ12" s="34"/>
      <c r="GQK12" s="64"/>
      <c r="GQL12" s="4"/>
      <c r="GQM12" s="65"/>
      <c r="GQN12" s="4"/>
      <c r="GQO12" s="4"/>
      <c r="GQP12" s="4"/>
      <c r="GQS12" s="34"/>
      <c r="GQT12" s="34"/>
      <c r="GQV12" s="34"/>
      <c r="GQW12" s="72"/>
      <c r="GQX12" s="63"/>
      <c r="GQY12" s="34"/>
      <c r="GQZ12" s="64"/>
      <c r="GRA12" s="4"/>
      <c r="GRB12" s="65"/>
      <c r="GRC12" s="4"/>
      <c r="GRD12" s="4"/>
      <c r="GRE12" s="4"/>
      <c r="GRH12" s="34"/>
      <c r="GRI12" s="34"/>
      <c r="GRK12" s="34"/>
      <c r="GRL12" s="72"/>
      <c r="GRM12" s="63"/>
      <c r="GRN12" s="34"/>
      <c r="GRO12" s="64"/>
      <c r="GRP12" s="4"/>
      <c r="GRQ12" s="65"/>
      <c r="GRR12" s="4"/>
      <c r="GRS12" s="4"/>
      <c r="GRT12" s="4"/>
      <c r="GRW12" s="34"/>
      <c r="GRX12" s="34"/>
      <c r="GRZ12" s="34"/>
      <c r="GSA12" s="72"/>
      <c r="GSB12" s="63"/>
      <c r="GSC12" s="34"/>
      <c r="GSD12" s="64"/>
      <c r="GSE12" s="4"/>
      <c r="GSF12" s="65"/>
      <c r="GSG12" s="4"/>
      <c r="GSH12" s="4"/>
      <c r="GSI12" s="4"/>
      <c r="GSL12" s="34"/>
      <c r="GSM12" s="34"/>
      <c r="GSO12" s="34"/>
      <c r="GSP12" s="72"/>
      <c r="GSQ12" s="63"/>
      <c r="GSR12" s="34"/>
      <c r="GSS12" s="64"/>
      <c r="GST12" s="4"/>
      <c r="GSU12" s="65"/>
      <c r="GSV12" s="4"/>
      <c r="GSW12" s="4"/>
      <c r="GSX12" s="4"/>
      <c r="GTA12" s="34"/>
      <c r="GTB12" s="34"/>
      <c r="GTD12" s="34"/>
      <c r="GTE12" s="72"/>
      <c r="GTF12" s="63"/>
      <c r="GTG12" s="34"/>
      <c r="GTH12" s="64"/>
      <c r="GTI12" s="4"/>
      <c r="GTJ12" s="65"/>
      <c r="GTK12" s="4"/>
      <c r="GTL12" s="4"/>
      <c r="GTM12" s="4"/>
      <c r="GTP12" s="34"/>
      <c r="GTQ12" s="34"/>
      <c r="GTS12" s="34"/>
      <c r="GTT12" s="72"/>
      <c r="GTU12" s="63"/>
      <c r="GTV12" s="34"/>
      <c r="GTW12" s="64"/>
      <c r="GTX12" s="4"/>
      <c r="GTY12" s="65"/>
      <c r="GTZ12" s="4"/>
      <c r="GUA12" s="4"/>
      <c r="GUB12" s="4"/>
      <c r="GUE12" s="34"/>
      <c r="GUF12" s="34"/>
      <c r="GUH12" s="34"/>
      <c r="GUI12" s="72"/>
      <c r="GUJ12" s="63"/>
      <c r="GUK12" s="34"/>
      <c r="GUL12" s="64"/>
      <c r="GUM12" s="4"/>
      <c r="GUN12" s="65"/>
      <c r="GUO12" s="4"/>
      <c r="GUP12" s="4"/>
      <c r="GUQ12" s="4"/>
      <c r="GUT12" s="34"/>
      <c r="GUU12" s="34"/>
      <c r="GUW12" s="34"/>
      <c r="GUX12" s="72"/>
      <c r="GUY12" s="63"/>
      <c r="GUZ12" s="34"/>
      <c r="GVA12" s="64"/>
      <c r="GVB12" s="4"/>
      <c r="GVC12" s="65"/>
      <c r="GVD12" s="4"/>
      <c r="GVE12" s="4"/>
      <c r="GVF12" s="4"/>
      <c r="GVI12" s="34"/>
      <c r="GVJ12" s="34"/>
      <c r="GVL12" s="34"/>
      <c r="GVM12" s="72"/>
      <c r="GVN12" s="63"/>
      <c r="GVO12" s="34"/>
      <c r="GVP12" s="64"/>
      <c r="GVQ12" s="4"/>
      <c r="GVR12" s="65"/>
      <c r="GVS12" s="4"/>
      <c r="GVT12" s="4"/>
      <c r="GVU12" s="4"/>
      <c r="GVX12" s="34"/>
      <c r="GVY12" s="34"/>
      <c r="GWA12" s="34"/>
      <c r="GWB12" s="72"/>
      <c r="GWC12" s="63"/>
      <c r="GWD12" s="34"/>
      <c r="GWE12" s="64"/>
      <c r="GWF12" s="4"/>
      <c r="GWG12" s="65"/>
      <c r="GWH12" s="4"/>
      <c r="GWI12" s="4"/>
      <c r="GWJ12" s="4"/>
      <c r="GWM12" s="34"/>
      <c r="GWN12" s="34"/>
      <c r="GWP12" s="34"/>
      <c r="GWQ12" s="72"/>
      <c r="GWR12" s="63"/>
      <c r="GWS12" s="34"/>
      <c r="GWT12" s="64"/>
      <c r="GWU12" s="4"/>
      <c r="GWV12" s="65"/>
      <c r="GWW12" s="4"/>
      <c r="GWX12" s="4"/>
      <c r="GWY12" s="4"/>
      <c r="GXB12" s="34"/>
      <c r="GXC12" s="34"/>
      <c r="GXE12" s="34"/>
      <c r="GXF12" s="72"/>
      <c r="GXG12" s="63"/>
      <c r="GXH12" s="34"/>
      <c r="GXI12" s="64"/>
      <c r="GXJ12" s="4"/>
      <c r="GXK12" s="65"/>
      <c r="GXL12" s="4"/>
      <c r="GXM12" s="4"/>
      <c r="GXN12" s="4"/>
      <c r="GXQ12" s="34"/>
      <c r="GXR12" s="34"/>
      <c r="GXT12" s="34"/>
      <c r="GXU12" s="72"/>
      <c r="GXV12" s="63"/>
      <c r="GXW12" s="34"/>
      <c r="GXX12" s="64"/>
      <c r="GXY12" s="4"/>
      <c r="GXZ12" s="65"/>
      <c r="GYA12" s="4"/>
      <c r="GYB12" s="4"/>
      <c r="GYC12" s="4"/>
      <c r="GYF12" s="34"/>
      <c r="GYG12" s="34"/>
      <c r="GYI12" s="34"/>
      <c r="GYJ12" s="72"/>
      <c r="GYK12" s="63"/>
      <c r="GYL12" s="34"/>
      <c r="GYM12" s="64"/>
      <c r="GYN12" s="4"/>
      <c r="GYO12" s="65"/>
      <c r="GYP12" s="4"/>
      <c r="GYQ12" s="4"/>
      <c r="GYR12" s="4"/>
      <c r="GYU12" s="34"/>
      <c r="GYV12" s="34"/>
      <c r="GYX12" s="34"/>
      <c r="GYY12" s="72"/>
      <c r="GYZ12" s="63"/>
      <c r="GZA12" s="34"/>
      <c r="GZB12" s="64"/>
      <c r="GZC12" s="4"/>
      <c r="GZD12" s="65"/>
      <c r="GZE12" s="4"/>
      <c r="GZF12" s="4"/>
      <c r="GZG12" s="4"/>
      <c r="GZJ12" s="34"/>
      <c r="GZK12" s="34"/>
      <c r="GZM12" s="34"/>
      <c r="GZN12" s="72"/>
      <c r="GZO12" s="63"/>
      <c r="GZP12" s="34"/>
      <c r="GZQ12" s="64"/>
      <c r="GZR12" s="4"/>
      <c r="GZS12" s="65"/>
      <c r="GZT12" s="4"/>
      <c r="GZU12" s="4"/>
      <c r="GZV12" s="4"/>
      <c r="GZY12" s="34"/>
      <c r="GZZ12" s="34"/>
      <c r="HAB12" s="34"/>
      <c r="HAC12" s="72"/>
      <c r="HAD12" s="63"/>
      <c r="HAE12" s="34"/>
      <c r="HAF12" s="64"/>
      <c r="HAG12" s="4"/>
      <c r="HAH12" s="65"/>
      <c r="HAI12" s="4"/>
      <c r="HAJ12" s="4"/>
      <c r="HAK12" s="4"/>
      <c r="HAN12" s="34"/>
      <c r="HAO12" s="34"/>
      <c r="HAQ12" s="34"/>
      <c r="HAR12" s="72"/>
      <c r="HAS12" s="63"/>
      <c r="HAT12" s="34"/>
      <c r="HAU12" s="64"/>
      <c r="HAV12" s="4"/>
      <c r="HAW12" s="65"/>
      <c r="HAX12" s="4"/>
      <c r="HAY12" s="4"/>
      <c r="HAZ12" s="4"/>
      <c r="HBC12" s="34"/>
      <c r="HBD12" s="34"/>
      <c r="HBF12" s="34"/>
      <c r="HBG12" s="72"/>
      <c r="HBH12" s="63"/>
      <c r="HBI12" s="34"/>
      <c r="HBJ12" s="64"/>
      <c r="HBK12" s="4"/>
      <c r="HBL12" s="65"/>
      <c r="HBM12" s="4"/>
      <c r="HBN12" s="4"/>
      <c r="HBO12" s="4"/>
      <c r="HBR12" s="34"/>
      <c r="HBS12" s="34"/>
      <c r="HBU12" s="34"/>
      <c r="HBV12" s="72"/>
      <c r="HBW12" s="63"/>
      <c r="HBX12" s="34"/>
      <c r="HBY12" s="64"/>
      <c r="HBZ12" s="4"/>
      <c r="HCA12" s="65"/>
      <c r="HCB12" s="4"/>
      <c r="HCC12" s="4"/>
      <c r="HCD12" s="4"/>
      <c r="HCG12" s="34"/>
      <c r="HCH12" s="34"/>
      <c r="HCJ12" s="34"/>
      <c r="HCK12" s="72"/>
      <c r="HCL12" s="63"/>
      <c r="HCM12" s="34"/>
      <c r="HCN12" s="64"/>
      <c r="HCO12" s="4"/>
      <c r="HCP12" s="65"/>
      <c r="HCQ12" s="4"/>
      <c r="HCR12" s="4"/>
      <c r="HCS12" s="4"/>
      <c r="HCV12" s="34"/>
      <c r="HCW12" s="34"/>
      <c r="HCY12" s="34"/>
      <c r="HCZ12" s="72"/>
      <c r="HDA12" s="63"/>
      <c r="HDB12" s="34"/>
      <c r="HDC12" s="64"/>
      <c r="HDD12" s="4"/>
      <c r="HDE12" s="65"/>
      <c r="HDF12" s="4"/>
      <c r="HDG12" s="4"/>
      <c r="HDH12" s="4"/>
      <c r="HDK12" s="34"/>
      <c r="HDL12" s="34"/>
      <c r="HDN12" s="34"/>
      <c r="HDO12" s="72"/>
      <c r="HDP12" s="63"/>
      <c r="HDQ12" s="34"/>
      <c r="HDR12" s="64"/>
      <c r="HDS12" s="4"/>
      <c r="HDT12" s="65"/>
      <c r="HDU12" s="4"/>
      <c r="HDV12" s="4"/>
      <c r="HDW12" s="4"/>
      <c r="HDZ12" s="34"/>
      <c r="HEA12" s="34"/>
      <c r="HEC12" s="34"/>
      <c r="HED12" s="72"/>
      <c r="HEE12" s="63"/>
      <c r="HEF12" s="34"/>
      <c r="HEG12" s="64"/>
      <c r="HEH12" s="4"/>
      <c r="HEI12" s="65"/>
      <c r="HEJ12" s="4"/>
      <c r="HEK12" s="4"/>
      <c r="HEL12" s="4"/>
      <c r="HEO12" s="34"/>
      <c r="HEP12" s="34"/>
      <c r="HER12" s="34"/>
      <c r="HES12" s="72"/>
      <c r="HET12" s="63"/>
      <c r="HEU12" s="34"/>
      <c r="HEV12" s="64"/>
      <c r="HEW12" s="4"/>
      <c r="HEX12" s="65"/>
      <c r="HEY12" s="4"/>
      <c r="HEZ12" s="4"/>
      <c r="HFA12" s="4"/>
      <c r="HFD12" s="34"/>
      <c r="HFE12" s="34"/>
      <c r="HFG12" s="34"/>
      <c r="HFH12" s="72"/>
      <c r="HFI12" s="63"/>
      <c r="HFJ12" s="34"/>
      <c r="HFK12" s="64"/>
      <c r="HFL12" s="4"/>
      <c r="HFM12" s="65"/>
      <c r="HFN12" s="4"/>
      <c r="HFO12" s="4"/>
      <c r="HFP12" s="4"/>
      <c r="HFS12" s="34"/>
      <c r="HFT12" s="34"/>
      <c r="HFV12" s="34"/>
      <c r="HFW12" s="72"/>
      <c r="HFX12" s="63"/>
      <c r="HFY12" s="34"/>
      <c r="HFZ12" s="64"/>
      <c r="HGA12" s="4"/>
      <c r="HGB12" s="65"/>
      <c r="HGC12" s="4"/>
      <c r="HGD12" s="4"/>
      <c r="HGE12" s="4"/>
      <c r="HGH12" s="34"/>
      <c r="HGI12" s="34"/>
      <c r="HGK12" s="34"/>
      <c r="HGL12" s="72"/>
      <c r="HGM12" s="63"/>
      <c r="HGN12" s="34"/>
      <c r="HGO12" s="64"/>
      <c r="HGP12" s="4"/>
      <c r="HGQ12" s="65"/>
      <c r="HGR12" s="4"/>
      <c r="HGS12" s="4"/>
      <c r="HGT12" s="4"/>
      <c r="HGW12" s="34"/>
      <c r="HGX12" s="34"/>
      <c r="HGZ12" s="34"/>
      <c r="HHA12" s="72"/>
      <c r="HHB12" s="63"/>
      <c r="HHC12" s="34"/>
      <c r="HHD12" s="64"/>
      <c r="HHE12" s="4"/>
      <c r="HHF12" s="65"/>
      <c r="HHG12" s="4"/>
      <c r="HHH12" s="4"/>
      <c r="HHI12" s="4"/>
      <c r="HHL12" s="34"/>
      <c r="HHM12" s="34"/>
      <c r="HHO12" s="34"/>
      <c r="HHP12" s="72"/>
      <c r="HHQ12" s="63"/>
      <c r="HHR12" s="34"/>
      <c r="HHS12" s="64"/>
      <c r="HHT12" s="4"/>
      <c r="HHU12" s="65"/>
      <c r="HHV12" s="4"/>
      <c r="HHW12" s="4"/>
      <c r="HHX12" s="4"/>
      <c r="HIA12" s="34"/>
      <c r="HIB12" s="34"/>
      <c r="HID12" s="34"/>
      <c r="HIE12" s="72"/>
      <c r="HIF12" s="63"/>
      <c r="HIG12" s="34"/>
      <c r="HIH12" s="64"/>
      <c r="HII12" s="4"/>
      <c r="HIJ12" s="65"/>
      <c r="HIK12" s="4"/>
      <c r="HIL12" s="4"/>
      <c r="HIM12" s="4"/>
      <c r="HIP12" s="34"/>
      <c r="HIQ12" s="34"/>
      <c r="HIS12" s="34"/>
      <c r="HIT12" s="72"/>
      <c r="HIU12" s="63"/>
      <c r="HIV12" s="34"/>
      <c r="HIW12" s="64"/>
      <c r="HIX12" s="4"/>
      <c r="HIY12" s="65"/>
      <c r="HIZ12" s="4"/>
      <c r="HJA12" s="4"/>
      <c r="HJB12" s="4"/>
      <c r="HJE12" s="34"/>
      <c r="HJF12" s="34"/>
      <c r="HJH12" s="34"/>
      <c r="HJI12" s="72"/>
      <c r="HJJ12" s="63"/>
      <c r="HJK12" s="34"/>
      <c r="HJL12" s="64"/>
      <c r="HJM12" s="4"/>
      <c r="HJN12" s="65"/>
      <c r="HJO12" s="4"/>
      <c r="HJP12" s="4"/>
      <c r="HJQ12" s="4"/>
      <c r="HJT12" s="34"/>
      <c r="HJU12" s="34"/>
      <c r="HJW12" s="34"/>
      <c r="HJX12" s="72"/>
      <c r="HJY12" s="63"/>
      <c r="HJZ12" s="34"/>
      <c r="HKA12" s="64"/>
      <c r="HKB12" s="4"/>
      <c r="HKC12" s="65"/>
      <c r="HKD12" s="4"/>
      <c r="HKE12" s="4"/>
      <c r="HKF12" s="4"/>
      <c r="HKI12" s="34"/>
      <c r="HKJ12" s="34"/>
      <c r="HKL12" s="34"/>
      <c r="HKM12" s="72"/>
      <c r="HKN12" s="63"/>
      <c r="HKO12" s="34"/>
      <c r="HKP12" s="64"/>
      <c r="HKQ12" s="4"/>
      <c r="HKR12" s="65"/>
      <c r="HKS12" s="4"/>
      <c r="HKT12" s="4"/>
      <c r="HKU12" s="4"/>
      <c r="HKX12" s="34"/>
      <c r="HKY12" s="34"/>
      <c r="HLA12" s="34"/>
      <c r="HLB12" s="72"/>
      <c r="HLC12" s="63"/>
      <c r="HLD12" s="34"/>
      <c r="HLE12" s="64"/>
      <c r="HLF12" s="4"/>
      <c r="HLG12" s="65"/>
      <c r="HLH12" s="4"/>
      <c r="HLI12" s="4"/>
      <c r="HLJ12" s="4"/>
      <c r="HLM12" s="34"/>
      <c r="HLN12" s="34"/>
      <c r="HLP12" s="34"/>
      <c r="HLQ12" s="72"/>
      <c r="HLR12" s="63"/>
      <c r="HLS12" s="34"/>
      <c r="HLT12" s="64"/>
      <c r="HLU12" s="4"/>
      <c r="HLV12" s="65"/>
      <c r="HLW12" s="4"/>
      <c r="HLX12" s="4"/>
      <c r="HLY12" s="4"/>
      <c r="HMB12" s="34"/>
      <c r="HMC12" s="34"/>
      <c r="HME12" s="34"/>
      <c r="HMF12" s="72"/>
      <c r="HMG12" s="63"/>
      <c r="HMH12" s="34"/>
      <c r="HMI12" s="64"/>
      <c r="HMJ12" s="4"/>
      <c r="HMK12" s="65"/>
      <c r="HML12" s="4"/>
      <c r="HMM12" s="4"/>
      <c r="HMN12" s="4"/>
      <c r="HMQ12" s="34"/>
      <c r="HMR12" s="34"/>
      <c r="HMT12" s="34"/>
      <c r="HMU12" s="72"/>
      <c r="HMV12" s="63"/>
      <c r="HMW12" s="34"/>
      <c r="HMX12" s="64"/>
      <c r="HMY12" s="4"/>
      <c r="HMZ12" s="65"/>
      <c r="HNA12" s="4"/>
      <c r="HNB12" s="4"/>
      <c r="HNC12" s="4"/>
      <c r="HNF12" s="34"/>
      <c r="HNG12" s="34"/>
      <c r="HNI12" s="34"/>
      <c r="HNJ12" s="72"/>
      <c r="HNK12" s="63"/>
      <c r="HNL12" s="34"/>
      <c r="HNM12" s="64"/>
      <c r="HNN12" s="4"/>
      <c r="HNO12" s="65"/>
      <c r="HNP12" s="4"/>
      <c r="HNQ12" s="4"/>
      <c r="HNR12" s="4"/>
      <c r="HNU12" s="34"/>
      <c r="HNV12" s="34"/>
      <c r="HNX12" s="34"/>
      <c r="HNY12" s="72"/>
      <c r="HNZ12" s="63"/>
      <c r="HOA12" s="34"/>
      <c r="HOB12" s="64"/>
      <c r="HOC12" s="4"/>
      <c r="HOD12" s="65"/>
      <c r="HOE12" s="4"/>
      <c r="HOF12" s="4"/>
      <c r="HOG12" s="4"/>
      <c r="HOJ12" s="34"/>
      <c r="HOK12" s="34"/>
      <c r="HOM12" s="34"/>
      <c r="HON12" s="72"/>
      <c r="HOO12" s="63"/>
      <c r="HOP12" s="34"/>
      <c r="HOQ12" s="64"/>
      <c r="HOR12" s="4"/>
      <c r="HOS12" s="65"/>
      <c r="HOT12" s="4"/>
      <c r="HOU12" s="4"/>
      <c r="HOV12" s="4"/>
      <c r="HOY12" s="34"/>
      <c r="HOZ12" s="34"/>
      <c r="HPB12" s="34"/>
      <c r="HPC12" s="72"/>
      <c r="HPD12" s="63"/>
      <c r="HPE12" s="34"/>
      <c r="HPF12" s="64"/>
      <c r="HPG12" s="4"/>
      <c r="HPH12" s="65"/>
      <c r="HPI12" s="4"/>
      <c r="HPJ12" s="4"/>
      <c r="HPK12" s="4"/>
      <c r="HPN12" s="34"/>
      <c r="HPO12" s="34"/>
      <c r="HPQ12" s="34"/>
      <c r="HPR12" s="72"/>
      <c r="HPS12" s="63"/>
      <c r="HPT12" s="34"/>
      <c r="HPU12" s="64"/>
      <c r="HPV12" s="4"/>
      <c r="HPW12" s="65"/>
      <c r="HPX12" s="4"/>
      <c r="HPY12" s="4"/>
      <c r="HPZ12" s="4"/>
      <c r="HQC12" s="34"/>
      <c r="HQD12" s="34"/>
      <c r="HQF12" s="34"/>
      <c r="HQG12" s="72"/>
      <c r="HQH12" s="63"/>
      <c r="HQI12" s="34"/>
      <c r="HQJ12" s="64"/>
      <c r="HQK12" s="4"/>
      <c r="HQL12" s="65"/>
      <c r="HQM12" s="4"/>
      <c r="HQN12" s="4"/>
      <c r="HQO12" s="4"/>
      <c r="HQR12" s="34"/>
      <c r="HQS12" s="34"/>
      <c r="HQU12" s="34"/>
      <c r="HQV12" s="72"/>
      <c r="HQW12" s="63"/>
      <c r="HQX12" s="34"/>
      <c r="HQY12" s="64"/>
      <c r="HQZ12" s="4"/>
      <c r="HRA12" s="65"/>
      <c r="HRB12" s="4"/>
      <c r="HRC12" s="4"/>
      <c r="HRD12" s="4"/>
      <c r="HRG12" s="34"/>
      <c r="HRH12" s="34"/>
      <c r="HRJ12" s="34"/>
      <c r="HRK12" s="72"/>
      <c r="HRL12" s="63"/>
      <c r="HRM12" s="34"/>
      <c r="HRN12" s="64"/>
      <c r="HRO12" s="4"/>
      <c r="HRP12" s="65"/>
      <c r="HRQ12" s="4"/>
      <c r="HRR12" s="4"/>
      <c r="HRS12" s="4"/>
      <c r="HRV12" s="34"/>
      <c r="HRW12" s="34"/>
      <c r="HRY12" s="34"/>
      <c r="HRZ12" s="72"/>
      <c r="HSA12" s="63"/>
      <c r="HSB12" s="34"/>
      <c r="HSC12" s="64"/>
      <c r="HSD12" s="4"/>
      <c r="HSE12" s="65"/>
      <c r="HSF12" s="4"/>
      <c r="HSG12" s="4"/>
      <c r="HSH12" s="4"/>
      <c r="HSK12" s="34"/>
      <c r="HSL12" s="34"/>
      <c r="HSN12" s="34"/>
      <c r="HSO12" s="72"/>
      <c r="HSP12" s="63"/>
      <c r="HSQ12" s="34"/>
      <c r="HSR12" s="64"/>
      <c r="HSS12" s="4"/>
      <c r="HST12" s="65"/>
      <c r="HSU12" s="4"/>
      <c r="HSV12" s="4"/>
      <c r="HSW12" s="4"/>
      <c r="HSZ12" s="34"/>
      <c r="HTA12" s="34"/>
      <c r="HTC12" s="34"/>
      <c r="HTD12" s="72"/>
      <c r="HTE12" s="63"/>
      <c r="HTF12" s="34"/>
      <c r="HTG12" s="64"/>
      <c r="HTH12" s="4"/>
      <c r="HTI12" s="65"/>
      <c r="HTJ12" s="4"/>
      <c r="HTK12" s="4"/>
      <c r="HTL12" s="4"/>
      <c r="HTO12" s="34"/>
      <c r="HTP12" s="34"/>
      <c r="HTR12" s="34"/>
      <c r="HTS12" s="72"/>
      <c r="HTT12" s="63"/>
      <c r="HTU12" s="34"/>
      <c r="HTV12" s="64"/>
      <c r="HTW12" s="4"/>
      <c r="HTX12" s="65"/>
      <c r="HTY12" s="4"/>
      <c r="HTZ12" s="4"/>
      <c r="HUA12" s="4"/>
      <c r="HUD12" s="34"/>
      <c r="HUE12" s="34"/>
      <c r="HUG12" s="34"/>
      <c r="HUH12" s="72"/>
      <c r="HUI12" s="63"/>
      <c r="HUJ12" s="34"/>
      <c r="HUK12" s="64"/>
      <c r="HUL12" s="4"/>
      <c r="HUM12" s="65"/>
      <c r="HUN12" s="4"/>
      <c r="HUO12" s="4"/>
      <c r="HUP12" s="4"/>
      <c r="HUS12" s="34"/>
      <c r="HUT12" s="34"/>
      <c r="HUV12" s="34"/>
      <c r="HUW12" s="72"/>
      <c r="HUX12" s="63"/>
      <c r="HUY12" s="34"/>
      <c r="HUZ12" s="64"/>
      <c r="HVA12" s="4"/>
      <c r="HVB12" s="65"/>
      <c r="HVC12" s="4"/>
      <c r="HVD12" s="4"/>
      <c r="HVE12" s="4"/>
      <c r="HVH12" s="34"/>
      <c r="HVI12" s="34"/>
      <c r="HVK12" s="34"/>
      <c r="HVL12" s="72"/>
      <c r="HVM12" s="63"/>
      <c r="HVN12" s="34"/>
      <c r="HVO12" s="64"/>
      <c r="HVP12" s="4"/>
      <c r="HVQ12" s="65"/>
      <c r="HVR12" s="4"/>
      <c r="HVS12" s="4"/>
      <c r="HVT12" s="4"/>
      <c r="HVW12" s="34"/>
      <c r="HVX12" s="34"/>
      <c r="HVZ12" s="34"/>
      <c r="HWA12" s="72"/>
      <c r="HWB12" s="63"/>
      <c r="HWC12" s="34"/>
      <c r="HWD12" s="64"/>
      <c r="HWE12" s="4"/>
      <c r="HWF12" s="65"/>
      <c r="HWG12" s="4"/>
      <c r="HWH12" s="4"/>
      <c r="HWI12" s="4"/>
      <c r="HWL12" s="34"/>
      <c r="HWM12" s="34"/>
      <c r="HWO12" s="34"/>
      <c r="HWP12" s="72"/>
      <c r="HWQ12" s="63"/>
      <c r="HWR12" s="34"/>
      <c r="HWS12" s="64"/>
      <c r="HWT12" s="4"/>
      <c r="HWU12" s="65"/>
      <c r="HWV12" s="4"/>
      <c r="HWW12" s="4"/>
      <c r="HWX12" s="4"/>
      <c r="HXA12" s="34"/>
      <c r="HXB12" s="34"/>
      <c r="HXD12" s="34"/>
      <c r="HXE12" s="72"/>
      <c r="HXF12" s="63"/>
      <c r="HXG12" s="34"/>
      <c r="HXH12" s="64"/>
      <c r="HXI12" s="4"/>
      <c r="HXJ12" s="65"/>
      <c r="HXK12" s="4"/>
      <c r="HXL12" s="4"/>
      <c r="HXM12" s="4"/>
      <c r="HXP12" s="34"/>
      <c r="HXQ12" s="34"/>
      <c r="HXS12" s="34"/>
      <c r="HXT12" s="72"/>
      <c r="HXU12" s="63"/>
      <c r="HXV12" s="34"/>
      <c r="HXW12" s="64"/>
      <c r="HXX12" s="4"/>
      <c r="HXY12" s="65"/>
      <c r="HXZ12" s="4"/>
      <c r="HYA12" s="4"/>
      <c r="HYB12" s="4"/>
      <c r="HYE12" s="34"/>
      <c r="HYF12" s="34"/>
      <c r="HYH12" s="34"/>
      <c r="HYI12" s="72"/>
      <c r="HYJ12" s="63"/>
      <c r="HYK12" s="34"/>
      <c r="HYL12" s="64"/>
      <c r="HYM12" s="4"/>
      <c r="HYN12" s="65"/>
      <c r="HYO12" s="4"/>
      <c r="HYP12" s="4"/>
      <c r="HYQ12" s="4"/>
      <c r="HYT12" s="34"/>
      <c r="HYU12" s="34"/>
      <c r="HYW12" s="34"/>
      <c r="HYX12" s="72"/>
      <c r="HYY12" s="63"/>
      <c r="HYZ12" s="34"/>
      <c r="HZA12" s="64"/>
      <c r="HZB12" s="4"/>
      <c r="HZC12" s="65"/>
      <c r="HZD12" s="4"/>
      <c r="HZE12" s="4"/>
      <c r="HZF12" s="4"/>
      <c r="HZI12" s="34"/>
      <c r="HZJ12" s="34"/>
      <c r="HZL12" s="34"/>
      <c r="HZM12" s="72"/>
      <c r="HZN12" s="63"/>
      <c r="HZO12" s="34"/>
      <c r="HZP12" s="64"/>
      <c r="HZQ12" s="4"/>
      <c r="HZR12" s="65"/>
      <c r="HZS12" s="4"/>
      <c r="HZT12" s="4"/>
      <c r="HZU12" s="4"/>
      <c r="HZX12" s="34"/>
      <c r="HZY12" s="34"/>
      <c r="IAA12" s="34"/>
      <c r="IAB12" s="72"/>
      <c r="IAC12" s="63"/>
      <c r="IAD12" s="34"/>
      <c r="IAE12" s="64"/>
      <c r="IAF12" s="4"/>
      <c r="IAG12" s="65"/>
      <c r="IAH12" s="4"/>
      <c r="IAI12" s="4"/>
      <c r="IAJ12" s="4"/>
      <c r="IAM12" s="34"/>
      <c r="IAN12" s="34"/>
      <c r="IAP12" s="34"/>
      <c r="IAQ12" s="72"/>
      <c r="IAR12" s="63"/>
      <c r="IAS12" s="34"/>
      <c r="IAT12" s="64"/>
      <c r="IAU12" s="4"/>
      <c r="IAV12" s="65"/>
      <c r="IAW12" s="4"/>
      <c r="IAX12" s="4"/>
      <c r="IAY12" s="4"/>
      <c r="IBB12" s="34"/>
      <c r="IBC12" s="34"/>
      <c r="IBE12" s="34"/>
      <c r="IBF12" s="72"/>
      <c r="IBG12" s="63"/>
      <c r="IBH12" s="34"/>
      <c r="IBI12" s="64"/>
      <c r="IBJ12" s="4"/>
      <c r="IBK12" s="65"/>
      <c r="IBL12" s="4"/>
      <c r="IBM12" s="4"/>
      <c r="IBN12" s="4"/>
      <c r="IBQ12" s="34"/>
      <c r="IBR12" s="34"/>
      <c r="IBT12" s="34"/>
      <c r="IBU12" s="72"/>
      <c r="IBV12" s="63"/>
      <c r="IBW12" s="34"/>
      <c r="IBX12" s="64"/>
      <c r="IBY12" s="4"/>
      <c r="IBZ12" s="65"/>
      <c r="ICA12" s="4"/>
      <c r="ICB12" s="4"/>
      <c r="ICC12" s="4"/>
      <c r="ICF12" s="34"/>
      <c r="ICG12" s="34"/>
      <c r="ICI12" s="34"/>
      <c r="ICJ12" s="72"/>
      <c r="ICK12" s="63"/>
      <c r="ICL12" s="34"/>
      <c r="ICM12" s="64"/>
      <c r="ICN12" s="4"/>
      <c r="ICO12" s="65"/>
      <c r="ICP12" s="4"/>
      <c r="ICQ12" s="4"/>
      <c r="ICR12" s="4"/>
      <c r="ICU12" s="34"/>
      <c r="ICV12" s="34"/>
      <c r="ICX12" s="34"/>
      <c r="ICY12" s="72"/>
      <c r="ICZ12" s="63"/>
      <c r="IDA12" s="34"/>
      <c r="IDB12" s="64"/>
      <c r="IDC12" s="4"/>
      <c r="IDD12" s="65"/>
      <c r="IDE12" s="4"/>
      <c r="IDF12" s="4"/>
      <c r="IDG12" s="4"/>
      <c r="IDJ12" s="34"/>
      <c r="IDK12" s="34"/>
      <c r="IDM12" s="34"/>
      <c r="IDN12" s="72"/>
      <c r="IDO12" s="63"/>
      <c r="IDP12" s="34"/>
      <c r="IDQ12" s="64"/>
      <c r="IDR12" s="4"/>
      <c r="IDS12" s="65"/>
      <c r="IDT12" s="4"/>
      <c r="IDU12" s="4"/>
      <c r="IDV12" s="4"/>
      <c r="IDY12" s="34"/>
      <c r="IDZ12" s="34"/>
      <c r="IEB12" s="34"/>
      <c r="IEC12" s="72"/>
      <c r="IED12" s="63"/>
      <c r="IEE12" s="34"/>
      <c r="IEF12" s="64"/>
      <c r="IEG12" s="4"/>
      <c r="IEH12" s="65"/>
      <c r="IEI12" s="4"/>
      <c r="IEJ12" s="4"/>
      <c r="IEK12" s="4"/>
      <c r="IEN12" s="34"/>
      <c r="IEO12" s="34"/>
      <c r="IEQ12" s="34"/>
      <c r="IER12" s="72"/>
      <c r="IES12" s="63"/>
      <c r="IET12" s="34"/>
      <c r="IEU12" s="64"/>
      <c r="IEV12" s="4"/>
      <c r="IEW12" s="65"/>
      <c r="IEX12" s="4"/>
      <c r="IEY12" s="4"/>
      <c r="IEZ12" s="4"/>
      <c r="IFC12" s="34"/>
      <c r="IFD12" s="34"/>
      <c r="IFF12" s="34"/>
      <c r="IFG12" s="72"/>
      <c r="IFH12" s="63"/>
      <c r="IFI12" s="34"/>
      <c r="IFJ12" s="64"/>
      <c r="IFK12" s="4"/>
      <c r="IFL12" s="65"/>
      <c r="IFM12" s="4"/>
      <c r="IFN12" s="4"/>
      <c r="IFO12" s="4"/>
      <c r="IFR12" s="34"/>
      <c r="IFS12" s="34"/>
      <c r="IFU12" s="34"/>
      <c r="IFV12" s="72"/>
      <c r="IFW12" s="63"/>
      <c r="IFX12" s="34"/>
      <c r="IFY12" s="64"/>
      <c r="IFZ12" s="4"/>
      <c r="IGA12" s="65"/>
      <c r="IGB12" s="4"/>
      <c r="IGC12" s="4"/>
      <c r="IGD12" s="4"/>
      <c r="IGG12" s="34"/>
      <c r="IGH12" s="34"/>
      <c r="IGJ12" s="34"/>
      <c r="IGK12" s="72"/>
      <c r="IGL12" s="63"/>
      <c r="IGM12" s="34"/>
      <c r="IGN12" s="64"/>
      <c r="IGO12" s="4"/>
      <c r="IGP12" s="65"/>
      <c r="IGQ12" s="4"/>
      <c r="IGR12" s="4"/>
      <c r="IGS12" s="4"/>
      <c r="IGV12" s="34"/>
      <c r="IGW12" s="34"/>
      <c r="IGY12" s="34"/>
      <c r="IGZ12" s="72"/>
      <c r="IHA12" s="63"/>
      <c r="IHB12" s="34"/>
      <c r="IHC12" s="64"/>
      <c r="IHD12" s="4"/>
      <c r="IHE12" s="65"/>
      <c r="IHF12" s="4"/>
      <c r="IHG12" s="4"/>
      <c r="IHH12" s="4"/>
      <c r="IHK12" s="34"/>
      <c r="IHL12" s="34"/>
      <c r="IHN12" s="34"/>
      <c r="IHO12" s="72"/>
      <c r="IHP12" s="63"/>
      <c r="IHQ12" s="34"/>
      <c r="IHR12" s="64"/>
      <c r="IHS12" s="4"/>
      <c r="IHT12" s="65"/>
      <c r="IHU12" s="4"/>
      <c r="IHV12" s="4"/>
      <c r="IHW12" s="4"/>
      <c r="IHZ12" s="34"/>
      <c r="IIA12" s="34"/>
      <c r="IIC12" s="34"/>
      <c r="IID12" s="72"/>
      <c r="IIE12" s="63"/>
      <c r="IIF12" s="34"/>
      <c r="IIG12" s="64"/>
      <c r="IIH12" s="4"/>
      <c r="III12" s="65"/>
      <c r="IIJ12" s="4"/>
      <c r="IIK12" s="4"/>
      <c r="IIL12" s="4"/>
      <c r="IIO12" s="34"/>
      <c r="IIP12" s="34"/>
      <c r="IIR12" s="34"/>
      <c r="IIS12" s="72"/>
      <c r="IIT12" s="63"/>
      <c r="IIU12" s="34"/>
      <c r="IIV12" s="64"/>
      <c r="IIW12" s="4"/>
      <c r="IIX12" s="65"/>
      <c r="IIY12" s="4"/>
      <c r="IIZ12" s="4"/>
      <c r="IJA12" s="4"/>
      <c r="IJD12" s="34"/>
      <c r="IJE12" s="34"/>
      <c r="IJG12" s="34"/>
      <c r="IJH12" s="72"/>
      <c r="IJI12" s="63"/>
      <c r="IJJ12" s="34"/>
      <c r="IJK12" s="64"/>
      <c r="IJL12" s="4"/>
      <c r="IJM12" s="65"/>
      <c r="IJN12" s="4"/>
      <c r="IJO12" s="4"/>
      <c r="IJP12" s="4"/>
      <c r="IJS12" s="34"/>
      <c r="IJT12" s="34"/>
      <c r="IJV12" s="34"/>
      <c r="IJW12" s="72"/>
      <c r="IJX12" s="63"/>
      <c r="IJY12" s="34"/>
      <c r="IJZ12" s="64"/>
      <c r="IKA12" s="4"/>
      <c r="IKB12" s="65"/>
      <c r="IKC12" s="4"/>
      <c r="IKD12" s="4"/>
      <c r="IKE12" s="4"/>
      <c r="IKH12" s="34"/>
      <c r="IKI12" s="34"/>
      <c r="IKK12" s="34"/>
      <c r="IKL12" s="72"/>
      <c r="IKM12" s="63"/>
      <c r="IKN12" s="34"/>
      <c r="IKO12" s="64"/>
      <c r="IKP12" s="4"/>
      <c r="IKQ12" s="65"/>
      <c r="IKR12" s="4"/>
      <c r="IKS12" s="4"/>
      <c r="IKT12" s="4"/>
      <c r="IKW12" s="34"/>
      <c r="IKX12" s="34"/>
      <c r="IKZ12" s="34"/>
      <c r="ILA12" s="72"/>
      <c r="ILB12" s="63"/>
      <c r="ILC12" s="34"/>
      <c r="ILD12" s="64"/>
      <c r="ILE12" s="4"/>
      <c r="ILF12" s="65"/>
      <c r="ILG12" s="4"/>
      <c r="ILH12" s="4"/>
      <c r="ILI12" s="4"/>
      <c r="ILL12" s="34"/>
      <c r="ILM12" s="34"/>
      <c r="ILO12" s="34"/>
      <c r="ILP12" s="72"/>
      <c r="ILQ12" s="63"/>
      <c r="ILR12" s="34"/>
      <c r="ILS12" s="64"/>
      <c r="ILT12" s="4"/>
      <c r="ILU12" s="65"/>
      <c r="ILV12" s="4"/>
      <c r="ILW12" s="4"/>
      <c r="ILX12" s="4"/>
      <c r="IMA12" s="34"/>
      <c r="IMB12" s="34"/>
      <c r="IMD12" s="34"/>
      <c r="IME12" s="72"/>
      <c r="IMF12" s="63"/>
      <c r="IMG12" s="34"/>
      <c r="IMH12" s="64"/>
      <c r="IMI12" s="4"/>
      <c r="IMJ12" s="65"/>
      <c r="IMK12" s="4"/>
      <c r="IML12" s="4"/>
      <c r="IMM12" s="4"/>
      <c r="IMP12" s="34"/>
      <c r="IMQ12" s="34"/>
      <c r="IMS12" s="34"/>
      <c r="IMT12" s="72"/>
      <c r="IMU12" s="63"/>
      <c r="IMV12" s="34"/>
      <c r="IMW12" s="64"/>
      <c r="IMX12" s="4"/>
      <c r="IMY12" s="65"/>
      <c r="IMZ12" s="4"/>
      <c r="INA12" s="4"/>
      <c r="INB12" s="4"/>
      <c r="INE12" s="34"/>
      <c r="INF12" s="34"/>
      <c r="INH12" s="34"/>
      <c r="INI12" s="72"/>
      <c r="INJ12" s="63"/>
      <c r="INK12" s="34"/>
      <c r="INL12" s="64"/>
      <c r="INM12" s="4"/>
      <c r="INN12" s="65"/>
      <c r="INO12" s="4"/>
      <c r="INP12" s="4"/>
      <c r="INQ12" s="4"/>
      <c r="INT12" s="34"/>
      <c r="INU12" s="34"/>
      <c r="INW12" s="34"/>
      <c r="INX12" s="72"/>
      <c r="INY12" s="63"/>
      <c r="INZ12" s="34"/>
      <c r="IOA12" s="64"/>
      <c r="IOB12" s="4"/>
      <c r="IOC12" s="65"/>
      <c r="IOD12" s="4"/>
      <c r="IOE12" s="4"/>
      <c r="IOF12" s="4"/>
      <c r="IOI12" s="34"/>
      <c r="IOJ12" s="34"/>
      <c r="IOL12" s="34"/>
      <c r="IOM12" s="72"/>
      <c r="ION12" s="63"/>
      <c r="IOO12" s="34"/>
      <c r="IOP12" s="64"/>
      <c r="IOQ12" s="4"/>
      <c r="IOR12" s="65"/>
      <c r="IOS12" s="4"/>
      <c r="IOT12" s="4"/>
      <c r="IOU12" s="4"/>
      <c r="IOX12" s="34"/>
      <c r="IOY12" s="34"/>
      <c r="IPA12" s="34"/>
      <c r="IPB12" s="72"/>
      <c r="IPC12" s="63"/>
      <c r="IPD12" s="34"/>
      <c r="IPE12" s="64"/>
      <c r="IPF12" s="4"/>
      <c r="IPG12" s="65"/>
      <c r="IPH12" s="4"/>
      <c r="IPI12" s="4"/>
      <c r="IPJ12" s="4"/>
      <c r="IPM12" s="34"/>
      <c r="IPN12" s="34"/>
      <c r="IPP12" s="34"/>
      <c r="IPQ12" s="72"/>
      <c r="IPR12" s="63"/>
      <c r="IPS12" s="34"/>
      <c r="IPT12" s="64"/>
      <c r="IPU12" s="4"/>
      <c r="IPV12" s="65"/>
      <c r="IPW12" s="4"/>
      <c r="IPX12" s="4"/>
      <c r="IPY12" s="4"/>
      <c r="IQB12" s="34"/>
      <c r="IQC12" s="34"/>
      <c r="IQE12" s="34"/>
      <c r="IQF12" s="72"/>
      <c r="IQG12" s="63"/>
      <c r="IQH12" s="34"/>
      <c r="IQI12" s="64"/>
      <c r="IQJ12" s="4"/>
      <c r="IQK12" s="65"/>
      <c r="IQL12" s="4"/>
      <c r="IQM12" s="4"/>
      <c r="IQN12" s="4"/>
      <c r="IQQ12" s="34"/>
      <c r="IQR12" s="34"/>
      <c r="IQT12" s="34"/>
      <c r="IQU12" s="72"/>
      <c r="IQV12" s="63"/>
      <c r="IQW12" s="34"/>
      <c r="IQX12" s="64"/>
      <c r="IQY12" s="4"/>
      <c r="IQZ12" s="65"/>
      <c r="IRA12" s="4"/>
      <c r="IRB12" s="4"/>
      <c r="IRC12" s="4"/>
      <c r="IRF12" s="34"/>
      <c r="IRG12" s="34"/>
      <c r="IRI12" s="34"/>
      <c r="IRJ12" s="72"/>
      <c r="IRK12" s="63"/>
      <c r="IRL12" s="34"/>
      <c r="IRM12" s="64"/>
      <c r="IRN12" s="4"/>
      <c r="IRO12" s="65"/>
      <c r="IRP12" s="4"/>
      <c r="IRQ12" s="4"/>
      <c r="IRR12" s="4"/>
      <c r="IRU12" s="34"/>
      <c r="IRV12" s="34"/>
      <c r="IRX12" s="34"/>
      <c r="IRY12" s="72"/>
      <c r="IRZ12" s="63"/>
      <c r="ISA12" s="34"/>
      <c r="ISB12" s="64"/>
      <c r="ISC12" s="4"/>
      <c r="ISD12" s="65"/>
      <c r="ISE12" s="4"/>
      <c r="ISF12" s="4"/>
      <c r="ISG12" s="4"/>
      <c r="ISJ12" s="34"/>
      <c r="ISK12" s="34"/>
      <c r="ISM12" s="34"/>
      <c r="ISN12" s="72"/>
      <c r="ISO12" s="63"/>
      <c r="ISP12" s="34"/>
      <c r="ISQ12" s="64"/>
      <c r="ISR12" s="4"/>
      <c r="ISS12" s="65"/>
      <c r="IST12" s="4"/>
      <c r="ISU12" s="4"/>
      <c r="ISV12" s="4"/>
      <c r="ISY12" s="34"/>
      <c r="ISZ12" s="34"/>
      <c r="ITB12" s="34"/>
      <c r="ITC12" s="72"/>
      <c r="ITD12" s="63"/>
      <c r="ITE12" s="34"/>
      <c r="ITF12" s="64"/>
      <c r="ITG12" s="4"/>
      <c r="ITH12" s="65"/>
      <c r="ITI12" s="4"/>
      <c r="ITJ12" s="4"/>
      <c r="ITK12" s="4"/>
      <c r="ITN12" s="34"/>
      <c r="ITO12" s="34"/>
      <c r="ITQ12" s="34"/>
      <c r="ITR12" s="72"/>
      <c r="ITS12" s="63"/>
      <c r="ITT12" s="34"/>
      <c r="ITU12" s="64"/>
      <c r="ITV12" s="4"/>
      <c r="ITW12" s="65"/>
      <c r="ITX12" s="4"/>
      <c r="ITY12" s="4"/>
      <c r="ITZ12" s="4"/>
      <c r="IUC12" s="34"/>
      <c r="IUD12" s="34"/>
      <c r="IUF12" s="34"/>
      <c r="IUG12" s="72"/>
      <c r="IUH12" s="63"/>
      <c r="IUI12" s="34"/>
      <c r="IUJ12" s="64"/>
      <c r="IUK12" s="4"/>
      <c r="IUL12" s="65"/>
      <c r="IUM12" s="4"/>
      <c r="IUN12" s="4"/>
      <c r="IUO12" s="4"/>
      <c r="IUR12" s="34"/>
      <c r="IUS12" s="34"/>
      <c r="IUU12" s="34"/>
      <c r="IUV12" s="72"/>
      <c r="IUW12" s="63"/>
      <c r="IUX12" s="34"/>
      <c r="IUY12" s="64"/>
      <c r="IUZ12" s="4"/>
      <c r="IVA12" s="65"/>
      <c r="IVB12" s="4"/>
      <c r="IVC12" s="4"/>
      <c r="IVD12" s="4"/>
      <c r="IVG12" s="34"/>
      <c r="IVH12" s="34"/>
      <c r="IVJ12" s="34"/>
      <c r="IVK12" s="72"/>
      <c r="IVL12" s="63"/>
      <c r="IVM12" s="34"/>
      <c r="IVN12" s="64"/>
      <c r="IVO12" s="4"/>
      <c r="IVP12" s="65"/>
      <c r="IVQ12" s="4"/>
      <c r="IVR12" s="4"/>
      <c r="IVS12" s="4"/>
      <c r="IVV12" s="34"/>
      <c r="IVW12" s="34"/>
      <c r="IVY12" s="34"/>
      <c r="IVZ12" s="72"/>
      <c r="IWA12" s="63"/>
      <c r="IWB12" s="34"/>
      <c r="IWC12" s="64"/>
      <c r="IWD12" s="4"/>
      <c r="IWE12" s="65"/>
      <c r="IWF12" s="4"/>
      <c r="IWG12" s="4"/>
      <c r="IWH12" s="4"/>
      <c r="IWK12" s="34"/>
      <c r="IWL12" s="34"/>
      <c r="IWN12" s="34"/>
      <c r="IWO12" s="72"/>
      <c r="IWP12" s="63"/>
      <c r="IWQ12" s="34"/>
      <c r="IWR12" s="64"/>
      <c r="IWS12" s="4"/>
      <c r="IWT12" s="65"/>
      <c r="IWU12" s="4"/>
      <c r="IWV12" s="4"/>
      <c r="IWW12" s="4"/>
      <c r="IWZ12" s="34"/>
      <c r="IXA12" s="34"/>
      <c r="IXC12" s="34"/>
      <c r="IXD12" s="72"/>
      <c r="IXE12" s="63"/>
      <c r="IXF12" s="34"/>
      <c r="IXG12" s="64"/>
      <c r="IXH12" s="4"/>
      <c r="IXI12" s="65"/>
      <c r="IXJ12" s="4"/>
      <c r="IXK12" s="4"/>
      <c r="IXL12" s="4"/>
      <c r="IXO12" s="34"/>
      <c r="IXP12" s="34"/>
      <c r="IXR12" s="34"/>
      <c r="IXS12" s="72"/>
      <c r="IXT12" s="63"/>
      <c r="IXU12" s="34"/>
      <c r="IXV12" s="64"/>
      <c r="IXW12" s="4"/>
      <c r="IXX12" s="65"/>
      <c r="IXY12" s="4"/>
      <c r="IXZ12" s="4"/>
      <c r="IYA12" s="4"/>
      <c r="IYD12" s="34"/>
      <c r="IYE12" s="34"/>
      <c r="IYG12" s="34"/>
      <c r="IYH12" s="72"/>
      <c r="IYI12" s="63"/>
      <c r="IYJ12" s="34"/>
      <c r="IYK12" s="64"/>
      <c r="IYL12" s="4"/>
      <c r="IYM12" s="65"/>
      <c r="IYN12" s="4"/>
      <c r="IYO12" s="4"/>
      <c r="IYP12" s="4"/>
      <c r="IYS12" s="34"/>
      <c r="IYT12" s="34"/>
      <c r="IYV12" s="34"/>
      <c r="IYW12" s="72"/>
      <c r="IYX12" s="63"/>
      <c r="IYY12" s="34"/>
      <c r="IYZ12" s="64"/>
      <c r="IZA12" s="4"/>
      <c r="IZB12" s="65"/>
      <c r="IZC12" s="4"/>
      <c r="IZD12" s="4"/>
      <c r="IZE12" s="4"/>
      <c r="IZH12" s="34"/>
      <c r="IZI12" s="34"/>
      <c r="IZK12" s="34"/>
      <c r="IZL12" s="72"/>
      <c r="IZM12" s="63"/>
      <c r="IZN12" s="34"/>
      <c r="IZO12" s="64"/>
      <c r="IZP12" s="4"/>
      <c r="IZQ12" s="65"/>
      <c r="IZR12" s="4"/>
      <c r="IZS12" s="4"/>
      <c r="IZT12" s="4"/>
      <c r="IZW12" s="34"/>
      <c r="IZX12" s="34"/>
      <c r="IZZ12" s="34"/>
      <c r="JAA12" s="72"/>
      <c r="JAB12" s="63"/>
      <c r="JAC12" s="34"/>
      <c r="JAD12" s="64"/>
      <c r="JAE12" s="4"/>
      <c r="JAF12" s="65"/>
      <c r="JAG12" s="4"/>
      <c r="JAH12" s="4"/>
      <c r="JAI12" s="4"/>
      <c r="JAL12" s="34"/>
      <c r="JAM12" s="34"/>
      <c r="JAO12" s="34"/>
      <c r="JAP12" s="72"/>
      <c r="JAQ12" s="63"/>
      <c r="JAR12" s="34"/>
      <c r="JAS12" s="64"/>
      <c r="JAT12" s="4"/>
      <c r="JAU12" s="65"/>
      <c r="JAV12" s="4"/>
      <c r="JAW12" s="4"/>
      <c r="JAX12" s="4"/>
      <c r="JBA12" s="34"/>
      <c r="JBB12" s="34"/>
      <c r="JBD12" s="34"/>
      <c r="JBE12" s="72"/>
      <c r="JBF12" s="63"/>
      <c r="JBG12" s="34"/>
      <c r="JBH12" s="64"/>
      <c r="JBI12" s="4"/>
      <c r="JBJ12" s="65"/>
      <c r="JBK12" s="4"/>
      <c r="JBL12" s="4"/>
      <c r="JBM12" s="4"/>
      <c r="JBP12" s="34"/>
      <c r="JBQ12" s="34"/>
      <c r="JBS12" s="34"/>
      <c r="JBT12" s="72"/>
      <c r="JBU12" s="63"/>
      <c r="JBV12" s="34"/>
      <c r="JBW12" s="64"/>
      <c r="JBX12" s="4"/>
      <c r="JBY12" s="65"/>
      <c r="JBZ12" s="4"/>
      <c r="JCA12" s="4"/>
      <c r="JCB12" s="4"/>
      <c r="JCE12" s="34"/>
      <c r="JCF12" s="34"/>
      <c r="JCH12" s="34"/>
      <c r="JCI12" s="72"/>
      <c r="JCJ12" s="63"/>
      <c r="JCK12" s="34"/>
      <c r="JCL12" s="64"/>
      <c r="JCM12" s="4"/>
      <c r="JCN12" s="65"/>
      <c r="JCO12" s="4"/>
      <c r="JCP12" s="4"/>
      <c r="JCQ12" s="4"/>
      <c r="JCT12" s="34"/>
      <c r="JCU12" s="34"/>
      <c r="JCW12" s="34"/>
      <c r="JCX12" s="72"/>
      <c r="JCY12" s="63"/>
      <c r="JCZ12" s="34"/>
      <c r="JDA12" s="64"/>
      <c r="JDB12" s="4"/>
      <c r="JDC12" s="65"/>
      <c r="JDD12" s="4"/>
      <c r="JDE12" s="4"/>
      <c r="JDF12" s="4"/>
      <c r="JDI12" s="34"/>
      <c r="JDJ12" s="34"/>
      <c r="JDL12" s="34"/>
      <c r="JDM12" s="72"/>
      <c r="JDN12" s="63"/>
      <c r="JDO12" s="34"/>
      <c r="JDP12" s="64"/>
      <c r="JDQ12" s="4"/>
      <c r="JDR12" s="65"/>
      <c r="JDS12" s="4"/>
      <c r="JDT12" s="4"/>
      <c r="JDU12" s="4"/>
      <c r="JDX12" s="34"/>
      <c r="JDY12" s="34"/>
      <c r="JEA12" s="34"/>
      <c r="JEB12" s="72"/>
      <c r="JEC12" s="63"/>
      <c r="JED12" s="34"/>
      <c r="JEE12" s="64"/>
      <c r="JEF12" s="4"/>
      <c r="JEG12" s="65"/>
      <c r="JEH12" s="4"/>
      <c r="JEI12" s="4"/>
      <c r="JEJ12" s="4"/>
      <c r="JEM12" s="34"/>
      <c r="JEN12" s="34"/>
      <c r="JEP12" s="34"/>
      <c r="JEQ12" s="72"/>
      <c r="JER12" s="63"/>
      <c r="JES12" s="34"/>
      <c r="JET12" s="64"/>
      <c r="JEU12" s="4"/>
      <c r="JEV12" s="65"/>
      <c r="JEW12" s="4"/>
      <c r="JEX12" s="4"/>
      <c r="JEY12" s="4"/>
      <c r="JFB12" s="34"/>
      <c r="JFC12" s="34"/>
      <c r="JFE12" s="34"/>
      <c r="JFF12" s="72"/>
      <c r="JFG12" s="63"/>
      <c r="JFH12" s="34"/>
      <c r="JFI12" s="64"/>
      <c r="JFJ12" s="4"/>
      <c r="JFK12" s="65"/>
      <c r="JFL12" s="4"/>
      <c r="JFM12" s="4"/>
      <c r="JFN12" s="4"/>
      <c r="JFQ12" s="34"/>
      <c r="JFR12" s="34"/>
      <c r="JFT12" s="34"/>
      <c r="JFU12" s="72"/>
      <c r="JFV12" s="63"/>
      <c r="JFW12" s="34"/>
      <c r="JFX12" s="64"/>
      <c r="JFY12" s="4"/>
      <c r="JFZ12" s="65"/>
      <c r="JGA12" s="4"/>
      <c r="JGB12" s="4"/>
      <c r="JGC12" s="4"/>
      <c r="JGF12" s="34"/>
      <c r="JGG12" s="34"/>
      <c r="JGI12" s="34"/>
      <c r="JGJ12" s="72"/>
      <c r="JGK12" s="63"/>
      <c r="JGL12" s="34"/>
      <c r="JGM12" s="64"/>
      <c r="JGN12" s="4"/>
      <c r="JGO12" s="65"/>
      <c r="JGP12" s="4"/>
      <c r="JGQ12" s="4"/>
      <c r="JGR12" s="4"/>
      <c r="JGU12" s="34"/>
      <c r="JGV12" s="34"/>
      <c r="JGX12" s="34"/>
      <c r="JGY12" s="72"/>
      <c r="JGZ12" s="63"/>
      <c r="JHA12" s="34"/>
      <c r="JHB12" s="64"/>
      <c r="JHC12" s="4"/>
      <c r="JHD12" s="65"/>
      <c r="JHE12" s="4"/>
      <c r="JHF12" s="4"/>
      <c r="JHG12" s="4"/>
      <c r="JHJ12" s="34"/>
      <c r="JHK12" s="34"/>
      <c r="JHM12" s="34"/>
      <c r="JHN12" s="72"/>
      <c r="JHO12" s="63"/>
      <c r="JHP12" s="34"/>
      <c r="JHQ12" s="64"/>
      <c r="JHR12" s="4"/>
      <c r="JHS12" s="65"/>
      <c r="JHT12" s="4"/>
      <c r="JHU12" s="4"/>
      <c r="JHV12" s="4"/>
      <c r="JHY12" s="34"/>
      <c r="JHZ12" s="34"/>
      <c r="JIB12" s="34"/>
      <c r="JIC12" s="72"/>
      <c r="JID12" s="63"/>
      <c r="JIE12" s="34"/>
      <c r="JIF12" s="64"/>
      <c r="JIG12" s="4"/>
      <c r="JIH12" s="65"/>
      <c r="JII12" s="4"/>
      <c r="JIJ12" s="4"/>
      <c r="JIK12" s="4"/>
      <c r="JIN12" s="34"/>
      <c r="JIO12" s="34"/>
      <c r="JIQ12" s="34"/>
      <c r="JIR12" s="72"/>
      <c r="JIS12" s="63"/>
      <c r="JIT12" s="34"/>
      <c r="JIU12" s="64"/>
      <c r="JIV12" s="4"/>
      <c r="JIW12" s="65"/>
      <c r="JIX12" s="4"/>
      <c r="JIY12" s="4"/>
      <c r="JIZ12" s="4"/>
      <c r="JJC12" s="34"/>
      <c r="JJD12" s="34"/>
      <c r="JJF12" s="34"/>
      <c r="JJG12" s="72"/>
      <c r="JJH12" s="63"/>
      <c r="JJI12" s="34"/>
      <c r="JJJ12" s="64"/>
      <c r="JJK12" s="4"/>
      <c r="JJL12" s="65"/>
      <c r="JJM12" s="4"/>
      <c r="JJN12" s="4"/>
      <c r="JJO12" s="4"/>
      <c r="JJR12" s="34"/>
      <c r="JJS12" s="34"/>
      <c r="JJU12" s="34"/>
      <c r="JJV12" s="72"/>
      <c r="JJW12" s="63"/>
      <c r="JJX12" s="34"/>
      <c r="JJY12" s="64"/>
      <c r="JJZ12" s="4"/>
      <c r="JKA12" s="65"/>
      <c r="JKB12" s="4"/>
      <c r="JKC12" s="4"/>
      <c r="JKD12" s="4"/>
      <c r="JKG12" s="34"/>
      <c r="JKH12" s="34"/>
      <c r="JKJ12" s="34"/>
      <c r="JKK12" s="72"/>
      <c r="JKL12" s="63"/>
      <c r="JKM12" s="34"/>
      <c r="JKN12" s="64"/>
      <c r="JKO12" s="4"/>
      <c r="JKP12" s="65"/>
      <c r="JKQ12" s="4"/>
      <c r="JKR12" s="4"/>
      <c r="JKS12" s="4"/>
      <c r="JKV12" s="34"/>
      <c r="JKW12" s="34"/>
      <c r="JKY12" s="34"/>
      <c r="JKZ12" s="72"/>
      <c r="JLA12" s="63"/>
      <c r="JLB12" s="34"/>
      <c r="JLC12" s="64"/>
      <c r="JLD12" s="4"/>
      <c r="JLE12" s="65"/>
      <c r="JLF12" s="4"/>
      <c r="JLG12" s="4"/>
      <c r="JLH12" s="4"/>
      <c r="JLK12" s="34"/>
      <c r="JLL12" s="34"/>
      <c r="JLN12" s="34"/>
      <c r="JLO12" s="72"/>
      <c r="JLP12" s="63"/>
      <c r="JLQ12" s="34"/>
      <c r="JLR12" s="64"/>
      <c r="JLS12" s="4"/>
      <c r="JLT12" s="65"/>
      <c r="JLU12" s="4"/>
      <c r="JLV12" s="4"/>
      <c r="JLW12" s="4"/>
      <c r="JLZ12" s="34"/>
      <c r="JMA12" s="34"/>
      <c r="JMC12" s="34"/>
      <c r="JMD12" s="72"/>
      <c r="JME12" s="63"/>
      <c r="JMF12" s="34"/>
      <c r="JMG12" s="64"/>
      <c r="JMH12" s="4"/>
      <c r="JMI12" s="65"/>
      <c r="JMJ12" s="4"/>
      <c r="JMK12" s="4"/>
      <c r="JML12" s="4"/>
      <c r="JMO12" s="34"/>
      <c r="JMP12" s="34"/>
      <c r="JMR12" s="34"/>
      <c r="JMS12" s="72"/>
      <c r="JMT12" s="63"/>
      <c r="JMU12" s="34"/>
      <c r="JMV12" s="64"/>
      <c r="JMW12" s="4"/>
      <c r="JMX12" s="65"/>
      <c r="JMY12" s="4"/>
      <c r="JMZ12" s="4"/>
      <c r="JNA12" s="4"/>
      <c r="JND12" s="34"/>
      <c r="JNE12" s="34"/>
      <c r="JNG12" s="34"/>
      <c r="JNH12" s="72"/>
      <c r="JNI12" s="63"/>
      <c r="JNJ12" s="34"/>
      <c r="JNK12" s="64"/>
      <c r="JNL12" s="4"/>
      <c r="JNM12" s="65"/>
      <c r="JNN12" s="4"/>
      <c r="JNO12" s="4"/>
      <c r="JNP12" s="4"/>
      <c r="JNS12" s="34"/>
      <c r="JNT12" s="34"/>
      <c r="JNV12" s="34"/>
      <c r="JNW12" s="72"/>
      <c r="JNX12" s="63"/>
      <c r="JNY12" s="34"/>
      <c r="JNZ12" s="64"/>
      <c r="JOA12" s="4"/>
      <c r="JOB12" s="65"/>
      <c r="JOC12" s="4"/>
      <c r="JOD12" s="4"/>
      <c r="JOE12" s="4"/>
      <c r="JOH12" s="34"/>
      <c r="JOI12" s="34"/>
      <c r="JOK12" s="34"/>
      <c r="JOL12" s="72"/>
      <c r="JOM12" s="63"/>
      <c r="JON12" s="34"/>
      <c r="JOO12" s="64"/>
      <c r="JOP12" s="4"/>
      <c r="JOQ12" s="65"/>
      <c r="JOR12" s="4"/>
      <c r="JOS12" s="4"/>
      <c r="JOT12" s="4"/>
      <c r="JOW12" s="34"/>
      <c r="JOX12" s="34"/>
      <c r="JOZ12" s="34"/>
      <c r="JPA12" s="72"/>
      <c r="JPB12" s="63"/>
      <c r="JPC12" s="34"/>
      <c r="JPD12" s="64"/>
      <c r="JPE12" s="4"/>
      <c r="JPF12" s="65"/>
      <c r="JPG12" s="4"/>
      <c r="JPH12" s="4"/>
      <c r="JPI12" s="4"/>
      <c r="JPL12" s="34"/>
      <c r="JPM12" s="34"/>
      <c r="JPO12" s="34"/>
      <c r="JPP12" s="72"/>
      <c r="JPQ12" s="63"/>
      <c r="JPR12" s="34"/>
      <c r="JPS12" s="64"/>
      <c r="JPT12" s="4"/>
      <c r="JPU12" s="65"/>
      <c r="JPV12" s="4"/>
      <c r="JPW12" s="4"/>
      <c r="JPX12" s="4"/>
      <c r="JQA12" s="34"/>
      <c r="JQB12" s="34"/>
      <c r="JQD12" s="34"/>
      <c r="JQE12" s="72"/>
      <c r="JQF12" s="63"/>
      <c r="JQG12" s="34"/>
      <c r="JQH12" s="64"/>
      <c r="JQI12" s="4"/>
      <c r="JQJ12" s="65"/>
      <c r="JQK12" s="4"/>
      <c r="JQL12" s="4"/>
      <c r="JQM12" s="4"/>
      <c r="JQP12" s="34"/>
      <c r="JQQ12" s="34"/>
      <c r="JQS12" s="34"/>
      <c r="JQT12" s="72"/>
      <c r="JQU12" s="63"/>
      <c r="JQV12" s="34"/>
      <c r="JQW12" s="64"/>
      <c r="JQX12" s="4"/>
      <c r="JQY12" s="65"/>
      <c r="JQZ12" s="4"/>
      <c r="JRA12" s="4"/>
      <c r="JRB12" s="4"/>
      <c r="JRE12" s="34"/>
      <c r="JRF12" s="34"/>
      <c r="JRH12" s="34"/>
      <c r="JRI12" s="72"/>
      <c r="JRJ12" s="63"/>
      <c r="JRK12" s="34"/>
      <c r="JRL12" s="64"/>
      <c r="JRM12" s="4"/>
      <c r="JRN12" s="65"/>
      <c r="JRO12" s="4"/>
      <c r="JRP12" s="4"/>
      <c r="JRQ12" s="4"/>
      <c r="JRT12" s="34"/>
      <c r="JRU12" s="34"/>
      <c r="JRW12" s="34"/>
      <c r="JRX12" s="72"/>
      <c r="JRY12" s="63"/>
      <c r="JRZ12" s="34"/>
      <c r="JSA12" s="64"/>
      <c r="JSB12" s="4"/>
      <c r="JSC12" s="65"/>
      <c r="JSD12" s="4"/>
      <c r="JSE12" s="4"/>
      <c r="JSF12" s="4"/>
      <c r="JSI12" s="34"/>
      <c r="JSJ12" s="34"/>
      <c r="JSL12" s="34"/>
      <c r="JSM12" s="72"/>
      <c r="JSN12" s="63"/>
      <c r="JSO12" s="34"/>
      <c r="JSP12" s="64"/>
      <c r="JSQ12" s="4"/>
      <c r="JSR12" s="65"/>
      <c r="JSS12" s="4"/>
      <c r="JST12" s="4"/>
      <c r="JSU12" s="4"/>
      <c r="JSX12" s="34"/>
      <c r="JSY12" s="34"/>
      <c r="JTA12" s="34"/>
      <c r="JTB12" s="72"/>
      <c r="JTC12" s="63"/>
      <c r="JTD12" s="34"/>
      <c r="JTE12" s="64"/>
      <c r="JTF12" s="4"/>
      <c r="JTG12" s="65"/>
      <c r="JTH12" s="4"/>
      <c r="JTI12" s="4"/>
      <c r="JTJ12" s="4"/>
      <c r="JTM12" s="34"/>
      <c r="JTN12" s="34"/>
      <c r="JTP12" s="34"/>
      <c r="JTQ12" s="72"/>
      <c r="JTR12" s="63"/>
      <c r="JTS12" s="34"/>
      <c r="JTT12" s="64"/>
      <c r="JTU12" s="4"/>
      <c r="JTV12" s="65"/>
      <c r="JTW12" s="4"/>
      <c r="JTX12" s="4"/>
      <c r="JTY12" s="4"/>
      <c r="JUB12" s="34"/>
      <c r="JUC12" s="34"/>
      <c r="JUE12" s="34"/>
      <c r="JUF12" s="72"/>
      <c r="JUG12" s="63"/>
      <c r="JUH12" s="34"/>
      <c r="JUI12" s="64"/>
      <c r="JUJ12" s="4"/>
      <c r="JUK12" s="65"/>
      <c r="JUL12" s="4"/>
      <c r="JUM12" s="4"/>
      <c r="JUN12" s="4"/>
      <c r="JUQ12" s="34"/>
      <c r="JUR12" s="34"/>
      <c r="JUT12" s="34"/>
      <c r="JUU12" s="72"/>
      <c r="JUV12" s="63"/>
      <c r="JUW12" s="34"/>
      <c r="JUX12" s="64"/>
      <c r="JUY12" s="4"/>
      <c r="JUZ12" s="65"/>
      <c r="JVA12" s="4"/>
      <c r="JVB12" s="4"/>
      <c r="JVC12" s="4"/>
      <c r="JVF12" s="34"/>
      <c r="JVG12" s="34"/>
      <c r="JVI12" s="34"/>
      <c r="JVJ12" s="72"/>
      <c r="JVK12" s="63"/>
      <c r="JVL12" s="34"/>
      <c r="JVM12" s="64"/>
      <c r="JVN12" s="4"/>
      <c r="JVO12" s="65"/>
      <c r="JVP12" s="4"/>
      <c r="JVQ12" s="4"/>
      <c r="JVR12" s="4"/>
      <c r="JVU12" s="34"/>
      <c r="JVV12" s="34"/>
      <c r="JVX12" s="34"/>
      <c r="JVY12" s="72"/>
      <c r="JVZ12" s="63"/>
      <c r="JWA12" s="34"/>
      <c r="JWB12" s="64"/>
      <c r="JWC12" s="4"/>
      <c r="JWD12" s="65"/>
      <c r="JWE12" s="4"/>
      <c r="JWF12" s="4"/>
      <c r="JWG12" s="4"/>
      <c r="JWJ12" s="34"/>
      <c r="JWK12" s="34"/>
      <c r="JWM12" s="34"/>
      <c r="JWN12" s="72"/>
      <c r="JWO12" s="63"/>
      <c r="JWP12" s="34"/>
      <c r="JWQ12" s="64"/>
      <c r="JWR12" s="4"/>
      <c r="JWS12" s="65"/>
      <c r="JWT12" s="4"/>
      <c r="JWU12" s="4"/>
      <c r="JWV12" s="4"/>
      <c r="JWY12" s="34"/>
      <c r="JWZ12" s="34"/>
      <c r="JXB12" s="34"/>
      <c r="JXC12" s="72"/>
      <c r="JXD12" s="63"/>
      <c r="JXE12" s="34"/>
      <c r="JXF12" s="64"/>
      <c r="JXG12" s="4"/>
      <c r="JXH12" s="65"/>
      <c r="JXI12" s="4"/>
      <c r="JXJ12" s="4"/>
      <c r="JXK12" s="4"/>
      <c r="JXN12" s="34"/>
      <c r="JXO12" s="34"/>
      <c r="JXQ12" s="34"/>
      <c r="JXR12" s="72"/>
      <c r="JXS12" s="63"/>
      <c r="JXT12" s="34"/>
      <c r="JXU12" s="64"/>
      <c r="JXV12" s="4"/>
      <c r="JXW12" s="65"/>
      <c r="JXX12" s="4"/>
      <c r="JXY12" s="4"/>
      <c r="JXZ12" s="4"/>
      <c r="JYC12" s="34"/>
      <c r="JYD12" s="34"/>
      <c r="JYF12" s="34"/>
      <c r="JYG12" s="72"/>
      <c r="JYH12" s="63"/>
      <c r="JYI12" s="34"/>
      <c r="JYJ12" s="64"/>
      <c r="JYK12" s="4"/>
      <c r="JYL12" s="65"/>
      <c r="JYM12" s="4"/>
      <c r="JYN12" s="4"/>
      <c r="JYO12" s="4"/>
      <c r="JYR12" s="34"/>
      <c r="JYS12" s="34"/>
      <c r="JYU12" s="34"/>
      <c r="JYV12" s="72"/>
      <c r="JYW12" s="63"/>
      <c r="JYX12" s="34"/>
      <c r="JYY12" s="64"/>
      <c r="JYZ12" s="4"/>
      <c r="JZA12" s="65"/>
      <c r="JZB12" s="4"/>
      <c r="JZC12" s="4"/>
      <c r="JZD12" s="4"/>
      <c r="JZG12" s="34"/>
      <c r="JZH12" s="34"/>
      <c r="JZJ12" s="34"/>
      <c r="JZK12" s="72"/>
      <c r="JZL12" s="63"/>
      <c r="JZM12" s="34"/>
      <c r="JZN12" s="64"/>
      <c r="JZO12" s="4"/>
      <c r="JZP12" s="65"/>
      <c r="JZQ12" s="4"/>
      <c r="JZR12" s="4"/>
      <c r="JZS12" s="4"/>
      <c r="JZV12" s="34"/>
      <c r="JZW12" s="34"/>
      <c r="JZY12" s="34"/>
      <c r="JZZ12" s="72"/>
      <c r="KAA12" s="63"/>
      <c r="KAB12" s="34"/>
      <c r="KAC12" s="64"/>
      <c r="KAD12" s="4"/>
      <c r="KAE12" s="65"/>
      <c r="KAF12" s="4"/>
      <c r="KAG12" s="4"/>
      <c r="KAH12" s="4"/>
      <c r="KAK12" s="34"/>
      <c r="KAL12" s="34"/>
      <c r="KAN12" s="34"/>
      <c r="KAO12" s="72"/>
      <c r="KAP12" s="63"/>
      <c r="KAQ12" s="34"/>
      <c r="KAR12" s="64"/>
      <c r="KAS12" s="4"/>
      <c r="KAT12" s="65"/>
      <c r="KAU12" s="4"/>
      <c r="KAV12" s="4"/>
      <c r="KAW12" s="4"/>
      <c r="KAZ12" s="34"/>
      <c r="KBA12" s="34"/>
      <c r="KBC12" s="34"/>
      <c r="KBD12" s="72"/>
      <c r="KBE12" s="63"/>
      <c r="KBF12" s="34"/>
      <c r="KBG12" s="64"/>
      <c r="KBH12" s="4"/>
      <c r="KBI12" s="65"/>
      <c r="KBJ12" s="4"/>
      <c r="KBK12" s="4"/>
      <c r="KBL12" s="4"/>
      <c r="KBO12" s="34"/>
      <c r="KBP12" s="34"/>
      <c r="KBR12" s="34"/>
      <c r="KBS12" s="72"/>
      <c r="KBT12" s="63"/>
      <c r="KBU12" s="34"/>
      <c r="KBV12" s="64"/>
      <c r="KBW12" s="4"/>
      <c r="KBX12" s="65"/>
      <c r="KBY12" s="4"/>
      <c r="KBZ12" s="4"/>
      <c r="KCA12" s="4"/>
      <c r="KCD12" s="34"/>
      <c r="KCE12" s="34"/>
      <c r="KCG12" s="34"/>
      <c r="KCH12" s="72"/>
      <c r="KCI12" s="63"/>
      <c r="KCJ12" s="34"/>
      <c r="KCK12" s="64"/>
      <c r="KCL12" s="4"/>
      <c r="KCM12" s="65"/>
      <c r="KCN12" s="4"/>
      <c r="KCO12" s="4"/>
      <c r="KCP12" s="4"/>
      <c r="KCS12" s="34"/>
      <c r="KCT12" s="34"/>
      <c r="KCV12" s="34"/>
      <c r="KCW12" s="72"/>
      <c r="KCX12" s="63"/>
      <c r="KCY12" s="34"/>
      <c r="KCZ12" s="64"/>
      <c r="KDA12" s="4"/>
      <c r="KDB12" s="65"/>
      <c r="KDC12" s="4"/>
      <c r="KDD12" s="4"/>
      <c r="KDE12" s="4"/>
      <c r="KDH12" s="34"/>
      <c r="KDI12" s="34"/>
      <c r="KDK12" s="34"/>
      <c r="KDL12" s="72"/>
      <c r="KDM12" s="63"/>
      <c r="KDN12" s="34"/>
      <c r="KDO12" s="64"/>
      <c r="KDP12" s="4"/>
      <c r="KDQ12" s="65"/>
      <c r="KDR12" s="4"/>
      <c r="KDS12" s="4"/>
      <c r="KDT12" s="4"/>
      <c r="KDW12" s="34"/>
      <c r="KDX12" s="34"/>
      <c r="KDZ12" s="34"/>
      <c r="KEA12" s="72"/>
      <c r="KEB12" s="63"/>
      <c r="KEC12" s="34"/>
      <c r="KED12" s="64"/>
      <c r="KEE12" s="4"/>
      <c r="KEF12" s="65"/>
      <c r="KEG12" s="4"/>
      <c r="KEH12" s="4"/>
      <c r="KEI12" s="4"/>
      <c r="KEL12" s="34"/>
      <c r="KEM12" s="34"/>
      <c r="KEO12" s="34"/>
      <c r="KEP12" s="72"/>
      <c r="KEQ12" s="63"/>
      <c r="KER12" s="34"/>
      <c r="KES12" s="64"/>
      <c r="KET12" s="4"/>
      <c r="KEU12" s="65"/>
      <c r="KEV12" s="4"/>
      <c r="KEW12" s="4"/>
      <c r="KEX12" s="4"/>
      <c r="KFA12" s="34"/>
      <c r="KFB12" s="34"/>
      <c r="KFD12" s="34"/>
      <c r="KFE12" s="72"/>
      <c r="KFF12" s="63"/>
      <c r="KFG12" s="34"/>
      <c r="KFH12" s="64"/>
      <c r="KFI12" s="4"/>
      <c r="KFJ12" s="65"/>
      <c r="KFK12" s="4"/>
      <c r="KFL12" s="4"/>
      <c r="KFM12" s="4"/>
      <c r="KFP12" s="34"/>
      <c r="KFQ12" s="34"/>
      <c r="KFS12" s="34"/>
      <c r="KFT12" s="72"/>
      <c r="KFU12" s="63"/>
      <c r="KFV12" s="34"/>
      <c r="KFW12" s="64"/>
      <c r="KFX12" s="4"/>
      <c r="KFY12" s="65"/>
      <c r="KFZ12" s="4"/>
      <c r="KGA12" s="4"/>
      <c r="KGB12" s="4"/>
      <c r="KGE12" s="34"/>
      <c r="KGF12" s="34"/>
      <c r="KGH12" s="34"/>
      <c r="KGI12" s="72"/>
      <c r="KGJ12" s="63"/>
      <c r="KGK12" s="34"/>
      <c r="KGL12" s="64"/>
      <c r="KGM12" s="4"/>
      <c r="KGN12" s="65"/>
      <c r="KGO12" s="4"/>
      <c r="KGP12" s="4"/>
      <c r="KGQ12" s="4"/>
      <c r="KGT12" s="34"/>
      <c r="KGU12" s="34"/>
      <c r="KGW12" s="34"/>
      <c r="KGX12" s="72"/>
      <c r="KGY12" s="63"/>
      <c r="KGZ12" s="34"/>
      <c r="KHA12" s="64"/>
      <c r="KHB12" s="4"/>
      <c r="KHC12" s="65"/>
      <c r="KHD12" s="4"/>
      <c r="KHE12" s="4"/>
      <c r="KHF12" s="4"/>
      <c r="KHI12" s="34"/>
      <c r="KHJ12" s="34"/>
      <c r="KHL12" s="34"/>
      <c r="KHM12" s="72"/>
      <c r="KHN12" s="63"/>
      <c r="KHO12" s="34"/>
      <c r="KHP12" s="64"/>
      <c r="KHQ12" s="4"/>
      <c r="KHR12" s="65"/>
      <c r="KHS12" s="4"/>
      <c r="KHT12" s="4"/>
      <c r="KHU12" s="4"/>
      <c r="KHX12" s="34"/>
      <c r="KHY12" s="34"/>
      <c r="KIA12" s="34"/>
      <c r="KIB12" s="72"/>
      <c r="KIC12" s="63"/>
      <c r="KID12" s="34"/>
      <c r="KIE12" s="64"/>
      <c r="KIF12" s="4"/>
      <c r="KIG12" s="65"/>
      <c r="KIH12" s="4"/>
      <c r="KII12" s="4"/>
      <c r="KIJ12" s="4"/>
      <c r="KIM12" s="34"/>
      <c r="KIN12" s="34"/>
      <c r="KIP12" s="34"/>
      <c r="KIQ12" s="72"/>
      <c r="KIR12" s="63"/>
      <c r="KIS12" s="34"/>
      <c r="KIT12" s="64"/>
      <c r="KIU12" s="4"/>
      <c r="KIV12" s="65"/>
      <c r="KIW12" s="4"/>
      <c r="KIX12" s="4"/>
      <c r="KIY12" s="4"/>
      <c r="KJB12" s="34"/>
      <c r="KJC12" s="34"/>
      <c r="KJE12" s="34"/>
      <c r="KJF12" s="72"/>
      <c r="KJG12" s="63"/>
      <c r="KJH12" s="34"/>
      <c r="KJI12" s="64"/>
      <c r="KJJ12" s="4"/>
      <c r="KJK12" s="65"/>
      <c r="KJL12" s="4"/>
      <c r="KJM12" s="4"/>
      <c r="KJN12" s="4"/>
      <c r="KJQ12" s="34"/>
      <c r="KJR12" s="34"/>
      <c r="KJT12" s="34"/>
      <c r="KJU12" s="72"/>
      <c r="KJV12" s="63"/>
      <c r="KJW12" s="34"/>
      <c r="KJX12" s="64"/>
      <c r="KJY12" s="4"/>
      <c r="KJZ12" s="65"/>
      <c r="KKA12" s="4"/>
      <c r="KKB12" s="4"/>
      <c r="KKC12" s="4"/>
      <c r="KKF12" s="34"/>
      <c r="KKG12" s="34"/>
      <c r="KKI12" s="34"/>
      <c r="KKJ12" s="72"/>
      <c r="KKK12" s="63"/>
      <c r="KKL12" s="34"/>
      <c r="KKM12" s="64"/>
      <c r="KKN12" s="4"/>
      <c r="KKO12" s="65"/>
      <c r="KKP12" s="4"/>
      <c r="KKQ12" s="4"/>
      <c r="KKR12" s="4"/>
      <c r="KKU12" s="34"/>
      <c r="KKV12" s="34"/>
      <c r="KKX12" s="34"/>
      <c r="KKY12" s="72"/>
      <c r="KKZ12" s="63"/>
      <c r="KLA12" s="34"/>
      <c r="KLB12" s="64"/>
      <c r="KLC12" s="4"/>
      <c r="KLD12" s="65"/>
      <c r="KLE12" s="4"/>
      <c r="KLF12" s="4"/>
      <c r="KLG12" s="4"/>
      <c r="KLJ12" s="34"/>
      <c r="KLK12" s="34"/>
      <c r="KLM12" s="34"/>
      <c r="KLN12" s="72"/>
      <c r="KLO12" s="63"/>
      <c r="KLP12" s="34"/>
      <c r="KLQ12" s="64"/>
      <c r="KLR12" s="4"/>
      <c r="KLS12" s="65"/>
      <c r="KLT12" s="4"/>
      <c r="KLU12" s="4"/>
      <c r="KLV12" s="4"/>
      <c r="KLY12" s="34"/>
      <c r="KLZ12" s="34"/>
      <c r="KMB12" s="34"/>
      <c r="KMC12" s="72"/>
      <c r="KMD12" s="63"/>
      <c r="KME12" s="34"/>
      <c r="KMF12" s="64"/>
      <c r="KMG12" s="4"/>
      <c r="KMH12" s="65"/>
      <c r="KMI12" s="4"/>
      <c r="KMJ12" s="4"/>
      <c r="KMK12" s="4"/>
      <c r="KMN12" s="34"/>
      <c r="KMO12" s="34"/>
      <c r="KMQ12" s="34"/>
      <c r="KMR12" s="72"/>
      <c r="KMS12" s="63"/>
      <c r="KMT12" s="34"/>
      <c r="KMU12" s="64"/>
      <c r="KMV12" s="4"/>
      <c r="KMW12" s="65"/>
      <c r="KMX12" s="4"/>
      <c r="KMY12" s="4"/>
      <c r="KMZ12" s="4"/>
      <c r="KNC12" s="34"/>
      <c r="KND12" s="34"/>
      <c r="KNF12" s="34"/>
      <c r="KNG12" s="72"/>
      <c r="KNH12" s="63"/>
      <c r="KNI12" s="34"/>
      <c r="KNJ12" s="64"/>
      <c r="KNK12" s="4"/>
      <c r="KNL12" s="65"/>
      <c r="KNM12" s="4"/>
      <c r="KNN12" s="4"/>
      <c r="KNO12" s="4"/>
      <c r="KNR12" s="34"/>
      <c r="KNS12" s="34"/>
      <c r="KNU12" s="34"/>
      <c r="KNV12" s="72"/>
      <c r="KNW12" s="63"/>
      <c r="KNX12" s="34"/>
      <c r="KNY12" s="64"/>
      <c r="KNZ12" s="4"/>
      <c r="KOA12" s="65"/>
      <c r="KOB12" s="4"/>
      <c r="KOC12" s="4"/>
      <c r="KOD12" s="4"/>
      <c r="KOG12" s="34"/>
      <c r="KOH12" s="34"/>
      <c r="KOJ12" s="34"/>
      <c r="KOK12" s="72"/>
      <c r="KOL12" s="63"/>
      <c r="KOM12" s="34"/>
      <c r="KON12" s="64"/>
      <c r="KOO12" s="4"/>
      <c r="KOP12" s="65"/>
      <c r="KOQ12" s="4"/>
      <c r="KOR12" s="4"/>
      <c r="KOS12" s="4"/>
      <c r="KOV12" s="34"/>
      <c r="KOW12" s="34"/>
      <c r="KOY12" s="34"/>
      <c r="KOZ12" s="72"/>
      <c r="KPA12" s="63"/>
      <c r="KPB12" s="34"/>
      <c r="KPC12" s="64"/>
      <c r="KPD12" s="4"/>
      <c r="KPE12" s="65"/>
      <c r="KPF12" s="4"/>
      <c r="KPG12" s="4"/>
      <c r="KPH12" s="4"/>
      <c r="KPK12" s="34"/>
      <c r="KPL12" s="34"/>
      <c r="KPN12" s="34"/>
      <c r="KPO12" s="72"/>
      <c r="KPP12" s="63"/>
      <c r="KPQ12" s="34"/>
      <c r="KPR12" s="64"/>
      <c r="KPS12" s="4"/>
      <c r="KPT12" s="65"/>
      <c r="KPU12" s="4"/>
      <c r="KPV12" s="4"/>
      <c r="KPW12" s="4"/>
      <c r="KPZ12" s="34"/>
      <c r="KQA12" s="34"/>
      <c r="KQC12" s="34"/>
      <c r="KQD12" s="72"/>
      <c r="KQE12" s="63"/>
      <c r="KQF12" s="34"/>
      <c r="KQG12" s="64"/>
      <c r="KQH12" s="4"/>
      <c r="KQI12" s="65"/>
      <c r="KQJ12" s="4"/>
      <c r="KQK12" s="4"/>
      <c r="KQL12" s="4"/>
      <c r="KQO12" s="34"/>
      <c r="KQP12" s="34"/>
      <c r="KQR12" s="34"/>
      <c r="KQS12" s="72"/>
      <c r="KQT12" s="63"/>
      <c r="KQU12" s="34"/>
      <c r="KQV12" s="64"/>
      <c r="KQW12" s="4"/>
      <c r="KQX12" s="65"/>
      <c r="KQY12" s="4"/>
      <c r="KQZ12" s="4"/>
      <c r="KRA12" s="4"/>
      <c r="KRD12" s="34"/>
      <c r="KRE12" s="34"/>
      <c r="KRG12" s="34"/>
      <c r="KRH12" s="72"/>
      <c r="KRI12" s="63"/>
      <c r="KRJ12" s="34"/>
      <c r="KRK12" s="64"/>
      <c r="KRL12" s="4"/>
      <c r="KRM12" s="65"/>
      <c r="KRN12" s="4"/>
      <c r="KRO12" s="4"/>
      <c r="KRP12" s="4"/>
      <c r="KRS12" s="34"/>
      <c r="KRT12" s="34"/>
      <c r="KRV12" s="34"/>
      <c r="KRW12" s="72"/>
      <c r="KRX12" s="63"/>
      <c r="KRY12" s="34"/>
      <c r="KRZ12" s="64"/>
      <c r="KSA12" s="4"/>
      <c r="KSB12" s="65"/>
      <c r="KSC12" s="4"/>
      <c r="KSD12" s="4"/>
      <c r="KSE12" s="4"/>
      <c r="KSH12" s="34"/>
      <c r="KSI12" s="34"/>
      <c r="KSK12" s="34"/>
      <c r="KSL12" s="72"/>
      <c r="KSM12" s="63"/>
      <c r="KSN12" s="34"/>
      <c r="KSO12" s="64"/>
      <c r="KSP12" s="4"/>
      <c r="KSQ12" s="65"/>
      <c r="KSR12" s="4"/>
      <c r="KSS12" s="4"/>
      <c r="KST12" s="4"/>
      <c r="KSW12" s="34"/>
      <c r="KSX12" s="34"/>
      <c r="KSZ12" s="34"/>
      <c r="KTA12" s="72"/>
      <c r="KTB12" s="63"/>
      <c r="KTC12" s="34"/>
      <c r="KTD12" s="64"/>
      <c r="KTE12" s="4"/>
      <c r="KTF12" s="65"/>
      <c r="KTG12" s="4"/>
      <c r="KTH12" s="4"/>
      <c r="KTI12" s="4"/>
      <c r="KTL12" s="34"/>
      <c r="KTM12" s="34"/>
      <c r="KTO12" s="34"/>
      <c r="KTP12" s="72"/>
      <c r="KTQ12" s="63"/>
      <c r="KTR12" s="34"/>
      <c r="KTS12" s="64"/>
      <c r="KTT12" s="4"/>
      <c r="KTU12" s="65"/>
      <c r="KTV12" s="4"/>
      <c r="KTW12" s="4"/>
      <c r="KTX12" s="4"/>
      <c r="KUA12" s="34"/>
      <c r="KUB12" s="34"/>
      <c r="KUD12" s="34"/>
      <c r="KUE12" s="72"/>
      <c r="KUF12" s="63"/>
      <c r="KUG12" s="34"/>
      <c r="KUH12" s="64"/>
      <c r="KUI12" s="4"/>
      <c r="KUJ12" s="65"/>
      <c r="KUK12" s="4"/>
      <c r="KUL12" s="4"/>
      <c r="KUM12" s="4"/>
      <c r="KUP12" s="34"/>
      <c r="KUQ12" s="34"/>
      <c r="KUS12" s="34"/>
      <c r="KUT12" s="72"/>
      <c r="KUU12" s="63"/>
      <c r="KUV12" s="34"/>
      <c r="KUW12" s="64"/>
      <c r="KUX12" s="4"/>
      <c r="KUY12" s="65"/>
      <c r="KUZ12" s="4"/>
      <c r="KVA12" s="4"/>
      <c r="KVB12" s="4"/>
      <c r="KVE12" s="34"/>
      <c r="KVF12" s="34"/>
      <c r="KVH12" s="34"/>
      <c r="KVI12" s="72"/>
      <c r="KVJ12" s="63"/>
      <c r="KVK12" s="34"/>
      <c r="KVL12" s="64"/>
      <c r="KVM12" s="4"/>
      <c r="KVN12" s="65"/>
      <c r="KVO12" s="4"/>
      <c r="KVP12" s="4"/>
      <c r="KVQ12" s="4"/>
      <c r="KVT12" s="34"/>
      <c r="KVU12" s="34"/>
      <c r="KVW12" s="34"/>
      <c r="KVX12" s="72"/>
      <c r="KVY12" s="63"/>
      <c r="KVZ12" s="34"/>
      <c r="KWA12" s="64"/>
      <c r="KWB12" s="4"/>
      <c r="KWC12" s="65"/>
      <c r="KWD12" s="4"/>
      <c r="KWE12" s="4"/>
      <c r="KWF12" s="4"/>
      <c r="KWI12" s="34"/>
      <c r="KWJ12" s="34"/>
      <c r="KWL12" s="34"/>
      <c r="KWM12" s="72"/>
      <c r="KWN12" s="63"/>
      <c r="KWO12" s="34"/>
      <c r="KWP12" s="64"/>
      <c r="KWQ12" s="4"/>
      <c r="KWR12" s="65"/>
      <c r="KWS12" s="4"/>
      <c r="KWT12" s="4"/>
      <c r="KWU12" s="4"/>
      <c r="KWX12" s="34"/>
      <c r="KWY12" s="34"/>
      <c r="KXA12" s="34"/>
      <c r="KXB12" s="72"/>
      <c r="KXC12" s="63"/>
      <c r="KXD12" s="34"/>
      <c r="KXE12" s="64"/>
      <c r="KXF12" s="4"/>
      <c r="KXG12" s="65"/>
      <c r="KXH12" s="4"/>
      <c r="KXI12" s="4"/>
      <c r="KXJ12" s="4"/>
      <c r="KXM12" s="34"/>
      <c r="KXN12" s="34"/>
      <c r="KXP12" s="34"/>
      <c r="KXQ12" s="72"/>
      <c r="KXR12" s="63"/>
      <c r="KXS12" s="34"/>
      <c r="KXT12" s="64"/>
      <c r="KXU12" s="4"/>
      <c r="KXV12" s="65"/>
      <c r="KXW12" s="4"/>
      <c r="KXX12" s="4"/>
      <c r="KXY12" s="4"/>
      <c r="KYB12" s="34"/>
      <c r="KYC12" s="34"/>
      <c r="KYE12" s="34"/>
      <c r="KYF12" s="72"/>
      <c r="KYG12" s="63"/>
      <c r="KYH12" s="34"/>
      <c r="KYI12" s="64"/>
      <c r="KYJ12" s="4"/>
      <c r="KYK12" s="65"/>
      <c r="KYL12" s="4"/>
      <c r="KYM12" s="4"/>
      <c r="KYN12" s="4"/>
      <c r="KYQ12" s="34"/>
      <c r="KYR12" s="34"/>
      <c r="KYT12" s="34"/>
      <c r="KYU12" s="72"/>
      <c r="KYV12" s="63"/>
      <c r="KYW12" s="34"/>
      <c r="KYX12" s="64"/>
      <c r="KYY12" s="4"/>
      <c r="KYZ12" s="65"/>
      <c r="KZA12" s="4"/>
      <c r="KZB12" s="4"/>
      <c r="KZC12" s="4"/>
      <c r="KZF12" s="34"/>
      <c r="KZG12" s="34"/>
      <c r="KZI12" s="34"/>
      <c r="KZJ12" s="72"/>
      <c r="KZK12" s="63"/>
      <c r="KZL12" s="34"/>
      <c r="KZM12" s="64"/>
      <c r="KZN12" s="4"/>
      <c r="KZO12" s="65"/>
      <c r="KZP12" s="4"/>
      <c r="KZQ12" s="4"/>
      <c r="KZR12" s="4"/>
      <c r="KZU12" s="34"/>
      <c r="KZV12" s="34"/>
      <c r="KZX12" s="34"/>
      <c r="KZY12" s="72"/>
      <c r="KZZ12" s="63"/>
      <c r="LAA12" s="34"/>
      <c r="LAB12" s="64"/>
      <c r="LAC12" s="4"/>
      <c r="LAD12" s="65"/>
      <c r="LAE12" s="4"/>
      <c r="LAF12" s="4"/>
      <c r="LAG12" s="4"/>
      <c r="LAJ12" s="34"/>
      <c r="LAK12" s="34"/>
      <c r="LAM12" s="34"/>
      <c r="LAN12" s="72"/>
      <c r="LAO12" s="63"/>
      <c r="LAP12" s="34"/>
      <c r="LAQ12" s="64"/>
      <c r="LAR12" s="4"/>
      <c r="LAS12" s="65"/>
      <c r="LAT12" s="4"/>
      <c r="LAU12" s="4"/>
      <c r="LAV12" s="4"/>
      <c r="LAY12" s="34"/>
      <c r="LAZ12" s="34"/>
      <c r="LBB12" s="34"/>
      <c r="LBC12" s="72"/>
      <c r="LBD12" s="63"/>
      <c r="LBE12" s="34"/>
      <c r="LBF12" s="64"/>
      <c r="LBG12" s="4"/>
      <c r="LBH12" s="65"/>
      <c r="LBI12" s="4"/>
      <c r="LBJ12" s="4"/>
      <c r="LBK12" s="4"/>
      <c r="LBN12" s="34"/>
      <c r="LBO12" s="34"/>
      <c r="LBQ12" s="34"/>
      <c r="LBR12" s="72"/>
      <c r="LBS12" s="63"/>
      <c r="LBT12" s="34"/>
      <c r="LBU12" s="64"/>
      <c r="LBV12" s="4"/>
      <c r="LBW12" s="65"/>
      <c r="LBX12" s="4"/>
      <c r="LBY12" s="4"/>
      <c r="LBZ12" s="4"/>
      <c r="LCC12" s="34"/>
      <c r="LCD12" s="34"/>
      <c r="LCF12" s="34"/>
      <c r="LCG12" s="72"/>
      <c r="LCH12" s="63"/>
      <c r="LCI12" s="34"/>
      <c r="LCJ12" s="64"/>
      <c r="LCK12" s="4"/>
      <c r="LCL12" s="65"/>
      <c r="LCM12" s="4"/>
      <c r="LCN12" s="4"/>
      <c r="LCO12" s="4"/>
      <c r="LCR12" s="34"/>
      <c r="LCS12" s="34"/>
      <c r="LCU12" s="34"/>
      <c r="LCV12" s="72"/>
      <c r="LCW12" s="63"/>
      <c r="LCX12" s="34"/>
      <c r="LCY12" s="64"/>
      <c r="LCZ12" s="4"/>
      <c r="LDA12" s="65"/>
      <c r="LDB12" s="4"/>
      <c r="LDC12" s="4"/>
      <c r="LDD12" s="4"/>
      <c r="LDG12" s="34"/>
      <c r="LDH12" s="34"/>
      <c r="LDJ12" s="34"/>
      <c r="LDK12" s="72"/>
      <c r="LDL12" s="63"/>
      <c r="LDM12" s="34"/>
      <c r="LDN12" s="64"/>
      <c r="LDO12" s="4"/>
      <c r="LDP12" s="65"/>
      <c r="LDQ12" s="4"/>
      <c r="LDR12" s="4"/>
      <c r="LDS12" s="4"/>
      <c r="LDV12" s="34"/>
      <c r="LDW12" s="34"/>
      <c r="LDY12" s="34"/>
      <c r="LDZ12" s="72"/>
      <c r="LEA12" s="63"/>
      <c r="LEB12" s="34"/>
      <c r="LEC12" s="64"/>
      <c r="LED12" s="4"/>
      <c r="LEE12" s="65"/>
      <c r="LEF12" s="4"/>
      <c r="LEG12" s="4"/>
      <c r="LEH12" s="4"/>
      <c r="LEK12" s="34"/>
      <c r="LEL12" s="34"/>
      <c r="LEN12" s="34"/>
      <c r="LEO12" s="72"/>
      <c r="LEP12" s="63"/>
      <c r="LEQ12" s="34"/>
      <c r="LER12" s="64"/>
      <c r="LES12" s="4"/>
      <c r="LET12" s="65"/>
      <c r="LEU12" s="4"/>
      <c r="LEV12" s="4"/>
      <c r="LEW12" s="4"/>
      <c r="LEZ12" s="34"/>
      <c r="LFA12" s="34"/>
      <c r="LFC12" s="34"/>
      <c r="LFD12" s="72"/>
      <c r="LFE12" s="63"/>
      <c r="LFF12" s="34"/>
      <c r="LFG12" s="64"/>
      <c r="LFH12" s="4"/>
      <c r="LFI12" s="65"/>
      <c r="LFJ12" s="4"/>
      <c r="LFK12" s="4"/>
      <c r="LFL12" s="4"/>
      <c r="LFO12" s="34"/>
      <c r="LFP12" s="34"/>
      <c r="LFR12" s="34"/>
      <c r="LFS12" s="72"/>
      <c r="LFT12" s="63"/>
      <c r="LFU12" s="34"/>
      <c r="LFV12" s="64"/>
      <c r="LFW12" s="4"/>
      <c r="LFX12" s="65"/>
      <c r="LFY12" s="4"/>
      <c r="LFZ12" s="4"/>
      <c r="LGA12" s="4"/>
      <c r="LGD12" s="34"/>
      <c r="LGE12" s="34"/>
      <c r="LGG12" s="34"/>
      <c r="LGH12" s="72"/>
      <c r="LGI12" s="63"/>
      <c r="LGJ12" s="34"/>
      <c r="LGK12" s="64"/>
      <c r="LGL12" s="4"/>
      <c r="LGM12" s="65"/>
      <c r="LGN12" s="4"/>
      <c r="LGO12" s="4"/>
      <c r="LGP12" s="4"/>
      <c r="LGS12" s="34"/>
      <c r="LGT12" s="34"/>
      <c r="LGV12" s="34"/>
      <c r="LGW12" s="72"/>
      <c r="LGX12" s="63"/>
      <c r="LGY12" s="34"/>
      <c r="LGZ12" s="64"/>
      <c r="LHA12" s="4"/>
      <c r="LHB12" s="65"/>
      <c r="LHC12" s="4"/>
      <c r="LHD12" s="4"/>
      <c r="LHE12" s="4"/>
      <c r="LHH12" s="34"/>
      <c r="LHI12" s="34"/>
      <c r="LHK12" s="34"/>
      <c r="LHL12" s="72"/>
      <c r="LHM12" s="63"/>
      <c r="LHN12" s="34"/>
      <c r="LHO12" s="64"/>
      <c r="LHP12" s="4"/>
      <c r="LHQ12" s="65"/>
      <c r="LHR12" s="4"/>
      <c r="LHS12" s="4"/>
      <c r="LHT12" s="4"/>
      <c r="LHW12" s="34"/>
      <c r="LHX12" s="34"/>
      <c r="LHZ12" s="34"/>
      <c r="LIA12" s="72"/>
      <c r="LIB12" s="63"/>
      <c r="LIC12" s="34"/>
      <c r="LID12" s="64"/>
      <c r="LIE12" s="4"/>
      <c r="LIF12" s="65"/>
      <c r="LIG12" s="4"/>
      <c r="LIH12" s="4"/>
      <c r="LII12" s="4"/>
      <c r="LIL12" s="34"/>
      <c r="LIM12" s="34"/>
      <c r="LIO12" s="34"/>
      <c r="LIP12" s="72"/>
      <c r="LIQ12" s="63"/>
      <c r="LIR12" s="34"/>
      <c r="LIS12" s="64"/>
      <c r="LIT12" s="4"/>
      <c r="LIU12" s="65"/>
      <c r="LIV12" s="4"/>
      <c r="LIW12" s="4"/>
      <c r="LIX12" s="4"/>
      <c r="LJA12" s="34"/>
      <c r="LJB12" s="34"/>
      <c r="LJD12" s="34"/>
      <c r="LJE12" s="72"/>
      <c r="LJF12" s="63"/>
      <c r="LJG12" s="34"/>
      <c r="LJH12" s="64"/>
      <c r="LJI12" s="4"/>
      <c r="LJJ12" s="65"/>
      <c r="LJK12" s="4"/>
      <c r="LJL12" s="4"/>
      <c r="LJM12" s="4"/>
      <c r="LJP12" s="34"/>
      <c r="LJQ12" s="34"/>
      <c r="LJS12" s="34"/>
      <c r="LJT12" s="72"/>
      <c r="LJU12" s="63"/>
      <c r="LJV12" s="34"/>
      <c r="LJW12" s="64"/>
      <c r="LJX12" s="4"/>
      <c r="LJY12" s="65"/>
      <c r="LJZ12" s="4"/>
      <c r="LKA12" s="4"/>
      <c r="LKB12" s="4"/>
      <c r="LKE12" s="34"/>
      <c r="LKF12" s="34"/>
      <c r="LKH12" s="34"/>
      <c r="LKI12" s="72"/>
      <c r="LKJ12" s="63"/>
      <c r="LKK12" s="34"/>
      <c r="LKL12" s="64"/>
      <c r="LKM12" s="4"/>
      <c r="LKN12" s="65"/>
      <c r="LKO12" s="4"/>
      <c r="LKP12" s="4"/>
      <c r="LKQ12" s="4"/>
      <c r="LKT12" s="34"/>
      <c r="LKU12" s="34"/>
      <c r="LKW12" s="34"/>
      <c r="LKX12" s="72"/>
      <c r="LKY12" s="63"/>
      <c r="LKZ12" s="34"/>
      <c r="LLA12" s="64"/>
      <c r="LLB12" s="4"/>
      <c r="LLC12" s="65"/>
      <c r="LLD12" s="4"/>
      <c r="LLE12" s="4"/>
      <c r="LLF12" s="4"/>
      <c r="LLI12" s="34"/>
      <c r="LLJ12" s="34"/>
      <c r="LLL12" s="34"/>
      <c r="LLM12" s="72"/>
      <c r="LLN12" s="63"/>
      <c r="LLO12" s="34"/>
      <c r="LLP12" s="64"/>
      <c r="LLQ12" s="4"/>
      <c r="LLR12" s="65"/>
      <c r="LLS12" s="4"/>
      <c r="LLT12" s="4"/>
      <c r="LLU12" s="4"/>
      <c r="LLX12" s="34"/>
      <c r="LLY12" s="34"/>
      <c r="LMA12" s="34"/>
      <c r="LMB12" s="72"/>
      <c r="LMC12" s="63"/>
      <c r="LMD12" s="34"/>
      <c r="LME12" s="64"/>
      <c r="LMF12" s="4"/>
      <c r="LMG12" s="65"/>
      <c r="LMH12" s="4"/>
      <c r="LMI12" s="4"/>
      <c r="LMJ12" s="4"/>
      <c r="LMM12" s="34"/>
      <c r="LMN12" s="34"/>
      <c r="LMP12" s="34"/>
      <c r="LMQ12" s="72"/>
      <c r="LMR12" s="63"/>
      <c r="LMS12" s="34"/>
      <c r="LMT12" s="64"/>
      <c r="LMU12" s="4"/>
      <c r="LMV12" s="65"/>
      <c r="LMW12" s="4"/>
      <c r="LMX12" s="4"/>
      <c r="LMY12" s="4"/>
      <c r="LNB12" s="34"/>
      <c r="LNC12" s="34"/>
      <c r="LNE12" s="34"/>
      <c r="LNF12" s="72"/>
      <c r="LNG12" s="63"/>
      <c r="LNH12" s="34"/>
      <c r="LNI12" s="64"/>
      <c r="LNJ12" s="4"/>
      <c r="LNK12" s="65"/>
      <c r="LNL12" s="4"/>
      <c r="LNM12" s="4"/>
      <c r="LNN12" s="4"/>
      <c r="LNQ12" s="34"/>
      <c r="LNR12" s="34"/>
      <c r="LNT12" s="34"/>
      <c r="LNU12" s="72"/>
      <c r="LNV12" s="63"/>
      <c r="LNW12" s="34"/>
      <c r="LNX12" s="64"/>
      <c r="LNY12" s="4"/>
      <c r="LNZ12" s="65"/>
      <c r="LOA12" s="4"/>
      <c r="LOB12" s="4"/>
      <c r="LOC12" s="4"/>
      <c r="LOF12" s="34"/>
      <c r="LOG12" s="34"/>
      <c r="LOI12" s="34"/>
      <c r="LOJ12" s="72"/>
      <c r="LOK12" s="63"/>
      <c r="LOL12" s="34"/>
      <c r="LOM12" s="64"/>
      <c r="LON12" s="4"/>
      <c r="LOO12" s="65"/>
      <c r="LOP12" s="4"/>
      <c r="LOQ12" s="4"/>
      <c r="LOR12" s="4"/>
      <c r="LOU12" s="34"/>
      <c r="LOV12" s="34"/>
      <c r="LOX12" s="34"/>
      <c r="LOY12" s="72"/>
      <c r="LOZ12" s="63"/>
      <c r="LPA12" s="34"/>
      <c r="LPB12" s="64"/>
      <c r="LPC12" s="4"/>
      <c r="LPD12" s="65"/>
      <c r="LPE12" s="4"/>
      <c r="LPF12" s="4"/>
      <c r="LPG12" s="4"/>
      <c r="LPJ12" s="34"/>
      <c r="LPK12" s="34"/>
      <c r="LPM12" s="34"/>
      <c r="LPN12" s="72"/>
      <c r="LPO12" s="63"/>
      <c r="LPP12" s="34"/>
      <c r="LPQ12" s="64"/>
      <c r="LPR12" s="4"/>
      <c r="LPS12" s="65"/>
      <c r="LPT12" s="4"/>
      <c r="LPU12" s="4"/>
      <c r="LPV12" s="4"/>
      <c r="LPY12" s="34"/>
      <c r="LPZ12" s="34"/>
      <c r="LQB12" s="34"/>
      <c r="LQC12" s="72"/>
      <c r="LQD12" s="63"/>
      <c r="LQE12" s="34"/>
      <c r="LQF12" s="64"/>
      <c r="LQG12" s="4"/>
      <c r="LQH12" s="65"/>
      <c r="LQI12" s="4"/>
      <c r="LQJ12" s="4"/>
      <c r="LQK12" s="4"/>
      <c r="LQN12" s="34"/>
      <c r="LQO12" s="34"/>
      <c r="LQQ12" s="34"/>
      <c r="LQR12" s="72"/>
      <c r="LQS12" s="63"/>
      <c r="LQT12" s="34"/>
      <c r="LQU12" s="64"/>
      <c r="LQV12" s="4"/>
      <c r="LQW12" s="65"/>
      <c r="LQX12" s="4"/>
      <c r="LQY12" s="4"/>
      <c r="LQZ12" s="4"/>
      <c r="LRC12" s="34"/>
      <c r="LRD12" s="34"/>
      <c r="LRF12" s="34"/>
      <c r="LRG12" s="72"/>
      <c r="LRH12" s="63"/>
      <c r="LRI12" s="34"/>
      <c r="LRJ12" s="64"/>
      <c r="LRK12" s="4"/>
      <c r="LRL12" s="65"/>
      <c r="LRM12" s="4"/>
      <c r="LRN12" s="4"/>
      <c r="LRO12" s="4"/>
      <c r="LRR12" s="34"/>
      <c r="LRS12" s="34"/>
      <c r="LRU12" s="34"/>
      <c r="LRV12" s="72"/>
      <c r="LRW12" s="63"/>
      <c r="LRX12" s="34"/>
      <c r="LRY12" s="64"/>
      <c r="LRZ12" s="4"/>
      <c r="LSA12" s="65"/>
      <c r="LSB12" s="4"/>
      <c r="LSC12" s="4"/>
      <c r="LSD12" s="4"/>
      <c r="LSG12" s="34"/>
      <c r="LSH12" s="34"/>
      <c r="LSJ12" s="34"/>
      <c r="LSK12" s="72"/>
      <c r="LSL12" s="63"/>
      <c r="LSM12" s="34"/>
      <c r="LSN12" s="64"/>
      <c r="LSO12" s="4"/>
      <c r="LSP12" s="65"/>
      <c r="LSQ12" s="4"/>
      <c r="LSR12" s="4"/>
      <c r="LSS12" s="4"/>
      <c r="LSV12" s="34"/>
      <c r="LSW12" s="34"/>
      <c r="LSY12" s="34"/>
      <c r="LSZ12" s="72"/>
      <c r="LTA12" s="63"/>
      <c r="LTB12" s="34"/>
      <c r="LTC12" s="64"/>
      <c r="LTD12" s="4"/>
      <c r="LTE12" s="65"/>
      <c r="LTF12" s="4"/>
      <c r="LTG12" s="4"/>
      <c r="LTH12" s="4"/>
      <c r="LTK12" s="34"/>
      <c r="LTL12" s="34"/>
      <c r="LTN12" s="34"/>
      <c r="LTO12" s="72"/>
      <c r="LTP12" s="63"/>
      <c r="LTQ12" s="34"/>
      <c r="LTR12" s="64"/>
      <c r="LTS12" s="4"/>
      <c r="LTT12" s="65"/>
      <c r="LTU12" s="4"/>
      <c r="LTV12" s="4"/>
      <c r="LTW12" s="4"/>
      <c r="LTZ12" s="34"/>
      <c r="LUA12" s="34"/>
      <c r="LUC12" s="34"/>
      <c r="LUD12" s="72"/>
      <c r="LUE12" s="63"/>
      <c r="LUF12" s="34"/>
      <c r="LUG12" s="64"/>
      <c r="LUH12" s="4"/>
      <c r="LUI12" s="65"/>
      <c r="LUJ12" s="4"/>
      <c r="LUK12" s="4"/>
      <c r="LUL12" s="4"/>
      <c r="LUO12" s="34"/>
      <c r="LUP12" s="34"/>
      <c r="LUR12" s="34"/>
      <c r="LUS12" s="72"/>
      <c r="LUT12" s="63"/>
      <c r="LUU12" s="34"/>
      <c r="LUV12" s="64"/>
      <c r="LUW12" s="4"/>
      <c r="LUX12" s="65"/>
      <c r="LUY12" s="4"/>
      <c r="LUZ12" s="4"/>
      <c r="LVA12" s="4"/>
      <c r="LVD12" s="34"/>
      <c r="LVE12" s="34"/>
      <c r="LVG12" s="34"/>
      <c r="LVH12" s="72"/>
      <c r="LVI12" s="63"/>
      <c r="LVJ12" s="34"/>
      <c r="LVK12" s="64"/>
      <c r="LVL12" s="4"/>
      <c r="LVM12" s="65"/>
      <c r="LVN12" s="4"/>
      <c r="LVO12" s="4"/>
      <c r="LVP12" s="4"/>
      <c r="LVS12" s="34"/>
      <c r="LVT12" s="34"/>
      <c r="LVV12" s="34"/>
      <c r="LVW12" s="72"/>
      <c r="LVX12" s="63"/>
      <c r="LVY12" s="34"/>
      <c r="LVZ12" s="64"/>
      <c r="LWA12" s="4"/>
      <c r="LWB12" s="65"/>
      <c r="LWC12" s="4"/>
      <c r="LWD12" s="4"/>
      <c r="LWE12" s="4"/>
      <c r="LWH12" s="34"/>
      <c r="LWI12" s="34"/>
      <c r="LWK12" s="34"/>
      <c r="LWL12" s="72"/>
      <c r="LWM12" s="63"/>
      <c r="LWN12" s="34"/>
      <c r="LWO12" s="64"/>
      <c r="LWP12" s="4"/>
      <c r="LWQ12" s="65"/>
      <c r="LWR12" s="4"/>
      <c r="LWS12" s="4"/>
      <c r="LWT12" s="4"/>
      <c r="LWW12" s="34"/>
      <c r="LWX12" s="34"/>
      <c r="LWZ12" s="34"/>
      <c r="LXA12" s="72"/>
      <c r="LXB12" s="63"/>
      <c r="LXC12" s="34"/>
      <c r="LXD12" s="64"/>
      <c r="LXE12" s="4"/>
      <c r="LXF12" s="65"/>
      <c r="LXG12" s="4"/>
      <c r="LXH12" s="4"/>
      <c r="LXI12" s="4"/>
      <c r="LXL12" s="34"/>
      <c r="LXM12" s="34"/>
      <c r="LXO12" s="34"/>
      <c r="LXP12" s="72"/>
      <c r="LXQ12" s="63"/>
      <c r="LXR12" s="34"/>
      <c r="LXS12" s="64"/>
      <c r="LXT12" s="4"/>
      <c r="LXU12" s="65"/>
      <c r="LXV12" s="4"/>
      <c r="LXW12" s="4"/>
      <c r="LXX12" s="4"/>
      <c r="LYA12" s="34"/>
      <c r="LYB12" s="34"/>
      <c r="LYD12" s="34"/>
      <c r="LYE12" s="72"/>
      <c r="LYF12" s="63"/>
      <c r="LYG12" s="34"/>
      <c r="LYH12" s="64"/>
      <c r="LYI12" s="4"/>
      <c r="LYJ12" s="65"/>
      <c r="LYK12" s="4"/>
      <c r="LYL12" s="4"/>
      <c r="LYM12" s="4"/>
      <c r="LYP12" s="34"/>
      <c r="LYQ12" s="34"/>
      <c r="LYS12" s="34"/>
      <c r="LYT12" s="72"/>
      <c r="LYU12" s="63"/>
      <c r="LYV12" s="34"/>
      <c r="LYW12" s="64"/>
      <c r="LYX12" s="4"/>
      <c r="LYY12" s="65"/>
      <c r="LYZ12" s="4"/>
      <c r="LZA12" s="4"/>
      <c r="LZB12" s="4"/>
      <c r="LZE12" s="34"/>
      <c r="LZF12" s="34"/>
      <c r="LZH12" s="34"/>
      <c r="LZI12" s="72"/>
      <c r="LZJ12" s="63"/>
      <c r="LZK12" s="34"/>
      <c r="LZL12" s="64"/>
      <c r="LZM12" s="4"/>
      <c r="LZN12" s="65"/>
      <c r="LZO12" s="4"/>
      <c r="LZP12" s="4"/>
      <c r="LZQ12" s="4"/>
      <c r="LZT12" s="34"/>
      <c r="LZU12" s="34"/>
      <c r="LZW12" s="34"/>
      <c r="LZX12" s="72"/>
      <c r="LZY12" s="63"/>
      <c r="LZZ12" s="34"/>
      <c r="MAA12" s="64"/>
      <c r="MAB12" s="4"/>
      <c r="MAC12" s="65"/>
      <c r="MAD12" s="4"/>
      <c r="MAE12" s="4"/>
      <c r="MAF12" s="4"/>
      <c r="MAI12" s="34"/>
      <c r="MAJ12" s="34"/>
      <c r="MAL12" s="34"/>
      <c r="MAM12" s="72"/>
      <c r="MAN12" s="63"/>
      <c r="MAO12" s="34"/>
      <c r="MAP12" s="64"/>
      <c r="MAQ12" s="4"/>
      <c r="MAR12" s="65"/>
      <c r="MAS12" s="4"/>
      <c r="MAT12" s="4"/>
      <c r="MAU12" s="4"/>
      <c r="MAX12" s="34"/>
      <c r="MAY12" s="34"/>
      <c r="MBA12" s="34"/>
      <c r="MBB12" s="72"/>
      <c r="MBC12" s="63"/>
      <c r="MBD12" s="34"/>
      <c r="MBE12" s="64"/>
      <c r="MBF12" s="4"/>
      <c r="MBG12" s="65"/>
      <c r="MBH12" s="4"/>
      <c r="MBI12" s="4"/>
      <c r="MBJ12" s="4"/>
      <c r="MBM12" s="34"/>
      <c r="MBN12" s="34"/>
      <c r="MBP12" s="34"/>
      <c r="MBQ12" s="72"/>
      <c r="MBR12" s="63"/>
      <c r="MBS12" s="34"/>
      <c r="MBT12" s="64"/>
      <c r="MBU12" s="4"/>
      <c r="MBV12" s="65"/>
      <c r="MBW12" s="4"/>
      <c r="MBX12" s="4"/>
      <c r="MBY12" s="4"/>
      <c r="MCB12" s="34"/>
      <c r="MCC12" s="34"/>
      <c r="MCE12" s="34"/>
      <c r="MCF12" s="72"/>
      <c r="MCG12" s="63"/>
      <c r="MCH12" s="34"/>
      <c r="MCI12" s="64"/>
      <c r="MCJ12" s="4"/>
      <c r="MCK12" s="65"/>
      <c r="MCL12" s="4"/>
      <c r="MCM12" s="4"/>
      <c r="MCN12" s="4"/>
      <c r="MCQ12" s="34"/>
      <c r="MCR12" s="34"/>
      <c r="MCT12" s="34"/>
      <c r="MCU12" s="72"/>
      <c r="MCV12" s="63"/>
      <c r="MCW12" s="34"/>
      <c r="MCX12" s="64"/>
      <c r="MCY12" s="4"/>
      <c r="MCZ12" s="65"/>
      <c r="MDA12" s="4"/>
      <c r="MDB12" s="4"/>
      <c r="MDC12" s="4"/>
      <c r="MDF12" s="34"/>
      <c r="MDG12" s="34"/>
      <c r="MDI12" s="34"/>
      <c r="MDJ12" s="72"/>
      <c r="MDK12" s="63"/>
      <c r="MDL12" s="34"/>
      <c r="MDM12" s="64"/>
      <c r="MDN12" s="4"/>
      <c r="MDO12" s="65"/>
      <c r="MDP12" s="4"/>
      <c r="MDQ12" s="4"/>
      <c r="MDR12" s="4"/>
      <c r="MDU12" s="34"/>
      <c r="MDV12" s="34"/>
      <c r="MDX12" s="34"/>
      <c r="MDY12" s="72"/>
      <c r="MDZ12" s="63"/>
      <c r="MEA12" s="34"/>
      <c r="MEB12" s="64"/>
      <c r="MEC12" s="4"/>
      <c r="MED12" s="65"/>
      <c r="MEE12" s="4"/>
      <c r="MEF12" s="4"/>
      <c r="MEG12" s="4"/>
      <c r="MEJ12" s="34"/>
      <c r="MEK12" s="34"/>
      <c r="MEM12" s="34"/>
      <c r="MEN12" s="72"/>
      <c r="MEO12" s="63"/>
      <c r="MEP12" s="34"/>
      <c r="MEQ12" s="64"/>
      <c r="MER12" s="4"/>
      <c r="MES12" s="65"/>
      <c r="MET12" s="4"/>
      <c r="MEU12" s="4"/>
      <c r="MEV12" s="4"/>
      <c r="MEY12" s="34"/>
      <c r="MEZ12" s="34"/>
      <c r="MFB12" s="34"/>
      <c r="MFC12" s="72"/>
      <c r="MFD12" s="63"/>
      <c r="MFE12" s="34"/>
      <c r="MFF12" s="64"/>
      <c r="MFG12" s="4"/>
      <c r="MFH12" s="65"/>
      <c r="MFI12" s="4"/>
      <c r="MFJ12" s="4"/>
      <c r="MFK12" s="4"/>
      <c r="MFN12" s="34"/>
      <c r="MFO12" s="34"/>
      <c r="MFQ12" s="34"/>
      <c r="MFR12" s="72"/>
      <c r="MFS12" s="63"/>
      <c r="MFT12" s="34"/>
      <c r="MFU12" s="64"/>
      <c r="MFV12" s="4"/>
      <c r="MFW12" s="65"/>
      <c r="MFX12" s="4"/>
      <c r="MFY12" s="4"/>
      <c r="MFZ12" s="4"/>
      <c r="MGC12" s="34"/>
      <c r="MGD12" s="34"/>
      <c r="MGF12" s="34"/>
      <c r="MGG12" s="72"/>
      <c r="MGH12" s="63"/>
      <c r="MGI12" s="34"/>
      <c r="MGJ12" s="64"/>
      <c r="MGK12" s="4"/>
      <c r="MGL12" s="65"/>
      <c r="MGM12" s="4"/>
      <c r="MGN12" s="4"/>
      <c r="MGO12" s="4"/>
      <c r="MGR12" s="34"/>
      <c r="MGS12" s="34"/>
      <c r="MGU12" s="34"/>
      <c r="MGV12" s="72"/>
      <c r="MGW12" s="63"/>
      <c r="MGX12" s="34"/>
      <c r="MGY12" s="64"/>
      <c r="MGZ12" s="4"/>
      <c r="MHA12" s="65"/>
      <c r="MHB12" s="4"/>
      <c r="MHC12" s="4"/>
      <c r="MHD12" s="4"/>
      <c r="MHG12" s="34"/>
      <c r="MHH12" s="34"/>
      <c r="MHJ12" s="34"/>
      <c r="MHK12" s="72"/>
      <c r="MHL12" s="63"/>
      <c r="MHM12" s="34"/>
      <c r="MHN12" s="64"/>
      <c r="MHO12" s="4"/>
      <c r="MHP12" s="65"/>
      <c r="MHQ12" s="4"/>
      <c r="MHR12" s="4"/>
      <c r="MHS12" s="4"/>
      <c r="MHV12" s="34"/>
      <c r="MHW12" s="34"/>
      <c r="MHY12" s="34"/>
      <c r="MHZ12" s="72"/>
      <c r="MIA12" s="63"/>
      <c r="MIB12" s="34"/>
      <c r="MIC12" s="64"/>
      <c r="MID12" s="4"/>
      <c r="MIE12" s="65"/>
      <c r="MIF12" s="4"/>
      <c r="MIG12" s="4"/>
      <c r="MIH12" s="4"/>
      <c r="MIK12" s="34"/>
      <c r="MIL12" s="34"/>
      <c r="MIN12" s="34"/>
      <c r="MIO12" s="72"/>
      <c r="MIP12" s="63"/>
      <c r="MIQ12" s="34"/>
      <c r="MIR12" s="64"/>
      <c r="MIS12" s="4"/>
      <c r="MIT12" s="65"/>
      <c r="MIU12" s="4"/>
      <c r="MIV12" s="4"/>
      <c r="MIW12" s="4"/>
      <c r="MIZ12" s="34"/>
      <c r="MJA12" s="34"/>
      <c r="MJC12" s="34"/>
      <c r="MJD12" s="72"/>
      <c r="MJE12" s="63"/>
      <c r="MJF12" s="34"/>
      <c r="MJG12" s="64"/>
      <c r="MJH12" s="4"/>
      <c r="MJI12" s="65"/>
      <c r="MJJ12" s="4"/>
      <c r="MJK12" s="4"/>
      <c r="MJL12" s="4"/>
      <c r="MJO12" s="34"/>
      <c r="MJP12" s="34"/>
      <c r="MJR12" s="34"/>
      <c r="MJS12" s="72"/>
      <c r="MJT12" s="63"/>
      <c r="MJU12" s="34"/>
      <c r="MJV12" s="64"/>
      <c r="MJW12" s="4"/>
      <c r="MJX12" s="65"/>
      <c r="MJY12" s="4"/>
      <c r="MJZ12" s="4"/>
      <c r="MKA12" s="4"/>
      <c r="MKD12" s="34"/>
      <c r="MKE12" s="34"/>
      <c r="MKG12" s="34"/>
      <c r="MKH12" s="72"/>
      <c r="MKI12" s="63"/>
      <c r="MKJ12" s="34"/>
      <c r="MKK12" s="64"/>
      <c r="MKL12" s="4"/>
      <c r="MKM12" s="65"/>
      <c r="MKN12" s="4"/>
      <c r="MKO12" s="4"/>
      <c r="MKP12" s="4"/>
      <c r="MKS12" s="34"/>
      <c r="MKT12" s="34"/>
      <c r="MKV12" s="34"/>
      <c r="MKW12" s="72"/>
      <c r="MKX12" s="63"/>
      <c r="MKY12" s="34"/>
      <c r="MKZ12" s="64"/>
      <c r="MLA12" s="4"/>
      <c r="MLB12" s="65"/>
      <c r="MLC12" s="4"/>
      <c r="MLD12" s="4"/>
      <c r="MLE12" s="4"/>
      <c r="MLH12" s="34"/>
      <c r="MLI12" s="34"/>
      <c r="MLK12" s="34"/>
      <c r="MLL12" s="72"/>
      <c r="MLM12" s="63"/>
      <c r="MLN12" s="34"/>
      <c r="MLO12" s="64"/>
      <c r="MLP12" s="4"/>
      <c r="MLQ12" s="65"/>
      <c r="MLR12" s="4"/>
      <c r="MLS12" s="4"/>
      <c r="MLT12" s="4"/>
      <c r="MLW12" s="34"/>
      <c r="MLX12" s="34"/>
      <c r="MLZ12" s="34"/>
      <c r="MMA12" s="72"/>
      <c r="MMB12" s="63"/>
      <c r="MMC12" s="34"/>
      <c r="MMD12" s="64"/>
      <c r="MME12" s="4"/>
      <c r="MMF12" s="65"/>
      <c r="MMG12" s="4"/>
      <c r="MMH12" s="4"/>
      <c r="MMI12" s="4"/>
      <c r="MML12" s="34"/>
      <c r="MMM12" s="34"/>
      <c r="MMO12" s="34"/>
      <c r="MMP12" s="72"/>
      <c r="MMQ12" s="63"/>
      <c r="MMR12" s="34"/>
      <c r="MMS12" s="64"/>
      <c r="MMT12" s="4"/>
      <c r="MMU12" s="65"/>
      <c r="MMV12" s="4"/>
      <c r="MMW12" s="4"/>
      <c r="MMX12" s="4"/>
      <c r="MNA12" s="34"/>
      <c r="MNB12" s="34"/>
      <c r="MND12" s="34"/>
      <c r="MNE12" s="72"/>
      <c r="MNF12" s="63"/>
      <c r="MNG12" s="34"/>
      <c r="MNH12" s="64"/>
      <c r="MNI12" s="4"/>
      <c r="MNJ12" s="65"/>
      <c r="MNK12" s="4"/>
      <c r="MNL12" s="4"/>
      <c r="MNM12" s="4"/>
      <c r="MNP12" s="34"/>
      <c r="MNQ12" s="34"/>
      <c r="MNS12" s="34"/>
      <c r="MNT12" s="72"/>
      <c r="MNU12" s="63"/>
      <c r="MNV12" s="34"/>
      <c r="MNW12" s="64"/>
      <c r="MNX12" s="4"/>
      <c r="MNY12" s="65"/>
      <c r="MNZ12" s="4"/>
      <c r="MOA12" s="4"/>
      <c r="MOB12" s="4"/>
      <c r="MOE12" s="34"/>
      <c r="MOF12" s="34"/>
      <c r="MOH12" s="34"/>
      <c r="MOI12" s="72"/>
      <c r="MOJ12" s="63"/>
      <c r="MOK12" s="34"/>
      <c r="MOL12" s="64"/>
      <c r="MOM12" s="4"/>
      <c r="MON12" s="65"/>
      <c r="MOO12" s="4"/>
      <c r="MOP12" s="4"/>
      <c r="MOQ12" s="4"/>
      <c r="MOT12" s="34"/>
      <c r="MOU12" s="34"/>
      <c r="MOW12" s="34"/>
      <c r="MOX12" s="72"/>
      <c r="MOY12" s="63"/>
      <c r="MOZ12" s="34"/>
      <c r="MPA12" s="64"/>
      <c r="MPB12" s="4"/>
      <c r="MPC12" s="65"/>
      <c r="MPD12" s="4"/>
      <c r="MPE12" s="4"/>
      <c r="MPF12" s="4"/>
      <c r="MPI12" s="34"/>
      <c r="MPJ12" s="34"/>
      <c r="MPL12" s="34"/>
      <c r="MPM12" s="72"/>
      <c r="MPN12" s="63"/>
      <c r="MPO12" s="34"/>
      <c r="MPP12" s="64"/>
      <c r="MPQ12" s="4"/>
      <c r="MPR12" s="65"/>
      <c r="MPS12" s="4"/>
      <c r="MPT12" s="4"/>
      <c r="MPU12" s="4"/>
      <c r="MPX12" s="34"/>
      <c r="MPY12" s="34"/>
      <c r="MQA12" s="34"/>
      <c r="MQB12" s="72"/>
      <c r="MQC12" s="63"/>
      <c r="MQD12" s="34"/>
      <c r="MQE12" s="64"/>
      <c r="MQF12" s="4"/>
      <c r="MQG12" s="65"/>
      <c r="MQH12" s="4"/>
      <c r="MQI12" s="4"/>
      <c r="MQJ12" s="4"/>
      <c r="MQM12" s="34"/>
      <c r="MQN12" s="34"/>
      <c r="MQP12" s="34"/>
      <c r="MQQ12" s="72"/>
      <c r="MQR12" s="63"/>
      <c r="MQS12" s="34"/>
      <c r="MQT12" s="64"/>
      <c r="MQU12" s="4"/>
      <c r="MQV12" s="65"/>
      <c r="MQW12" s="4"/>
      <c r="MQX12" s="4"/>
      <c r="MQY12" s="4"/>
      <c r="MRB12" s="34"/>
      <c r="MRC12" s="34"/>
      <c r="MRE12" s="34"/>
      <c r="MRF12" s="72"/>
      <c r="MRG12" s="63"/>
      <c r="MRH12" s="34"/>
      <c r="MRI12" s="64"/>
      <c r="MRJ12" s="4"/>
      <c r="MRK12" s="65"/>
      <c r="MRL12" s="4"/>
      <c r="MRM12" s="4"/>
      <c r="MRN12" s="4"/>
      <c r="MRQ12" s="34"/>
      <c r="MRR12" s="34"/>
      <c r="MRT12" s="34"/>
      <c r="MRU12" s="72"/>
      <c r="MRV12" s="63"/>
      <c r="MRW12" s="34"/>
      <c r="MRX12" s="64"/>
      <c r="MRY12" s="4"/>
      <c r="MRZ12" s="65"/>
      <c r="MSA12" s="4"/>
      <c r="MSB12" s="4"/>
      <c r="MSC12" s="4"/>
      <c r="MSF12" s="34"/>
      <c r="MSG12" s="34"/>
      <c r="MSI12" s="34"/>
      <c r="MSJ12" s="72"/>
      <c r="MSK12" s="63"/>
      <c r="MSL12" s="34"/>
      <c r="MSM12" s="64"/>
      <c r="MSN12" s="4"/>
      <c r="MSO12" s="65"/>
      <c r="MSP12" s="4"/>
      <c r="MSQ12" s="4"/>
      <c r="MSR12" s="4"/>
      <c r="MSU12" s="34"/>
      <c r="MSV12" s="34"/>
      <c r="MSX12" s="34"/>
      <c r="MSY12" s="72"/>
      <c r="MSZ12" s="63"/>
      <c r="MTA12" s="34"/>
      <c r="MTB12" s="64"/>
      <c r="MTC12" s="4"/>
      <c r="MTD12" s="65"/>
      <c r="MTE12" s="4"/>
      <c r="MTF12" s="4"/>
      <c r="MTG12" s="4"/>
      <c r="MTJ12" s="34"/>
      <c r="MTK12" s="34"/>
      <c r="MTM12" s="34"/>
      <c r="MTN12" s="72"/>
      <c r="MTO12" s="63"/>
      <c r="MTP12" s="34"/>
      <c r="MTQ12" s="64"/>
      <c r="MTR12" s="4"/>
      <c r="MTS12" s="65"/>
      <c r="MTT12" s="4"/>
      <c r="MTU12" s="4"/>
      <c r="MTV12" s="4"/>
      <c r="MTY12" s="34"/>
      <c r="MTZ12" s="34"/>
      <c r="MUB12" s="34"/>
      <c r="MUC12" s="72"/>
      <c r="MUD12" s="63"/>
      <c r="MUE12" s="34"/>
      <c r="MUF12" s="64"/>
      <c r="MUG12" s="4"/>
      <c r="MUH12" s="65"/>
      <c r="MUI12" s="4"/>
      <c r="MUJ12" s="4"/>
      <c r="MUK12" s="4"/>
      <c r="MUN12" s="34"/>
      <c r="MUO12" s="34"/>
      <c r="MUQ12" s="34"/>
      <c r="MUR12" s="72"/>
      <c r="MUS12" s="63"/>
      <c r="MUT12" s="34"/>
      <c r="MUU12" s="64"/>
      <c r="MUV12" s="4"/>
      <c r="MUW12" s="65"/>
      <c r="MUX12" s="4"/>
      <c r="MUY12" s="4"/>
      <c r="MUZ12" s="4"/>
      <c r="MVC12" s="34"/>
      <c r="MVD12" s="34"/>
      <c r="MVF12" s="34"/>
      <c r="MVG12" s="72"/>
      <c r="MVH12" s="63"/>
      <c r="MVI12" s="34"/>
      <c r="MVJ12" s="64"/>
      <c r="MVK12" s="4"/>
      <c r="MVL12" s="65"/>
      <c r="MVM12" s="4"/>
      <c r="MVN12" s="4"/>
      <c r="MVO12" s="4"/>
      <c r="MVR12" s="34"/>
      <c r="MVS12" s="34"/>
      <c r="MVU12" s="34"/>
      <c r="MVV12" s="72"/>
      <c r="MVW12" s="63"/>
      <c r="MVX12" s="34"/>
      <c r="MVY12" s="64"/>
      <c r="MVZ12" s="4"/>
      <c r="MWA12" s="65"/>
      <c r="MWB12" s="4"/>
      <c r="MWC12" s="4"/>
      <c r="MWD12" s="4"/>
      <c r="MWG12" s="34"/>
      <c r="MWH12" s="34"/>
      <c r="MWJ12" s="34"/>
      <c r="MWK12" s="72"/>
      <c r="MWL12" s="63"/>
      <c r="MWM12" s="34"/>
      <c r="MWN12" s="64"/>
      <c r="MWO12" s="4"/>
      <c r="MWP12" s="65"/>
      <c r="MWQ12" s="4"/>
      <c r="MWR12" s="4"/>
      <c r="MWS12" s="4"/>
      <c r="MWV12" s="34"/>
      <c r="MWW12" s="34"/>
      <c r="MWY12" s="34"/>
      <c r="MWZ12" s="72"/>
      <c r="MXA12" s="63"/>
      <c r="MXB12" s="34"/>
      <c r="MXC12" s="64"/>
      <c r="MXD12" s="4"/>
      <c r="MXE12" s="65"/>
      <c r="MXF12" s="4"/>
      <c r="MXG12" s="4"/>
      <c r="MXH12" s="4"/>
      <c r="MXK12" s="34"/>
      <c r="MXL12" s="34"/>
      <c r="MXN12" s="34"/>
      <c r="MXO12" s="72"/>
      <c r="MXP12" s="63"/>
      <c r="MXQ12" s="34"/>
      <c r="MXR12" s="64"/>
      <c r="MXS12" s="4"/>
      <c r="MXT12" s="65"/>
      <c r="MXU12" s="4"/>
      <c r="MXV12" s="4"/>
      <c r="MXW12" s="4"/>
      <c r="MXZ12" s="34"/>
      <c r="MYA12" s="34"/>
      <c r="MYC12" s="34"/>
      <c r="MYD12" s="72"/>
      <c r="MYE12" s="63"/>
      <c r="MYF12" s="34"/>
      <c r="MYG12" s="64"/>
      <c r="MYH12" s="4"/>
      <c r="MYI12" s="65"/>
      <c r="MYJ12" s="4"/>
      <c r="MYK12" s="4"/>
      <c r="MYL12" s="4"/>
      <c r="MYO12" s="34"/>
      <c r="MYP12" s="34"/>
      <c r="MYR12" s="34"/>
      <c r="MYS12" s="72"/>
      <c r="MYT12" s="63"/>
      <c r="MYU12" s="34"/>
      <c r="MYV12" s="64"/>
      <c r="MYW12" s="4"/>
      <c r="MYX12" s="65"/>
      <c r="MYY12" s="4"/>
      <c r="MYZ12" s="4"/>
      <c r="MZA12" s="4"/>
      <c r="MZD12" s="34"/>
      <c r="MZE12" s="34"/>
      <c r="MZG12" s="34"/>
      <c r="MZH12" s="72"/>
      <c r="MZI12" s="63"/>
      <c r="MZJ12" s="34"/>
      <c r="MZK12" s="64"/>
      <c r="MZL12" s="4"/>
      <c r="MZM12" s="65"/>
      <c r="MZN12" s="4"/>
      <c r="MZO12" s="4"/>
      <c r="MZP12" s="4"/>
      <c r="MZS12" s="34"/>
      <c r="MZT12" s="34"/>
      <c r="MZV12" s="34"/>
      <c r="MZW12" s="72"/>
      <c r="MZX12" s="63"/>
      <c r="MZY12" s="34"/>
      <c r="MZZ12" s="64"/>
      <c r="NAA12" s="4"/>
      <c r="NAB12" s="65"/>
      <c r="NAC12" s="4"/>
      <c r="NAD12" s="4"/>
      <c r="NAE12" s="4"/>
      <c r="NAH12" s="34"/>
      <c r="NAI12" s="34"/>
      <c r="NAK12" s="34"/>
      <c r="NAL12" s="72"/>
      <c r="NAM12" s="63"/>
      <c r="NAN12" s="34"/>
      <c r="NAO12" s="64"/>
      <c r="NAP12" s="4"/>
      <c r="NAQ12" s="65"/>
      <c r="NAR12" s="4"/>
      <c r="NAS12" s="4"/>
      <c r="NAT12" s="4"/>
      <c r="NAW12" s="34"/>
      <c r="NAX12" s="34"/>
      <c r="NAZ12" s="34"/>
      <c r="NBA12" s="72"/>
      <c r="NBB12" s="63"/>
      <c r="NBC12" s="34"/>
      <c r="NBD12" s="64"/>
      <c r="NBE12" s="4"/>
      <c r="NBF12" s="65"/>
      <c r="NBG12" s="4"/>
      <c r="NBH12" s="4"/>
      <c r="NBI12" s="4"/>
      <c r="NBL12" s="34"/>
      <c r="NBM12" s="34"/>
      <c r="NBO12" s="34"/>
      <c r="NBP12" s="72"/>
      <c r="NBQ12" s="63"/>
      <c r="NBR12" s="34"/>
      <c r="NBS12" s="64"/>
      <c r="NBT12" s="4"/>
      <c r="NBU12" s="65"/>
      <c r="NBV12" s="4"/>
      <c r="NBW12" s="4"/>
      <c r="NBX12" s="4"/>
      <c r="NCA12" s="34"/>
      <c r="NCB12" s="34"/>
      <c r="NCD12" s="34"/>
      <c r="NCE12" s="72"/>
      <c r="NCF12" s="63"/>
      <c r="NCG12" s="34"/>
      <c r="NCH12" s="64"/>
      <c r="NCI12" s="4"/>
      <c r="NCJ12" s="65"/>
      <c r="NCK12" s="4"/>
      <c r="NCL12" s="4"/>
      <c r="NCM12" s="4"/>
      <c r="NCP12" s="34"/>
      <c r="NCQ12" s="34"/>
      <c r="NCS12" s="34"/>
      <c r="NCT12" s="72"/>
      <c r="NCU12" s="63"/>
      <c r="NCV12" s="34"/>
      <c r="NCW12" s="64"/>
      <c r="NCX12" s="4"/>
      <c r="NCY12" s="65"/>
      <c r="NCZ12" s="4"/>
      <c r="NDA12" s="4"/>
      <c r="NDB12" s="4"/>
      <c r="NDE12" s="34"/>
      <c r="NDF12" s="34"/>
      <c r="NDH12" s="34"/>
      <c r="NDI12" s="72"/>
      <c r="NDJ12" s="63"/>
      <c r="NDK12" s="34"/>
      <c r="NDL12" s="64"/>
      <c r="NDM12" s="4"/>
      <c r="NDN12" s="65"/>
      <c r="NDO12" s="4"/>
      <c r="NDP12" s="4"/>
      <c r="NDQ12" s="4"/>
      <c r="NDT12" s="34"/>
      <c r="NDU12" s="34"/>
      <c r="NDW12" s="34"/>
      <c r="NDX12" s="72"/>
      <c r="NDY12" s="63"/>
      <c r="NDZ12" s="34"/>
      <c r="NEA12" s="64"/>
      <c r="NEB12" s="4"/>
      <c r="NEC12" s="65"/>
      <c r="NED12" s="4"/>
      <c r="NEE12" s="4"/>
      <c r="NEF12" s="4"/>
      <c r="NEI12" s="34"/>
      <c r="NEJ12" s="34"/>
      <c r="NEL12" s="34"/>
      <c r="NEM12" s="72"/>
      <c r="NEN12" s="63"/>
      <c r="NEO12" s="34"/>
      <c r="NEP12" s="64"/>
      <c r="NEQ12" s="4"/>
      <c r="NER12" s="65"/>
      <c r="NES12" s="4"/>
      <c r="NET12" s="4"/>
      <c r="NEU12" s="4"/>
      <c r="NEX12" s="34"/>
      <c r="NEY12" s="34"/>
      <c r="NFA12" s="34"/>
      <c r="NFB12" s="72"/>
      <c r="NFC12" s="63"/>
      <c r="NFD12" s="34"/>
      <c r="NFE12" s="64"/>
      <c r="NFF12" s="4"/>
      <c r="NFG12" s="65"/>
      <c r="NFH12" s="4"/>
      <c r="NFI12" s="4"/>
      <c r="NFJ12" s="4"/>
      <c r="NFM12" s="34"/>
      <c r="NFN12" s="34"/>
      <c r="NFP12" s="34"/>
      <c r="NFQ12" s="72"/>
      <c r="NFR12" s="63"/>
      <c r="NFS12" s="34"/>
      <c r="NFT12" s="64"/>
      <c r="NFU12" s="4"/>
      <c r="NFV12" s="65"/>
      <c r="NFW12" s="4"/>
      <c r="NFX12" s="4"/>
      <c r="NFY12" s="4"/>
      <c r="NGB12" s="34"/>
      <c r="NGC12" s="34"/>
      <c r="NGE12" s="34"/>
      <c r="NGF12" s="72"/>
      <c r="NGG12" s="63"/>
      <c r="NGH12" s="34"/>
      <c r="NGI12" s="64"/>
      <c r="NGJ12" s="4"/>
      <c r="NGK12" s="65"/>
      <c r="NGL12" s="4"/>
      <c r="NGM12" s="4"/>
      <c r="NGN12" s="4"/>
      <c r="NGQ12" s="34"/>
      <c r="NGR12" s="34"/>
      <c r="NGT12" s="34"/>
      <c r="NGU12" s="72"/>
      <c r="NGV12" s="63"/>
      <c r="NGW12" s="34"/>
      <c r="NGX12" s="64"/>
      <c r="NGY12" s="4"/>
      <c r="NGZ12" s="65"/>
      <c r="NHA12" s="4"/>
      <c r="NHB12" s="4"/>
      <c r="NHC12" s="4"/>
      <c r="NHF12" s="34"/>
      <c r="NHG12" s="34"/>
      <c r="NHI12" s="34"/>
      <c r="NHJ12" s="72"/>
      <c r="NHK12" s="63"/>
      <c r="NHL12" s="34"/>
      <c r="NHM12" s="64"/>
      <c r="NHN12" s="4"/>
      <c r="NHO12" s="65"/>
      <c r="NHP12" s="4"/>
      <c r="NHQ12" s="4"/>
      <c r="NHR12" s="4"/>
      <c r="NHU12" s="34"/>
      <c r="NHV12" s="34"/>
      <c r="NHX12" s="34"/>
      <c r="NHY12" s="72"/>
      <c r="NHZ12" s="63"/>
      <c r="NIA12" s="34"/>
      <c r="NIB12" s="64"/>
      <c r="NIC12" s="4"/>
      <c r="NID12" s="65"/>
      <c r="NIE12" s="4"/>
      <c r="NIF12" s="4"/>
      <c r="NIG12" s="4"/>
      <c r="NIJ12" s="34"/>
      <c r="NIK12" s="34"/>
      <c r="NIM12" s="34"/>
      <c r="NIN12" s="72"/>
      <c r="NIO12" s="63"/>
      <c r="NIP12" s="34"/>
      <c r="NIQ12" s="64"/>
      <c r="NIR12" s="4"/>
      <c r="NIS12" s="65"/>
      <c r="NIT12" s="4"/>
      <c r="NIU12" s="4"/>
      <c r="NIV12" s="4"/>
      <c r="NIY12" s="34"/>
      <c r="NIZ12" s="34"/>
      <c r="NJB12" s="34"/>
      <c r="NJC12" s="72"/>
      <c r="NJD12" s="63"/>
      <c r="NJE12" s="34"/>
      <c r="NJF12" s="64"/>
      <c r="NJG12" s="4"/>
      <c r="NJH12" s="65"/>
      <c r="NJI12" s="4"/>
      <c r="NJJ12" s="4"/>
      <c r="NJK12" s="4"/>
      <c r="NJN12" s="34"/>
      <c r="NJO12" s="34"/>
      <c r="NJQ12" s="34"/>
      <c r="NJR12" s="72"/>
      <c r="NJS12" s="63"/>
      <c r="NJT12" s="34"/>
      <c r="NJU12" s="64"/>
      <c r="NJV12" s="4"/>
      <c r="NJW12" s="65"/>
      <c r="NJX12" s="4"/>
      <c r="NJY12" s="4"/>
      <c r="NJZ12" s="4"/>
      <c r="NKC12" s="34"/>
      <c r="NKD12" s="34"/>
      <c r="NKF12" s="34"/>
      <c r="NKG12" s="72"/>
      <c r="NKH12" s="63"/>
      <c r="NKI12" s="34"/>
      <c r="NKJ12" s="64"/>
      <c r="NKK12" s="4"/>
      <c r="NKL12" s="65"/>
      <c r="NKM12" s="4"/>
      <c r="NKN12" s="4"/>
      <c r="NKO12" s="4"/>
      <c r="NKR12" s="34"/>
      <c r="NKS12" s="34"/>
      <c r="NKU12" s="34"/>
      <c r="NKV12" s="72"/>
      <c r="NKW12" s="63"/>
      <c r="NKX12" s="34"/>
      <c r="NKY12" s="64"/>
      <c r="NKZ12" s="4"/>
      <c r="NLA12" s="65"/>
      <c r="NLB12" s="4"/>
      <c r="NLC12" s="4"/>
      <c r="NLD12" s="4"/>
      <c r="NLG12" s="34"/>
      <c r="NLH12" s="34"/>
      <c r="NLJ12" s="34"/>
      <c r="NLK12" s="72"/>
      <c r="NLL12" s="63"/>
      <c r="NLM12" s="34"/>
      <c r="NLN12" s="64"/>
      <c r="NLO12" s="4"/>
      <c r="NLP12" s="65"/>
      <c r="NLQ12" s="4"/>
      <c r="NLR12" s="4"/>
      <c r="NLS12" s="4"/>
      <c r="NLV12" s="34"/>
      <c r="NLW12" s="34"/>
      <c r="NLY12" s="34"/>
      <c r="NLZ12" s="72"/>
      <c r="NMA12" s="63"/>
      <c r="NMB12" s="34"/>
      <c r="NMC12" s="64"/>
      <c r="NMD12" s="4"/>
      <c r="NME12" s="65"/>
      <c r="NMF12" s="4"/>
      <c r="NMG12" s="4"/>
      <c r="NMH12" s="4"/>
      <c r="NMK12" s="34"/>
      <c r="NML12" s="34"/>
      <c r="NMN12" s="34"/>
      <c r="NMO12" s="72"/>
      <c r="NMP12" s="63"/>
      <c r="NMQ12" s="34"/>
      <c r="NMR12" s="64"/>
      <c r="NMS12" s="4"/>
      <c r="NMT12" s="65"/>
      <c r="NMU12" s="4"/>
      <c r="NMV12" s="4"/>
      <c r="NMW12" s="4"/>
      <c r="NMZ12" s="34"/>
      <c r="NNA12" s="34"/>
      <c r="NNC12" s="34"/>
      <c r="NND12" s="72"/>
      <c r="NNE12" s="63"/>
      <c r="NNF12" s="34"/>
      <c r="NNG12" s="64"/>
      <c r="NNH12" s="4"/>
      <c r="NNI12" s="65"/>
      <c r="NNJ12" s="4"/>
      <c r="NNK12" s="4"/>
      <c r="NNL12" s="4"/>
      <c r="NNO12" s="34"/>
      <c r="NNP12" s="34"/>
      <c r="NNR12" s="34"/>
      <c r="NNS12" s="72"/>
      <c r="NNT12" s="63"/>
      <c r="NNU12" s="34"/>
      <c r="NNV12" s="64"/>
      <c r="NNW12" s="4"/>
      <c r="NNX12" s="65"/>
      <c r="NNY12" s="4"/>
      <c r="NNZ12" s="4"/>
      <c r="NOA12" s="4"/>
      <c r="NOD12" s="34"/>
      <c r="NOE12" s="34"/>
      <c r="NOG12" s="34"/>
      <c r="NOH12" s="72"/>
      <c r="NOI12" s="63"/>
      <c r="NOJ12" s="34"/>
      <c r="NOK12" s="64"/>
      <c r="NOL12" s="4"/>
      <c r="NOM12" s="65"/>
      <c r="NON12" s="4"/>
      <c r="NOO12" s="4"/>
      <c r="NOP12" s="4"/>
      <c r="NOS12" s="34"/>
      <c r="NOT12" s="34"/>
      <c r="NOV12" s="34"/>
      <c r="NOW12" s="72"/>
      <c r="NOX12" s="63"/>
      <c r="NOY12" s="34"/>
      <c r="NOZ12" s="64"/>
      <c r="NPA12" s="4"/>
      <c r="NPB12" s="65"/>
      <c r="NPC12" s="4"/>
      <c r="NPD12" s="4"/>
      <c r="NPE12" s="4"/>
      <c r="NPH12" s="34"/>
      <c r="NPI12" s="34"/>
      <c r="NPK12" s="34"/>
      <c r="NPL12" s="72"/>
      <c r="NPM12" s="63"/>
      <c r="NPN12" s="34"/>
      <c r="NPO12" s="64"/>
      <c r="NPP12" s="4"/>
      <c r="NPQ12" s="65"/>
      <c r="NPR12" s="4"/>
      <c r="NPS12" s="4"/>
      <c r="NPT12" s="4"/>
      <c r="NPW12" s="34"/>
      <c r="NPX12" s="34"/>
      <c r="NPZ12" s="34"/>
      <c r="NQA12" s="72"/>
      <c r="NQB12" s="63"/>
      <c r="NQC12" s="34"/>
      <c r="NQD12" s="64"/>
      <c r="NQE12" s="4"/>
      <c r="NQF12" s="65"/>
      <c r="NQG12" s="4"/>
      <c r="NQH12" s="4"/>
      <c r="NQI12" s="4"/>
      <c r="NQL12" s="34"/>
      <c r="NQM12" s="34"/>
      <c r="NQO12" s="34"/>
      <c r="NQP12" s="72"/>
      <c r="NQQ12" s="63"/>
      <c r="NQR12" s="34"/>
      <c r="NQS12" s="64"/>
      <c r="NQT12" s="4"/>
      <c r="NQU12" s="65"/>
      <c r="NQV12" s="4"/>
      <c r="NQW12" s="4"/>
      <c r="NQX12" s="4"/>
      <c r="NRA12" s="34"/>
      <c r="NRB12" s="34"/>
      <c r="NRD12" s="34"/>
      <c r="NRE12" s="72"/>
      <c r="NRF12" s="63"/>
      <c r="NRG12" s="34"/>
      <c r="NRH12" s="64"/>
      <c r="NRI12" s="4"/>
      <c r="NRJ12" s="65"/>
      <c r="NRK12" s="4"/>
      <c r="NRL12" s="4"/>
      <c r="NRM12" s="4"/>
      <c r="NRP12" s="34"/>
      <c r="NRQ12" s="34"/>
      <c r="NRS12" s="34"/>
      <c r="NRT12" s="72"/>
      <c r="NRU12" s="63"/>
      <c r="NRV12" s="34"/>
      <c r="NRW12" s="64"/>
      <c r="NRX12" s="4"/>
      <c r="NRY12" s="65"/>
      <c r="NRZ12" s="4"/>
      <c r="NSA12" s="4"/>
      <c r="NSB12" s="4"/>
      <c r="NSE12" s="34"/>
      <c r="NSF12" s="34"/>
      <c r="NSH12" s="34"/>
      <c r="NSI12" s="72"/>
      <c r="NSJ12" s="63"/>
      <c r="NSK12" s="34"/>
      <c r="NSL12" s="64"/>
      <c r="NSM12" s="4"/>
      <c r="NSN12" s="65"/>
      <c r="NSO12" s="4"/>
      <c r="NSP12" s="4"/>
      <c r="NSQ12" s="4"/>
      <c r="NST12" s="34"/>
      <c r="NSU12" s="34"/>
      <c r="NSW12" s="34"/>
      <c r="NSX12" s="72"/>
      <c r="NSY12" s="63"/>
      <c r="NSZ12" s="34"/>
      <c r="NTA12" s="64"/>
      <c r="NTB12" s="4"/>
      <c r="NTC12" s="65"/>
      <c r="NTD12" s="4"/>
      <c r="NTE12" s="4"/>
      <c r="NTF12" s="4"/>
      <c r="NTI12" s="34"/>
      <c r="NTJ12" s="34"/>
      <c r="NTL12" s="34"/>
      <c r="NTM12" s="72"/>
      <c r="NTN12" s="63"/>
      <c r="NTO12" s="34"/>
      <c r="NTP12" s="64"/>
      <c r="NTQ12" s="4"/>
      <c r="NTR12" s="65"/>
      <c r="NTS12" s="4"/>
      <c r="NTT12" s="4"/>
      <c r="NTU12" s="4"/>
      <c r="NTX12" s="34"/>
      <c r="NTY12" s="34"/>
      <c r="NUA12" s="34"/>
      <c r="NUB12" s="72"/>
      <c r="NUC12" s="63"/>
      <c r="NUD12" s="34"/>
      <c r="NUE12" s="64"/>
      <c r="NUF12" s="4"/>
      <c r="NUG12" s="65"/>
      <c r="NUH12" s="4"/>
      <c r="NUI12" s="4"/>
      <c r="NUJ12" s="4"/>
      <c r="NUM12" s="34"/>
      <c r="NUN12" s="34"/>
      <c r="NUP12" s="34"/>
      <c r="NUQ12" s="72"/>
      <c r="NUR12" s="63"/>
      <c r="NUS12" s="34"/>
      <c r="NUT12" s="64"/>
      <c r="NUU12" s="4"/>
      <c r="NUV12" s="65"/>
      <c r="NUW12" s="4"/>
      <c r="NUX12" s="4"/>
      <c r="NUY12" s="4"/>
      <c r="NVB12" s="34"/>
      <c r="NVC12" s="34"/>
      <c r="NVE12" s="34"/>
      <c r="NVF12" s="72"/>
      <c r="NVG12" s="63"/>
      <c r="NVH12" s="34"/>
      <c r="NVI12" s="64"/>
      <c r="NVJ12" s="4"/>
      <c r="NVK12" s="65"/>
      <c r="NVL12" s="4"/>
      <c r="NVM12" s="4"/>
      <c r="NVN12" s="4"/>
      <c r="NVQ12" s="34"/>
      <c r="NVR12" s="34"/>
      <c r="NVT12" s="34"/>
      <c r="NVU12" s="72"/>
      <c r="NVV12" s="63"/>
      <c r="NVW12" s="34"/>
      <c r="NVX12" s="64"/>
      <c r="NVY12" s="4"/>
      <c r="NVZ12" s="65"/>
      <c r="NWA12" s="4"/>
      <c r="NWB12" s="4"/>
      <c r="NWC12" s="4"/>
      <c r="NWF12" s="34"/>
      <c r="NWG12" s="34"/>
      <c r="NWI12" s="34"/>
      <c r="NWJ12" s="72"/>
      <c r="NWK12" s="63"/>
      <c r="NWL12" s="34"/>
      <c r="NWM12" s="64"/>
      <c r="NWN12" s="4"/>
      <c r="NWO12" s="65"/>
      <c r="NWP12" s="4"/>
      <c r="NWQ12" s="4"/>
      <c r="NWR12" s="4"/>
      <c r="NWU12" s="34"/>
      <c r="NWV12" s="34"/>
      <c r="NWX12" s="34"/>
      <c r="NWY12" s="72"/>
      <c r="NWZ12" s="63"/>
      <c r="NXA12" s="34"/>
      <c r="NXB12" s="64"/>
      <c r="NXC12" s="4"/>
      <c r="NXD12" s="65"/>
      <c r="NXE12" s="4"/>
      <c r="NXF12" s="4"/>
      <c r="NXG12" s="4"/>
      <c r="NXJ12" s="34"/>
      <c r="NXK12" s="34"/>
      <c r="NXM12" s="34"/>
      <c r="NXN12" s="72"/>
      <c r="NXO12" s="63"/>
      <c r="NXP12" s="34"/>
      <c r="NXQ12" s="64"/>
      <c r="NXR12" s="4"/>
      <c r="NXS12" s="65"/>
      <c r="NXT12" s="4"/>
      <c r="NXU12" s="4"/>
      <c r="NXV12" s="4"/>
      <c r="NXY12" s="34"/>
      <c r="NXZ12" s="34"/>
      <c r="NYB12" s="34"/>
      <c r="NYC12" s="72"/>
      <c r="NYD12" s="63"/>
      <c r="NYE12" s="34"/>
      <c r="NYF12" s="64"/>
      <c r="NYG12" s="4"/>
      <c r="NYH12" s="65"/>
      <c r="NYI12" s="4"/>
      <c r="NYJ12" s="4"/>
      <c r="NYK12" s="4"/>
      <c r="NYN12" s="34"/>
      <c r="NYO12" s="34"/>
      <c r="NYQ12" s="34"/>
      <c r="NYR12" s="72"/>
      <c r="NYS12" s="63"/>
      <c r="NYT12" s="34"/>
      <c r="NYU12" s="64"/>
      <c r="NYV12" s="4"/>
      <c r="NYW12" s="65"/>
      <c r="NYX12" s="4"/>
      <c r="NYY12" s="4"/>
      <c r="NYZ12" s="4"/>
      <c r="NZC12" s="34"/>
      <c r="NZD12" s="34"/>
      <c r="NZF12" s="34"/>
      <c r="NZG12" s="72"/>
      <c r="NZH12" s="63"/>
      <c r="NZI12" s="34"/>
      <c r="NZJ12" s="64"/>
      <c r="NZK12" s="4"/>
      <c r="NZL12" s="65"/>
      <c r="NZM12" s="4"/>
      <c r="NZN12" s="4"/>
      <c r="NZO12" s="4"/>
      <c r="NZR12" s="34"/>
      <c r="NZS12" s="34"/>
      <c r="NZU12" s="34"/>
      <c r="NZV12" s="72"/>
      <c r="NZW12" s="63"/>
      <c r="NZX12" s="34"/>
      <c r="NZY12" s="64"/>
      <c r="NZZ12" s="4"/>
      <c r="OAA12" s="65"/>
      <c r="OAB12" s="4"/>
      <c r="OAC12" s="4"/>
      <c r="OAD12" s="4"/>
      <c r="OAG12" s="34"/>
      <c r="OAH12" s="34"/>
      <c r="OAJ12" s="34"/>
      <c r="OAK12" s="72"/>
      <c r="OAL12" s="63"/>
      <c r="OAM12" s="34"/>
      <c r="OAN12" s="64"/>
      <c r="OAO12" s="4"/>
      <c r="OAP12" s="65"/>
      <c r="OAQ12" s="4"/>
      <c r="OAR12" s="4"/>
      <c r="OAS12" s="4"/>
      <c r="OAV12" s="34"/>
      <c r="OAW12" s="34"/>
      <c r="OAY12" s="34"/>
      <c r="OAZ12" s="72"/>
      <c r="OBA12" s="63"/>
      <c r="OBB12" s="34"/>
      <c r="OBC12" s="64"/>
      <c r="OBD12" s="4"/>
      <c r="OBE12" s="65"/>
      <c r="OBF12" s="4"/>
      <c r="OBG12" s="4"/>
      <c r="OBH12" s="4"/>
      <c r="OBK12" s="34"/>
      <c r="OBL12" s="34"/>
      <c r="OBN12" s="34"/>
      <c r="OBO12" s="72"/>
      <c r="OBP12" s="63"/>
      <c r="OBQ12" s="34"/>
      <c r="OBR12" s="64"/>
      <c r="OBS12" s="4"/>
      <c r="OBT12" s="65"/>
      <c r="OBU12" s="4"/>
      <c r="OBV12" s="4"/>
      <c r="OBW12" s="4"/>
      <c r="OBZ12" s="34"/>
      <c r="OCA12" s="34"/>
      <c r="OCC12" s="34"/>
      <c r="OCD12" s="72"/>
      <c r="OCE12" s="63"/>
      <c r="OCF12" s="34"/>
      <c r="OCG12" s="64"/>
      <c r="OCH12" s="4"/>
      <c r="OCI12" s="65"/>
      <c r="OCJ12" s="4"/>
      <c r="OCK12" s="4"/>
      <c r="OCL12" s="4"/>
      <c r="OCO12" s="34"/>
      <c r="OCP12" s="34"/>
      <c r="OCR12" s="34"/>
      <c r="OCS12" s="72"/>
      <c r="OCT12" s="63"/>
      <c r="OCU12" s="34"/>
      <c r="OCV12" s="64"/>
      <c r="OCW12" s="4"/>
      <c r="OCX12" s="65"/>
      <c r="OCY12" s="4"/>
      <c r="OCZ12" s="4"/>
      <c r="ODA12" s="4"/>
      <c r="ODD12" s="34"/>
      <c r="ODE12" s="34"/>
      <c r="ODG12" s="34"/>
      <c r="ODH12" s="72"/>
      <c r="ODI12" s="63"/>
      <c r="ODJ12" s="34"/>
      <c r="ODK12" s="64"/>
      <c r="ODL12" s="4"/>
      <c r="ODM12" s="65"/>
      <c r="ODN12" s="4"/>
      <c r="ODO12" s="4"/>
      <c r="ODP12" s="4"/>
      <c r="ODS12" s="34"/>
      <c r="ODT12" s="34"/>
      <c r="ODV12" s="34"/>
      <c r="ODW12" s="72"/>
      <c r="ODX12" s="63"/>
      <c r="ODY12" s="34"/>
      <c r="ODZ12" s="64"/>
      <c r="OEA12" s="4"/>
      <c r="OEB12" s="65"/>
      <c r="OEC12" s="4"/>
      <c r="OED12" s="4"/>
      <c r="OEE12" s="4"/>
      <c r="OEH12" s="34"/>
      <c r="OEI12" s="34"/>
      <c r="OEK12" s="34"/>
      <c r="OEL12" s="72"/>
      <c r="OEM12" s="63"/>
      <c r="OEN12" s="34"/>
      <c r="OEO12" s="64"/>
      <c r="OEP12" s="4"/>
      <c r="OEQ12" s="65"/>
      <c r="OER12" s="4"/>
      <c r="OES12" s="4"/>
      <c r="OET12" s="4"/>
      <c r="OEW12" s="34"/>
      <c r="OEX12" s="34"/>
      <c r="OEZ12" s="34"/>
      <c r="OFA12" s="72"/>
      <c r="OFB12" s="63"/>
      <c r="OFC12" s="34"/>
      <c r="OFD12" s="64"/>
      <c r="OFE12" s="4"/>
      <c r="OFF12" s="65"/>
      <c r="OFG12" s="4"/>
      <c r="OFH12" s="4"/>
      <c r="OFI12" s="4"/>
      <c r="OFL12" s="34"/>
      <c r="OFM12" s="34"/>
      <c r="OFO12" s="34"/>
      <c r="OFP12" s="72"/>
      <c r="OFQ12" s="63"/>
      <c r="OFR12" s="34"/>
      <c r="OFS12" s="64"/>
      <c r="OFT12" s="4"/>
      <c r="OFU12" s="65"/>
      <c r="OFV12" s="4"/>
      <c r="OFW12" s="4"/>
      <c r="OFX12" s="4"/>
      <c r="OGA12" s="34"/>
      <c r="OGB12" s="34"/>
      <c r="OGD12" s="34"/>
      <c r="OGE12" s="72"/>
      <c r="OGF12" s="63"/>
      <c r="OGG12" s="34"/>
      <c r="OGH12" s="64"/>
      <c r="OGI12" s="4"/>
      <c r="OGJ12" s="65"/>
      <c r="OGK12" s="4"/>
      <c r="OGL12" s="4"/>
      <c r="OGM12" s="4"/>
      <c r="OGP12" s="34"/>
      <c r="OGQ12" s="34"/>
      <c r="OGS12" s="34"/>
      <c r="OGT12" s="72"/>
      <c r="OGU12" s="63"/>
      <c r="OGV12" s="34"/>
      <c r="OGW12" s="64"/>
      <c r="OGX12" s="4"/>
      <c r="OGY12" s="65"/>
      <c r="OGZ12" s="4"/>
      <c r="OHA12" s="4"/>
      <c r="OHB12" s="4"/>
      <c r="OHE12" s="34"/>
      <c r="OHF12" s="34"/>
      <c r="OHH12" s="34"/>
      <c r="OHI12" s="72"/>
      <c r="OHJ12" s="63"/>
      <c r="OHK12" s="34"/>
      <c r="OHL12" s="64"/>
      <c r="OHM12" s="4"/>
      <c r="OHN12" s="65"/>
      <c r="OHO12" s="4"/>
      <c r="OHP12" s="4"/>
      <c r="OHQ12" s="4"/>
      <c r="OHT12" s="34"/>
      <c r="OHU12" s="34"/>
      <c r="OHW12" s="34"/>
      <c r="OHX12" s="72"/>
      <c r="OHY12" s="63"/>
      <c r="OHZ12" s="34"/>
      <c r="OIA12" s="64"/>
      <c r="OIB12" s="4"/>
      <c r="OIC12" s="65"/>
      <c r="OID12" s="4"/>
      <c r="OIE12" s="4"/>
      <c r="OIF12" s="4"/>
      <c r="OII12" s="34"/>
      <c r="OIJ12" s="34"/>
      <c r="OIL12" s="34"/>
      <c r="OIM12" s="72"/>
      <c r="OIN12" s="63"/>
      <c r="OIO12" s="34"/>
      <c r="OIP12" s="64"/>
      <c r="OIQ12" s="4"/>
      <c r="OIR12" s="65"/>
      <c r="OIS12" s="4"/>
      <c r="OIT12" s="4"/>
      <c r="OIU12" s="4"/>
      <c r="OIX12" s="34"/>
      <c r="OIY12" s="34"/>
      <c r="OJA12" s="34"/>
      <c r="OJB12" s="72"/>
      <c r="OJC12" s="63"/>
      <c r="OJD12" s="34"/>
      <c r="OJE12" s="64"/>
      <c r="OJF12" s="4"/>
      <c r="OJG12" s="65"/>
      <c r="OJH12" s="4"/>
      <c r="OJI12" s="4"/>
      <c r="OJJ12" s="4"/>
      <c r="OJM12" s="34"/>
      <c r="OJN12" s="34"/>
      <c r="OJP12" s="34"/>
      <c r="OJQ12" s="72"/>
      <c r="OJR12" s="63"/>
      <c r="OJS12" s="34"/>
      <c r="OJT12" s="64"/>
      <c r="OJU12" s="4"/>
      <c r="OJV12" s="65"/>
      <c r="OJW12" s="4"/>
      <c r="OJX12" s="4"/>
      <c r="OJY12" s="4"/>
      <c r="OKB12" s="34"/>
      <c r="OKC12" s="34"/>
      <c r="OKE12" s="34"/>
      <c r="OKF12" s="72"/>
      <c r="OKG12" s="63"/>
      <c r="OKH12" s="34"/>
      <c r="OKI12" s="64"/>
      <c r="OKJ12" s="4"/>
      <c r="OKK12" s="65"/>
      <c r="OKL12" s="4"/>
      <c r="OKM12" s="4"/>
      <c r="OKN12" s="4"/>
      <c r="OKQ12" s="34"/>
      <c r="OKR12" s="34"/>
      <c r="OKT12" s="34"/>
      <c r="OKU12" s="72"/>
      <c r="OKV12" s="63"/>
      <c r="OKW12" s="34"/>
      <c r="OKX12" s="64"/>
      <c r="OKY12" s="4"/>
      <c r="OKZ12" s="65"/>
      <c r="OLA12" s="4"/>
      <c r="OLB12" s="4"/>
      <c r="OLC12" s="4"/>
      <c r="OLF12" s="34"/>
      <c r="OLG12" s="34"/>
      <c r="OLI12" s="34"/>
      <c r="OLJ12" s="72"/>
      <c r="OLK12" s="63"/>
      <c r="OLL12" s="34"/>
      <c r="OLM12" s="64"/>
      <c r="OLN12" s="4"/>
      <c r="OLO12" s="65"/>
      <c r="OLP12" s="4"/>
      <c r="OLQ12" s="4"/>
      <c r="OLR12" s="4"/>
      <c r="OLU12" s="34"/>
      <c r="OLV12" s="34"/>
      <c r="OLX12" s="34"/>
      <c r="OLY12" s="72"/>
      <c r="OLZ12" s="63"/>
      <c r="OMA12" s="34"/>
      <c r="OMB12" s="64"/>
      <c r="OMC12" s="4"/>
      <c r="OMD12" s="65"/>
      <c r="OME12" s="4"/>
      <c r="OMF12" s="4"/>
      <c r="OMG12" s="4"/>
      <c r="OMJ12" s="34"/>
      <c r="OMK12" s="34"/>
      <c r="OMM12" s="34"/>
      <c r="OMN12" s="72"/>
      <c r="OMO12" s="63"/>
      <c r="OMP12" s="34"/>
      <c r="OMQ12" s="64"/>
      <c r="OMR12" s="4"/>
      <c r="OMS12" s="65"/>
      <c r="OMT12" s="4"/>
      <c r="OMU12" s="4"/>
      <c r="OMV12" s="4"/>
      <c r="OMY12" s="34"/>
      <c r="OMZ12" s="34"/>
      <c r="ONB12" s="34"/>
      <c r="ONC12" s="72"/>
      <c r="OND12" s="63"/>
      <c r="ONE12" s="34"/>
      <c r="ONF12" s="64"/>
      <c r="ONG12" s="4"/>
      <c r="ONH12" s="65"/>
      <c r="ONI12" s="4"/>
      <c r="ONJ12" s="4"/>
      <c r="ONK12" s="4"/>
      <c r="ONN12" s="34"/>
      <c r="ONO12" s="34"/>
      <c r="ONQ12" s="34"/>
      <c r="ONR12" s="72"/>
      <c r="ONS12" s="63"/>
      <c r="ONT12" s="34"/>
      <c r="ONU12" s="64"/>
      <c r="ONV12" s="4"/>
      <c r="ONW12" s="65"/>
      <c r="ONX12" s="4"/>
      <c r="ONY12" s="4"/>
      <c r="ONZ12" s="4"/>
      <c r="OOC12" s="34"/>
      <c r="OOD12" s="34"/>
      <c r="OOF12" s="34"/>
      <c r="OOG12" s="72"/>
      <c r="OOH12" s="63"/>
      <c r="OOI12" s="34"/>
      <c r="OOJ12" s="64"/>
      <c r="OOK12" s="4"/>
      <c r="OOL12" s="65"/>
      <c r="OOM12" s="4"/>
      <c r="OON12" s="4"/>
      <c r="OOO12" s="4"/>
      <c r="OOR12" s="34"/>
      <c r="OOS12" s="34"/>
      <c r="OOU12" s="34"/>
      <c r="OOV12" s="72"/>
      <c r="OOW12" s="63"/>
      <c r="OOX12" s="34"/>
      <c r="OOY12" s="64"/>
      <c r="OOZ12" s="4"/>
      <c r="OPA12" s="65"/>
      <c r="OPB12" s="4"/>
      <c r="OPC12" s="4"/>
      <c r="OPD12" s="4"/>
      <c r="OPG12" s="34"/>
      <c r="OPH12" s="34"/>
      <c r="OPJ12" s="34"/>
      <c r="OPK12" s="72"/>
      <c r="OPL12" s="63"/>
      <c r="OPM12" s="34"/>
      <c r="OPN12" s="64"/>
      <c r="OPO12" s="4"/>
      <c r="OPP12" s="65"/>
      <c r="OPQ12" s="4"/>
      <c r="OPR12" s="4"/>
      <c r="OPS12" s="4"/>
      <c r="OPV12" s="34"/>
      <c r="OPW12" s="34"/>
      <c r="OPY12" s="34"/>
      <c r="OPZ12" s="72"/>
      <c r="OQA12" s="63"/>
      <c r="OQB12" s="34"/>
      <c r="OQC12" s="64"/>
      <c r="OQD12" s="4"/>
      <c r="OQE12" s="65"/>
      <c r="OQF12" s="4"/>
      <c r="OQG12" s="4"/>
      <c r="OQH12" s="4"/>
      <c r="OQK12" s="34"/>
      <c r="OQL12" s="34"/>
      <c r="OQN12" s="34"/>
      <c r="OQO12" s="72"/>
      <c r="OQP12" s="63"/>
      <c r="OQQ12" s="34"/>
      <c r="OQR12" s="64"/>
      <c r="OQS12" s="4"/>
      <c r="OQT12" s="65"/>
      <c r="OQU12" s="4"/>
      <c r="OQV12" s="4"/>
      <c r="OQW12" s="4"/>
      <c r="OQZ12" s="34"/>
      <c r="ORA12" s="34"/>
      <c r="ORC12" s="34"/>
      <c r="ORD12" s="72"/>
      <c r="ORE12" s="63"/>
      <c r="ORF12" s="34"/>
      <c r="ORG12" s="64"/>
      <c r="ORH12" s="4"/>
      <c r="ORI12" s="65"/>
      <c r="ORJ12" s="4"/>
      <c r="ORK12" s="4"/>
      <c r="ORL12" s="4"/>
      <c r="ORO12" s="34"/>
      <c r="ORP12" s="34"/>
      <c r="ORR12" s="34"/>
      <c r="ORS12" s="72"/>
      <c r="ORT12" s="63"/>
      <c r="ORU12" s="34"/>
      <c r="ORV12" s="64"/>
      <c r="ORW12" s="4"/>
      <c r="ORX12" s="65"/>
      <c r="ORY12" s="4"/>
      <c r="ORZ12" s="4"/>
      <c r="OSA12" s="4"/>
      <c r="OSD12" s="34"/>
      <c r="OSE12" s="34"/>
      <c r="OSG12" s="34"/>
      <c r="OSH12" s="72"/>
      <c r="OSI12" s="63"/>
      <c r="OSJ12" s="34"/>
      <c r="OSK12" s="64"/>
      <c r="OSL12" s="4"/>
      <c r="OSM12" s="65"/>
      <c r="OSN12" s="4"/>
      <c r="OSO12" s="4"/>
      <c r="OSP12" s="4"/>
      <c r="OSS12" s="34"/>
      <c r="OST12" s="34"/>
      <c r="OSV12" s="34"/>
      <c r="OSW12" s="72"/>
      <c r="OSX12" s="63"/>
      <c r="OSY12" s="34"/>
      <c r="OSZ12" s="64"/>
      <c r="OTA12" s="4"/>
      <c r="OTB12" s="65"/>
      <c r="OTC12" s="4"/>
      <c r="OTD12" s="4"/>
      <c r="OTE12" s="4"/>
      <c r="OTH12" s="34"/>
      <c r="OTI12" s="34"/>
      <c r="OTK12" s="34"/>
      <c r="OTL12" s="72"/>
      <c r="OTM12" s="63"/>
      <c r="OTN12" s="34"/>
      <c r="OTO12" s="64"/>
      <c r="OTP12" s="4"/>
      <c r="OTQ12" s="65"/>
      <c r="OTR12" s="4"/>
      <c r="OTS12" s="4"/>
      <c r="OTT12" s="4"/>
      <c r="OTW12" s="34"/>
      <c r="OTX12" s="34"/>
      <c r="OTZ12" s="34"/>
      <c r="OUA12" s="72"/>
      <c r="OUB12" s="63"/>
      <c r="OUC12" s="34"/>
      <c r="OUD12" s="64"/>
      <c r="OUE12" s="4"/>
      <c r="OUF12" s="65"/>
      <c r="OUG12" s="4"/>
      <c r="OUH12" s="4"/>
      <c r="OUI12" s="4"/>
      <c r="OUL12" s="34"/>
      <c r="OUM12" s="34"/>
      <c r="OUO12" s="34"/>
      <c r="OUP12" s="72"/>
      <c r="OUQ12" s="63"/>
      <c r="OUR12" s="34"/>
      <c r="OUS12" s="64"/>
      <c r="OUT12" s="4"/>
      <c r="OUU12" s="65"/>
      <c r="OUV12" s="4"/>
      <c r="OUW12" s="4"/>
      <c r="OUX12" s="4"/>
      <c r="OVA12" s="34"/>
      <c r="OVB12" s="34"/>
      <c r="OVD12" s="34"/>
      <c r="OVE12" s="72"/>
      <c r="OVF12" s="63"/>
      <c r="OVG12" s="34"/>
      <c r="OVH12" s="64"/>
      <c r="OVI12" s="4"/>
      <c r="OVJ12" s="65"/>
      <c r="OVK12" s="4"/>
      <c r="OVL12" s="4"/>
      <c r="OVM12" s="4"/>
      <c r="OVP12" s="34"/>
      <c r="OVQ12" s="34"/>
      <c r="OVS12" s="34"/>
      <c r="OVT12" s="72"/>
      <c r="OVU12" s="63"/>
      <c r="OVV12" s="34"/>
      <c r="OVW12" s="64"/>
      <c r="OVX12" s="4"/>
      <c r="OVY12" s="65"/>
      <c r="OVZ12" s="4"/>
      <c r="OWA12" s="4"/>
      <c r="OWB12" s="4"/>
      <c r="OWE12" s="34"/>
      <c r="OWF12" s="34"/>
      <c r="OWH12" s="34"/>
      <c r="OWI12" s="72"/>
      <c r="OWJ12" s="63"/>
      <c r="OWK12" s="34"/>
      <c r="OWL12" s="64"/>
      <c r="OWM12" s="4"/>
      <c r="OWN12" s="65"/>
      <c r="OWO12" s="4"/>
      <c r="OWP12" s="4"/>
      <c r="OWQ12" s="4"/>
      <c r="OWT12" s="34"/>
      <c r="OWU12" s="34"/>
      <c r="OWW12" s="34"/>
      <c r="OWX12" s="72"/>
      <c r="OWY12" s="63"/>
      <c r="OWZ12" s="34"/>
      <c r="OXA12" s="64"/>
      <c r="OXB12" s="4"/>
      <c r="OXC12" s="65"/>
      <c r="OXD12" s="4"/>
      <c r="OXE12" s="4"/>
      <c r="OXF12" s="4"/>
      <c r="OXI12" s="34"/>
      <c r="OXJ12" s="34"/>
      <c r="OXL12" s="34"/>
      <c r="OXM12" s="72"/>
      <c r="OXN12" s="63"/>
      <c r="OXO12" s="34"/>
      <c r="OXP12" s="64"/>
      <c r="OXQ12" s="4"/>
      <c r="OXR12" s="65"/>
      <c r="OXS12" s="4"/>
      <c r="OXT12" s="4"/>
      <c r="OXU12" s="4"/>
      <c r="OXX12" s="34"/>
      <c r="OXY12" s="34"/>
      <c r="OYA12" s="34"/>
      <c r="OYB12" s="72"/>
      <c r="OYC12" s="63"/>
      <c r="OYD12" s="34"/>
      <c r="OYE12" s="64"/>
      <c r="OYF12" s="4"/>
      <c r="OYG12" s="65"/>
      <c r="OYH12" s="4"/>
      <c r="OYI12" s="4"/>
      <c r="OYJ12" s="4"/>
      <c r="OYM12" s="34"/>
      <c r="OYN12" s="34"/>
      <c r="OYP12" s="34"/>
      <c r="OYQ12" s="72"/>
      <c r="OYR12" s="63"/>
      <c r="OYS12" s="34"/>
      <c r="OYT12" s="64"/>
      <c r="OYU12" s="4"/>
      <c r="OYV12" s="65"/>
      <c r="OYW12" s="4"/>
      <c r="OYX12" s="4"/>
      <c r="OYY12" s="4"/>
      <c r="OZB12" s="34"/>
      <c r="OZC12" s="34"/>
      <c r="OZE12" s="34"/>
      <c r="OZF12" s="72"/>
      <c r="OZG12" s="63"/>
      <c r="OZH12" s="34"/>
      <c r="OZI12" s="64"/>
      <c r="OZJ12" s="4"/>
      <c r="OZK12" s="65"/>
      <c r="OZL12" s="4"/>
      <c r="OZM12" s="4"/>
      <c r="OZN12" s="4"/>
      <c r="OZQ12" s="34"/>
      <c r="OZR12" s="34"/>
      <c r="OZT12" s="34"/>
      <c r="OZU12" s="72"/>
      <c r="OZV12" s="63"/>
      <c r="OZW12" s="34"/>
      <c r="OZX12" s="64"/>
      <c r="OZY12" s="4"/>
      <c r="OZZ12" s="65"/>
      <c r="PAA12" s="4"/>
      <c r="PAB12" s="4"/>
      <c r="PAC12" s="4"/>
      <c r="PAF12" s="34"/>
      <c r="PAG12" s="34"/>
      <c r="PAI12" s="34"/>
      <c r="PAJ12" s="72"/>
      <c r="PAK12" s="63"/>
      <c r="PAL12" s="34"/>
      <c r="PAM12" s="64"/>
      <c r="PAN12" s="4"/>
      <c r="PAO12" s="65"/>
      <c r="PAP12" s="4"/>
      <c r="PAQ12" s="4"/>
      <c r="PAR12" s="4"/>
      <c r="PAU12" s="34"/>
      <c r="PAV12" s="34"/>
      <c r="PAX12" s="34"/>
      <c r="PAY12" s="72"/>
      <c r="PAZ12" s="63"/>
      <c r="PBA12" s="34"/>
      <c r="PBB12" s="64"/>
      <c r="PBC12" s="4"/>
      <c r="PBD12" s="65"/>
      <c r="PBE12" s="4"/>
      <c r="PBF12" s="4"/>
      <c r="PBG12" s="4"/>
      <c r="PBJ12" s="34"/>
      <c r="PBK12" s="34"/>
      <c r="PBM12" s="34"/>
      <c r="PBN12" s="72"/>
      <c r="PBO12" s="63"/>
      <c r="PBP12" s="34"/>
      <c r="PBQ12" s="64"/>
      <c r="PBR12" s="4"/>
      <c r="PBS12" s="65"/>
      <c r="PBT12" s="4"/>
      <c r="PBU12" s="4"/>
      <c r="PBV12" s="4"/>
      <c r="PBY12" s="34"/>
      <c r="PBZ12" s="34"/>
      <c r="PCB12" s="34"/>
      <c r="PCC12" s="72"/>
      <c r="PCD12" s="63"/>
      <c r="PCE12" s="34"/>
      <c r="PCF12" s="64"/>
      <c r="PCG12" s="4"/>
      <c r="PCH12" s="65"/>
      <c r="PCI12" s="4"/>
      <c r="PCJ12" s="4"/>
      <c r="PCK12" s="4"/>
      <c r="PCN12" s="34"/>
      <c r="PCO12" s="34"/>
      <c r="PCQ12" s="34"/>
      <c r="PCR12" s="72"/>
      <c r="PCS12" s="63"/>
      <c r="PCT12" s="34"/>
      <c r="PCU12" s="64"/>
      <c r="PCV12" s="4"/>
      <c r="PCW12" s="65"/>
      <c r="PCX12" s="4"/>
      <c r="PCY12" s="4"/>
      <c r="PCZ12" s="4"/>
      <c r="PDC12" s="34"/>
      <c r="PDD12" s="34"/>
      <c r="PDF12" s="34"/>
      <c r="PDG12" s="72"/>
      <c r="PDH12" s="63"/>
      <c r="PDI12" s="34"/>
      <c r="PDJ12" s="64"/>
      <c r="PDK12" s="4"/>
      <c r="PDL12" s="65"/>
      <c r="PDM12" s="4"/>
      <c r="PDN12" s="4"/>
      <c r="PDO12" s="4"/>
      <c r="PDR12" s="34"/>
      <c r="PDS12" s="34"/>
      <c r="PDU12" s="34"/>
      <c r="PDV12" s="72"/>
      <c r="PDW12" s="63"/>
      <c r="PDX12" s="34"/>
      <c r="PDY12" s="64"/>
      <c r="PDZ12" s="4"/>
      <c r="PEA12" s="65"/>
      <c r="PEB12" s="4"/>
      <c r="PEC12" s="4"/>
      <c r="PED12" s="4"/>
      <c r="PEG12" s="34"/>
      <c r="PEH12" s="34"/>
      <c r="PEJ12" s="34"/>
      <c r="PEK12" s="72"/>
      <c r="PEL12" s="63"/>
      <c r="PEM12" s="34"/>
      <c r="PEN12" s="64"/>
      <c r="PEO12" s="4"/>
      <c r="PEP12" s="65"/>
      <c r="PEQ12" s="4"/>
      <c r="PER12" s="4"/>
      <c r="PES12" s="4"/>
      <c r="PEV12" s="34"/>
      <c r="PEW12" s="34"/>
      <c r="PEY12" s="34"/>
      <c r="PEZ12" s="72"/>
      <c r="PFA12" s="63"/>
      <c r="PFB12" s="34"/>
      <c r="PFC12" s="64"/>
      <c r="PFD12" s="4"/>
      <c r="PFE12" s="65"/>
      <c r="PFF12" s="4"/>
      <c r="PFG12" s="4"/>
      <c r="PFH12" s="4"/>
      <c r="PFK12" s="34"/>
      <c r="PFL12" s="34"/>
      <c r="PFN12" s="34"/>
      <c r="PFO12" s="72"/>
      <c r="PFP12" s="63"/>
      <c r="PFQ12" s="34"/>
      <c r="PFR12" s="64"/>
      <c r="PFS12" s="4"/>
      <c r="PFT12" s="65"/>
      <c r="PFU12" s="4"/>
      <c r="PFV12" s="4"/>
      <c r="PFW12" s="4"/>
      <c r="PFZ12" s="34"/>
      <c r="PGA12" s="34"/>
      <c r="PGC12" s="34"/>
      <c r="PGD12" s="72"/>
      <c r="PGE12" s="63"/>
      <c r="PGF12" s="34"/>
      <c r="PGG12" s="64"/>
      <c r="PGH12" s="4"/>
      <c r="PGI12" s="65"/>
      <c r="PGJ12" s="4"/>
      <c r="PGK12" s="4"/>
      <c r="PGL12" s="4"/>
      <c r="PGO12" s="34"/>
      <c r="PGP12" s="34"/>
      <c r="PGR12" s="34"/>
      <c r="PGS12" s="72"/>
      <c r="PGT12" s="63"/>
      <c r="PGU12" s="34"/>
      <c r="PGV12" s="64"/>
      <c r="PGW12" s="4"/>
      <c r="PGX12" s="65"/>
      <c r="PGY12" s="4"/>
      <c r="PGZ12" s="4"/>
      <c r="PHA12" s="4"/>
      <c r="PHD12" s="34"/>
      <c r="PHE12" s="34"/>
      <c r="PHG12" s="34"/>
      <c r="PHH12" s="72"/>
      <c r="PHI12" s="63"/>
      <c r="PHJ12" s="34"/>
      <c r="PHK12" s="64"/>
      <c r="PHL12" s="4"/>
      <c r="PHM12" s="65"/>
      <c r="PHN12" s="4"/>
      <c r="PHO12" s="4"/>
      <c r="PHP12" s="4"/>
      <c r="PHS12" s="34"/>
      <c r="PHT12" s="34"/>
      <c r="PHV12" s="34"/>
      <c r="PHW12" s="72"/>
      <c r="PHX12" s="63"/>
      <c r="PHY12" s="34"/>
      <c r="PHZ12" s="64"/>
      <c r="PIA12" s="4"/>
      <c r="PIB12" s="65"/>
      <c r="PIC12" s="4"/>
      <c r="PID12" s="4"/>
      <c r="PIE12" s="4"/>
      <c r="PIH12" s="34"/>
      <c r="PII12" s="34"/>
      <c r="PIK12" s="34"/>
      <c r="PIL12" s="72"/>
      <c r="PIM12" s="63"/>
      <c r="PIN12" s="34"/>
      <c r="PIO12" s="64"/>
      <c r="PIP12" s="4"/>
      <c r="PIQ12" s="65"/>
      <c r="PIR12" s="4"/>
      <c r="PIS12" s="4"/>
      <c r="PIT12" s="4"/>
      <c r="PIW12" s="34"/>
      <c r="PIX12" s="34"/>
      <c r="PIZ12" s="34"/>
      <c r="PJA12" s="72"/>
      <c r="PJB12" s="63"/>
      <c r="PJC12" s="34"/>
      <c r="PJD12" s="64"/>
      <c r="PJE12" s="4"/>
      <c r="PJF12" s="65"/>
      <c r="PJG12" s="4"/>
      <c r="PJH12" s="4"/>
      <c r="PJI12" s="4"/>
      <c r="PJL12" s="34"/>
      <c r="PJM12" s="34"/>
      <c r="PJO12" s="34"/>
      <c r="PJP12" s="72"/>
      <c r="PJQ12" s="63"/>
      <c r="PJR12" s="34"/>
      <c r="PJS12" s="64"/>
      <c r="PJT12" s="4"/>
      <c r="PJU12" s="65"/>
      <c r="PJV12" s="4"/>
      <c r="PJW12" s="4"/>
      <c r="PJX12" s="4"/>
      <c r="PKA12" s="34"/>
      <c r="PKB12" s="34"/>
      <c r="PKD12" s="34"/>
      <c r="PKE12" s="72"/>
      <c r="PKF12" s="63"/>
      <c r="PKG12" s="34"/>
      <c r="PKH12" s="64"/>
      <c r="PKI12" s="4"/>
      <c r="PKJ12" s="65"/>
      <c r="PKK12" s="4"/>
      <c r="PKL12" s="4"/>
      <c r="PKM12" s="4"/>
      <c r="PKP12" s="34"/>
      <c r="PKQ12" s="34"/>
      <c r="PKS12" s="34"/>
      <c r="PKT12" s="72"/>
      <c r="PKU12" s="63"/>
      <c r="PKV12" s="34"/>
      <c r="PKW12" s="64"/>
      <c r="PKX12" s="4"/>
      <c r="PKY12" s="65"/>
      <c r="PKZ12" s="4"/>
      <c r="PLA12" s="4"/>
      <c r="PLB12" s="4"/>
      <c r="PLE12" s="34"/>
      <c r="PLF12" s="34"/>
      <c r="PLH12" s="34"/>
      <c r="PLI12" s="72"/>
      <c r="PLJ12" s="63"/>
      <c r="PLK12" s="34"/>
      <c r="PLL12" s="64"/>
      <c r="PLM12" s="4"/>
      <c r="PLN12" s="65"/>
      <c r="PLO12" s="4"/>
      <c r="PLP12" s="4"/>
      <c r="PLQ12" s="4"/>
      <c r="PLT12" s="34"/>
      <c r="PLU12" s="34"/>
      <c r="PLW12" s="34"/>
      <c r="PLX12" s="72"/>
      <c r="PLY12" s="63"/>
      <c r="PLZ12" s="34"/>
      <c r="PMA12" s="64"/>
      <c r="PMB12" s="4"/>
      <c r="PMC12" s="65"/>
      <c r="PMD12" s="4"/>
      <c r="PME12" s="4"/>
      <c r="PMF12" s="4"/>
      <c r="PMI12" s="34"/>
      <c r="PMJ12" s="34"/>
      <c r="PML12" s="34"/>
      <c r="PMM12" s="72"/>
      <c r="PMN12" s="63"/>
      <c r="PMO12" s="34"/>
      <c r="PMP12" s="64"/>
      <c r="PMQ12" s="4"/>
      <c r="PMR12" s="65"/>
      <c r="PMS12" s="4"/>
      <c r="PMT12" s="4"/>
      <c r="PMU12" s="4"/>
      <c r="PMX12" s="34"/>
      <c r="PMY12" s="34"/>
      <c r="PNA12" s="34"/>
      <c r="PNB12" s="72"/>
      <c r="PNC12" s="63"/>
      <c r="PND12" s="34"/>
      <c r="PNE12" s="64"/>
      <c r="PNF12" s="4"/>
      <c r="PNG12" s="65"/>
      <c r="PNH12" s="4"/>
      <c r="PNI12" s="4"/>
      <c r="PNJ12" s="4"/>
      <c r="PNM12" s="34"/>
      <c r="PNN12" s="34"/>
      <c r="PNP12" s="34"/>
      <c r="PNQ12" s="72"/>
      <c r="PNR12" s="63"/>
      <c r="PNS12" s="34"/>
      <c r="PNT12" s="64"/>
      <c r="PNU12" s="4"/>
      <c r="PNV12" s="65"/>
      <c r="PNW12" s="4"/>
      <c r="PNX12" s="4"/>
      <c r="PNY12" s="4"/>
      <c r="POB12" s="34"/>
      <c r="POC12" s="34"/>
      <c r="POE12" s="34"/>
      <c r="POF12" s="72"/>
      <c r="POG12" s="63"/>
      <c r="POH12" s="34"/>
      <c r="POI12" s="64"/>
      <c r="POJ12" s="4"/>
      <c r="POK12" s="65"/>
      <c r="POL12" s="4"/>
      <c r="POM12" s="4"/>
      <c r="PON12" s="4"/>
      <c r="POQ12" s="34"/>
      <c r="POR12" s="34"/>
      <c r="POT12" s="34"/>
      <c r="POU12" s="72"/>
      <c r="POV12" s="63"/>
      <c r="POW12" s="34"/>
      <c r="POX12" s="64"/>
      <c r="POY12" s="4"/>
      <c r="POZ12" s="65"/>
      <c r="PPA12" s="4"/>
      <c r="PPB12" s="4"/>
      <c r="PPC12" s="4"/>
      <c r="PPF12" s="34"/>
      <c r="PPG12" s="34"/>
      <c r="PPI12" s="34"/>
      <c r="PPJ12" s="72"/>
      <c r="PPK12" s="63"/>
      <c r="PPL12" s="34"/>
      <c r="PPM12" s="64"/>
      <c r="PPN12" s="4"/>
      <c r="PPO12" s="65"/>
      <c r="PPP12" s="4"/>
      <c r="PPQ12" s="4"/>
      <c r="PPR12" s="4"/>
      <c r="PPU12" s="34"/>
      <c r="PPV12" s="34"/>
      <c r="PPX12" s="34"/>
      <c r="PPY12" s="72"/>
      <c r="PPZ12" s="63"/>
      <c r="PQA12" s="34"/>
      <c r="PQB12" s="64"/>
      <c r="PQC12" s="4"/>
      <c r="PQD12" s="65"/>
      <c r="PQE12" s="4"/>
      <c r="PQF12" s="4"/>
      <c r="PQG12" s="4"/>
      <c r="PQJ12" s="34"/>
      <c r="PQK12" s="34"/>
      <c r="PQM12" s="34"/>
      <c r="PQN12" s="72"/>
      <c r="PQO12" s="63"/>
      <c r="PQP12" s="34"/>
      <c r="PQQ12" s="64"/>
      <c r="PQR12" s="4"/>
      <c r="PQS12" s="65"/>
      <c r="PQT12" s="4"/>
      <c r="PQU12" s="4"/>
      <c r="PQV12" s="4"/>
      <c r="PQY12" s="34"/>
      <c r="PQZ12" s="34"/>
      <c r="PRB12" s="34"/>
      <c r="PRC12" s="72"/>
      <c r="PRD12" s="63"/>
      <c r="PRE12" s="34"/>
      <c r="PRF12" s="64"/>
      <c r="PRG12" s="4"/>
      <c r="PRH12" s="65"/>
      <c r="PRI12" s="4"/>
      <c r="PRJ12" s="4"/>
      <c r="PRK12" s="4"/>
      <c r="PRN12" s="34"/>
      <c r="PRO12" s="34"/>
      <c r="PRQ12" s="34"/>
      <c r="PRR12" s="72"/>
      <c r="PRS12" s="63"/>
      <c r="PRT12" s="34"/>
      <c r="PRU12" s="64"/>
      <c r="PRV12" s="4"/>
      <c r="PRW12" s="65"/>
      <c r="PRX12" s="4"/>
      <c r="PRY12" s="4"/>
      <c r="PRZ12" s="4"/>
      <c r="PSC12" s="34"/>
      <c r="PSD12" s="34"/>
      <c r="PSF12" s="34"/>
      <c r="PSG12" s="72"/>
      <c r="PSH12" s="63"/>
      <c r="PSI12" s="34"/>
      <c r="PSJ12" s="64"/>
      <c r="PSK12" s="4"/>
      <c r="PSL12" s="65"/>
      <c r="PSM12" s="4"/>
      <c r="PSN12" s="4"/>
      <c r="PSO12" s="4"/>
      <c r="PSR12" s="34"/>
      <c r="PSS12" s="34"/>
      <c r="PSU12" s="34"/>
      <c r="PSV12" s="72"/>
      <c r="PSW12" s="63"/>
      <c r="PSX12" s="34"/>
      <c r="PSY12" s="64"/>
      <c r="PSZ12" s="4"/>
      <c r="PTA12" s="65"/>
      <c r="PTB12" s="4"/>
      <c r="PTC12" s="4"/>
      <c r="PTD12" s="4"/>
      <c r="PTG12" s="34"/>
      <c r="PTH12" s="34"/>
      <c r="PTJ12" s="34"/>
      <c r="PTK12" s="72"/>
      <c r="PTL12" s="63"/>
      <c r="PTM12" s="34"/>
      <c r="PTN12" s="64"/>
      <c r="PTO12" s="4"/>
      <c r="PTP12" s="65"/>
      <c r="PTQ12" s="4"/>
      <c r="PTR12" s="4"/>
      <c r="PTS12" s="4"/>
      <c r="PTV12" s="34"/>
      <c r="PTW12" s="34"/>
      <c r="PTY12" s="34"/>
      <c r="PTZ12" s="72"/>
      <c r="PUA12" s="63"/>
      <c r="PUB12" s="34"/>
      <c r="PUC12" s="64"/>
      <c r="PUD12" s="4"/>
      <c r="PUE12" s="65"/>
      <c r="PUF12" s="4"/>
      <c r="PUG12" s="4"/>
      <c r="PUH12" s="4"/>
      <c r="PUK12" s="34"/>
      <c r="PUL12" s="34"/>
      <c r="PUN12" s="34"/>
      <c r="PUO12" s="72"/>
      <c r="PUP12" s="63"/>
      <c r="PUQ12" s="34"/>
      <c r="PUR12" s="64"/>
      <c r="PUS12" s="4"/>
      <c r="PUT12" s="65"/>
      <c r="PUU12" s="4"/>
      <c r="PUV12" s="4"/>
      <c r="PUW12" s="4"/>
      <c r="PUZ12" s="34"/>
      <c r="PVA12" s="34"/>
      <c r="PVC12" s="34"/>
      <c r="PVD12" s="72"/>
      <c r="PVE12" s="63"/>
      <c r="PVF12" s="34"/>
      <c r="PVG12" s="64"/>
      <c r="PVH12" s="4"/>
      <c r="PVI12" s="65"/>
      <c r="PVJ12" s="4"/>
      <c r="PVK12" s="4"/>
      <c r="PVL12" s="4"/>
      <c r="PVO12" s="34"/>
      <c r="PVP12" s="34"/>
      <c r="PVR12" s="34"/>
      <c r="PVS12" s="72"/>
      <c r="PVT12" s="63"/>
      <c r="PVU12" s="34"/>
      <c r="PVV12" s="64"/>
      <c r="PVW12" s="4"/>
      <c r="PVX12" s="65"/>
      <c r="PVY12" s="4"/>
      <c r="PVZ12" s="4"/>
      <c r="PWA12" s="4"/>
      <c r="PWD12" s="34"/>
      <c r="PWE12" s="34"/>
      <c r="PWG12" s="34"/>
      <c r="PWH12" s="72"/>
      <c r="PWI12" s="63"/>
      <c r="PWJ12" s="34"/>
      <c r="PWK12" s="64"/>
      <c r="PWL12" s="4"/>
      <c r="PWM12" s="65"/>
      <c r="PWN12" s="4"/>
      <c r="PWO12" s="4"/>
      <c r="PWP12" s="4"/>
      <c r="PWS12" s="34"/>
      <c r="PWT12" s="34"/>
      <c r="PWV12" s="34"/>
      <c r="PWW12" s="72"/>
      <c r="PWX12" s="63"/>
      <c r="PWY12" s="34"/>
      <c r="PWZ12" s="64"/>
      <c r="PXA12" s="4"/>
      <c r="PXB12" s="65"/>
      <c r="PXC12" s="4"/>
      <c r="PXD12" s="4"/>
      <c r="PXE12" s="4"/>
      <c r="PXH12" s="34"/>
      <c r="PXI12" s="34"/>
      <c r="PXK12" s="34"/>
      <c r="PXL12" s="72"/>
      <c r="PXM12" s="63"/>
      <c r="PXN12" s="34"/>
      <c r="PXO12" s="64"/>
      <c r="PXP12" s="4"/>
      <c r="PXQ12" s="65"/>
      <c r="PXR12" s="4"/>
      <c r="PXS12" s="4"/>
      <c r="PXT12" s="4"/>
      <c r="PXW12" s="34"/>
      <c r="PXX12" s="34"/>
      <c r="PXZ12" s="34"/>
      <c r="PYA12" s="72"/>
      <c r="PYB12" s="63"/>
      <c r="PYC12" s="34"/>
      <c r="PYD12" s="64"/>
      <c r="PYE12" s="4"/>
      <c r="PYF12" s="65"/>
      <c r="PYG12" s="4"/>
      <c r="PYH12" s="4"/>
      <c r="PYI12" s="4"/>
      <c r="PYL12" s="34"/>
      <c r="PYM12" s="34"/>
      <c r="PYO12" s="34"/>
      <c r="PYP12" s="72"/>
      <c r="PYQ12" s="63"/>
      <c r="PYR12" s="34"/>
      <c r="PYS12" s="64"/>
      <c r="PYT12" s="4"/>
      <c r="PYU12" s="65"/>
      <c r="PYV12" s="4"/>
      <c r="PYW12" s="4"/>
      <c r="PYX12" s="4"/>
      <c r="PZA12" s="34"/>
      <c r="PZB12" s="34"/>
      <c r="PZD12" s="34"/>
      <c r="PZE12" s="72"/>
      <c r="PZF12" s="63"/>
      <c r="PZG12" s="34"/>
      <c r="PZH12" s="64"/>
      <c r="PZI12" s="4"/>
      <c r="PZJ12" s="65"/>
      <c r="PZK12" s="4"/>
      <c r="PZL12" s="4"/>
      <c r="PZM12" s="4"/>
      <c r="PZP12" s="34"/>
      <c r="PZQ12" s="34"/>
      <c r="PZS12" s="34"/>
      <c r="PZT12" s="72"/>
      <c r="PZU12" s="63"/>
      <c r="PZV12" s="34"/>
      <c r="PZW12" s="64"/>
      <c r="PZX12" s="4"/>
      <c r="PZY12" s="65"/>
      <c r="PZZ12" s="4"/>
      <c r="QAA12" s="4"/>
      <c r="QAB12" s="4"/>
      <c r="QAE12" s="34"/>
      <c r="QAF12" s="34"/>
      <c r="QAH12" s="34"/>
      <c r="QAI12" s="72"/>
      <c r="QAJ12" s="63"/>
      <c r="QAK12" s="34"/>
      <c r="QAL12" s="64"/>
      <c r="QAM12" s="4"/>
      <c r="QAN12" s="65"/>
      <c r="QAO12" s="4"/>
      <c r="QAP12" s="4"/>
      <c r="QAQ12" s="4"/>
      <c r="QAT12" s="34"/>
      <c r="QAU12" s="34"/>
      <c r="QAW12" s="34"/>
      <c r="QAX12" s="72"/>
      <c r="QAY12" s="63"/>
      <c r="QAZ12" s="34"/>
      <c r="QBA12" s="64"/>
      <c r="QBB12" s="4"/>
      <c r="QBC12" s="65"/>
      <c r="QBD12" s="4"/>
      <c r="QBE12" s="4"/>
      <c r="QBF12" s="4"/>
      <c r="QBI12" s="34"/>
      <c r="QBJ12" s="34"/>
      <c r="QBL12" s="34"/>
      <c r="QBM12" s="72"/>
      <c r="QBN12" s="63"/>
      <c r="QBO12" s="34"/>
      <c r="QBP12" s="64"/>
      <c r="QBQ12" s="4"/>
      <c r="QBR12" s="65"/>
      <c r="QBS12" s="4"/>
      <c r="QBT12" s="4"/>
      <c r="QBU12" s="4"/>
      <c r="QBX12" s="34"/>
      <c r="QBY12" s="34"/>
      <c r="QCA12" s="34"/>
      <c r="QCB12" s="72"/>
      <c r="QCC12" s="63"/>
      <c r="QCD12" s="34"/>
      <c r="QCE12" s="64"/>
      <c r="QCF12" s="4"/>
      <c r="QCG12" s="65"/>
      <c r="QCH12" s="4"/>
      <c r="QCI12" s="4"/>
      <c r="QCJ12" s="4"/>
      <c r="QCM12" s="34"/>
      <c r="QCN12" s="34"/>
      <c r="QCP12" s="34"/>
      <c r="QCQ12" s="72"/>
      <c r="QCR12" s="63"/>
      <c r="QCS12" s="34"/>
      <c r="QCT12" s="64"/>
      <c r="QCU12" s="4"/>
      <c r="QCV12" s="65"/>
      <c r="QCW12" s="4"/>
      <c r="QCX12" s="4"/>
      <c r="QCY12" s="4"/>
      <c r="QDB12" s="34"/>
      <c r="QDC12" s="34"/>
      <c r="QDE12" s="34"/>
      <c r="QDF12" s="72"/>
      <c r="QDG12" s="63"/>
      <c r="QDH12" s="34"/>
      <c r="QDI12" s="64"/>
      <c r="QDJ12" s="4"/>
      <c r="QDK12" s="65"/>
      <c r="QDL12" s="4"/>
      <c r="QDM12" s="4"/>
      <c r="QDN12" s="4"/>
      <c r="QDQ12" s="34"/>
      <c r="QDR12" s="34"/>
      <c r="QDT12" s="34"/>
      <c r="QDU12" s="72"/>
      <c r="QDV12" s="63"/>
      <c r="QDW12" s="34"/>
      <c r="QDX12" s="64"/>
      <c r="QDY12" s="4"/>
      <c r="QDZ12" s="65"/>
      <c r="QEA12" s="4"/>
      <c r="QEB12" s="4"/>
      <c r="QEC12" s="4"/>
      <c r="QEF12" s="34"/>
      <c r="QEG12" s="34"/>
      <c r="QEI12" s="34"/>
      <c r="QEJ12" s="72"/>
      <c r="QEK12" s="63"/>
      <c r="QEL12" s="34"/>
      <c r="QEM12" s="64"/>
      <c r="QEN12" s="4"/>
      <c r="QEO12" s="65"/>
      <c r="QEP12" s="4"/>
      <c r="QEQ12" s="4"/>
      <c r="QER12" s="4"/>
      <c r="QEU12" s="34"/>
      <c r="QEV12" s="34"/>
      <c r="QEX12" s="34"/>
      <c r="QEY12" s="72"/>
      <c r="QEZ12" s="63"/>
      <c r="QFA12" s="34"/>
      <c r="QFB12" s="64"/>
      <c r="QFC12" s="4"/>
      <c r="QFD12" s="65"/>
      <c r="QFE12" s="4"/>
      <c r="QFF12" s="4"/>
      <c r="QFG12" s="4"/>
      <c r="QFJ12" s="34"/>
      <c r="QFK12" s="34"/>
      <c r="QFM12" s="34"/>
      <c r="QFN12" s="72"/>
      <c r="QFO12" s="63"/>
      <c r="QFP12" s="34"/>
      <c r="QFQ12" s="64"/>
      <c r="QFR12" s="4"/>
      <c r="QFS12" s="65"/>
      <c r="QFT12" s="4"/>
      <c r="QFU12" s="4"/>
      <c r="QFV12" s="4"/>
      <c r="QFY12" s="34"/>
      <c r="QFZ12" s="34"/>
      <c r="QGB12" s="34"/>
      <c r="QGC12" s="72"/>
      <c r="QGD12" s="63"/>
      <c r="QGE12" s="34"/>
      <c r="QGF12" s="64"/>
      <c r="QGG12" s="4"/>
      <c r="QGH12" s="65"/>
      <c r="QGI12" s="4"/>
      <c r="QGJ12" s="4"/>
      <c r="QGK12" s="4"/>
      <c r="QGN12" s="34"/>
      <c r="QGO12" s="34"/>
      <c r="QGQ12" s="34"/>
      <c r="QGR12" s="72"/>
      <c r="QGS12" s="63"/>
      <c r="QGT12" s="34"/>
      <c r="QGU12" s="64"/>
      <c r="QGV12" s="4"/>
      <c r="QGW12" s="65"/>
      <c r="QGX12" s="4"/>
      <c r="QGY12" s="4"/>
      <c r="QGZ12" s="4"/>
      <c r="QHC12" s="34"/>
      <c r="QHD12" s="34"/>
      <c r="QHF12" s="34"/>
      <c r="QHG12" s="72"/>
      <c r="QHH12" s="63"/>
      <c r="QHI12" s="34"/>
      <c r="QHJ12" s="64"/>
      <c r="QHK12" s="4"/>
      <c r="QHL12" s="65"/>
      <c r="QHM12" s="4"/>
      <c r="QHN12" s="4"/>
      <c r="QHO12" s="4"/>
      <c r="QHR12" s="34"/>
      <c r="QHS12" s="34"/>
      <c r="QHU12" s="34"/>
      <c r="QHV12" s="72"/>
      <c r="QHW12" s="63"/>
      <c r="QHX12" s="34"/>
      <c r="QHY12" s="64"/>
      <c r="QHZ12" s="4"/>
      <c r="QIA12" s="65"/>
      <c r="QIB12" s="4"/>
      <c r="QIC12" s="4"/>
      <c r="QID12" s="4"/>
      <c r="QIG12" s="34"/>
      <c r="QIH12" s="34"/>
      <c r="QIJ12" s="34"/>
      <c r="QIK12" s="72"/>
      <c r="QIL12" s="63"/>
      <c r="QIM12" s="34"/>
      <c r="QIN12" s="64"/>
      <c r="QIO12" s="4"/>
      <c r="QIP12" s="65"/>
      <c r="QIQ12" s="4"/>
      <c r="QIR12" s="4"/>
      <c r="QIS12" s="4"/>
      <c r="QIV12" s="34"/>
      <c r="QIW12" s="34"/>
      <c r="QIY12" s="34"/>
      <c r="QIZ12" s="72"/>
      <c r="QJA12" s="63"/>
      <c r="QJB12" s="34"/>
      <c r="QJC12" s="64"/>
      <c r="QJD12" s="4"/>
      <c r="QJE12" s="65"/>
      <c r="QJF12" s="4"/>
      <c r="QJG12" s="4"/>
      <c r="QJH12" s="4"/>
      <c r="QJK12" s="34"/>
      <c r="QJL12" s="34"/>
      <c r="QJN12" s="34"/>
      <c r="QJO12" s="72"/>
      <c r="QJP12" s="63"/>
      <c r="QJQ12" s="34"/>
      <c r="QJR12" s="64"/>
      <c r="QJS12" s="4"/>
      <c r="QJT12" s="65"/>
      <c r="QJU12" s="4"/>
      <c r="QJV12" s="4"/>
      <c r="QJW12" s="4"/>
      <c r="QJZ12" s="34"/>
      <c r="QKA12" s="34"/>
      <c r="QKC12" s="34"/>
      <c r="QKD12" s="72"/>
      <c r="QKE12" s="63"/>
      <c r="QKF12" s="34"/>
      <c r="QKG12" s="64"/>
      <c r="QKH12" s="4"/>
      <c r="QKI12" s="65"/>
      <c r="QKJ12" s="4"/>
      <c r="QKK12" s="4"/>
      <c r="QKL12" s="4"/>
      <c r="QKO12" s="34"/>
      <c r="QKP12" s="34"/>
      <c r="QKR12" s="34"/>
      <c r="QKS12" s="72"/>
      <c r="QKT12" s="63"/>
      <c r="QKU12" s="34"/>
      <c r="QKV12" s="64"/>
      <c r="QKW12" s="4"/>
      <c r="QKX12" s="65"/>
      <c r="QKY12" s="4"/>
      <c r="QKZ12" s="4"/>
      <c r="QLA12" s="4"/>
      <c r="QLD12" s="34"/>
      <c r="QLE12" s="34"/>
      <c r="QLG12" s="34"/>
      <c r="QLH12" s="72"/>
      <c r="QLI12" s="63"/>
      <c r="QLJ12" s="34"/>
      <c r="QLK12" s="64"/>
      <c r="QLL12" s="4"/>
      <c r="QLM12" s="65"/>
      <c r="QLN12" s="4"/>
      <c r="QLO12" s="4"/>
      <c r="QLP12" s="4"/>
      <c r="QLS12" s="34"/>
      <c r="QLT12" s="34"/>
      <c r="QLV12" s="34"/>
      <c r="QLW12" s="72"/>
      <c r="QLX12" s="63"/>
      <c r="QLY12" s="34"/>
      <c r="QLZ12" s="64"/>
      <c r="QMA12" s="4"/>
      <c r="QMB12" s="65"/>
      <c r="QMC12" s="4"/>
      <c r="QMD12" s="4"/>
      <c r="QME12" s="4"/>
      <c r="QMH12" s="34"/>
      <c r="QMI12" s="34"/>
      <c r="QMK12" s="34"/>
      <c r="QML12" s="72"/>
      <c r="QMM12" s="63"/>
      <c r="QMN12" s="34"/>
      <c r="QMO12" s="64"/>
      <c r="QMP12" s="4"/>
      <c r="QMQ12" s="65"/>
      <c r="QMR12" s="4"/>
      <c r="QMS12" s="4"/>
      <c r="QMT12" s="4"/>
      <c r="QMW12" s="34"/>
      <c r="QMX12" s="34"/>
      <c r="QMZ12" s="34"/>
      <c r="QNA12" s="72"/>
      <c r="QNB12" s="63"/>
      <c r="QNC12" s="34"/>
      <c r="QND12" s="64"/>
      <c r="QNE12" s="4"/>
      <c r="QNF12" s="65"/>
      <c r="QNG12" s="4"/>
      <c r="QNH12" s="4"/>
      <c r="QNI12" s="4"/>
      <c r="QNL12" s="34"/>
      <c r="QNM12" s="34"/>
      <c r="QNO12" s="34"/>
      <c r="QNP12" s="72"/>
      <c r="QNQ12" s="63"/>
      <c r="QNR12" s="34"/>
      <c r="QNS12" s="64"/>
      <c r="QNT12" s="4"/>
      <c r="QNU12" s="65"/>
      <c r="QNV12" s="4"/>
      <c r="QNW12" s="4"/>
      <c r="QNX12" s="4"/>
      <c r="QOA12" s="34"/>
      <c r="QOB12" s="34"/>
      <c r="QOD12" s="34"/>
      <c r="QOE12" s="72"/>
      <c r="QOF12" s="63"/>
      <c r="QOG12" s="34"/>
      <c r="QOH12" s="64"/>
      <c r="QOI12" s="4"/>
      <c r="QOJ12" s="65"/>
      <c r="QOK12" s="4"/>
      <c r="QOL12" s="4"/>
      <c r="QOM12" s="4"/>
      <c r="QOP12" s="34"/>
      <c r="QOQ12" s="34"/>
      <c r="QOS12" s="34"/>
      <c r="QOT12" s="72"/>
      <c r="QOU12" s="63"/>
      <c r="QOV12" s="34"/>
      <c r="QOW12" s="64"/>
      <c r="QOX12" s="4"/>
      <c r="QOY12" s="65"/>
      <c r="QOZ12" s="4"/>
      <c r="QPA12" s="4"/>
      <c r="QPB12" s="4"/>
      <c r="QPE12" s="34"/>
      <c r="QPF12" s="34"/>
      <c r="QPH12" s="34"/>
      <c r="QPI12" s="72"/>
      <c r="QPJ12" s="63"/>
      <c r="QPK12" s="34"/>
      <c r="QPL12" s="64"/>
      <c r="QPM12" s="4"/>
      <c r="QPN12" s="65"/>
      <c r="QPO12" s="4"/>
      <c r="QPP12" s="4"/>
      <c r="QPQ12" s="4"/>
      <c r="QPT12" s="34"/>
      <c r="QPU12" s="34"/>
      <c r="QPW12" s="34"/>
      <c r="QPX12" s="72"/>
      <c r="QPY12" s="63"/>
      <c r="QPZ12" s="34"/>
      <c r="QQA12" s="64"/>
      <c r="QQB12" s="4"/>
      <c r="QQC12" s="65"/>
      <c r="QQD12" s="4"/>
      <c r="QQE12" s="4"/>
      <c r="QQF12" s="4"/>
      <c r="QQI12" s="34"/>
      <c r="QQJ12" s="34"/>
      <c r="QQL12" s="34"/>
      <c r="QQM12" s="72"/>
      <c r="QQN12" s="63"/>
      <c r="QQO12" s="34"/>
      <c r="QQP12" s="64"/>
      <c r="QQQ12" s="4"/>
      <c r="QQR12" s="65"/>
      <c r="QQS12" s="4"/>
      <c r="QQT12" s="4"/>
      <c r="QQU12" s="4"/>
      <c r="QQX12" s="34"/>
      <c r="QQY12" s="34"/>
      <c r="QRA12" s="34"/>
      <c r="QRB12" s="72"/>
      <c r="QRC12" s="63"/>
      <c r="QRD12" s="34"/>
      <c r="QRE12" s="64"/>
      <c r="QRF12" s="4"/>
      <c r="QRG12" s="65"/>
      <c r="QRH12" s="4"/>
      <c r="QRI12" s="4"/>
      <c r="QRJ12" s="4"/>
      <c r="QRM12" s="34"/>
      <c r="QRN12" s="34"/>
      <c r="QRP12" s="34"/>
      <c r="QRQ12" s="72"/>
      <c r="QRR12" s="63"/>
      <c r="QRS12" s="34"/>
      <c r="QRT12" s="64"/>
      <c r="QRU12" s="4"/>
      <c r="QRV12" s="65"/>
      <c r="QRW12" s="4"/>
      <c r="QRX12" s="4"/>
      <c r="QRY12" s="4"/>
      <c r="QSB12" s="34"/>
      <c r="QSC12" s="34"/>
      <c r="QSE12" s="34"/>
      <c r="QSF12" s="72"/>
      <c r="QSG12" s="63"/>
      <c r="QSH12" s="34"/>
      <c r="QSI12" s="64"/>
      <c r="QSJ12" s="4"/>
      <c r="QSK12" s="65"/>
      <c r="QSL12" s="4"/>
      <c r="QSM12" s="4"/>
      <c r="QSN12" s="4"/>
      <c r="QSQ12" s="34"/>
      <c r="QSR12" s="34"/>
      <c r="QST12" s="34"/>
      <c r="QSU12" s="72"/>
      <c r="QSV12" s="63"/>
      <c r="QSW12" s="34"/>
      <c r="QSX12" s="64"/>
      <c r="QSY12" s="4"/>
      <c r="QSZ12" s="65"/>
      <c r="QTA12" s="4"/>
      <c r="QTB12" s="4"/>
      <c r="QTC12" s="4"/>
      <c r="QTF12" s="34"/>
      <c r="QTG12" s="34"/>
      <c r="QTI12" s="34"/>
      <c r="QTJ12" s="72"/>
      <c r="QTK12" s="63"/>
      <c r="QTL12" s="34"/>
      <c r="QTM12" s="64"/>
      <c r="QTN12" s="4"/>
      <c r="QTO12" s="65"/>
      <c r="QTP12" s="4"/>
      <c r="QTQ12" s="4"/>
      <c r="QTR12" s="4"/>
      <c r="QTU12" s="34"/>
      <c r="QTV12" s="34"/>
      <c r="QTX12" s="34"/>
      <c r="QTY12" s="72"/>
      <c r="QTZ12" s="63"/>
      <c r="QUA12" s="34"/>
      <c r="QUB12" s="64"/>
      <c r="QUC12" s="4"/>
      <c r="QUD12" s="65"/>
      <c r="QUE12" s="4"/>
      <c r="QUF12" s="4"/>
      <c r="QUG12" s="4"/>
      <c r="QUJ12" s="34"/>
      <c r="QUK12" s="34"/>
      <c r="QUM12" s="34"/>
      <c r="QUN12" s="72"/>
      <c r="QUO12" s="63"/>
      <c r="QUP12" s="34"/>
      <c r="QUQ12" s="64"/>
      <c r="QUR12" s="4"/>
      <c r="QUS12" s="65"/>
      <c r="QUT12" s="4"/>
      <c r="QUU12" s="4"/>
      <c r="QUV12" s="4"/>
      <c r="QUY12" s="34"/>
      <c r="QUZ12" s="34"/>
      <c r="QVB12" s="34"/>
      <c r="QVC12" s="72"/>
      <c r="QVD12" s="63"/>
      <c r="QVE12" s="34"/>
      <c r="QVF12" s="64"/>
      <c r="QVG12" s="4"/>
      <c r="QVH12" s="65"/>
      <c r="QVI12" s="4"/>
      <c r="QVJ12" s="4"/>
      <c r="QVK12" s="4"/>
      <c r="QVN12" s="34"/>
      <c r="QVO12" s="34"/>
      <c r="QVQ12" s="34"/>
      <c r="QVR12" s="72"/>
      <c r="QVS12" s="63"/>
      <c r="QVT12" s="34"/>
      <c r="QVU12" s="64"/>
      <c r="QVV12" s="4"/>
      <c r="QVW12" s="65"/>
      <c r="QVX12" s="4"/>
      <c r="QVY12" s="4"/>
      <c r="QVZ12" s="4"/>
      <c r="QWC12" s="34"/>
      <c r="QWD12" s="34"/>
      <c r="QWF12" s="34"/>
      <c r="QWG12" s="72"/>
      <c r="QWH12" s="63"/>
      <c r="QWI12" s="34"/>
      <c r="QWJ12" s="64"/>
      <c r="QWK12" s="4"/>
      <c r="QWL12" s="65"/>
      <c r="QWM12" s="4"/>
      <c r="QWN12" s="4"/>
      <c r="QWO12" s="4"/>
      <c r="QWR12" s="34"/>
      <c r="QWS12" s="34"/>
      <c r="QWU12" s="34"/>
      <c r="QWV12" s="72"/>
      <c r="QWW12" s="63"/>
      <c r="QWX12" s="34"/>
      <c r="QWY12" s="64"/>
      <c r="QWZ12" s="4"/>
      <c r="QXA12" s="65"/>
      <c r="QXB12" s="4"/>
      <c r="QXC12" s="4"/>
      <c r="QXD12" s="4"/>
      <c r="QXG12" s="34"/>
      <c r="QXH12" s="34"/>
      <c r="QXJ12" s="34"/>
      <c r="QXK12" s="72"/>
      <c r="QXL12" s="63"/>
      <c r="QXM12" s="34"/>
      <c r="QXN12" s="64"/>
      <c r="QXO12" s="4"/>
      <c r="QXP12" s="65"/>
      <c r="QXQ12" s="4"/>
      <c r="QXR12" s="4"/>
      <c r="QXS12" s="4"/>
      <c r="QXV12" s="34"/>
      <c r="QXW12" s="34"/>
      <c r="QXY12" s="34"/>
      <c r="QXZ12" s="72"/>
      <c r="QYA12" s="63"/>
      <c r="QYB12" s="34"/>
      <c r="QYC12" s="64"/>
      <c r="QYD12" s="4"/>
      <c r="QYE12" s="65"/>
      <c r="QYF12" s="4"/>
      <c r="QYG12" s="4"/>
      <c r="QYH12" s="4"/>
      <c r="QYK12" s="34"/>
      <c r="QYL12" s="34"/>
      <c r="QYN12" s="34"/>
      <c r="QYO12" s="72"/>
      <c r="QYP12" s="63"/>
      <c r="QYQ12" s="34"/>
      <c r="QYR12" s="64"/>
      <c r="QYS12" s="4"/>
      <c r="QYT12" s="65"/>
      <c r="QYU12" s="4"/>
      <c r="QYV12" s="4"/>
      <c r="QYW12" s="4"/>
      <c r="QYZ12" s="34"/>
      <c r="QZA12" s="34"/>
      <c r="QZC12" s="34"/>
      <c r="QZD12" s="72"/>
      <c r="QZE12" s="63"/>
      <c r="QZF12" s="34"/>
      <c r="QZG12" s="64"/>
      <c r="QZH12" s="4"/>
      <c r="QZI12" s="65"/>
      <c r="QZJ12" s="4"/>
      <c r="QZK12" s="4"/>
      <c r="QZL12" s="4"/>
      <c r="QZO12" s="34"/>
      <c r="QZP12" s="34"/>
      <c r="QZR12" s="34"/>
      <c r="QZS12" s="72"/>
      <c r="QZT12" s="63"/>
      <c r="QZU12" s="34"/>
      <c r="QZV12" s="64"/>
      <c r="QZW12" s="4"/>
      <c r="QZX12" s="65"/>
      <c r="QZY12" s="4"/>
      <c r="QZZ12" s="4"/>
      <c r="RAA12" s="4"/>
      <c r="RAD12" s="34"/>
      <c r="RAE12" s="34"/>
      <c r="RAG12" s="34"/>
      <c r="RAH12" s="72"/>
      <c r="RAI12" s="63"/>
      <c r="RAJ12" s="34"/>
      <c r="RAK12" s="64"/>
      <c r="RAL12" s="4"/>
      <c r="RAM12" s="65"/>
      <c r="RAN12" s="4"/>
      <c r="RAO12" s="4"/>
      <c r="RAP12" s="4"/>
      <c r="RAS12" s="34"/>
      <c r="RAT12" s="34"/>
      <c r="RAV12" s="34"/>
      <c r="RAW12" s="72"/>
      <c r="RAX12" s="63"/>
      <c r="RAY12" s="34"/>
      <c r="RAZ12" s="64"/>
      <c r="RBA12" s="4"/>
      <c r="RBB12" s="65"/>
      <c r="RBC12" s="4"/>
      <c r="RBD12" s="4"/>
      <c r="RBE12" s="4"/>
      <c r="RBH12" s="34"/>
      <c r="RBI12" s="34"/>
      <c r="RBK12" s="34"/>
      <c r="RBL12" s="72"/>
      <c r="RBM12" s="63"/>
      <c r="RBN12" s="34"/>
      <c r="RBO12" s="64"/>
      <c r="RBP12" s="4"/>
      <c r="RBQ12" s="65"/>
      <c r="RBR12" s="4"/>
      <c r="RBS12" s="4"/>
      <c r="RBT12" s="4"/>
      <c r="RBW12" s="34"/>
      <c r="RBX12" s="34"/>
      <c r="RBZ12" s="34"/>
      <c r="RCA12" s="72"/>
      <c r="RCB12" s="63"/>
      <c r="RCC12" s="34"/>
      <c r="RCD12" s="64"/>
      <c r="RCE12" s="4"/>
      <c r="RCF12" s="65"/>
      <c r="RCG12" s="4"/>
      <c r="RCH12" s="4"/>
      <c r="RCI12" s="4"/>
      <c r="RCL12" s="34"/>
      <c r="RCM12" s="34"/>
      <c r="RCO12" s="34"/>
      <c r="RCP12" s="72"/>
      <c r="RCQ12" s="63"/>
      <c r="RCR12" s="34"/>
      <c r="RCS12" s="64"/>
      <c r="RCT12" s="4"/>
      <c r="RCU12" s="65"/>
      <c r="RCV12" s="4"/>
      <c r="RCW12" s="4"/>
      <c r="RCX12" s="4"/>
      <c r="RDA12" s="34"/>
      <c r="RDB12" s="34"/>
      <c r="RDD12" s="34"/>
      <c r="RDE12" s="72"/>
      <c r="RDF12" s="63"/>
      <c r="RDG12" s="34"/>
      <c r="RDH12" s="64"/>
      <c r="RDI12" s="4"/>
      <c r="RDJ12" s="65"/>
      <c r="RDK12" s="4"/>
      <c r="RDL12" s="4"/>
      <c r="RDM12" s="4"/>
      <c r="RDP12" s="34"/>
      <c r="RDQ12" s="34"/>
      <c r="RDS12" s="34"/>
      <c r="RDT12" s="72"/>
      <c r="RDU12" s="63"/>
      <c r="RDV12" s="34"/>
      <c r="RDW12" s="64"/>
      <c r="RDX12" s="4"/>
      <c r="RDY12" s="65"/>
      <c r="RDZ12" s="4"/>
      <c r="REA12" s="4"/>
      <c r="REB12" s="4"/>
      <c r="REE12" s="34"/>
      <c r="REF12" s="34"/>
      <c r="REH12" s="34"/>
      <c r="REI12" s="72"/>
      <c r="REJ12" s="63"/>
      <c r="REK12" s="34"/>
      <c r="REL12" s="64"/>
      <c r="REM12" s="4"/>
      <c r="REN12" s="65"/>
      <c r="REO12" s="4"/>
      <c r="REP12" s="4"/>
      <c r="REQ12" s="4"/>
      <c r="RET12" s="34"/>
      <c r="REU12" s="34"/>
      <c r="REW12" s="34"/>
      <c r="REX12" s="72"/>
      <c r="REY12" s="63"/>
      <c r="REZ12" s="34"/>
      <c r="RFA12" s="64"/>
      <c r="RFB12" s="4"/>
      <c r="RFC12" s="65"/>
      <c r="RFD12" s="4"/>
      <c r="RFE12" s="4"/>
      <c r="RFF12" s="4"/>
      <c r="RFI12" s="34"/>
      <c r="RFJ12" s="34"/>
      <c r="RFL12" s="34"/>
      <c r="RFM12" s="72"/>
      <c r="RFN12" s="63"/>
      <c r="RFO12" s="34"/>
      <c r="RFP12" s="64"/>
      <c r="RFQ12" s="4"/>
      <c r="RFR12" s="65"/>
      <c r="RFS12" s="4"/>
      <c r="RFT12" s="4"/>
      <c r="RFU12" s="4"/>
      <c r="RFX12" s="34"/>
      <c r="RFY12" s="34"/>
      <c r="RGA12" s="34"/>
      <c r="RGB12" s="72"/>
      <c r="RGC12" s="63"/>
      <c r="RGD12" s="34"/>
      <c r="RGE12" s="64"/>
      <c r="RGF12" s="4"/>
      <c r="RGG12" s="65"/>
      <c r="RGH12" s="4"/>
      <c r="RGI12" s="4"/>
      <c r="RGJ12" s="4"/>
      <c r="RGM12" s="34"/>
      <c r="RGN12" s="34"/>
      <c r="RGP12" s="34"/>
      <c r="RGQ12" s="72"/>
      <c r="RGR12" s="63"/>
      <c r="RGS12" s="34"/>
      <c r="RGT12" s="64"/>
      <c r="RGU12" s="4"/>
      <c r="RGV12" s="65"/>
      <c r="RGW12" s="4"/>
      <c r="RGX12" s="4"/>
      <c r="RGY12" s="4"/>
      <c r="RHB12" s="34"/>
      <c r="RHC12" s="34"/>
      <c r="RHE12" s="34"/>
      <c r="RHF12" s="72"/>
      <c r="RHG12" s="63"/>
      <c r="RHH12" s="34"/>
      <c r="RHI12" s="64"/>
      <c r="RHJ12" s="4"/>
      <c r="RHK12" s="65"/>
      <c r="RHL12" s="4"/>
      <c r="RHM12" s="4"/>
      <c r="RHN12" s="4"/>
      <c r="RHQ12" s="34"/>
      <c r="RHR12" s="34"/>
      <c r="RHT12" s="34"/>
      <c r="RHU12" s="72"/>
      <c r="RHV12" s="63"/>
      <c r="RHW12" s="34"/>
      <c r="RHX12" s="64"/>
      <c r="RHY12" s="4"/>
      <c r="RHZ12" s="65"/>
      <c r="RIA12" s="4"/>
      <c r="RIB12" s="4"/>
      <c r="RIC12" s="4"/>
      <c r="RIF12" s="34"/>
      <c r="RIG12" s="34"/>
      <c r="RII12" s="34"/>
      <c r="RIJ12" s="72"/>
      <c r="RIK12" s="63"/>
      <c r="RIL12" s="34"/>
      <c r="RIM12" s="64"/>
      <c r="RIN12" s="4"/>
      <c r="RIO12" s="65"/>
      <c r="RIP12" s="4"/>
      <c r="RIQ12" s="4"/>
      <c r="RIR12" s="4"/>
      <c r="RIU12" s="34"/>
      <c r="RIV12" s="34"/>
      <c r="RIX12" s="34"/>
      <c r="RIY12" s="72"/>
      <c r="RIZ12" s="63"/>
      <c r="RJA12" s="34"/>
      <c r="RJB12" s="64"/>
      <c r="RJC12" s="4"/>
      <c r="RJD12" s="65"/>
      <c r="RJE12" s="4"/>
      <c r="RJF12" s="4"/>
      <c r="RJG12" s="4"/>
      <c r="RJJ12" s="34"/>
      <c r="RJK12" s="34"/>
      <c r="RJM12" s="34"/>
      <c r="RJN12" s="72"/>
      <c r="RJO12" s="63"/>
      <c r="RJP12" s="34"/>
      <c r="RJQ12" s="64"/>
      <c r="RJR12" s="4"/>
      <c r="RJS12" s="65"/>
      <c r="RJT12" s="4"/>
      <c r="RJU12" s="4"/>
      <c r="RJV12" s="4"/>
      <c r="RJY12" s="34"/>
      <c r="RJZ12" s="34"/>
      <c r="RKB12" s="34"/>
      <c r="RKC12" s="72"/>
      <c r="RKD12" s="63"/>
      <c r="RKE12" s="34"/>
      <c r="RKF12" s="64"/>
      <c r="RKG12" s="4"/>
      <c r="RKH12" s="65"/>
      <c r="RKI12" s="4"/>
      <c r="RKJ12" s="4"/>
      <c r="RKK12" s="4"/>
      <c r="RKN12" s="34"/>
      <c r="RKO12" s="34"/>
      <c r="RKQ12" s="34"/>
      <c r="RKR12" s="72"/>
      <c r="RKS12" s="63"/>
      <c r="RKT12" s="34"/>
      <c r="RKU12" s="64"/>
      <c r="RKV12" s="4"/>
      <c r="RKW12" s="65"/>
      <c r="RKX12" s="4"/>
      <c r="RKY12" s="4"/>
      <c r="RKZ12" s="4"/>
      <c r="RLC12" s="34"/>
      <c r="RLD12" s="34"/>
      <c r="RLF12" s="34"/>
      <c r="RLG12" s="72"/>
      <c r="RLH12" s="63"/>
      <c r="RLI12" s="34"/>
      <c r="RLJ12" s="64"/>
      <c r="RLK12" s="4"/>
      <c r="RLL12" s="65"/>
      <c r="RLM12" s="4"/>
      <c r="RLN12" s="4"/>
      <c r="RLO12" s="4"/>
      <c r="RLR12" s="34"/>
      <c r="RLS12" s="34"/>
      <c r="RLU12" s="34"/>
      <c r="RLV12" s="72"/>
      <c r="RLW12" s="63"/>
      <c r="RLX12" s="34"/>
      <c r="RLY12" s="64"/>
      <c r="RLZ12" s="4"/>
      <c r="RMA12" s="65"/>
      <c r="RMB12" s="4"/>
      <c r="RMC12" s="4"/>
      <c r="RMD12" s="4"/>
      <c r="RMG12" s="34"/>
      <c r="RMH12" s="34"/>
      <c r="RMJ12" s="34"/>
      <c r="RMK12" s="72"/>
      <c r="RML12" s="63"/>
      <c r="RMM12" s="34"/>
      <c r="RMN12" s="64"/>
      <c r="RMO12" s="4"/>
      <c r="RMP12" s="65"/>
      <c r="RMQ12" s="4"/>
      <c r="RMR12" s="4"/>
      <c r="RMS12" s="4"/>
      <c r="RMV12" s="34"/>
      <c r="RMW12" s="34"/>
      <c r="RMY12" s="34"/>
      <c r="RMZ12" s="72"/>
      <c r="RNA12" s="63"/>
      <c r="RNB12" s="34"/>
      <c r="RNC12" s="64"/>
      <c r="RND12" s="4"/>
      <c r="RNE12" s="65"/>
      <c r="RNF12" s="4"/>
      <c r="RNG12" s="4"/>
      <c r="RNH12" s="4"/>
      <c r="RNK12" s="34"/>
      <c r="RNL12" s="34"/>
      <c r="RNN12" s="34"/>
      <c r="RNO12" s="72"/>
      <c r="RNP12" s="63"/>
      <c r="RNQ12" s="34"/>
      <c r="RNR12" s="64"/>
      <c r="RNS12" s="4"/>
      <c r="RNT12" s="65"/>
      <c r="RNU12" s="4"/>
      <c r="RNV12" s="4"/>
      <c r="RNW12" s="4"/>
      <c r="RNZ12" s="34"/>
      <c r="ROA12" s="34"/>
      <c r="ROC12" s="34"/>
      <c r="ROD12" s="72"/>
      <c r="ROE12" s="63"/>
      <c r="ROF12" s="34"/>
      <c r="ROG12" s="64"/>
      <c r="ROH12" s="4"/>
      <c r="ROI12" s="65"/>
      <c r="ROJ12" s="4"/>
      <c r="ROK12" s="4"/>
      <c r="ROL12" s="4"/>
      <c r="ROO12" s="34"/>
      <c r="ROP12" s="34"/>
      <c r="ROR12" s="34"/>
      <c r="ROS12" s="72"/>
      <c r="ROT12" s="63"/>
      <c r="ROU12" s="34"/>
      <c r="ROV12" s="64"/>
      <c r="ROW12" s="4"/>
      <c r="ROX12" s="65"/>
      <c r="ROY12" s="4"/>
      <c r="ROZ12" s="4"/>
      <c r="RPA12" s="4"/>
      <c r="RPD12" s="34"/>
      <c r="RPE12" s="34"/>
      <c r="RPG12" s="34"/>
      <c r="RPH12" s="72"/>
      <c r="RPI12" s="63"/>
      <c r="RPJ12" s="34"/>
      <c r="RPK12" s="64"/>
      <c r="RPL12" s="4"/>
      <c r="RPM12" s="65"/>
      <c r="RPN12" s="4"/>
      <c r="RPO12" s="4"/>
      <c r="RPP12" s="4"/>
      <c r="RPS12" s="34"/>
      <c r="RPT12" s="34"/>
      <c r="RPV12" s="34"/>
      <c r="RPW12" s="72"/>
      <c r="RPX12" s="63"/>
      <c r="RPY12" s="34"/>
      <c r="RPZ12" s="64"/>
      <c r="RQA12" s="4"/>
      <c r="RQB12" s="65"/>
      <c r="RQC12" s="4"/>
      <c r="RQD12" s="4"/>
      <c r="RQE12" s="4"/>
      <c r="RQH12" s="34"/>
      <c r="RQI12" s="34"/>
      <c r="RQK12" s="34"/>
      <c r="RQL12" s="72"/>
      <c r="RQM12" s="63"/>
      <c r="RQN12" s="34"/>
      <c r="RQO12" s="64"/>
      <c r="RQP12" s="4"/>
      <c r="RQQ12" s="65"/>
      <c r="RQR12" s="4"/>
      <c r="RQS12" s="4"/>
      <c r="RQT12" s="4"/>
      <c r="RQW12" s="34"/>
      <c r="RQX12" s="34"/>
      <c r="RQZ12" s="34"/>
      <c r="RRA12" s="72"/>
      <c r="RRB12" s="63"/>
      <c r="RRC12" s="34"/>
      <c r="RRD12" s="64"/>
      <c r="RRE12" s="4"/>
      <c r="RRF12" s="65"/>
      <c r="RRG12" s="4"/>
      <c r="RRH12" s="4"/>
      <c r="RRI12" s="4"/>
      <c r="RRL12" s="34"/>
      <c r="RRM12" s="34"/>
      <c r="RRO12" s="34"/>
      <c r="RRP12" s="72"/>
      <c r="RRQ12" s="63"/>
      <c r="RRR12" s="34"/>
      <c r="RRS12" s="64"/>
      <c r="RRT12" s="4"/>
      <c r="RRU12" s="65"/>
      <c r="RRV12" s="4"/>
      <c r="RRW12" s="4"/>
      <c r="RRX12" s="4"/>
      <c r="RSA12" s="34"/>
      <c r="RSB12" s="34"/>
      <c r="RSD12" s="34"/>
      <c r="RSE12" s="72"/>
      <c r="RSF12" s="63"/>
      <c r="RSG12" s="34"/>
      <c r="RSH12" s="64"/>
      <c r="RSI12" s="4"/>
      <c r="RSJ12" s="65"/>
      <c r="RSK12" s="4"/>
      <c r="RSL12" s="4"/>
      <c r="RSM12" s="4"/>
      <c r="RSP12" s="34"/>
      <c r="RSQ12" s="34"/>
      <c r="RSS12" s="34"/>
      <c r="RST12" s="72"/>
      <c r="RSU12" s="63"/>
      <c r="RSV12" s="34"/>
      <c r="RSW12" s="64"/>
      <c r="RSX12" s="4"/>
      <c r="RSY12" s="65"/>
      <c r="RSZ12" s="4"/>
      <c r="RTA12" s="4"/>
      <c r="RTB12" s="4"/>
      <c r="RTE12" s="34"/>
      <c r="RTF12" s="34"/>
      <c r="RTH12" s="34"/>
      <c r="RTI12" s="72"/>
      <c r="RTJ12" s="63"/>
      <c r="RTK12" s="34"/>
      <c r="RTL12" s="64"/>
      <c r="RTM12" s="4"/>
      <c r="RTN12" s="65"/>
      <c r="RTO12" s="4"/>
      <c r="RTP12" s="4"/>
      <c r="RTQ12" s="4"/>
      <c r="RTT12" s="34"/>
      <c r="RTU12" s="34"/>
      <c r="RTW12" s="34"/>
      <c r="RTX12" s="72"/>
      <c r="RTY12" s="63"/>
      <c r="RTZ12" s="34"/>
      <c r="RUA12" s="64"/>
      <c r="RUB12" s="4"/>
      <c r="RUC12" s="65"/>
      <c r="RUD12" s="4"/>
      <c r="RUE12" s="4"/>
      <c r="RUF12" s="4"/>
      <c r="RUI12" s="34"/>
      <c r="RUJ12" s="34"/>
      <c r="RUL12" s="34"/>
      <c r="RUM12" s="72"/>
      <c r="RUN12" s="63"/>
      <c r="RUO12" s="34"/>
      <c r="RUP12" s="64"/>
      <c r="RUQ12" s="4"/>
      <c r="RUR12" s="65"/>
      <c r="RUS12" s="4"/>
      <c r="RUT12" s="4"/>
      <c r="RUU12" s="4"/>
      <c r="RUX12" s="34"/>
      <c r="RUY12" s="34"/>
      <c r="RVA12" s="34"/>
      <c r="RVB12" s="72"/>
      <c r="RVC12" s="63"/>
      <c r="RVD12" s="34"/>
      <c r="RVE12" s="64"/>
      <c r="RVF12" s="4"/>
      <c r="RVG12" s="65"/>
      <c r="RVH12" s="4"/>
      <c r="RVI12" s="4"/>
      <c r="RVJ12" s="4"/>
      <c r="RVM12" s="34"/>
      <c r="RVN12" s="34"/>
      <c r="RVP12" s="34"/>
      <c r="RVQ12" s="72"/>
      <c r="RVR12" s="63"/>
      <c r="RVS12" s="34"/>
      <c r="RVT12" s="64"/>
      <c r="RVU12" s="4"/>
      <c r="RVV12" s="65"/>
      <c r="RVW12" s="4"/>
      <c r="RVX12" s="4"/>
      <c r="RVY12" s="4"/>
      <c r="RWB12" s="34"/>
      <c r="RWC12" s="34"/>
      <c r="RWE12" s="34"/>
      <c r="RWF12" s="72"/>
      <c r="RWG12" s="63"/>
      <c r="RWH12" s="34"/>
      <c r="RWI12" s="64"/>
      <c r="RWJ12" s="4"/>
      <c r="RWK12" s="65"/>
      <c r="RWL12" s="4"/>
      <c r="RWM12" s="4"/>
      <c r="RWN12" s="4"/>
      <c r="RWQ12" s="34"/>
      <c r="RWR12" s="34"/>
      <c r="RWT12" s="34"/>
      <c r="RWU12" s="72"/>
      <c r="RWV12" s="63"/>
      <c r="RWW12" s="34"/>
      <c r="RWX12" s="64"/>
      <c r="RWY12" s="4"/>
      <c r="RWZ12" s="65"/>
      <c r="RXA12" s="4"/>
      <c r="RXB12" s="4"/>
      <c r="RXC12" s="4"/>
      <c r="RXF12" s="34"/>
      <c r="RXG12" s="34"/>
      <c r="RXI12" s="34"/>
      <c r="RXJ12" s="72"/>
      <c r="RXK12" s="63"/>
      <c r="RXL12" s="34"/>
      <c r="RXM12" s="64"/>
      <c r="RXN12" s="4"/>
      <c r="RXO12" s="65"/>
      <c r="RXP12" s="4"/>
      <c r="RXQ12" s="4"/>
      <c r="RXR12" s="4"/>
      <c r="RXU12" s="34"/>
      <c r="RXV12" s="34"/>
      <c r="RXX12" s="34"/>
      <c r="RXY12" s="72"/>
      <c r="RXZ12" s="63"/>
      <c r="RYA12" s="34"/>
      <c r="RYB12" s="64"/>
      <c r="RYC12" s="4"/>
      <c r="RYD12" s="65"/>
      <c r="RYE12" s="4"/>
      <c r="RYF12" s="4"/>
      <c r="RYG12" s="4"/>
      <c r="RYJ12" s="34"/>
      <c r="RYK12" s="34"/>
      <c r="RYM12" s="34"/>
      <c r="RYN12" s="72"/>
      <c r="RYO12" s="63"/>
      <c r="RYP12" s="34"/>
      <c r="RYQ12" s="64"/>
      <c r="RYR12" s="4"/>
      <c r="RYS12" s="65"/>
      <c r="RYT12" s="4"/>
      <c r="RYU12" s="4"/>
      <c r="RYV12" s="4"/>
      <c r="RYY12" s="34"/>
      <c r="RYZ12" s="34"/>
      <c r="RZB12" s="34"/>
      <c r="RZC12" s="72"/>
      <c r="RZD12" s="63"/>
      <c r="RZE12" s="34"/>
      <c r="RZF12" s="64"/>
      <c r="RZG12" s="4"/>
      <c r="RZH12" s="65"/>
      <c r="RZI12" s="4"/>
      <c r="RZJ12" s="4"/>
      <c r="RZK12" s="4"/>
      <c r="RZN12" s="34"/>
      <c r="RZO12" s="34"/>
      <c r="RZQ12" s="34"/>
      <c r="RZR12" s="72"/>
      <c r="RZS12" s="63"/>
      <c r="RZT12" s="34"/>
      <c r="RZU12" s="64"/>
      <c r="RZV12" s="4"/>
      <c r="RZW12" s="65"/>
      <c r="RZX12" s="4"/>
      <c r="RZY12" s="4"/>
      <c r="RZZ12" s="4"/>
      <c r="SAC12" s="34"/>
      <c r="SAD12" s="34"/>
      <c r="SAF12" s="34"/>
      <c r="SAG12" s="72"/>
      <c r="SAH12" s="63"/>
      <c r="SAI12" s="34"/>
      <c r="SAJ12" s="64"/>
      <c r="SAK12" s="4"/>
      <c r="SAL12" s="65"/>
      <c r="SAM12" s="4"/>
      <c r="SAN12" s="4"/>
      <c r="SAO12" s="4"/>
      <c r="SAR12" s="34"/>
      <c r="SAS12" s="34"/>
      <c r="SAU12" s="34"/>
      <c r="SAV12" s="72"/>
      <c r="SAW12" s="63"/>
      <c r="SAX12" s="34"/>
      <c r="SAY12" s="64"/>
      <c r="SAZ12" s="4"/>
      <c r="SBA12" s="65"/>
      <c r="SBB12" s="4"/>
      <c r="SBC12" s="4"/>
      <c r="SBD12" s="4"/>
      <c r="SBG12" s="34"/>
      <c r="SBH12" s="34"/>
      <c r="SBJ12" s="34"/>
      <c r="SBK12" s="72"/>
      <c r="SBL12" s="63"/>
      <c r="SBM12" s="34"/>
      <c r="SBN12" s="64"/>
      <c r="SBO12" s="4"/>
      <c r="SBP12" s="65"/>
      <c r="SBQ12" s="4"/>
      <c r="SBR12" s="4"/>
      <c r="SBS12" s="4"/>
      <c r="SBV12" s="34"/>
      <c r="SBW12" s="34"/>
      <c r="SBY12" s="34"/>
      <c r="SBZ12" s="72"/>
      <c r="SCA12" s="63"/>
      <c r="SCB12" s="34"/>
      <c r="SCC12" s="64"/>
      <c r="SCD12" s="4"/>
      <c r="SCE12" s="65"/>
      <c r="SCF12" s="4"/>
      <c r="SCG12" s="4"/>
      <c r="SCH12" s="4"/>
      <c r="SCK12" s="34"/>
      <c r="SCL12" s="34"/>
      <c r="SCN12" s="34"/>
      <c r="SCO12" s="72"/>
      <c r="SCP12" s="63"/>
      <c r="SCQ12" s="34"/>
      <c r="SCR12" s="64"/>
      <c r="SCS12" s="4"/>
      <c r="SCT12" s="65"/>
      <c r="SCU12" s="4"/>
      <c r="SCV12" s="4"/>
      <c r="SCW12" s="4"/>
      <c r="SCZ12" s="34"/>
      <c r="SDA12" s="34"/>
      <c r="SDC12" s="34"/>
      <c r="SDD12" s="72"/>
      <c r="SDE12" s="63"/>
      <c r="SDF12" s="34"/>
      <c r="SDG12" s="64"/>
      <c r="SDH12" s="4"/>
      <c r="SDI12" s="65"/>
      <c r="SDJ12" s="4"/>
      <c r="SDK12" s="4"/>
      <c r="SDL12" s="4"/>
      <c r="SDO12" s="34"/>
      <c r="SDP12" s="34"/>
      <c r="SDR12" s="34"/>
      <c r="SDS12" s="72"/>
      <c r="SDT12" s="63"/>
      <c r="SDU12" s="34"/>
      <c r="SDV12" s="64"/>
      <c r="SDW12" s="4"/>
      <c r="SDX12" s="65"/>
      <c r="SDY12" s="4"/>
      <c r="SDZ12" s="4"/>
      <c r="SEA12" s="4"/>
      <c r="SED12" s="34"/>
      <c r="SEE12" s="34"/>
      <c r="SEG12" s="34"/>
      <c r="SEH12" s="72"/>
      <c r="SEI12" s="63"/>
      <c r="SEJ12" s="34"/>
      <c r="SEK12" s="64"/>
      <c r="SEL12" s="4"/>
      <c r="SEM12" s="65"/>
      <c r="SEN12" s="4"/>
      <c r="SEO12" s="4"/>
      <c r="SEP12" s="4"/>
      <c r="SES12" s="34"/>
      <c r="SET12" s="34"/>
      <c r="SEV12" s="34"/>
      <c r="SEW12" s="72"/>
      <c r="SEX12" s="63"/>
      <c r="SEY12" s="34"/>
      <c r="SEZ12" s="64"/>
      <c r="SFA12" s="4"/>
      <c r="SFB12" s="65"/>
      <c r="SFC12" s="4"/>
      <c r="SFD12" s="4"/>
      <c r="SFE12" s="4"/>
      <c r="SFH12" s="34"/>
      <c r="SFI12" s="34"/>
      <c r="SFK12" s="34"/>
      <c r="SFL12" s="72"/>
      <c r="SFM12" s="63"/>
      <c r="SFN12" s="34"/>
      <c r="SFO12" s="64"/>
      <c r="SFP12" s="4"/>
      <c r="SFQ12" s="65"/>
      <c r="SFR12" s="4"/>
      <c r="SFS12" s="4"/>
      <c r="SFT12" s="4"/>
      <c r="SFW12" s="34"/>
      <c r="SFX12" s="34"/>
      <c r="SFZ12" s="34"/>
      <c r="SGA12" s="72"/>
      <c r="SGB12" s="63"/>
      <c r="SGC12" s="34"/>
      <c r="SGD12" s="64"/>
      <c r="SGE12" s="4"/>
      <c r="SGF12" s="65"/>
      <c r="SGG12" s="4"/>
      <c r="SGH12" s="4"/>
      <c r="SGI12" s="4"/>
      <c r="SGL12" s="34"/>
      <c r="SGM12" s="34"/>
      <c r="SGO12" s="34"/>
      <c r="SGP12" s="72"/>
      <c r="SGQ12" s="63"/>
      <c r="SGR12" s="34"/>
      <c r="SGS12" s="64"/>
      <c r="SGT12" s="4"/>
      <c r="SGU12" s="65"/>
      <c r="SGV12" s="4"/>
      <c r="SGW12" s="4"/>
      <c r="SGX12" s="4"/>
      <c r="SHA12" s="34"/>
      <c r="SHB12" s="34"/>
      <c r="SHD12" s="34"/>
      <c r="SHE12" s="72"/>
      <c r="SHF12" s="63"/>
      <c r="SHG12" s="34"/>
      <c r="SHH12" s="64"/>
      <c r="SHI12" s="4"/>
      <c r="SHJ12" s="65"/>
      <c r="SHK12" s="4"/>
      <c r="SHL12" s="4"/>
      <c r="SHM12" s="4"/>
      <c r="SHP12" s="34"/>
      <c r="SHQ12" s="34"/>
      <c r="SHS12" s="34"/>
      <c r="SHT12" s="72"/>
      <c r="SHU12" s="63"/>
      <c r="SHV12" s="34"/>
      <c r="SHW12" s="64"/>
      <c r="SHX12" s="4"/>
      <c r="SHY12" s="65"/>
      <c r="SHZ12" s="4"/>
      <c r="SIA12" s="4"/>
      <c r="SIB12" s="4"/>
      <c r="SIE12" s="34"/>
      <c r="SIF12" s="34"/>
      <c r="SIH12" s="34"/>
      <c r="SII12" s="72"/>
      <c r="SIJ12" s="63"/>
      <c r="SIK12" s="34"/>
      <c r="SIL12" s="64"/>
      <c r="SIM12" s="4"/>
      <c r="SIN12" s="65"/>
      <c r="SIO12" s="4"/>
      <c r="SIP12" s="4"/>
      <c r="SIQ12" s="4"/>
      <c r="SIT12" s="34"/>
      <c r="SIU12" s="34"/>
      <c r="SIW12" s="34"/>
      <c r="SIX12" s="72"/>
      <c r="SIY12" s="63"/>
      <c r="SIZ12" s="34"/>
      <c r="SJA12" s="64"/>
      <c r="SJB12" s="4"/>
      <c r="SJC12" s="65"/>
      <c r="SJD12" s="4"/>
      <c r="SJE12" s="4"/>
      <c r="SJF12" s="4"/>
      <c r="SJI12" s="34"/>
      <c r="SJJ12" s="34"/>
      <c r="SJL12" s="34"/>
      <c r="SJM12" s="72"/>
      <c r="SJN12" s="63"/>
      <c r="SJO12" s="34"/>
      <c r="SJP12" s="64"/>
      <c r="SJQ12" s="4"/>
      <c r="SJR12" s="65"/>
      <c r="SJS12" s="4"/>
      <c r="SJT12" s="4"/>
      <c r="SJU12" s="4"/>
      <c r="SJX12" s="34"/>
      <c r="SJY12" s="34"/>
      <c r="SKA12" s="34"/>
      <c r="SKB12" s="72"/>
      <c r="SKC12" s="63"/>
      <c r="SKD12" s="34"/>
      <c r="SKE12" s="64"/>
      <c r="SKF12" s="4"/>
      <c r="SKG12" s="65"/>
      <c r="SKH12" s="4"/>
      <c r="SKI12" s="4"/>
      <c r="SKJ12" s="4"/>
      <c r="SKM12" s="34"/>
      <c r="SKN12" s="34"/>
      <c r="SKP12" s="34"/>
      <c r="SKQ12" s="72"/>
      <c r="SKR12" s="63"/>
      <c r="SKS12" s="34"/>
      <c r="SKT12" s="64"/>
      <c r="SKU12" s="4"/>
      <c r="SKV12" s="65"/>
      <c r="SKW12" s="4"/>
      <c r="SKX12" s="4"/>
      <c r="SKY12" s="4"/>
      <c r="SLB12" s="34"/>
      <c r="SLC12" s="34"/>
      <c r="SLE12" s="34"/>
      <c r="SLF12" s="72"/>
      <c r="SLG12" s="63"/>
      <c r="SLH12" s="34"/>
      <c r="SLI12" s="64"/>
      <c r="SLJ12" s="4"/>
      <c r="SLK12" s="65"/>
      <c r="SLL12" s="4"/>
      <c r="SLM12" s="4"/>
      <c r="SLN12" s="4"/>
      <c r="SLQ12" s="34"/>
      <c r="SLR12" s="34"/>
      <c r="SLT12" s="34"/>
      <c r="SLU12" s="72"/>
      <c r="SLV12" s="63"/>
      <c r="SLW12" s="34"/>
      <c r="SLX12" s="64"/>
      <c r="SLY12" s="4"/>
      <c r="SLZ12" s="65"/>
      <c r="SMA12" s="4"/>
      <c r="SMB12" s="4"/>
      <c r="SMC12" s="4"/>
      <c r="SMF12" s="34"/>
      <c r="SMG12" s="34"/>
      <c r="SMI12" s="34"/>
      <c r="SMJ12" s="72"/>
      <c r="SMK12" s="63"/>
      <c r="SML12" s="34"/>
      <c r="SMM12" s="64"/>
      <c r="SMN12" s="4"/>
      <c r="SMO12" s="65"/>
      <c r="SMP12" s="4"/>
      <c r="SMQ12" s="4"/>
      <c r="SMR12" s="4"/>
      <c r="SMU12" s="34"/>
      <c r="SMV12" s="34"/>
      <c r="SMX12" s="34"/>
      <c r="SMY12" s="72"/>
      <c r="SMZ12" s="63"/>
      <c r="SNA12" s="34"/>
      <c r="SNB12" s="64"/>
      <c r="SNC12" s="4"/>
      <c r="SND12" s="65"/>
      <c r="SNE12" s="4"/>
      <c r="SNF12" s="4"/>
      <c r="SNG12" s="4"/>
      <c r="SNJ12" s="34"/>
      <c r="SNK12" s="34"/>
      <c r="SNM12" s="34"/>
      <c r="SNN12" s="72"/>
      <c r="SNO12" s="63"/>
      <c r="SNP12" s="34"/>
      <c r="SNQ12" s="64"/>
      <c r="SNR12" s="4"/>
      <c r="SNS12" s="65"/>
      <c r="SNT12" s="4"/>
      <c r="SNU12" s="4"/>
      <c r="SNV12" s="4"/>
      <c r="SNY12" s="34"/>
      <c r="SNZ12" s="34"/>
      <c r="SOB12" s="34"/>
      <c r="SOC12" s="72"/>
      <c r="SOD12" s="63"/>
      <c r="SOE12" s="34"/>
      <c r="SOF12" s="64"/>
      <c r="SOG12" s="4"/>
      <c r="SOH12" s="65"/>
      <c r="SOI12" s="4"/>
      <c r="SOJ12" s="4"/>
      <c r="SOK12" s="4"/>
      <c r="SON12" s="34"/>
      <c r="SOO12" s="34"/>
      <c r="SOQ12" s="34"/>
      <c r="SOR12" s="72"/>
      <c r="SOS12" s="63"/>
      <c r="SOT12" s="34"/>
      <c r="SOU12" s="64"/>
      <c r="SOV12" s="4"/>
      <c r="SOW12" s="65"/>
      <c r="SOX12" s="4"/>
      <c r="SOY12" s="4"/>
      <c r="SOZ12" s="4"/>
      <c r="SPC12" s="34"/>
      <c r="SPD12" s="34"/>
      <c r="SPF12" s="34"/>
      <c r="SPG12" s="72"/>
      <c r="SPH12" s="63"/>
      <c r="SPI12" s="34"/>
      <c r="SPJ12" s="64"/>
      <c r="SPK12" s="4"/>
      <c r="SPL12" s="65"/>
      <c r="SPM12" s="4"/>
      <c r="SPN12" s="4"/>
      <c r="SPO12" s="4"/>
      <c r="SPR12" s="34"/>
      <c r="SPS12" s="34"/>
      <c r="SPU12" s="34"/>
      <c r="SPV12" s="72"/>
      <c r="SPW12" s="63"/>
      <c r="SPX12" s="34"/>
      <c r="SPY12" s="64"/>
      <c r="SPZ12" s="4"/>
      <c r="SQA12" s="65"/>
      <c r="SQB12" s="4"/>
      <c r="SQC12" s="4"/>
      <c r="SQD12" s="4"/>
      <c r="SQG12" s="34"/>
      <c r="SQH12" s="34"/>
      <c r="SQJ12" s="34"/>
      <c r="SQK12" s="72"/>
      <c r="SQL12" s="63"/>
      <c r="SQM12" s="34"/>
      <c r="SQN12" s="64"/>
      <c r="SQO12" s="4"/>
      <c r="SQP12" s="65"/>
      <c r="SQQ12" s="4"/>
      <c r="SQR12" s="4"/>
      <c r="SQS12" s="4"/>
      <c r="SQV12" s="34"/>
      <c r="SQW12" s="34"/>
      <c r="SQY12" s="34"/>
      <c r="SQZ12" s="72"/>
      <c r="SRA12" s="63"/>
      <c r="SRB12" s="34"/>
      <c r="SRC12" s="64"/>
      <c r="SRD12" s="4"/>
      <c r="SRE12" s="65"/>
      <c r="SRF12" s="4"/>
      <c r="SRG12" s="4"/>
      <c r="SRH12" s="4"/>
      <c r="SRK12" s="34"/>
      <c r="SRL12" s="34"/>
      <c r="SRN12" s="34"/>
      <c r="SRO12" s="72"/>
      <c r="SRP12" s="63"/>
      <c r="SRQ12" s="34"/>
      <c r="SRR12" s="64"/>
      <c r="SRS12" s="4"/>
      <c r="SRT12" s="65"/>
      <c r="SRU12" s="4"/>
      <c r="SRV12" s="4"/>
      <c r="SRW12" s="4"/>
      <c r="SRZ12" s="34"/>
      <c r="SSA12" s="34"/>
      <c r="SSC12" s="34"/>
      <c r="SSD12" s="72"/>
      <c r="SSE12" s="63"/>
      <c r="SSF12" s="34"/>
      <c r="SSG12" s="64"/>
      <c r="SSH12" s="4"/>
      <c r="SSI12" s="65"/>
      <c r="SSJ12" s="4"/>
      <c r="SSK12" s="4"/>
      <c r="SSL12" s="4"/>
      <c r="SSO12" s="34"/>
      <c r="SSP12" s="34"/>
      <c r="SSR12" s="34"/>
      <c r="SSS12" s="72"/>
      <c r="SST12" s="63"/>
      <c r="SSU12" s="34"/>
      <c r="SSV12" s="64"/>
      <c r="SSW12" s="4"/>
      <c r="SSX12" s="65"/>
      <c r="SSY12" s="4"/>
      <c r="SSZ12" s="4"/>
      <c r="STA12" s="4"/>
      <c r="STD12" s="34"/>
      <c r="STE12" s="34"/>
      <c r="STG12" s="34"/>
      <c r="STH12" s="72"/>
      <c r="STI12" s="63"/>
      <c r="STJ12" s="34"/>
      <c r="STK12" s="64"/>
      <c r="STL12" s="4"/>
      <c r="STM12" s="65"/>
      <c r="STN12" s="4"/>
      <c r="STO12" s="4"/>
      <c r="STP12" s="4"/>
      <c r="STS12" s="34"/>
      <c r="STT12" s="34"/>
      <c r="STV12" s="34"/>
      <c r="STW12" s="72"/>
      <c r="STX12" s="63"/>
      <c r="STY12" s="34"/>
      <c r="STZ12" s="64"/>
      <c r="SUA12" s="4"/>
      <c r="SUB12" s="65"/>
      <c r="SUC12" s="4"/>
      <c r="SUD12" s="4"/>
      <c r="SUE12" s="4"/>
      <c r="SUH12" s="34"/>
      <c r="SUI12" s="34"/>
      <c r="SUK12" s="34"/>
      <c r="SUL12" s="72"/>
      <c r="SUM12" s="63"/>
      <c r="SUN12" s="34"/>
      <c r="SUO12" s="64"/>
      <c r="SUP12" s="4"/>
      <c r="SUQ12" s="65"/>
      <c r="SUR12" s="4"/>
      <c r="SUS12" s="4"/>
      <c r="SUT12" s="4"/>
      <c r="SUW12" s="34"/>
      <c r="SUX12" s="34"/>
      <c r="SUZ12" s="34"/>
      <c r="SVA12" s="72"/>
      <c r="SVB12" s="63"/>
      <c r="SVC12" s="34"/>
      <c r="SVD12" s="64"/>
      <c r="SVE12" s="4"/>
      <c r="SVF12" s="65"/>
      <c r="SVG12" s="4"/>
      <c r="SVH12" s="4"/>
      <c r="SVI12" s="4"/>
      <c r="SVL12" s="34"/>
      <c r="SVM12" s="34"/>
      <c r="SVO12" s="34"/>
      <c r="SVP12" s="72"/>
      <c r="SVQ12" s="63"/>
      <c r="SVR12" s="34"/>
      <c r="SVS12" s="64"/>
      <c r="SVT12" s="4"/>
      <c r="SVU12" s="65"/>
      <c r="SVV12" s="4"/>
      <c r="SVW12" s="4"/>
      <c r="SVX12" s="4"/>
      <c r="SWA12" s="34"/>
      <c r="SWB12" s="34"/>
      <c r="SWD12" s="34"/>
      <c r="SWE12" s="72"/>
      <c r="SWF12" s="63"/>
      <c r="SWG12" s="34"/>
      <c r="SWH12" s="64"/>
      <c r="SWI12" s="4"/>
      <c r="SWJ12" s="65"/>
      <c r="SWK12" s="4"/>
      <c r="SWL12" s="4"/>
      <c r="SWM12" s="4"/>
      <c r="SWP12" s="34"/>
      <c r="SWQ12" s="34"/>
      <c r="SWS12" s="34"/>
      <c r="SWT12" s="72"/>
      <c r="SWU12" s="63"/>
      <c r="SWV12" s="34"/>
      <c r="SWW12" s="64"/>
      <c r="SWX12" s="4"/>
      <c r="SWY12" s="65"/>
      <c r="SWZ12" s="4"/>
      <c r="SXA12" s="4"/>
      <c r="SXB12" s="4"/>
      <c r="SXE12" s="34"/>
      <c r="SXF12" s="34"/>
      <c r="SXH12" s="34"/>
      <c r="SXI12" s="72"/>
      <c r="SXJ12" s="63"/>
      <c r="SXK12" s="34"/>
      <c r="SXL12" s="64"/>
      <c r="SXM12" s="4"/>
      <c r="SXN12" s="65"/>
      <c r="SXO12" s="4"/>
      <c r="SXP12" s="4"/>
      <c r="SXQ12" s="4"/>
      <c r="SXT12" s="34"/>
      <c r="SXU12" s="34"/>
      <c r="SXW12" s="34"/>
      <c r="SXX12" s="72"/>
      <c r="SXY12" s="63"/>
      <c r="SXZ12" s="34"/>
      <c r="SYA12" s="64"/>
      <c r="SYB12" s="4"/>
      <c r="SYC12" s="65"/>
      <c r="SYD12" s="4"/>
      <c r="SYE12" s="4"/>
      <c r="SYF12" s="4"/>
      <c r="SYI12" s="34"/>
      <c r="SYJ12" s="34"/>
      <c r="SYL12" s="34"/>
      <c r="SYM12" s="72"/>
      <c r="SYN12" s="63"/>
      <c r="SYO12" s="34"/>
      <c r="SYP12" s="64"/>
      <c r="SYQ12" s="4"/>
      <c r="SYR12" s="65"/>
      <c r="SYS12" s="4"/>
      <c r="SYT12" s="4"/>
      <c r="SYU12" s="4"/>
      <c r="SYX12" s="34"/>
      <c r="SYY12" s="34"/>
      <c r="SZA12" s="34"/>
      <c r="SZB12" s="72"/>
      <c r="SZC12" s="63"/>
      <c r="SZD12" s="34"/>
      <c r="SZE12" s="64"/>
      <c r="SZF12" s="4"/>
      <c r="SZG12" s="65"/>
      <c r="SZH12" s="4"/>
      <c r="SZI12" s="4"/>
      <c r="SZJ12" s="4"/>
      <c r="SZM12" s="34"/>
      <c r="SZN12" s="34"/>
      <c r="SZP12" s="34"/>
      <c r="SZQ12" s="72"/>
      <c r="SZR12" s="63"/>
      <c r="SZS12" s="34"/>
      <c r="SZT12" s="64"/>
      <c r="SZU12" s="4"/>
      <c r="SZV12" s="65"/>
      <c r="SZW12" s="4"/>
      <c r="SZX12" s="4"/>
      <c r="SZY12" s="4"/>
      <c r="TAB12" s="34"/>
      <c r="TAC12" s="34"/>
      <c r="TAE12" s="34"/>
      <c r="TAF12" s="72"/>
      <c r="TAG12" s="63"/>
      <c r="TAH12" s="34"/>
      <c r="TAI12" s="64"/>
      <c r="TAJ12" s="4"/>
      <c r="TAK12" s="65"/>
      <c r="TAL12" s="4"/>
      <c r="TAM12" s="4"/>
      <c r="TAN12" s="4"/>
      <c r="TAQ12" s="34"/>
      <c r="TAR12" s="34"/>
      <c r="TAT12" s="34"/>
      <c r="TAU12" s="72"/>
      <c r="TAV12" s="63"/>
      <c r="TAW12" s="34"/>
      <c r="TAX12" s="64"/>
      <c r="TAY12" s="4"/>
      <c r="TAZ12" s="65"/>
      <c r="TBA12" s="4"/>
      <c r="TBB12" s="4"/>
      <c r="TBC12" s="4"/>
      <c r="TBF12" s="34"/>
      <c r="TBG12" s="34"/>
      <c r="TBI12" s="34"/>
      <c r="TBJ12" s="72"/>
      <c r="TBK12" s="63"/>
      <c r="TBL12" s="34"/>
      <c r="TBM12" s="64"/>
      <c r="TBN12" s="4"/>
      <c r="TBO12" s="65"/>
      <c r="TBP12" s="4"/>
      <c r="TBQ12" s="4"/>
      <c r="TBR12" s="4"/>
      <c r="TBU12" s="34"/>
      <c r="TBV12" s="34"/>
      <c r="TBX12" s="34"/>
      <c r="TBY12" s="72"/>
      <c r="TBZ12" s="63"/>
      <c r="TCA12" s="34"/>
      <c r="TCB12" s="64"/>
      <c r="TCC12" s="4"/>
      <c r="TCD12" s="65"/>
      <c r="TCE12" s="4"/>
      <c r="TCF12" s="4"/>
      <c r="TCG12" s="4"/>
      <c r="TCJ12" s="34"/>
      <c r="TCK12" s="34"/>
      <c r="TCM12" s="34"/>
      <c r="TCN12" s="72"/>
      <c r="TCO12" s="63"/>
      <c r="TCP12" s="34"/>
      <c r="TCQ12" s="64"/>
      <c r="TCR12" s="4"/>
      <c r="TCS12" s="65"/>
      <c r="TCT12" s="4"/>
      <c r="TCU12" s="4"/>
      <c r="TCV12" s="4"/>
      <c r="TCY12" s="34"/>
      <c r="TCZ12" s="34"/>
      <c r="TDB12" s="34"/>
      <c r="TDC12" s="72"/>
      <c r="TDD12" s="63"/>
      <c r="TDE12" s="34"/>
      <c r="TDF12" s="64"/>
      <c r="TDG12" s="4"/>
      <c r="TDH12" s="65"/>
      <c r="TDI12" s="4"/>
      <c r="TDJ12" s="4"/>
      <c r="TDK12" s="4"/>
      <c r="TDN12" s="34"/>
      <c r="TDO12" s="34"/>
      <c r="TDQ12" s="34"/>
      <c r="TDR12" s="72"/>
      <c r="TDS12" s="63"/>
      <c r="TDT12" s="34"/>
      <c r="TDU12" s="64"/>
      <c r="TDV12" s="4"/>
      <c r="TDW12" s="65"/>
      <c r="TDX12" s="4"/>
      <c r="TDY12" s="4"/>
      <c r="TDZ12" s="4"/>
      <c r="TEC12" s="34"/>
      <c r="TED12" s="34"/>
      <c r="TEF12" s="34"/>
      <c r="TEG12" s="72"/>
      <c r="TEH12" s="63"/>
      <c r="TEI12" s="34"/>
      <c r="TEJ12" s="64"/>
      <c r="TEK12" s="4"/>
      <c r="TEL12" s="65"/>
      <c r="TEM12" s="4"/>
      <c r="TEN12" s="4"/>
      <c r="TEO12" s="4"/>
      <c r="TER12" s="34"/>
      <c r="TES12" s="34"/>
      <c r="TEU12" s="34"/>
      <c r="TEV12" s="72"/>
      <c r="TEW12" s="63"/>
      <c r="TEX12" s="34"/>
      <c r="TEY12" s="64"/>
      <c r="TEZ12" s="4"/>
      <c r="TFA12" s="65"/>
      <c r="TFB12" s="4"/>
      <c r="TFC12" s="4"/>
      <c r="TFD12" s="4"/>
      <c r="TFG12" s="34"/>
      <c r="TFH12" s="34"/>
      <c r="TFJ12" s="34"/>
      <c r="TFK12" s="72"/>
      <c r="TFL12" s="63"/>
      <c r="TFM12" s="34"/>
      <c r="TFN12" s="64"/>
      <c r="TFO12" s="4"/>
      <c r="TFP12" s="65"/>
      <c r="TFQ12" s="4"/>
      <c r="TFR12" s="4"/>
      <c r="TFS12" s="4"/>
      <c r="TFV12" s="34"/>
      <c r="TFW12" s="34"/>
      <c r="TFY12" s="34"/>
      <c r="TFZ12" s="72"/>
      <c r="TGA12" s="63"/>
      <c r="TGB12" s="34"/>
      <c r="TGC12" s="64"/>
      <c r="TGD12" s="4"/>
      <c r="TGE12" s="65"/>
      <c r="TGF12" s="4"/>
      <c r="TGG12" s="4"/>
      <c r="TGH12" s="4"/>
      <c r="TGK12" s="34"/>
      <c r="TGL12" s="34"/>
      <c r="TGN12" s="34"/>
      <c r="TGO12" s="72"/>
      <c r="TGP12" s="63"/>
      <c r="TGQ12" s="34"/>
      <c r="TGR12" s="64"/>
      <c r="TGS12" s="4"/>
      <c r="TGT12" s="65"/>
      <c r="TGU12" s="4"/>
      <c r="TGV12" s="4"/>
      <c r="TGW12" s="4"/>
      <c r="TGZ12" s="34"/>
      <c r="THA12" s="34"/>
      <c r="THC12" s="34"/>
      <c r="THD12" s="72"/>
      <c r="THE12" s="63"/>
      <c r="THF12" s="34"/>
      <c r="THG12" s="64"/>
      <c r="THH12" s="4"/>
      <c r="THI12" s="65"/>
      <c r="THJ12" s="4"/>
      <c r="THK12" s="4"/>
      <c r="THL12" s="4"/>
      <c r="THO12" s="34"/>
      <c r="THP12" s="34"/>
      <c r="THR12" s="34"/>
      <c r="THS12" s="72"/>
      <c r="THT12" s="63"/>
      <c r="THU12" s="34"/>
      <c r="THV12" s="64"/>
      <c r="THW12" s="4"/>
      <c r="THX12" s="65"/>
      <c r="THY12" s="4"/>
      <c r="THZ12" s="4"/>
      <c r="TIA12" s="4"/>
      <c r="TID12" s="34"/>
      <c r="TIE12" s="34"/>
      <c r="TIG12" s="34"/>
      <c r="TIH12" s="72"/>
      <c r="TII12" s="63"/>
      <c r="TIJ12" s="34"/>
      <c r="TIK12" s="64"/>
      <c r="TIL12" s="4"/>
      <c r="TIM12" s="65"/>
      <c r="TIN12" s="4"/>
      <c r="TIO12" s="4"/>
      <c r="TIP12" s="4"/>
      <c r="TIS12" s="34"/>
      <c r="TIT12" s="34"/>
      <c r="TIV12" s="34"/>
      <c r="TIW12" s="72"/>
      <c r="TIX12" s="63"/>
      <c r="TIY12" s="34"/>
      <c r="TIZ12" s="64"/>
      <c r="TJA12" s="4"/>
      <c r="TJB12" s="65"/>
      <c r="TJC12" s="4"/>
      <c r="TJD12" s="4"/>
      <c r="TJE12" s="4"/>
      <c r="TJH12" s="34"/>
      <c r="TJI12" s="34"/>
      <c r="TJK12" s="34"/>
      <c r="TJL12" s="72"/>
      <c r="TJM12" s="63"/>
      <c r="TJN12" s="34"/>
      <c r="TJO12" s="64"/>
      <c r="TJP12" s="4"/>
      <c r="TJQ12" s="65"/>
      <c r="TJR12" s="4"/>
      <c r="TJS12" s="4"/>
      <c r="TJT12" s="4"/>
      <c r="TJW12" s="34"/>
      <c r="TJX12" s="34"/>
      <c r="TJZ12" s="34"/>
      <c r="TKA12" s="72"/>
      <c r="TKB12" s="63"/>
      <c r="TKC12" s="34"/>
      <c r="TKD12" s="64"/>
      <c r="TKE12" s="4"/>
      <c r="TKF12" s="65"/>
      <c r="TKG12" s="4"/>
      <c r="TKH12" s="4"/>
      <c r="TKI12" s="4"/>
      <c r="TKL12" s="34"/>
      <c r="TKM12" s="34"/>
      <c r="TKO12" s="34"/>
      <c r="TKP12" s="72"/>
      <c r="TKQ12" s="63"/>
      <c r="TKR12" s="34"/>
      <c r="TKS12" s="64"/>
      <c r="TKT12" s="4"/>
      <c r="TKU12" s="65"/>
      <c r="TKV12" s="4"/>
      <c r="TKW12" s="4"/>
      <c r="TKX12" s="4"/>
      <c r="TLA12" s="34"/>
      <c r="TLB12" s="34"/>
      <c r="TLD12" s="34"/>
      <c r="TLE12" s="72"/>
      <c r="TLF12" s="63"/>
      <c r="TLG12" s="34"/>
      <c r="TLH12" s="64"/>
      <c r="TLI12" s="4"/>
      <c r="TLJ12" s="65"/>
      <c r="TLK12" s="4"/>
      <c r="TLL12" s="4"/>
      <c r="TLM12" s="4"/>
      <c r="TLP12" s="34"/>
      <c r="TLQ12" s="34"/>
      <c r="TLS12" s="34"/>
      <c r="TLT12" s="72"/>
      <c r="TLU12" s="63"/>
      <c r="TLV12" s="34"/>
      <c r="TLW12" s="64"/>
      <c r="TLX12" s="4"/>
      <c r="TLY12" s="65"/>
      <c r="TLZ12" s="4"/>
      <c r="TMA12" s="4"/>
      <c r="TMB12" s="4"/>
      <c r="TME12" s="34"/>
      <c r="TMF12" s="34"/>
      <c r="TMH12" s="34"/>
      <c r="TMI12" s="72"/>
      <c r="TMJ12" s="63"/>
      <c r="TMK12" s="34"/>
      <c r="TML12" s="64"/>
      <c r="TMM12" s="4"/>
      <c r="TMN12" s="65"/>
      <c r="TMO12" s="4"/>
      <c r="TMP12" s="4"/>
      <c r="TMQ12" s="4"/>
      <c r="TMT12" s="34"/>
      <c r="TMU12" s="34"/>
      <c r="TMW12" s="34"/>
      <c r="TMX12" s="72"/>
      <c r="TMY12" s="63"/>
      <c r="TMZ12" s="34"/>
      <c r="TNA12" s="64"/>
      <c r="TNB12" s="4"/>
      <c r="TNC12" s="65"/>
      <c r="TND12" s="4"/>
      <c r="TNE12" s="4"/>
      <c r="TNF12" s="4"/>
      <c r="TNI12" s="34"/>
      <c r="TNJ12" s="34"/>
      <c r="TNL12" s="34"/>
      <c r="TNM12" s="72"/>
      <c r="TNN12" s="63"/>
      <c r="TNO12" s="34"/>
      <c r="TNP12" s="64"/>
      <c r="TNQ12" s="4"/>
      <c r="TNR12" s="65"/>
      <c r="TNS12" s="4"/>
      <c r="TNT12" s="4"/>
      <c r="TNU12" s="4"/>
      <c r="TNX12" s="34"/>
      <c r="TNY12" s="34"/>
      <c r="TOA12" s="34"/>
      <c r="TOB12" s="72"/>
      <c r="TOC12" s="63"/>
      <c r="TOD12" s="34"/>
      <c r="TOE12" s="64"/>
      <c r="TOF12" s="4"/>
      <c r="TOG12" s="65"/>
      <c r="TOH12" s="4"/>
      <c r="TOI12" s="4"/>
      <c r="TOJ12" s="4"/>
      <c r="TOM12" s="34"/>
      <c r="TON12" s="34"/>
      <c r="TOP12" s="34"/>
      <c r="TOQ12" s="72"/>
      <c r="TOR12" s="63"/>
      <c r="TOS12" s="34"/>
      <c r="TOT12" s="64"/>
      <c r="TOU12" s="4"/>
      <c r="TOV12" s="65"/>
      <c r="TOW12" s="4"/>
      <c r="TOX12" s="4"/>
      <c r="TOY12" s="4"/>
      <c r="TPB12" s="34"/>
      <c r="TPC12" s="34"/>
      <c r="TPE12" s="34"/>
      <c r="TPF12" s="72"/>
      <c r="TPG12" s="63"/>
      <c r="TPH12" s="34"/>
      <c r="TPI12" s="64"/>
      <c r="TPJ12" s="4"/>
      <c r="TPK12" s="65"/>
      <c r="TPL12" s="4"/>
      <c r="TPM12" s="4"/>
      <c r="TPN12" s="4"/>
      <c r="TPQ12" s="34"/>
      <c r="TPR12" s="34"/>
      <c r="TPT12" s="34"/>
      <c r="TPU12" s="72"/>
      <c r="TPV12" s="63"/>
      <c r="TPW12" s="34"/>
      <c r="TPX12" s="64"/>
      <c r="TPY12" s="4"/>
      <c r="TPZ12" s="65"/>
      <c r="TQA12" s="4"/>
      <c r="TQB12" s="4"/>
      <c r="TQC12" s="4"/>
      <c r="TQF12" s="34"/>
      <c r="TQG12" s="34"/>
      <c r="TQI12" s="34"/>
      <c r="TQJ12" s="72"/>
      <c r="TQK12" s="63"/>
      <c r="TQL12" s="34"/>
      <c r="TQM12" s="64"/>
      <c r="TQN12" s="4"/>
      <c r="TQO12" s="65"/>
      <c r="TQP12" s="4"/>
      <c r="TQQ12" s="4"/>
      <c r="TQR12" s="4"/>
      <c r="TQU12" s="34"/>
      <c r="TQV12" s="34"/>
      <c r="TQX12" s="34"/>
      <c r="TQY12" s="72"/>
      <c r="TQZ12" s="63"/>
      <c r="TRA12" s="34"/>
      <c r="TRB12" s="64"/>
      <c r="TRC12" s="4"/>
      <c r="TRD12" s="65"/>
      <c r="TRE12" s="4"/>
      <c r="TRF12" s="4"/>
      <c r="TRG12" s="4"/>
      <c r="TRJ12" s="34"/>
      <c r="TRK12" s="34"/>
      <c r="TRM12" s="34"/>
      <c r="TRN12" s="72"/>
      <c r="TRO12" s="63"/>
      <c r="TRP12" s="34"/>
      <c r="TRQ12" s="64"/>
      <c r="TRR12" s="4"/>
      <c r="TRS12" s="65"/>
      <c r="TRT12" s="4"/>
      <c r="TRU12" s="4"/>
      <c r="TRV12" s="4"/>
      <c r="TRY12" s="34"/>
      <c r="TRZ12" s="34"/>
      <c r="TSB12" s="34"/>
      <c r="TSC12" s="72"/>
      <c r="TSD12" s="63"/>
      <c r="TSE12" s="34"/>
      <c r="TSF12" s="64"/>
      <c r="TSG12" s="4"/>
      <c r="TSH12" s="65"/>
      <c r="TSI12" s="4"/>
      <c r="TSJ12" s="4"/>
      <c r="TSK12" s="4"/>
      <c r="TSN12" s="34"/>
      <c r="TSO12" s="34"/>
      <c r="TSQ12" s="34"/>
      <c r="TSR12" s="72"/>
      <c r="TSS12" s="63"/>
      <c r="TST12" s="34"/>
      <c r="TSU12" s="64"/>
      <c r="TSV12" s="4"/>
      <c r="TSW12" s="65"/>
      <c r="TSX12" s="4"/>
      <c r="TSY12" s="4"/>
      <c r="TSZ12" s="4"/>
      <c r="TTC12" s="34"/>
      <c r="TTD12" s="34"/>
      <c r="TTF12" s="34"/>
      <c r="TTG12" s="72"/>
      <c r="TTH12" s="63"/>
      <c r="TTI12" s="34"/>
      <c r="TTJ12" s="64"/>
      <c r="TTK12" s="4"/>
      <c r="TTL12" s="65"/>
      <c r="TTM12" s="4"/>
      <c r="TTN12" s="4"/>
      <c r="TTO12" s="4"/>
      <c r="TTR12" s="34"/>
      <c r="TTS12" s="34"/>
      <c r="TTU12" s="34"/>
      <c r="TTV12" s="72"/>
      <c r="TTW12" s="63"/>
      <c r="TTX12" s="34"/>
      <c r="TTY12" s="64"/>
      <c r="TTZ12" s="4"/>
      <c r="TUA12" s="65"/>
      <c r="TUB12" s="4"/>
      <c r="TUC12" s="4"/>
      <c r="TUD12" s="4"/>
      <c r="TUG12" s="34"/>
      <c r="TUH12" s="34"/>
      <c r="TUJ12" s="34"/>
      <c r="TUK12" s="72"/>
      <c r="TUL12" s="63"/>
      <c r="TUM12" s="34"/>
      <c r="TUN12" s="64"/>
      <c r="TUO12" s="4"/>
      <c r="TUP12" s="65"/>
      <c r="TUQ12" s="4"/>
      <c r="TUR12" s="4"/>
      <c r="TUS12" s="4"/>
      <c r="TUV12" s="34"/>
      <c r="TUW12" s="34"/>
      <c r="TUY12" s="34"/>
      <c r="TUZ12" s="72"/>
      <c r="TVA12" s="63"/>
      <c r="TVB12" s="34"/>
      <c r="TVC12" s="64"/>
      <c r="TVD12" s="4"/>
      <c r="TVE12" s="65"/>
      <c r="TVF12" s="4"/>
      <c r="TVG12" s="4"/>
      <c r="TVH12" s="4"/>
      <c r="TVK12" s="34"/>
      <c r="TVL12" s="34"/>
      <c r="TVN12" s="34"/>
      <c r="TVO12" s="72"/>
      <c r="TVP12" s="63"/>
      <c r="TVQ12" s="34"/>
      <c r="TVR12" s="64"/>
      <c r="TVS12" s="4"/>
      <c r="TVT12" s="65"/>
      <c r="TVU12" s="4"/>
      <c r="TVV12" s="4"/>
      <c r="TVW12" s="4"/>
      <c r="TVZ12" s="34"/>
      <c r="TWA12" s="34"/>
      <c r="TWC12" s="34"/>
      <c r="TWD12" s="72"/>
      <c r="TWE12" s="63"/>
      <c r="TWF12" s="34"/>
      <c r="TWG12" s="64"/>
      <c r="TWH12" s="4"/>
      <c r="TWI12" s="65"/>
      <c r="TWJ12" s="4"/>
      <c r="TWK12" s="4"/>
      <c r="TWL12" s="4"/>
      <c r="TWO12" s="34"/>
      <c r="TWP12" s="34"/>
      <c r="TWR12" s="34"/>
      <c r="TWS12" s="72"/>
      <c r="TWT12" s="63"/>
      <c r="TWU12" s="34"/>
      <c r="TWV12" s="64"/>
      <c r="TWW12" s="4"/>
      <c r="TWX12" s="65"/>
      <c r="TWY12" s="4"/>
      <c r="TWZ12" s="4"/>
      <c r="TXA12" s="4"/>
      <c r="TXD12" s="34"/>
      <c r="TXE12" s="34"/>
      <c r="TXG12" s="34"/>
      <c r="TXH12" s="72"/>
      <c r="TXI12" s="63"/>
      <c r="TXJ12" s="34"/>
      <c r="TXK12" s="64"/>
      <c r="TXL12" s="4"/>
      <c r="TXM12" s="65"/>
      <c r="TXN12" s="4"/>
      <c r="TXO12" s="4"/>
      <c r="TXP12" s="4"/>
      <c r="TXS12" s="34"/>
      <c r="TXT12" s="34"/>
      <c r="TXV12" s="34"/>
      <c r="TXW12" s="72"/>
      <c r="TXX12" s="63"/>
      <c r="TXY12" s="34"/>
      <c r="TXZ12" s="64"/>
      <c r="TYA12" s="4"/>
      <c r="TYB12" s="65"/>
      <c r="TYC12" s="4"/>
      <c r="TYD12" s="4"/>
      <c r="TYE12" s="4"/>
      <c r="TYH12" s="34"/>
      <c r="TYI12" s="34"/>
      <c r="TYK12" s="34"/>
      <c r="TYL12" s="72"/>
      <c r="TYM12" s="63"/>
      <c r="TYN12" s="34"/>
      <c r="TYO12" s="64"/>
      <c r="TYP12" s="4"/>
      <c r="TYQ12" s="65"/>
      <c r="TYR12" s="4"/>
      <c r="TYS12" s="4"/>
      <c r="TYT12" s="4"/>
      <c r="TYW12" s="34"/>
      <c r="TYX12" s="34"/>
      <c r="TYZ12" s="34"/>
      <c r="TZA12" s="72"/>
      <c r="TZB12" s="63"/>
      <c r="TZC12" s="34"/>
      <c r="TZD12" s="64"/>
      <c r="TZE12" s="4"/>
      <c r="TZF12" s="65"/>
      <c r="TZG12" s="4"/>
      <c r="TZH12" s="4"/>
      <c r="TZI12" s="4"/>
      <c r="TZL12" s="34"/>
      <c r="TZM12" s="34"/>
      <c r="TZO12" s="34"/>
      <c r="TZP12" s="72"/>
      <c r="TZQ12" s="63"/>
      <c r="TZR12" s="34"/>
      <c r="TZS12" s="64"/>
      <c r="TZT12" s="4"/>
      <c r="TZU12" s="65"/>
      <c r="TZV12" s="4"/>
      <c r="TZW12" s="4"/>
      <c r="TZX12" s="4"/>
      <c r="UAA12" s="34"/>
      <c r="UAB12" s="34"/>
      <c r="UAD12" s="34"/>
      <c r="UAE12" s="72"/>
      <c r="UAF12" s="63"/>
      <c r="UAG12" s="34"/>
      <c r="UAH12" s="64"/>
      <c r="UAI12" s="4"/>
      <c r="UAJ12" s="65"/>
      <c r="UAK12" s="4"/>
      <c r="UAL12" s="4"/>
      <c r="UAM12" s="4"/>
      <c r="UAP12" s="34"/>
      <c r="UAQ12" s="34"/>
      <c r="UAS12" s="34"/>
      <c r="UAT12" s="72"/>
      <c r="UAU12" s="63"/>
      <c r="UAV12" s="34"/>
      <c r="UAW12" s="64"/>
      <c r="UAX12" s="4"/>
      <c r="UAY12" s="65"/>
      <c r="UAZ12" s="4"/>
      <c r="UBA12" s="4"/>
      <c r="UBB12" s="4"/>
      <c r="UBE12" s="34"/>
      <c r="UBF12" s="34"/>
      <c r="UBH12" s="34"/>
      <c r="UBI12" s="72"/>
      <c r="UBJ12" s="63"/>
      <c r="UBK12" s="34"/>
      <c r="UBL12" s="64"/>
      <c r="UBM12" s="4"/>
      <c r="UBN12" s="65"/>
      <c r="UBO12" s="4"/>
      <c r="UBP12" s="4"/>
      <c r="UBQ12" s="4"/>
      <c r="UBT12" s="34"/>
      <c r="UBU12" s="34"/>
      <c r="UBW12" s="34"/>
      <c r="UBX12" s="72"/>
      <c r="UBY12" s="63"/>
      <c r="UBZ12" s="34"/>
      <c r="UCA12" s="64"/>
      <c r="UCB12" s="4"/>
      <c r="UCC12" s="65"/>
      <c r="UCD12" s="4"/>
      <c r="UCE12" s="4"/>
      <c r="UCF12" s="4"/>
      <c r="UCI12" s="34"/>
      <c r="UCJ12" s="34"/>
      <c r="UCL12" s="34"/>
      <c r="UCM12" s="72"/>
      <c r="UCN12" s="63"/>
      <c r="UCO12" s="34"/>
      <c r="UCP12" s="64"/>
      <c r="UCQ12" s="4"/>
      <c r="UCR12" s="65"/>
      <c r="UCS12" s="4"/>
      <c r="UCT12" s="4"/>
      <c r="UCU12" s="4"/>
      <c r="UCX12" s="34"/>
      <c r="UCY12" s="34"/>
      <c r="UDA12" s="34"/>
      <c r="UDB12" s="72"/>
      <c r="UDC12" s="63"/>
      <c r="UDD12" s="34"/>
      <c r="UDE12" s="64"/>
      <c r="UDF12" s="4"/>
      <c r="UDG12" s="65"/>
      <c r="UDH12" s="4"/>
      <c r="UDI12" s="4"/>
      <c r="UDJ12" s="4"/>
      <c r="UDM12" s="34"/>
      <c r="UDN12" s="34"/>
      <c r="UDP12" s="34"/>
      <c r="UDQ12" s="72"/>
      <c r="UDR12" s="63"/>
      <c r="UDS12" s="34"/>
      <c r="UDT12" s="64"/>
      <c r="UDU12" s="4"/>
      <c r="UDV12" s="65"/>
      <c r="UDW12" s="4"/>
      <c r="UDX12" s="4"/>
      <c r="UDY12" s="4"/>
      <c r="UEB12" s="34"/>
      <c r="UEC12" s="34"/>
      <c r="UEE12" s="34"/>
      <c r="UEF12" s="72"/>
      <c r="UEG12" s="63"/>
      <c r="UEH12" s="34"/>
      <c r="UEI12" s="64"/>
      <c r="UEJ12" s="4"/>
      <c r="UEK12" s="65"/>
      <c r="UEL12" s="4"/>
      <c r="UEM12" s="4"/>
      <c r="UEN12" s="4"/>
      <c r="UEQ12" s="34"/>
      <c r="UER12" s="34"/>
      <c r="UET12" s="34"/>
      <c r="UEU12" s="72"/>
      <c r="UEV12" s="63"/>
      <c r="UEW12" s="34"/>
      <c r="UEX12" s="64"/>
      <c r="UEY12" s="4"/>
      <c r="UEZ12" s="65"/>
      <c r="UFA12" s="4"/>
      <c r="UFB12" s="4"/>
      <c r="UFC12" s="4"/>
      <c r="UFF12" s="34"/>
      <c r="UFG12" s="34"/>
      <c r="UFI12" s="34"/>
      <c r="UFJ12" s="72"/>
      <c r="UFK12" s="63"/>
      <c r="UFL12" s="34"/>
      <c r="UFM12" s="64"/>
      <c r="UFN12" s="4"/>
      <c r="UFO12" s="65"/>
      <c r="UFP12" s="4"/>
      <c r="UFQ12" s="4"/>
      <c r="UFR12" s="4"/>
      <c r="UFU12" s="34"/>
      <c r="UFV12" s="34"/>
      <c r="UFX12" s="34"/>
      <c r="UFY12" s="72"/>
      <c r="UFZ12" s="63"/>
      <c r="UGA12" s="34"/>
      <c r="UGB12" s="64"/>
      <c r="UGC12" s="4"/>
      <c r="UGD12" s="65"/>
      <c r="UGE12" s="4"/>
      <c r="UGF12" s="4"/>
      <c r="UGG12" s="4"/>
      <c r="UGJ12" s="34"/>
      <c r="UGK12" s="34"/>
      <c r="UGM12" s="34"/>
      <c r="UGN12" s="72"/>
      <c r="UGO12" s="63"/>
      <c r="UGP12" s="34"/>
      <c r="UGQ12" s="64"/>
      <c r="UGR12" s="4"/>
      <c r="UGS12" s="65"/>
      <c r="UGT12" s="4"/>
      <c r="UGU12" s="4"/>
      <c r="UGV12" s="4"/>
      <c r="UGY12" s="34"/>
      <c r="UGZ12" s="34"/>
      <c r="UHB12" s="34"/>
      <c r="UHC12" s="72"/>
      <c r="UHD12" s="63"/>
      <c r="UHE12" s="34"/>
      <c r="UHF12" s="64"/>
      <c r="UHG12" s="4"/>
      <c r="UHH12" s="65"/>
      <c r="UHI12" s="4"/>
      <c r="UHJ12" s="4"/>
      <c r="UHK12" s="4"/>
      <c r="UHN12" s="34"/>
      <c r="UHO12" s="34"/>
      <c r="UHQ12" s="34"/>
      <c r="UHR12" s="72"/>
      <c r="UHS12" s="63"/>
      <c r="UHT12" s="34"/>
      <c r="UHU12" s="64"/>
      <c r="UHV12" s="4"/>
      <c r="UHW12" s="65"/>
      <c r="UHX12" s="4"/>
      <c r="UHY12" s="4"/>
      <c r="UHZ12" s="4"/>
      <c r="UIC12" s="34"/>
      <c r="UID12" s="34"/>
      <c r="UIF12" s="34"/>
      <c r="UIG12" s="72"/>
      <c r="UIH12" s="63"/>
      <c r="UII12" s="34"/>
      <c r="UIJ12" s="64"/>
      <c r="UIK12" s="4"/>
      <c r="UIL12" s="65"/>
      <c r="UIM12" s="4"/>
      <c r="UIN12" s="4"/>
      <c r="UIO12" s="4"/>
      <c r="UIR12" s="34"/>
      <c r="UIS12" s="34"/>
      <c r="UIU12" s="34"/>
      <c r="UIV12" s="72"/>
      <c r="UIW12" s="63"/>
      <c r="UIX12" s="34"/>
      <c r="UIY12" s="64"/>
      <c r="UIZ12" s="4"/>
      <c r="UJA12" s="65"/>
      <c r="UJB12" s="4"/>
      <c r="UJC12" s="4"/>
      <c r="UJD12" s="4"/>
      <c r="UJG12" s="34"/>
      <c r="UJH12" s="34"/>
      <c r="UJJ12" s="34"/>
      <c r="UJK12" s="72"/>
      <c r="UJL12" s="63"/>
      <c r="UJM12" s="34"/>
      <c r="UJN12" s="64"/>
      <c r="UJO12" s="4"/>
      <c r="UJP12" s="65"/>
      <c r="UJQ12" s="4"/>
      <c r="UJR12" s="4"/>
      <c r="UJS12" s="4"/>
      <c r="UJV12" s="34"/>
      <c r="UJW12" s="34"/>
      <c r="UJY12" s="34"/>
      <c r="UJZ12" s="72"/>
      <c r="UKA12" s="63"/>
      <c r="UKB12" s="34"/>
      <c r="UKC12" s="64"/>
      <c r="UKD12" s="4"/>
      <c r="UKE12" s="65"/>
      <c r="UKF12" s="4"/>
      <c r="UKG12" s="4"/>
      <c r="UKH12" s="4"/>
      <c r="UKK12" s="34"/>
      <c r="UKL12" s="34"/>
      <c r="UKN12" s="34"/>
      <c r="UKO12" s="72"/>
      <c r="UKP12" s="63"/>
      <c r="UKQ12" s="34"/>
      <c r="UKR12" s="64"/>
      <c r="UKS12" s="4"/>
      <c r="UKT12" s="65"/>
      <c r="UKU12" s="4"/>
      <c r="UKV12" s="4"/>
      <c r="UKW12" s="4"/>
      <c r="UKZ12" s="34"/>
      <c r="ULA12" s="34"/>
      <c r="ULC12" s="34"/>
      <c r="ULD12" s="72"/>
      <c r="ULE12" s="63"/>
      <c r="ULF12" s="34"/>
      <c r="ULG12" s="64"/>
      <c r="ULH12" s="4"/>
      <c r="ULI12" s="65"/>
      <c r="ULJ12" s="4"/>
      <c r="ULK12" s="4"/>
      <c r="ULL12" s="4"/>
      <c r="ULO12" s="34"/>
      <c r="ULP12" s="34"/>
      <c r="ULR12" s="34"/>
      <c r="ULS12" s="72"/>
      <c r="ULT12" s="63"/>
      <c r="ULU12" s="34"/>
      <c r="ULV12" s="64"/>
      <c r="ULW12" s="4"/>
      <c r="ULX12" s="65"/>
      <c r="ULY12" s="4"/>
      <c r="ULZ12" s="4"/>
      <c r="UMA12" s="4"/>
      <c r="UMD12" s="34"/>
      <c r="UME12" s="34"/>
      <c r="UMG12" s="34"/>
      <c r="UMH12" s="72"/>
      <c r="UMI12" s="63"/>
      <c r="UMJ12" s="34"/>
      <c r="UMK12" s="64"/>
      <c r="UML12" s="4"/>
      <c r="UMM12" s="65"/>
      <c r="UMN12" s="4"/>
      <c r="UMO12" s="4"/>
      <c r="UMP12" s="4"/>
      <c r="UMS12" s="34"/>
      <c r="UMT12" s="34"/>
      <c r="UMV12" s="34"/>
      <c r="UMW12" s="72"/>
      <c r="UMX12" s="63"/>
      <c r="UMY12" s="34"/>
      <c r="UMZ12" s="64"/>
      <c r="UNA12" s="4"/>
      <c r="UNB12" s="65"/>
      <c r="UNC12" s="4"/>
      <c r="UND12" s="4"/>
      <c r="UNE12" s="4"/>
      <c r="UNH12" s="34"/>
      <c r="UNI12" s="34"/>
      <c r="UNK12" s="34"/>
      <c r="UNL12" s="72"/>
      <c r="UNM12" s="63"/>
      <c r="UNN12" s="34"/>
      <c r="UNO12" s="64"/>
      <c r="UNP12" s="4"/>
      <c r="UNQ12" s="65"/>
      <c r="UNR12" s="4"/>
      <c r="UNS12" s="4"/>
      <c r="UNT12" s="4"/>
      <c r="UNW12" s="34"/>
      <c r="UNX12" s="34"/>
      <c r="UNZ12" s="34"/>
      <c r="UOA12" s="72"/>
      <c r="UOB12" s="63"/>
      <c r="UOC12" s="34"/>
      <c r="UOD12" s="64"/>
      <c r="UOE12" s="4"/>
      <c r="UOF12" s="65"/>
      <c r="UOG12" s="4"/>
      <c r="UOH12" s="4"/>
      <c r="UOI12" s="4"/>
      <c r="UOL12" s="34"/>
      <c r="UOM12" s="34"/>
      <c r="UOO12" s="34"/>
      <c r="UOP12" s="72"/>
      <c r="UOQ12" s="63"/>
      <c r="UOR12" s="34"/>
      <c r="UOS12" s="64"/>
      <c r="UOT12" s="4"/>
      <c r="UOU12" s="65"/>
      <c r="UOV12" s="4"/>
      <c r="UOW12" s="4"/>
      <c r="UOX12" s="4"/>
      <c r="UPA12" s="34"/>
      <c r="UPB12" s="34"/>
      <c r="UPD12" s="34"/>
      <c r="UPE12" s="72"/>
      <c r="UPF12" s="63"/>
      <c r="UPG12" s="34"/>
      <c r="UPH12" s="64"/>
      <c r="UPI12" s="4"/>
      <c r="UPJ12" s="65"/>
      <c r="UPK12" s="4"/>
      <c r="UPL12" s="4"/>
      <c r="UPM12" s="4"/>
      <c r="UPP12" s="34"/>
      <c r="UPQ12" s="34"/>
      <c r="UPS12" s="34"/>
      <c r="UPT12" s="72"/>
      <c r="UPU12" s="63"/>
      <c r="UPV12" s="34"/>
      <c r="UPW12" s="64"/>
      <c r="UPX12" s="4"/>
      <c r="UPY12" s="65"/>
      <c r="UPZ12" s="4"/>
      <c r="UQA12" s="4"/>
      <c r="UQB12" s="4"/>
      <c r="UQE12" s="34"/>
      <c r="UQF12" s="34"/>
      <c r="UQH12" s="34"/>
      <c r="UQI12" s="72"/>
      <c r="UQJ12" s="63"/>
      <c r="UQK12" s="34"/>
      <c r="UQL12" s="64"/>
      <c r="UQM12" s="4"/>
      <c r="UQN12" s="65"/>
      <c r="UQO12" s="4"/>
      <c r="UQP12" s="4"/>
      <c r="UQQ12" s="4"/>
      <c r="UQT12" s="34"/>
      <c r="UQU12" s="34"/>
      <c r="UQW12" s="34"/>
      <c r="UQX12" s="72"/>
      <c r="UQY12" s="63"/>
      <c r="UQZ12" s="34"/>
      <c r="URA12" s="64"/>
      <c r="URB12" s="4"/>
      <c r="URC12" s="65"/>
      <c r="URD12" s="4"/>
      <c r="URE12" s="4"/>
      <c r="URF12" s="4"/>
      <c r="URI12" s="34"/>
      <c r="URJ12" s="34"/>
      <c r="URL12" s="34"/>
      <c r="URM12" s="72"/>
      <c r="URN12" s="63"/>
      <c r="URO12" s="34"/>
      <c r="URP12" s="64"/>
      <c r="URQ12" s="4"/>
      <c r="URR12" s="65"/>
      <c r="URS12" s="4"/>
      <c r="URT12" s="4"/>
      <c r="URU12" s="4"/>
      <c r="URX12" s="34"/>
      <c r="URY12" s="34"/>
      <c r="USA12" s="34"/>
      <c r="USB12" s="72"/>
      <c r="USC12" s="63"/>
      <c r="USD12" s="34"/>
      <c r="USE12" s="64"/>
      <c r="USF12" s="4"/>
      <c r="USG12" s="65"/>
      <c r="USH12" s="4"/>
      <c r="USI12" s="4"/>
      <c r="USJ12" s="4"/>
      <c r="USM12" s="34"/>
      <c r="USN12" s="34"/>
      <c r="USP12" s="34"/>
      <c r="USQ12" s="72"/>
      <c r="USR12" s="63"/>
      <c r="USS12" s="34"/>
      <c r="UST12" s="64"/>
      <c r="USU12" s="4"/>
      <c r="USV12" s="65"/>
      <c r="USW12" s="4"/>
      <c r="USX12" s="4"/>
      <c r="USY12" s="4"/>
      <c r="UTB12" s="34"/>
      <c r="UTC12" s="34"/>
      <c r="UTE12" s="34"/>
      <c r="UTF12" s="72"/>
      <c r="UTG12" s="63"/>
      <c r="UTH12" s="34"/>
      <c r="UTI12" s="64"/>
      <c r="UTJ12" s="4"/>
      <c r="UTK12" s="65"/>
      <c r="UTL12" s="4"/>
      <c r="UTM12" s="4"/>
      <c r="UTN12" s="4"/>
      <c r="UTQ12" s="34"/>
      <c r="UTR12" s="34"/>
      <c r="UTT12" s="34"/>
      <c r="UTU12" s="72"/>
      <c r="UTV12" s="63"/>
      <c r="UTW12" s="34"/>
      <c r="UTX12" s="64"/>
      <c r="UTY12" s="4"/>
      <c r="UTZ12" s="65"/>
      <c r="UUA12" s="4"/>
      <c r="UUB12" s="4"/>
      <c r="UUC12" s="4"/>
      <c r="UUF12" s="34"/>
      <c r="UUG12" s="34"/>
      <c r="UUI12" s="34"/>
      <c r="UUJ12" s="72"/>
      <c r="UUK12" s="63"/>
      <c r="UUL12" s="34"/>
      <c r="UUM12" s="64"/>
      <c r="UUN12" s="4"/>
      <c r="UUO12" s="65"/>
      <c r="UUP12" s="4"/>
      <c r="UUQ12" s="4"/>
      <c r="UUR12" s="4"/>
      <c r="UUU12" s="34"/>
      <c r="UUV12" s="34"/>
      <c r="UUX12" s="34"/>
      <c r="UUY12" s="72"/>
      <c r="UUZ12" s="63"/>
      <c r="UVA12" s="34"/>
      <c r="UVB12" s="64"/>
      <c r="UVC12" s="4"/>
      <c r="UVD12" s="65"/>
      <c r="UVE12" s="4"/>
      <c r="UVF12" s="4"/>
      <c r="UVG12" s="4"/>
      <c r="UVJ12" s="34"/>
      <c r="UVK12" s="34"/>
      <c r="UVM12" s="34"/>
      <c r="UVN12" s="72"/>
      <c r="UVO12" s="63"/>
      <c r="UVP12" s="34"/>
      <c r="UVQ12" s="64"/>
      <c r="UVR12" s="4"/>
      <c r="UVS12" s="65"/>
      <c r="UVT12" s="4"/>
      <c r="UVU12" s="4"/>
      <c r="UVV12" s="4"/>
      <c r="UVY12" s="34"/>
      <c r="UVZ12" s="34"/>
      <c r="UWB12" s="34"/>
      <c r="UWC12" s="72"/>
      <c r="UWD12" s="63"/>
      <c r="UWE12" s="34"/>
      <c r="UWF12" s="64"/>
      <c r="UWG12" s="4"/>
      <c r="UWH12" s="65"/>
      <c r="UWI12" s="4"/>
      <c r="UWJ12" s="4"/>
      <c r="UWK12" s="4"/>
      <c r="UWN12" s="34"/>
      <c r="UWO12" s="34"/>
      <c r="UWQ12" s="34"/>
      <c r="UWR12" s="72"/>
      <c r="UWS12" s="63"/>
      <c r="UWT12" s="34"/>
      <c r="UWU12" s="64"/>
      <c r="UWV12" s="4"/>
      <c r="UWW12" s="65"/>
      <c r="UWX12" s="4"/>
      <c r="UWY12" s="4"/>
      <c r="UWZ12" s="4"/>
      <c r="UXC12" s="34"/>
      <c r="UXD12" s="34"/>
      <c r="UXF12" s="34"/>
      <c r="UXG12" s="72"/>
      <c r="UXH12" s="63"/>
      <c r="UXI12" s="34"/>
      <c r="UXJ12" s="64"/>
      <c r="UXK12" s="4"/>
      <c r="UXL12" s="65"/>
      <c r="UXM12" s="4"/>
      <c r="UXN12" s="4"/>
      <c r="UXO12" s="4"/>
      <c r="UXR12" s="34"/>
      <c r="UXS12" s="34"/>
      <c r="UXU12" s="34"/>
      <c r="UXV12" s="72"/>
      <c r="UXW12" s="63"/>
      <c r="UXX12" s="34"/>
      <c r="UXY12" s="64"/>
      <c r="UXZ12" s="4"/>
      <c r="UYA12" s="65"/>
      <c r="UYB12" s="4"/>
      <c r="UYC12" s="4"/>
      <c r="UYD12" s="4"/>
      <c r="UYG12" s="34"/>
      <c r="UYH12" s="34"/>
      <c r="UYJ12" s="34"/>
      <c r="UYK12" s="72"/>
      <c r="UYL12" s="63"/>
      <c r="UYM12" s="34"/>
      <c r="UYN12" s="64"/>
      <c r="UYO12" s="4"/>
      <c r="UYP12" s="65"/>
      <c r="UYQ12" s="4"/>
      <c r="UYR12" s="4"/>
      <c r="UYS12" s="4"/>
      <c r="UYV12" s="34"/>
      <c r="UYW12" s="34"/>
      <c r="UYY12" s="34"/>
      <c r="UYZ12" s="72"/>
      <c r="UZA12" s="63"/>
      <c r="UZB12" s="34"/>
      <c r="UZC12" s="64"/>
      <c r="UZD12" s="4"/>
      <c r="UZE12" s="65"/>
      <c r="UZF12" s="4"/>
      <c r="UZG12" s="4"/>
      <c r="UZH12" s="4"/>
      <c r="UZK12" s="34"/>
      <c r="UZL12" s="34"/>
      <c r="UZN12" s="34"/>
      <c r="UZO12" s="72"/>
      <c r="UZP12" s="63"/>
      <c r="UZQ12" s="34"/>
      <c r="UZR12" s="64"/>
      <c r="UZS12" s="4"/>
      <c r="UZT12" s="65"/>
      <c r="UZU12" s="4"/>
      <c r="UZV12" s="4"/>
      <c r="UZW12" s="4"/>
      <c r="UZZ12" s="34"/>
      <c r="VAA12" s="34"/>
      <c r="VAC12" s="34"/>
      <c r="VAD12" s="72"/>
      <c r="VAE12" s="63"/>
      <c r="VAF12" s="34"/>
      <c r="VAG12" s="64"/>
      <c r="VAH12" s="4"/>
      <c r="VAI12" s="65"/>
      <c r="VAJ12" s="4"/>
      <c r="VAK12" s="4"/>
      <c r="VAL12" s="4"/>
      <c r="VAO12" s="34"/>
      <c r="VAP12" s="34"/>
      <c r="VAR12" s="34"/>
      <c r="VAS12" s="72"/>
      <c r="VAT12" s="63"/>
      <c r="VAU12" s="34"/>
      <c r="VAV12" s="64"/>
      <c r="VAW12" s="4"/>
      <c r="VAX12" s="65"/>
      <c r="VAY12" s="4"/>
      <c r="VAZ12" s="4"/>
      <c r="VBA12" s="4"/>
      <c r="VBD12" s="34"/>
      <c r="VBE12" s="34"/>
      <c r="VBG12" s="34"/>
      <c r="VBH12" s="72"/>
      <c r="VBI12" s="63"/>
      <c r="VBJ12" s="34"/>
      <c r="VBK12" s="64"/>
      <c r="VBL12" s="4"/>
      <c r="VBM12" s="65"/>
      <c r="VBN12" s="4"/>
      <c r="VBO12" s="4"/>
      <c r="VBP12" s="4"/>
      <c r="VBS12" s="34"/>
      <c r="VBT12" s="34"/>
      <c r="VBV12" s="34"/>
      <c r="VBW12" s="72"/>
      <c r="VBX12" s="63"/>
      <c r="VBY12" s="34"/>
      <c r="VBZ12" s="64"/>
      <c r="VCA12" s="4"/>
      <c r="VCB12" s="65"/>
      <c r="VCC12" s="4"/>
      <c r="VCD12" s="4"/>
      <c r="VCE12" s="4"/>
      <c r="VCH12" s="34"/>
      <c r="VCI12" s="34"/>
      <c r="VCK12" s="34"/>
      <c r="VCL12" s="72"/>
      <c r="VCM12" s="63"/>
      <c r="VCN12" s="34"/>
      <c r="VCO12" s="64"/>
      <c r="VCP12" s="4"/>
      <c r="VCQ12" s="65"/>
      <c r="VCR12" s="4"/>
      <c r="VCS12" s="4"/>
      <c r="VCT12" s="4"/>
      <c r="VCW12" s="34"/>
      <c r="VCX12" s="34"/>
      <c r="VCZ12" s="34"/>
      <c r="VDA12" s="72"/>
      <c r="VDB12" s="63"/>
      <c r="VDC12" s="34"/>
      <c r="VDD12" s="64"/>
      <c r="VDE12" s="4"/>
      <c r="VDF12" s="65"/>
      <c r="VDG12" s="4"/>
      <c r="VDH12" s="4"/>
      <c r="VDI12" s="4"/>
      <c r="VDL12" s="34"/>
      <c r="VDM12" s="34"/>
      <c r="VDO12" s="34"/>
      <c r="VDP12" s="72"/>
      <c r="VDQ12" s="63"/>
      <c r="VDR12" s="34"/>
      <c r="VDS12" s="64"/>
      <c r="VDT12" s="4"/>
      <c r="VDU12" s="65"/>
      <c r="VDV12" s="4"/>
      <c r="VDW12" s="4"/>
      <c r="VDX12" s="4"/>
      <c r="VEA12" s="34"/>
      <c r="VEB12" s="34"/>
      <c r="VED12" s="34"/>
      <c r="VEE12" s="72"/>
      <c r="VEF12" s="63"/>
      <c r="VEG12" s="34"/>
      <c r="VEH12" s="64"/>
      <c r="VEI12" s="4"/>
      <c r="VEJ12" s="65"/>
      <c r="VEK12" s="4"/>
      <c r="VEL12" s="4"/>
      <c r="VEM12" s="4"/>
      <c r="VEP12" s="34"/>
      <c r="VEQ12" s="34"/>
      <c r="VES12" s="34"/>
      <c r="VET12" s="72"/>
      <c r="VEU12" s="63"/>
      <c r="VEV12" s="34"/>
      <c r="VEW12" s="64"/>
      <c r="VEX12" s="4"/>
      <c r="VEY12" s="65"/>
      <c r="VEZ12" s="4"/>
      <c r="VFA12" s="4"/>
      <c r="VFB12" s="4"/>
      <c r="VFE12" s="34"/>
      <c r="VFF12" s="34"/>
      <c r="VFH12" s="34"/>
      <c r="VFI12" s="72"/>
      <c r="VFJ12" s="63"/>
      <c r="VFK12" s="34"/>
      <c r="VFL12" s="64"/>
      <c r="VFM12" s="4"/>
      <c r="VFN12" s="65"/>
      <c r="VFO12" s="4"/>
      <c r="VFP12" s="4"/>
      <c r="VFQ12" s="4"/>
      <c r="VFT12" s="34"/>
      <c r="VFU12" s="34"/>
      <c r="VFW12" s="34"/>
      <c r="VFX12" s="72"/>
      <c r="VFY12" s="63"/>
      <c r="VFZ12" s="34"/>
      <c r="VGA12" s="64"/>
      <c r="VGB12" s="4"/>
      <c r="VGC12" s="65"/>
      <c r="VGD12" s="4"/>
      <c r="VGE12" s="4"/>
      <c r="VGF12" s="4"/>
      <c r="VGI12" s="34"/>
      <c r="VGJ12" s="34"/>
      <c r="VGL12" s="34"/>
      <c r="VGM12" s="72"/>
      <c r="VGN12" s="63"/>
      <c r="VGO12" s="34"/>
      <c r="VGP12" s="64"/>
      <c r="VGQ12" s="4"/>
      <c r="VGR12" s="65"/>
      <c r="VGS12" s="4"/>
      <c r="VGT12" s="4"/>
      <c r="VGU12" s="4"/>
      <c r="VGX12" s="34"/>
      <c r="VGY12" s="34"/>
      <c r="VHA12" s="34"/>
      <c r="VHB12" s="72"/>
      <c r="VHC12" s="63"/>
      <c r="VHD12" s="34"/>
      <c r="VHE12" s="64"/>
      <c r="VHF12" s="4"/>
      <c r="VHG12" s="65"/>
      <c r="VHH12" s="4"/>
      <c r="VHI12" s="4"/>
      <c r="VHJ12" s="4"/>
      <c r="VHM12" s="34"/>
      <c r="VHN12" s="34"/>
      <c r="VHP12" s="34"/>
      <c r="VHQ12" s="72"/>
      <c r="VHR12" s="63"/>
      <c r="VHS12" s="34"/>
      <c r="VHT12" s="64"/>
      <c r="VHU12" s="4"/>
      <c r="VHV12" s="65"/>
      <c r="VHW12" s="4"/>
      <c r="VHX12" s="4"/>
      <c r="VHY12" s="4"/>
      <c r="VIB12" s="34"/>
      <c r="VIC12" s="34"/>
      <c r="VIE12" s="34"/>
      <c r="VIF12" s="72"/>
      <c r="VIG12" s="63"/>
      <c r="VIH12" s="34"/>
      <c r="VII12" s="64"/>
      <c r="VIJ12" s="4"/>
      <c r="VIK12" s="65"/>
      <c r="VIL12" s="4"/>
      <c r="VIM12" s="4"/>
      <c r="VIN12" s="4"/>
      <c r="VIQ12" s="34"/>
      <c r="VIR12" s="34"/>
      <c r="VIT12" s="34"/>
      <c r="VIU12" s="72"/>
      <c r="VIV12" s="63"/>
      <c r="VIW12" s="34"/>
      <c r="VIX12" s="64"/>
      <c r="VIY12" s="4"/>
      <c r="VIZ12" s="65"/>
      <c r="VJA12" s="4"/>
      <c r="VJB12" s="4"/>
      <c r="VJC12" s="4"/>
      <c r="VJF12" s="34"/>
      <c r="VJG12" s="34"/>
      <c r="VJI12" s="34"/>
      <c r="VJJ12" s="72"/>
      <c r="VJK12" s="63"/>
      <c r="VJL12" s="34"/>
      <c r="VJM12" s="64"/>
      <c r="VJN12" s="4"/>
      <c r="VJO12" s="65"/>
      <c r="VJP12" s="4"/>
      <c r="VJQ12" s="4"/>
      <c r="VJR12" s="4"/>
      <c r="VJU12" s="34"/>
      <c r="VJV12" s="34"/>
      <c r="VJX12" s="34"/>
      <c r="VJY12" s="72"/>
      <c r="VJZ12" s="63"/>
      <c r="VKA12" s="34"/>
      <c r="VKB12" s="64"/>
      <c r="VKC12" s="4"/>
      <c r="VKD12" s="65"/>
      <c r="VKE12" s="4"/>
      <c r="VKF12" s="4"/>
      <c r="VKG12" s="4"/>
      <c r="VKJ12" s="34"/>
      <c r="VKK12" s="34"/>
      <c r="VKM12" s="34"/>
      <c r="VKN12" s="72"/>
      <c r="VKO12" s="63"/>
      <c r="VKP12" s="34"/>
      <c r="VKQ12" s="64"/>
      <c r="VKR12" s="4"/>
      <c r="VKS12" s="65"/>
      <c r="VKT12" s="4"/>
      <c r="VKU12" s="4"/>
      <c r="VKV12" s="4"/>
      <c r="VKY12" s="34"/>
      <c r="VKZ12" s="34"/>
      <c r="VLB12" s="34"/>
      <c r="VLC12" s="72"/>
      <c r="VLD12" s="63"/>
      <c r="VLE12" s="34"/>
      <c r="VLF12" s="64"/>
      <c r="VLG12" s="4"/>
      <c r="VLH12" s="65"/>
      <c r="VLI12" s="4"/>
      <c r="VLJ12" s="4"/>
      <c r="VLK12" s="4"/>
      <c r="VLN12" s="34"/>
      <c r="VLO12" s="34"/>
      <c r="VLQ12" s="34"/>
      <c r="VLR12" s="72"/>
      <c r="VLS12" s="63"/>
      <c r="VLT12" s="34"/>
      <c r="VLU12" s="64"/>
      <c r="VLV12" s="4"/>
      <c r="VLW12" s="65"/>
      <c r="VLX12" s="4"/>
      <c r="VLY12" s="4"/>
      <c r="VLZ12" s="4"/>
      <c r="VMC12" s="34"/>
      <c r="VMD12" s="34"/>
      <c r="VMF12" s="34"/>
      <c r="VMG12" s="72"/>
      <c r="VMH12" s="63"/>
      <c r="VMI12" s="34"/>
      <c r="VMJ12" s="64"/>
      <c r="VMK12" s="4"/>
      <c r="VML12" s="65"/>
      <c r="VMM12" s="4"/>
      <c r="VMN12" s="4"/>
      <c r="VMO12" s="4"/>
      <c r="VMR12" s="34"/>
      <c r="VMS12" s="34"/>
      <c r="VMU12" s="34"/>
      <c r="VMV12" s="72"/>
      <c r="VMW12" s="63"/>
      <c r="VMX12" s="34"/>
      <c r="VMY12" s="64"/>
      <c r="VMZ12" s="4"/>
      <c r="VNA12" s="65"/>
      <c r="VNB12" s="4"/>
      <c r="VNC12" s="4"/>
      <c r="VND12" s="4"/>
      <c r="VNG12" s="34"/>
      <c r="VNH12" s="34"/>
      <c r="VNJ12" s="34"/>
      <c r="VNK12" s="72"/>
      <c r="VNL12" s="63"/>
      <c r="VNM12" s="34"/>
      <c r="VNN12" s="64"/>
      <c r="VNO12" s="4"/>
      <c r="VNP12" s="65"/>
      <c r="VNQ12" s="4"/>
      <c r="VNR12" s="4"/>
      <c r="VNS12" s="4"/>
      <c r="VNV12" s="34"/>
      <c r="VNW12" s="34"/>
      <c r="VNY12" s="34"/>
      <c r="VNZ12" s="72"/>
      <c r="VOA12" s="63"/>
      <c r="VOB12" s="34"/>
      <c r="VOC12" s="64"/>
      <c r="VOD12" s="4"/>
      <c r="VOE12" s="65"/>
      <c r="VOF12" s="4"/>
      <c r="VOG12" s="4"/>
      <c r="VOH12" s="4"/>
      <c r="VOK12" s="34"/>
      <c r="VOL12" s="34"/>
      <c r="VON12" s="34"/>
      <c r="VOO12" s="72"/>
      <c r="VOP12" s="63"/>
      <c r="VOQ12" s="34"/>
      <c r="VOR12" s="64"/>
      <c r="VOS12" s="4"/>
      <c r="VOT12" s="65"/>
      <c r="VOU12" s="4"/>
      <c r="VOV12" s="4"/>
      <c r="VOW12" s="4"/>
      <c r="VOZ12" s="34"/>
      <c r="VPA12" s="34"/>
      <c r="VPC12" s="34"/>
      <c r="VPD12" s="72"/>
      <c r="VPE12" s="63"/>
      <c r="VPF12" s="34"/>
      <c r="VPG12" s="64"/>
      <c r="VPH12" s="4"/>
      <c r="VPI12" s="65"/>
      <c r="VPJ12" s="4"/>
      <c r="VPK12" s="4"/>
      <c r="VPL12" s="4"/>
      <c r="VPO12" s="34"/>
      <c r="VPP12" s="34"/>
      <c r="VPR12" s="34"/>
      <c r="VPS12" s="72"/>
      <c r="VPT12" s="63"/>
      <c r="VPU12" s="34"/>
      <c r="VPV12" s="64"/>
      <c r="VPW12" s="4"/>
      <c r="VPX12" s="65"/>
      <c r="VPY12" s="4"/>
      <c r="VPZ12" s="4"/>
      <c r="VQA12" s="4"/>
      <c r="VQD12" s="34"/>
      <c r="VQE12" s="34"/>
      <c r="VQG12" s="34"/>
      <c r="VQH12" s="72"/>
      <c r="VQI12" s="63"/>
      <c r="VQJ12" s="34"/>
      <c r="VQK12" s="64"/>
      <c r="VQL12" s="4"/>
      <c r="VQM12" s="65"/>
      <c r="VQN12" s="4"/>
      <c r="VQO12" s="4"/>
      <c r="VQP12" s="4"/>
      <c r="VQS12" s="34"/>
      <c r="VQT12" s="34"/>
      <c r="VQV12" s="34"/>
      <c r="VQW12" s="72"/>
      <c r="VQX12" s="63"/>
      <c r="VQY12" s="34"/>
      <c r="VQZ12" s="64"/>
      <c r="VRA12" s="4"/>
      <c r="VRB12" s="65"/>
      <c r="VRC12" s="4"/>
      <c r="VRD12" s="4"/>
      <c r="VRE12" s="4"/>
      <c r="VRH12" s="34"/>
      <c r="VRI12" s="34"/>
      <c r="VRK12" s="34"/>
      <c r="VRL12" s="72"/>
      <c r="VRM12" s="63"/>
      <c r="VRN12" s="34"/>
      <c r="VRO12" s="64"/>
      <c r="VRP12" s="4"/>
      <c r="VRQ12" s="65"/>
      <c r="VRR12" s="4"/>
      <c r="VRS12" s="4"/>
      <c r="VRT12" s="4"/>
      <c r="VRW12" s="34"/>
      <c r="VRX12" s="34"/>
      <c r="VRZ12" s="34"/>
      <c r="VSA12" s="72"/>
      <c r="VSB12" s="63"/>
      <c r="VSC12" s="34"/>
      <c r="VSD12" s="64"/>
      <c r="VSE12" s="4"/>
      <c r="VSF12" s="65"/>
      <c r="VSG12" s="4"/>
      <c r="VSH12" s="4"/>
      <c r="VSI12" s="4"/>
      <c r="VSL12" s="34"/>
      <c r="VSM12" s="34"/>
      <c r="VSO12" s="34"/>
      <c r="VSP12" s="72"/>
      <c r="VSQ12" s="63"/>
      <c r="VSR12" s="34"/>
      <c r="VSS12" s="64"/>
      <c r="VST12" s="4"/>
      <c r="VSU12" s="65"/>
      <c r="VSV12" s="4"/>
      <c r="VSW12" s="4"/>
      <c r="VSX12" s="4"/>
      <c r="VTA12" s="34"/>
      <c r="VTB12" s="34"/>
      <c r="VTD12" s="34"/>
      <c r="VTE12" s="72"/>
      <c r="VTF12" s="63"/>
      <c r="VTG12" s="34"/>
      <c r="VTH12" s="64"/>
      <c r="VTI12" s="4"/>
      <c r="VTJ12" s="65"/>
      <c r="VTK12" s="4"/>
      <c r="VTL12" s="4"/>
      <c r="VTM12" s="4"/>
      <c r="VTP12" s="34"/>
      <c r="VTQ12" s="34"/>
      <c r="VTS12" s="34"/>
      <c r="VTT12" s="72"/>
      <c r="VTU12" s="63"/>
      <c r="VTV12" s="34"/>
      <c r="VTW12" s="64"/>
      <c r="VTX12" s="4"/>
      <c r="VTY12" s="65"/>
      <c r="VTZ12" s="4"/>
      <c r="VUA12" s="4"/>
      <c r="VUB12" s="4"/>
      <c r="VUE12" s="34"/>
      <c r="VUF12" s="34"/>
      <c r="VUH12" s="34"/>
      <c r="VUI12" s="72"/>
      <c r="VUJ12" s="63"/>
      <c r="VUK12" s="34"/>
      <c r="VUL12" s="64"/>
      <c r="VUM12" s="4"/>
      <c r="VUN12" s="65"/>
      <c r="VUO12" s="4"/>
      <c r="VUP12" s="4"/>
      <c r="VUQ12" s="4"/>
      <c r="VUT12" s="34"/>
      <c r="VUU12" s="34"/>
      <c r="VUW12" s="34"/>
      <c r="VUX12" s="72"/>
      <c r="VUY12" s="63"/>
      <c r="VUZ12" s="34"/>
      <c r="VVA12" s="64"/>
      <c r="VVB12" s="4"/>
      <c r="VVC12" s="65"/>
      <c r="VVD12" s="4"/>
      <c r="VVE12" s="4"/>
      <c r="VVF12" s="4"/>
      <c r="VVI12" s="34"/>
      <c r="VVJ12" s="34"/>
      <c r="VVL12" s="34"/>
      <c r="VVM12" s="72"/>
      <c r="VVN12" s="63"/>
      <c r="VVO12" s="34"/>
      <c r="VVP12" s="64"/>
      <c r="VVQ12" s="4"/>
      <c r="VVR12" s="65"/>
      <c r="VVS12" s="4"/>
      <c r="VVT12" s="4"/>
      <c r="VVU12" s="4"/>
      <c r="VVX12" s="34"/>
      <c r="VVY12" s="34"/>
      <c r="VWA12" s="34"/>
      <c r="VWB12" s="72"/>
      <c r="VWC12" s="63"/>
      <c r="VWD12" s="34"/>
      <c r="VWE12" s="64"/>
      <c r="VWF12" s="4"/>
      <c r="VWG12" s="65"/>
      <c r="VWH12" s="4"/>
      <c r="VWI12" s="4"/>
      <c r="VWJ12" s="4"/>
      <c r="VWM12" s="34"/>
      <c r="VWN12" s="34"/>
      <c r="VWP12" s="34"/>
      <c r="VWQ12" s="72"/>
      <c r="VWR12" s="63"/>
      <c r="VWS12" s="34"/>
      <c r="VWT12" s="64"/>
      <c r="VWU12" s="4"/>
      <c r="VWV12" s="65"/>
      <c r="VWW12" s="4"/>
      <c r="VWX12" s="4"/>
      <c r="VWY12" s="4"/>
      <c r="VXB12" s="34"/>
      <c r="VXC12" s="34"/>
      <c r="VXE12" s="34"/>
      <c r="VXF12" s="72"/>
      <c r="VXG12" s="63"/>
      <c r="VXH12" s="34"/>
      <c r="VXI12" s="64"/>
      <c r="VXJ12" s="4"/>
      <c r="VXK12" s="65"/>
      <c r="VXL12" s="4"/>
      <c r="VXM12" s="4"/>
      <c r="VXN12" s="4"/>
      <c r="VXQ12" s="34"/>
      <c r="VXR12" s="34"/>
      <c r="VXT12" s="34"/>
      <c r="VXU12" s="72"/>
      <c r="VXV12" s="63"/>
      <c r="VXW12" s="34"/>
      <c r="VXX12" s="64"/>
      <c r="VXY12" s="4"/>
      <c r="VXZ12" s="65"/>
      <c r="VYA12" s="4"/>
      <c r="VYB12" s="4"/>
      <c r="VYC12" s="4"/>
      <c r="VYF12" s="34"/>
      <c r="VYG12" s="34"/>
      <c r="VYI12" s="34"/>
      <c r="VYJ12" s="72"/>
      <c r="VYK12" s="63"/>
      <c r="VYL12" s="34"/>
      <c r="VYM12" s="64"/>
      <c r="VYN12" s="4"/>
      <c r="VYO12" s="65"/>
      <c r="VYP12" s="4"/>
      <c r="VYQ12" s="4"/>
      <c r="VYR12" s="4"/>
      <c r="VYU12" s="34"/>
      <c r="VYV12" s="34"/>
      <c r="VYX12" s="34"/>
      <c r="VYY12" s="72"/>
      <c r="VYZ12" s="63"/>
      <c r="VZA12" s="34"/>
      <c r="VZB12" s="64"/>
      <c r="VZC12" s="4"/>
      <c r="VZD12" s="65"/>
      <c r="VZE12" s="4"/>
      <c r="VZF12" s="4"/>
      <c r="VZG12" s="4"/>
      <c r="VZJ12" s="34"/>
      <c r="VZK12" s="34"/>
      <c r="VZM12" s="34"/>
      <c r="VZN12" s="72"/>
      <c r="VZO12" s="63"/>
      <c r="VZP12" s="34"/>
      <c r="VZQ12" s="64"/>
      <c r="VZR12" s="4"/>
      <c r="VZS12" s="65"/>
      <c r="VZT12" s="4"/>
      <c r="VZU12" s="4"/>
      <c r="VZV12" s="4"/>
      <c r="VZY12" s="34"/>
      <c r="VZZ12" s="34"/>
      <c r="WAB12" s="34"/>
      <c r="WAC12" s="72"/>
      <c r="WAD12" s="63"/>
      <c r="WAE12" s="34"/>
      <c r="WAF12" s="64"/>
      <c r="WAG12" s="4"/>
      <c r="WAH12" s="65"/>
      <c r="WAI12" s="4"/>
      <c r="WAJ12" s="4"/>
      <c r="WAK12" s="4"/>
      <c r="WAN12" s="34"/>
      <c r="WAO12" s="34"/>
      <c r="WAQ12" s="34"/>
      <c r="WAR12" s="72"/>
      <c r="WAS12" s="63"/>
      <c r="WAT12" s="34"/>
      <c r="WAU12" s="64"/>
      <c r="WAV12" s="4"/>
      <c r="WAW12" s="65"/>
      <c r="WAX12" s="4"/>
      <c r="WAY12" s="4"/>
      <c r="WAZ12" s="4"/>
      <c r="WBC12" s="34"/>
      <c r="WBD12" s="34"/>
      <c r="WBF12" s="34"/>
      <c r="WBG12" s="72"/>
      <c r="WBH12" s="63"/>
      <c r="WBI12" s="34"/>
      <c r="WBJ12" s="64"/>
      <c r="WBK12" s="4"/>
      <c r="WBL12" s="65"/>
      <c r="WBM12" s="4"/>
      <c r="WBN12" s="4"/>
      <c r="WBO12" s="4"/>
      <c r="WBR12" s="34"/>
      <c r="WBS12" s="34"/>
      <c r="WBU12" s="34"/>
      <c r="WBV12" s="72"/>
      <c r="WBW12" s="63"/>
      <c r="WBX12" s="34"/>
      <c r="WBY12" s="64"/>
      <c r="WBZ12" s="4"/>
      <c r="WCA12" s="65"/>
      <c r="WCB12" s="4"/>
      <c r="WCC12" s="4"/>
      <c r="WCD12" s="4"/>
      <c r="WCG12" s="34"/>
      <c r="WCH12" s="34"/>
      <c r="WCJ12" s="34"/>
      <c r="WCK12" s="72"/>
      <c r="WCL12" s="63"/>
      <c r="WCM12" s="34"/>
      <c r="WCN12" s="64"/>
      <c r="WCO12" s="4"/>
      <c r="WCP12" s="65"/>
      <c r="WCQ12" s="4"/>
      <c r="WCR12" s="4"/>
      <c r="WCS12" s="4"/>
      <c r="WCV12" s="34"/>
      <c r="WCW12" s="34"/>
      <c r="WCY12" s="34"/>
      <c r="WCZ12" s="72"/>
      <c r="WDA12" s="63"/>
      <c r="WDB12" s="34"/>
      <c r="WDC12" s="64"/>
      <c r="WDD12" s="4"/>
      <c r="WDE12" s="65"/>
      <c r="WDF12" s="4"/>
      <c r="WDG12" s="4"/>
      <c r="WDH12" s="4"/>
      <c r="WDK12" s="34"/>
      <c r="WDL12" s="34"/>
      <c r="WDN12" s="34"/>
      <c r="WDO12" s="72"/>
      <c r="WDP12" s="63"/>
      <c r="WDQ12" s="34"/>
      <c r="WDR12" s="64"/>
      <c r="WDS12" s="4"/>
      <c r="WDT12" s="65"/>
      <c r="WDU12" s="4"/>
      <c r="WDV12" s="4"/>
      <c r="WDW12" s="4"/>
      <c r="WDZ12" s="34"/>
      <c r="WEA12" s="34"/>
      <c r="WEC12" s="34"/>
      <c r="WED12" s="72"/>
      <c r="WEE12" s="63"/>
      <c r="WEF12" s="34"/>
      <c r="WEG12" s="64"/>
      <c r="WEH12" s="4"/>
      <c r="WEI12" s="65"/>
      <c r="WEJ12" s="4"/>
      <c r="WEK12" s="4"/>
      <c r="WEL12" s="4"/>
      <c r="WEO12" s="34"/>
      <c r="WEP12" s="34"/>
      <c r="WER12" s="34"/>
      <c r="WES12" s="72"/>
      <c r="WET12" s="63"/>
      <c r="WEU12" s="34"/>
      <c r="WEV12" s="64"/>
      <c r="WEW12" s="4"/>
      <c r="WEX12" s="65"/>
      <c r="WEY12" s="4"/>
      <c r="WEZ12" s="4"/>
      <c r="WFA12" s="4"/>
      <c r="WFD12" s="34"/>
      <c r="WFE12" s="34"/>
      <c r="WFG12" s="34"/>
      <c r="WFH12" s="72"/>
      <c r="WFI12" s="63"/>
      <c r="WFJ12" s="34"/>
      <c r="WFK12" s="64"/>
      <c r="WFL12" s="4"/>
      <c r="WFM12" s="65"/>
      <c r="WFN12" s="4"/>
      <c r="WFO12" s="4"/>
      <c r="WFP12" s="4"/>
      <c r="WFS12" s="34"/>
      <c r="WFT12" s="34"/>
      <c r="WFV12" s="34"/>
      <c r="WFW12" s="72"/>
      <c r="WFX12" s="63"/>
      <c r="WFY12" s="34"/>
      <c r="WFZ12" s="64"/>
      <c r="WGA12" s="4"/>
      <c r="WGB12" s="65"/>
      <c r="WGC12" s="4"/>
      <c r="WGD12" s="4"/>
      <c r="WGE12" s="4"/>
      <c r="WGH12" s="34"/>
      <c r="WGI12" s="34"/>
      <c r="WGK12" s="34"/>
      <c r="WGL12" s="72"/>
      <c r="WGM12" s="63"/>
      <c r="WGN12" s="34"/>
      <c r="WGO12" s="64"/>
      <c r="WGP12" s="4"/>
      <c r="WGQ12" s="65"/>
      <c r="WGR12" s="4"/>
      <c r="WGS12" s="4"/>
      <c r="WGT12" s="4"/>
      <c r="WGW12" s="34"/>
      <c r="WGX12" s="34"/>
      <c r="WGZ12" s="34"/>
      <c r="WHA12" s="72"/>
      <c r="WHB12" s="63"/>
      <c r="WHC12" s="34"/>
      <c r="WHD12" s="64"/>
      <c r="WHE12" s="4"/>
      <c r="WHF12" s="65"/>
      <c r="WHG12" s="4"/>
      <c r="WHH12" s="4"/>
      <c r="WHI12" s="4"/>
      <c r="WHL12" s="34"/>
      <c r="WHM12" s="34"/>
      <c r="WHO12" s="34"/>
      <c r="WHP12" s="72"/>
      <c r="WHQ12" s="63"/>
      <c r="WHR12" s="34"/>
      <c r="WHS12" s="64"/>
      <c r="WHT12" s="4"/>
      <c r="WHU12" s="65"/>
      <c r="WHV12" s="4"/>
      <c r="WHW12" s="4"/>
      <c r="WHX12" s="4"/>
      <c r="WIA12" s="34"/>
      <c r="WIB12" s="34"/>
      <c r="WID12" s="34"/>
      <c r="WIE12" s="72"/>
      <c r="WIF12" s="63"/>
      <c r="WIG12" s="34"/>
      <c r="WIH12" s="64"/>
      <c r="WII12" s="4"/>
      <c r="WIJ12" s="65"/>
      <c r="WIK12" s="4"/>
      <c r="WIL12" s="4"/>
      <c r="WIM12" s="4"/>
      <c r="WIP12" s="34"/>
      <c r="WIQ12" s="34"/>
      <c r="WIS12" s="34"/>
      <c r="WIT12" s="72"/>
      <c r="WIU12" s="63"/>
      <c r="WIV12" s="34"/>
      <c r="WIW12" s="64"/>
      <c r="WIX12" s="4"/>
      <c r="WIY12" s="65"/>
      <c r="WIZ12" s="4"/>
      <c r="WJA12" s="4"/>
      <c r="WJB12" s="4"/>
      <c r="WJE12" s="34"/>
      <c r="WJF12" s="34"/>
      <c r="WJH12" s="34"/>
      <c r="WJI12" s="72"/>
      <c r="WJJ12" s="63"/>
      <c r="WJK12" s="34"/>
      <c r="WJL12" s="64"/>
      <c r="WJM12" s="4"/>
      <c r="WJN12" s="65"/>
      <c r="WJO12" s="4"/>
      <c r="WJP12" s="4"/>
      <c r="WJQ12" s="4"/>
      <c r="WJT12" s="34"/>
      <c r="WJU12" s="34"/>
      <c r="WJW12" s="34"/>
      <c r="WJX12" s="72"/>
      <c r="WJY12" s="63"/>
      <c r="WJZ12" s="34"/>
      <c r="WKA12" s="64"/>
      <c r="WKB12" s="4"/>
      <c r="WKC12" s="65"/>
      <c r="WKD12" s="4"/>
      <c r="WKE12" s="4"/>
      <c r="WKF12" s="4"/>
      <c r="WKI12" s="34"/>
      <c r="WKJ12" s="34"/>
      <c r="WKL12" s="34"/>
      <c r="WKM12" s="72"/>
      <c r="WKN12" s="63"/>
      <c r="WKO12" s="34"/>
      <c r="WKP12" s="64"/>
      <c r="WKQ12" s="4"/>
      <c r="WKR12" s="65"/>
      <c r="WKS12" s="4"/>
      <c r="WKT12" s="4"/>
      <c r="WKU12" s="4"/>
      <c r="WKX12" s="34"/>
      <c r="WKY12" s="34"/>
      <c r="WLA12" s="34"/>
      <c r="WLB12" s="72"/>
      <c r="WLC12" s="63"/>
      <c r="WLD12" s="34"/>
      <c r="WLE12" s="64"/>
      <c r="WLF12" s="4"/>
      <c r="WLG12" s="65"/>
      <c r="WLH12" s="4"/>
      <c r="WLI12" s="4"/>
      <c r="WLJ12" s="4"/>
      <c r="WLM12" s="34"/>
      <c r="WLN12" s="34"/>
      <c r="WLP12" s="34"/>
      <c r="WLQ12" s="72"/>
      <c r="WLR12" s="63"/>
      <c r="WLS12" s="34"/>
      <c r="WLT12" s="64"/>
      <c r="WLU12" s="4"/>
      <c r="WLV12" s="65"/>
      <c r="WLW12" s="4"/>
      <c r="WLX12" s="4"/>
      <c r="WLY12" s="4"/>
      <c r="WMB12" s="34"/>
      <c r="WMC12" s="34"/>
      <c r="WME12" s="34"/>
      <c r="WMF12" s="72"/>
      <c r="WMG12" s="63"/>
      <c r="WMH12" s="34"/>
      <c r="WMI12" s="64"/>
      <c r="WMJ12" s="4"/>
      <c r="WMK12" s="65"/>
      <c r="WML12" s="4"/>
      <c r="WMM12" s="4"/>
      <c r="WMN12" s="4"/>
      <c r="WMQ12" s="34"/>
      <c r="WMR12" s="34"/>
      <c r="WMT12" s="34"/>
      <c r="WMU12" s="72"/>
      <c r="WMV12" s="63"/>
      <c r="WMW12" s="34"/>
      <c r="WMX12" s="64"/>
      <c r="WMY12" s="4"/>
      <c r="WMZ12" s="65"/>
      <c r="WNA12" s="4"/>
      <c r="WNB12" s="4"/>
      <c r="WNC12" s="4"/>
      <c r="WNF12" s="34"/>
      <c r="WNG12" s="34"/>
      <c r="WNI12" s="34"/>
      <c r="WNJ12" s="72"/>
      <c r="WNK12" s="63"/>
      <c r="WNL12" s="34"/>
      <c r="WNM12" s="64"/>
      <c r="WNN12" s="4"/>
      <c r="WNO12" s="65"/>
      <c r="WNP12" s="4"/>
      <c r="WNQ12" s="4"/>
      <c r="WNR12" s="4"/>
      <c r="WNU12" s="34"/>
      <c r="WNV12" s="34"/>
      <c r="WNX12" s="34"/>
      <c r="WNY12" s="72"/>
      <c r="WNZ12" s="63"/>
      <c r="WOA12" s="34"/>
      <c r="WOB12" s="64"/>
      <c r="WOC12" s="4"/>
      <c r="WOD12" s="65"/>
      <c r="WOE12" s="4"/>
      <c r="WOF12" s="4"/>
      <c r="WOG12" s="4"/>
      <c r="WOJ12" s="34"/>
      <c r="WOK12" s="34"/>
      <c r="WOM12" s="34"/>
      <c r="WON12" s="72"/>
      <c r="WOO12" s="63"/>
      <c r="WOP12" s="34"/>
      <c r="WOQ12" s="64"/>
      <c r="WOR12" s="4"/>
      <c r="WOS12" s="65"/>
      <c r="WOT12" s="4"/>
      <c r="WOU12" s="4"/>
      <c r="WOV12" s="4"/>
      <c r="WOY12" s="34"/>
      <c r="WOZ12" s="34"/>
      <c r="WPB12" s="34"/>
      <c r="WPC12" s="72"/>
      <c r="WPD12" s="63"/>
      <c r="WPE12" s="34"/>
      <c r="WPF12" s="64"/>
      <c r="WPG12" s="4"/>
      <c r="WPH12" s="65"/>
      <c r="WPI12" s="4"/>
      <c r="WPJ12" s="4"/>
      <c r="WPK12" s="4"/>
      <c r="WPN12" s="34"/>
      <c r="WPO12" s="34"/>
      <c r="WPQ12" s="34"/>
      <c r="WPR12" s="72"/>
      <c r="WPS12" s="63"/>
      <c r="WPT12" s="34"/>
      <c r="WPU12" s="64"/>
      <c r="WPV12" s="4"/>
      <c r="WPW12" s="65"/>
      <c r="WPX12" s="4"/>
      <c r="WPY12" s="4"/>
      <c r="WPZ12" s="4"/>
      <c r="WQC12" s="34"/>
      <c r="WQD12" s="34"/>
      <c r="WQF12" s="34"/>
      <c r="WQG12" s="72"/>
      <c r="WQH12" s="63"/>
      <c r="WQI12" s="34"/>
      <c r="WQJ12" s="64"/>
      <c r="WQK12" s="4"/>
      <c r="WQL12" s="65"/>
      <c r="WQM12" s="4"/>
      <c r="WQN12" s="4"/>
      <c r="WQO12" s="4"/>
      <c r="WQR12" s="34"/>
      <c r="WQS12" s="34"/>
      <c r="WQU12" s="34"/>
      <c r="WQV12" s="72"/>
      <c r="WQW12" s="63"/>
      <c r="WQX12" s="34"/>
      <c r="WQY12" s="64"/>
      <c r="WQZ12" s="4"/>
      <c r="WRA12" s="65"/>
      <c r="WRB12" s="4"/>
      <c r="WRC12" s="4"/>
      <c r="WRD12" s="4"/>
      <c r="WRG12" s="34"/>
      <c r="WRH12" s="34"/>
      <c r="WRJ12" s="34"/>
      <c r="WRK12" s="72"/>
      <c r="WRL12" s="63"/>
      <c r="WRM12" s="34"/>
      <c r="WRN12" s="64"/>
      <c r="WRO12" s="4"/>
      <c r="WRP12" s="65"/>
      <c r="WRQ12" s="4"/>
      <c r="WRR12" s="4"/>
      <c r="WRS12" s="4"/>
      <c r="WRV12" s="34"/>
      <c r="WRW12" s="34"/>
      <c r="WRY12" s="34"/>
      <c r="WRZ12" s="72"/>
      <c r="WSA12" s="63"/>
      <c r="WSB12" s="34"/>
      <c r="WSC12" s="64"/>
      <c r="WSD12" s="4"/>
      <c r="WSE12" s="65"/>
      <c r="WSF12" s="4"/>
      <c r="WSG12" s="4"/>
      <c r="WSH12" s="4"/>
      <c r="WSK12" s="34"/>
      <c r="WSL12" s="34"/>
      <c r="WSN12" s="34"/>
      <c r="WSO12" s="72"/>
      <c r="WSP12" s="63"/>
      <c r="WSQ12" s="34"/>
      <c r="WSR12" s="64"/>
      <c r="WSS12" s="4"/>
      <c r="WST12" s="65"/>
      <c r="WSU12" s="4"/>
      <c r="WSV12" s="4"/>
      <c r="WSW12" s="4"/>
      <c r="WSZ12" s="34"/>
      <c r="WTA12" s="34"/>
      <c r="WTC12" s="34"/>
      <c r="WTD12" s="72"/>
      <c r="WTE12" s="63"/>
      <c r="WTF12" s="34"/>
      <c r="WTG12" s="64"/>
      <c r="WTH12" s="4"/>
      <c r="WTI12" s="65"/>
      <c r="WTJ12" s="4"/>
      <c r="WTK12" s="4"/>
      <c r="WTL12" s="4"/>
      <c r="WTO12" s="34"/>
      <c r="WTP12" s="34"/>
      <c r="WTR12" s="34"/>
      <c r="WTS12" s="72"/>
      <c r="WTT12" s="63"/>
      <c r="WTU12" s="34"/>
      <c r="WTV12" s="64"/>
      <c r="WTW12" s="4"/>
      <c r="WTX12" s="65"/>
      <c r="WTY12" s="4"/>
      <c r="WTZ12" s="4"/>
      <c r="WUA12" s="4"/>
      <c r="WUD12" s="34"/>
      <c r="WUE12" s="34"/>
      <c r="WUG12" s="34"/>
      <c r="WUH12" s="72"/>
      <c r="WUI12" s="63"/>
      <c r="WUJ12" s="34"/>
      <c r="WUK12" s="64"/>
      <c r="WUL12" s="4"/>
      <c r="WUM12" s="65"/>
      <c r="WUN12" s="4"/>
      <c r="WUO12" s="4"/>
      <c r="WUP12" s="4"/>
      <c r="WUS12" s="34"/>
      <c r="WUT12" s="34"/>
      <c r="WUV12" s="34"/>
      <c r="WUW12" s="72"/>
      <c r="WUX12" s="63"/>
      <c r="WUY12" s="34"/>
      <c r="WUZ12" s="64"/>
      <c r="WVA12" s="4"/>
      <c r="WVB12" s="65"/>
      <c r="WVC12" s="4"/>
      <c r="WVD12" s="4"/>
      <c r="WVE12" s="4"/>
      <c r="WVH12" s="34"/>
      <c r="WVI12" s="34"/>
      <c r="WVK12" s="34"/>
      <c r="WVL12" s="72"/>
      <c r="WVM12" s="63"/>
      <c r="WVN12" s="34"/>
      <c r="WVO12" s="64"/>
      <c r="WVP12" s="4"/>
      <c r="WVQ12" s="65"/>
      <c r="WVR12" s="4"/>
      <c r="WVS12" s="4"/>
      <c r="WVT12" s="4"/>
      <c r="WVW12" s="34"/>
      <c r="WVX12" s="34"/>
      <c r="WVZ12" s="34"/>
      <c r="WWA12" s="72"/>
      <c r="WWB12" s="63"/>
      <c r="WWC12" s="34"/>
      <c r="WWD12" s="64"/>
      <c r="WWE12" s="4"/>
      <c r="WWF12" s="65"/>
      <c r="WWG12" s="4"/>
      <c r="WWH12" s="4"/>
      <c r="WWI12" s="4"/>
      <c r="WWL12" s="34"/>
      <c r="WWM12" s="34"/>
      <c r="WWO12" s="34"/>
      <c r="WWP12" s="72"/>
      <c r="WWQ12" s="63"/>
      <c r="WWR12" s="34"/>
      <c r="WWS12" s="64"/>
      <c r="WWT12" s="4"/>
      <c r="WWU12" s="65"/>
      <c r="WWV12" s="4"/>
      <c r="WWW12" s="4"/>
      <c r="WWX12" s="4"/>
      <c r="WXA12" s="34"/>
      <c r="WXB12" s="34"/>
      <c r="WXD12" s="34"/>
      <c r="WXE12" s="72"/>
      <c r="WXF12" s="63"/>
      <c r="WXG12" s="34"/>
      <c r="WXH12" s="64"/>
      <c r="WXI12" s="4"/>
      <c r="WXJ12" s="65"/>
      <c r="WXK12" s="4"/>
      <c r="WXL12" s="4"/>
      <c r="WXM12" s="4"/>
      <c r="WXP12" s="34"/>
      <c r="WXQ12" s="34"/>
      <c r="WXS12" s="34"/>
      <c r="WXT12" s="72"/>
      <c r="WXU12" s="63"/>
      <c r="WXV12" s="34"/>
      <c r="WXW12" s="64"/>
      <c r="WXX12" s="4"/>
      <c r="WXY12" s="65"/>
      <c r="WXZ12" s="4"/>
      <c r="WYA12" s="4"/>
      <c r="WYB12" s="4"/>
      <c r="WYE12" s="34"/>
      <c r="WYF12" s="34"/>
      <c r="WYH12" s="34"/>
      <c r="WYI12" s="72"/>
      <c r="WYJ12" s="63"/>
      <c r="WYK12" s="34"/>
      <c r="WYL12" s="64"/>
      <c r="WYM12" s="4"/>
      <c r="WYN12" s="65"/>
      <c r="WYO12" s="4"/>
      <c r="WYP12" s="4"/>
      <c r="WYQ12" s="4"/>
      <c r="WYT12" s="34"/>
      <c r="WYU12" s="34"/>
      <c r="WYW12" s="34"/>
      <c r="WYX12" s="72"/>
      <c r="WYY12" s="63"/>
      <c r="WYZ12" s="34"/>
      <c r="WZA12" s="64"/>
      <c r="WZB12" s="4"/>
      <c r="WZC12" s="65"/>
      <c r="WZD12" s="4"/>
      <c r="WZE12" s="4"/>
      <c r="WZF12" s="4"/>
      <c r="WZI12" s="34"/>
      <c r="WZJ12" s="34"/>
      <c r="WZL12" s="34"/>
      <c r="WZM12" s="72"/>
      <c r="WZN12" s="63"/>
      <c r="WZO12" s="34"/>
      <c r="WZP12" s="64"/>
      <c r="WZQ12" s="4"/>
      <c r="WZR12" s="65"/>
      <c r="WZS12" s="4"/>
      <c r="WZT12" s="4"/>
      <c r="WZU12" s="4"/>
      <c r="WZX12" s="34"/>
      <c r="WZY12" s="34"/>
      <c r="XAA12" s="34"/>
      <c r="XAB12" s="72"/>
      <c r="XAC12" s="63"/>
      <c r="XAD12" s="34"/>
      <c r="XAE12" s="64"/>
      <c r="XAF12" s="4"/>
      <c r="XAG12" s="65"/>
      <c r="XAH12" s="4"/>
      <c r="XAI12" s="4"/>
      <c r="XAJ12" s="4"/>
      <c r="XAM12" s="34"/>
      <c r="XAN12" s="34"/>
      <c r="XAP12" s="34"/>
      <c r="XAQ12" s="72"/>
      <c r="XAR12" s="63"/>
      <c r="XAS12" s="34"/>
      <c r="XAT12" s="64"/>
      <c r="XAU12" s="4"/>
      <c r="XAV12" s="65"/>
      <c r="XAW12" s="4"/>
      <c r="XAX12" s="4"/>
      <c r="XAY12" s="4"/>
      <c r="XBB12" s="34"/>
      <c r="XBC12" s="34"/>
      <c r="XBE12" s="34"/>
      <c r="XBF12" s="72"/>
      <c r="XBG12" s="63"/>
      <c r="XBH12" s="34"/>
      <c r="XBI12" s="64"/>
      <c r="XBJ12" s="4"/>
      <c r="XBK12" s="65"/>
      <c r="XBL12" s="4"/>
      <c r="XBM12" s="4"/>
      <c r="XBN12" s="4"/>
      <c r="XBQ12" s="34"/>
      <c r="XBR12" s="34"/>
      <c r="XBT12" s="34"/>
      <c r="XBU12" s="72"/>
      <c r="XBV12" s="63"/>
      <c r="XBW12" s="34"/>
      <c r="XBX12" s="64"/>
      <c r="XBY12" s="4"/>
      <c r="XBZ12" s="65"/>
      <c r="XCA12" s="4"/>
      <c r="XCB12" s="4"/>
      <c r="XCC12" s="4"/>
      <c r="XCF12" s="34"/>
      <c r="XCG12" s="34"/>
      <c r="XCI12" s="34"/>
      <c r="XCJ12" s="72"/>
      <c r="XCK12" s="63"/>
      <c r="XCL12" s="34"/>
      <c r="XCM12" s="64"/>
      <c r="XCN12" s="4"/>
      <c r="XCO12" s="65"/>
      <c r="XCP12" s="4"/>
      <c r="XCQ12" s="4"/>
      <c r="XCR12" s="4"/>
      <c r="XCU12" s="34"/>
      <c r="XCV12" s="34"/>
      <c r="XCX12" s="34"/>
      <c r="XCY12" s="72"/>
      <c r="XCZ12" s="63"/>
      <c r="XDA12" s="34"/>
      <c r="XDB12" s="64"/>
      <c r="XDC12" s="4"/>
      <c r="XDD12" s="65"/>
      <c r="XDE12" s="4"/>
      <c r="XDF12" s="4"/>
      <c r="XDG12" s="4"/>
      <c r="XDJ12" s="34"/>
      <c r="XDK12" s="34"/>
      <c r="XDM12" s="34"/>
      <c r="XDN12" s="72"/>
      <c r="XDO12" s="63"/>
      <c r="XDP12" s="34"/>
      <c r="XDQ12" s="64"/>
      <c r="XDR12" s="4"/>
      <c r="XDS12" s="65"/>
      <c r="XDT12" s="4"/>
      <c r="XDU12" s="4"/>
      <c r="XDV12" s="4"/>
      <c r="XDY12" s="34"/>
      <c r="XDZ12" s="34"/>
      <c r="XEB12" s="34"/>
      <c r="XEC12" s="72"/>
      <c r="XED12" s="63"/>
      <c r="XEE12" s="34"/>
      <c r="XEF12" s="64"/>
      <c r="XEG12" s="4"/>
      <c r="XEH12" s="65"/>
      <c r="XEI12" s="4"/>
      <c r="XEJ12" s="4"/>
      <c r="XEK12" s="4"/>
      <c r="XEN12" s="34"/>
      <c r="XEO12" s="34"/>
      <c r="XEQ12" s="34"/>
      <c r="XER12" s="72"/>
      <c r="XES12" s="63"/>
      <c r="XET12" s="34"/>
      <c r="XEU12" s="64"/>
      <c r="XEV12" s="4"/>
      <c r="XEW12" s="65"/>
      <c r="XEX12" s="4"/>
      <c r="XEY12" s="4"/>
      <c r="XEZ12" s="4"/>
      <c r="XFC12" s="34"/>
      <c r="XFD12" s="34"/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C308-12E3-41C6-A506-E0B0153C62DE}">
  <sheetPr codeName="Hoja4"/>
  <dimension ref="A1:H9"/>
  <sheetViews>
    <sheetView workbookViewId="0">
      <selection activeCell="G7" sqref="G7"/>
    </sheetView>
  </sheetViews>
  <sheetFormatPr baseColWidth="10" defaultRowHeight="14.4" x14ac:dyDescent="0.3"/>
  <sheetData>
    <row r="1" spans="1:8" x14ac:dyDescent="0.3">
      <c r="A1" s="1" t="s">
        <v>239</v>
      </c>
      <c r="B1" s="1" t="s">
        <v>240</v>
      </c>
      <c r="C1" s="1" t="s">
        <v>241</v>
      </c>
      <c r="D1" s="1" t="s">
        <v>242</v>
      </c>
      <c r="E1" s="1" t="s">
        <v>243</v>
      </c>
      <c r="F1" s="1" t="s">
        <v>244</v>
      </c>
      <c r="G1" s="1" t="s">
        <v>245</v>
      </c>
      <c r="H1" s="1" t="s">
        <v>246</v>
      </c>
    </row>
    <row r="2" spans="1:8" x14ac:dyDescent="0.3">
      <c r="A2" t="s">
        <v>247</v>
      </c>
      <c r="B2" s="22">
        <v>72.5832085106383</v>
      </c>
      <c r="C2" s="22">
        <v>101.1170258964144</v>
      </c>
      <c r="D2" s="22">
        <v>130.25394466403159</v>
      </c>
      <c r="E2" s="22">
        <v>192.7763543307087</v>
      </c>
      <c r="F2" s="22">
        <v>275.47819169960468</v>
      </c>
      <c r="G2" s="22">
        <v>269.37160912698408</v>
      </c>
      <c r="H2" s="22">
        <v>296.43784431137738</v>
      </c>
    </row>
    <row r="3" spans="1:8" x14ac:dyDescent="0.3">
      <c r="A3" t="s">
        <v>248</v>
      </c>
      <c r="B3" s="22">
        <v>72.180000000000007</v>
      </c>
      <c r="C3" s="22">
        <v>101.33499999999999</v>
      </c>
      <c r="D3" s="22">
        <v>135.06</v>
      </c>
      <c r="E3" s="22">
        <v>200.48</v>
      </c>
      <c r="F3" s="22">
        <v>272.80500000000001</v>
      </c>
      <c r="G3" s="22">
        <v>265.71749999999997</v>
      </c>
      <c r="H3" s="22">
        <v>306.68</v>
      </c>
    </row>
    <row r="4" spans="1:8" x14ac:dyDescent="0.3">
      <c r="A4" t="s">
        <v>249</v>
      </c>
      <c r="B4" s="22">
        <v>65.879750000000001</v>
      </c>
      <c r="C4" s="22">
        <v>94.022500000000008</v>
      </c>
      <c r="D4" s="22">
        <v>119.125</v>
      </c>
      <c r="E4" s="22">
        <v>174.24625</v>
      </c>
      <c r="F4" s="22">
        <v>243.91</v>
      </c>
      <c r="G4" s="22">
        <v>246.04624999999999</v>
      </c>
      <c r="H4" s="22">
        <v>260.11</v>
      </c>
    </row>
    <row r="5" spans="1:8" x14ac:dyDescent="0.3">
      <c r="A5" t="s">
        <v>250</v>
      </c>
      <c r="B5" s="22">
        <v>72.180000000000007</v>
      </c>
      <c r="C5" s="22">
        <v>101.33499999999999</v>
      </c>
      <c r="D5" s="22">
        <v>135.06</v>
      </c>
      <c r="E5" s="22">
        <v>200.48</v>
      </c>
      <c r="F5" s="22">
        <v>272.80500000000001</v>
      </c>
      <c r="G5" s="22">
        <v>265.71749999999997</v>
      </c>
      <c r="H5" s="22">
        <v>306.68</v>
      </c>
    </row>
    <row r="6" spans="1:8" x14ac:dyDescent="0.3">
      <c r="A6" t="s">
        <v>251</v>
      </c>
      <c r="B6" s="22">
        <v>75.5</v>
      </c>
      <c r="C6" s="22">
        <v>108.23</v>
      </c>
      <c r="D6" s="22">
        <v>139.67949999999999</v>
      </c>
      <c r="E6" s="22">
        <v>212.87</v>
      </c>
      <c r="F6" s="22">
        <v>301.11</v>
      </c>
      <c r="G6" s="22">
        <v>290.41874999999999</v>
      </c>
      <c r="H6" s="22">
        <v>331.34500000000003</v>
      </c>
    </row>
    <row r="7" spans="1:8" x14ac:dyDescent="0.3">
      <c r="A7" t="s">
        <v>252</v>
      </c>
      <c r="B7" s="22">
        <v>24.150000000000009</v>
      </c>
      <c r="C7" s="22">
        <v>29.405000000000001</v>
      </c>
      <c r="D7" s="22">
        <v>59.97999999999999</v>
      </c>
      <c r="E7" s="22">
        <v>92.08499999999998</v>
      </c>
      <c r="F7" s="22">
        <v>131.905</v>
      </c>
      <c r="G7" s="22">
        <v>120.23</v>
      </c>
      <c r="H7" s="22">
        <v>138.41999999999999</v>
      </c>
    </row>
    <row r="8" spans="1:8" x14ac:dyDescent="0.3">
      <c r="A8" t="s">
        <v>253</v>
      </c>
      <c r="B8" s="22">
        <v>46.332351892693538</v>
      </c>
      <c r="C8" s="22">
        <v>62.890852894747667</v>
      </c>
      <c r="D8" s="22">
        <v>226.62940978745169</v>
      </c>
      <c r="E8" s="22">
        <v>535.24068628192981</v>
      </c>
      <c r="F8" s="22">
        <v>1364.0034865096941</v>
      </c>
      <c r="G8" s="22">
        <v>693.53517196725738</v>
      </c>
      <c r="H8" s="22">
        <v>1362.0533034368391</v>
      </c>
    </row>
    <row r="9" spans="1:8" x14ac:dyDescent="0.3">
      <c r="A9" t="s">
        <v>254</v>
      </c>
      <c r="B9" s="22">
        <v>6.8067871931399138</v>
      </c>
      <c r="C9" s="22">
        <v>7.930375331265707</v>
      </c>
      <c r="D9" s="22">
        <v>15.05421568157743</v>
      </c>
      <c r="E9" s="22">
        <v>23.135269315094</v>
      </c>
      <c r="F9" s="22">
        <v>36.932417826479949</v>
      </c>
      <c r="G9" s="22">
        <v>26.33505595147383</v>
      </c>
      <c r="H9" s="22">
        <v>36.906006332802242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44BE9-896C-44C6-B07C-B9D1BEE59619}">
  <sheetPr>
    <tabColor rgb="FFFFFF00"/>
  </sheetPr>
  <dimension ref="A1:I169"/>
  <sheetViews>
    <sheetView workbookViewId="0">
      <selection activeCell="E14" sqref="E14"/>
    </sheetView>
  </sheetViews>
  <sheetFormatPr baseColWidth="10" defaultRowHeight="14.4" x14ac:dyDescent="0.3"/>
  <sheetData>
    <row r="1" spans="1:9" x14ac:dyDescent="0.3">
      <c r="A1" t="s">
        <v>9</v>
      </c>
      <c r="C1" t="s">
        <v>10</v>
      </c>
      <c r="F1" t="s">
        <v>9</v>
      </c>
      <c r="H1" t="s">
        <v>10</v>
      </c>
    </row>
    <row r="2" spans="1:9" x14ac:dyDescent="0.3">
      <c r="A2" t="s">
        <v>12</v>
      </c>
      <c r="B2" t="s">
        <v>13</v>
      </c>
      <c r="C2" t="s">
        <v>12</v>
      </c>
      <c r="D2" t="s">
        <v>13</v>
      </c>
      <c r="F2" t="s">
        <v>12</v>
      </c>
      <c r="G2" t="s">
        <v>13</v>
      </c>
      <c r="H2" t="s">
        <v>12</v>
      </c>
      <c r="I2" t="s">
        <v>13</v>
      </c>
    </row>
    <row r="3" spans="1:9" x14ac:dyDescent="0.3">
      <c r="A3">
        <v>100000</v>
      </c>
      <c r="B3">
        <v>-1407.0599851888487</v>
      </c>
      <c r="C3">
        <v>100000</v>
      </c>
      <c r="D3">
        <v>-1407.0599851888487</v>
      </c>
      <c r="E3">
        <v>-1.6000599851888488E-2</v>
      </c>
      <c r="F3">
        <v>100000</v>
      </c>
      <c r="G3">
        <v>-1600.0599851888487</v>
      </c>
      <c r="H3">
        <v>100000</v>
      </c>
      <c r="I3">
        <v>-1600.0599851888487</v>
      </c>
    </row>
    <row r="4" spans="1:9" x14ac:dyDescent="0.3">
      <c r="A4">
        <v>98586.940014811145</v>
      </c>
      <c r="B4">
        <v>-1532.7400146179964</v>
      </c>
      <c r="C4">
        <v>98586.940014811145</v>
      </c>
      <c r="D4">
        <v>-1511.0814787944516</v>
      </c>
      <c r="E4">
        <v>-1.7257400146179963E-2</v>
      </c>
      <c r="F4">
        <v>98387.940014811145</v>
      </c>
      <c r="G4">
        <v>-1725.7400146179964</v>
      </c>
      <c r="H4">
        <v>98387.940014811145</v>
      </c>
      <c r="I4">
        <v>-1697.9200503939473</v>
      </c>
    </row>
    <row r="5" spans="1:9" x14ac:dyDescent="0.3">
      <c r="A5">
        <v>97048.200000193145</v>
      </c>
      <c r="B5">
        <v>-2113.327169462415</v>
      </c>
      <c r="C5">
        <v>97069.858536016691</v>
      </c>
      <c r="D5">
        <v>-2051.4036938003719</v>
      </c>
      <c r="E5">
        <v>-2.306327169462415E-2</v>
      </c>
      <c r="F5">
        <v>96650.200000193145</v>
      </c>
      <c r="G5">
        <v>-2306.327169462415</v>
      </c>
      <c r="H5">
        <v>96678.019964417195</v>
      </c>
      <c r="I5">
        <v>-2229.7114413376516</v>
      </c>
    </row>
    <row r="6" spans="1:9" x14ac:dyDescent="0.3">
      <c r="A6">
        <v>94928.872830730732</v>
      </c>
      <c r="B6">
        <v>739.24731182795949</v>
      </c>
      <c r="C6">
        <v>95012.454842216321</v>
      </c>
      <c r="D6">
        <v>702.37701832283813</v>
      </c>
      <c r="E6">
        <v>5.4624731182795951E-3</v>
      </c>
      <c r="F6">
        <v>94331.872830730732</v>
      </c>
      <c r="G6">
        <v>546.24731182795949</v>
      </c>
      <c r="H6">
        <v>94436.30852307954</v>
      </c>
      <c r="I6">
        <v>515.85579669688025</v>
      </c>
    </row>
    <row r="7" spans="1:9" x14ac:dyDescent="0.3">
      <c r="A7">
        <v>95662.120142558691</v>
      </c>
      <c r="B7">
        <v>99.162626707798282</v>
      </c>
      <c r="C7">
        <v>95708.831860539154</v>
      </c>
      <c r="D7">
        <v>94.907391664260743</v>
      </c>
      <c r="E7">
        <v>-9.3837373292201729E-4</v>
      </c>
      <c r="F7">
        <v>94866.120142558691</v>
      </c>
      <c r="G7">
        <v>-93.837373292201733</v>
      </c>
      <c r="H7">
        <v>94940.164319776421</v>
      </c>
      <c r="I7">
        <v>-89.089356396978317</v>
      </c>
    </row>
    <row r="8" spans="1:9" x14ac:dyDescent="0.3">
      <c r="A8">
        <v>95755.282769266487</v>
      </c>
      <c r="B8">
        <v>454.25618293137728</v>
      </c>
      <c r="C8">
        <v>95797.739252203421</v>
      </c>
      <c r="D8">
        <v>435.16715366161299</v>
      </c>
      <c r="E8">
        <v>2.6125618293137724E-3</v>
      </c>
      <c r="F8">
        <v>94760.282769266487</v>
      </c>
      <c r="G8">
        <v>261.25618293137723</v>
      </c>
      <c r="H8">
        <v>94839.074963379448</v>
      </c>
      <c r="I8">
        <v>247.77294717675261</v>
      </c>
    </row>
    <row r="9" spans="1:9" x14ac:dyDescent="0.3">
      <c r="A9">
        <v>96203.538952197865</v>
      </c>
      <c r="B9">
        <v>1748.70466321244</v>
      </c>
      <c r="C9">
        <v>96226.90640586504</v>
      </c>
      <c r="D9">
        <v>1682.7243995844321</v>
      </c>
      <c r="E9">
        <v>1.5557046632124401E-2</v>
      </c>
      <c r="F9">
        <v>95009.538952197865</v>
      </c>
      <c r="G9">
        <v>1555.7046632124402</v>
      </c>
      <c r="H9">
        <v>95074.8479105562</v>
      </c>
      <c r="I9">
        <v>1479.0838424866579</v>
      </c>
    </row>
    <row r="10" spans="1:9" x14ac:dyDescent="0.3">
      <c r="A10">
        <v>97946.243615410305</v>
      </c>
      <c r="B10">
        <v>1254.3509635792445</v>
      </c>
      <c r="C10">
        <v>97903.630805449473</v>
      </c>
      <c r="D10">
        <v>1228.0551363872214</v>
      </c>
      <c r="E10">
        <v>1.0613509635792445E-2</v>
      </c>
      <c r="F10">
        <v>96553.243615410305</v>
      </c>
      <c r="G10">
        <v>1061.3509635792445</v>
      </c>
      <c r="H10">
        <v>96541.931753042853</v>
      </c>
      <c r="I10">
        <v>1024.648722918937</v>
      </c>
    </row>
    <row r="11" spans="1:9" x14ac:dyDescent="0.3">
      <c r="A11">
        <v>99194.594578989549</v>
      </c>
      <c r="B11">
        <v>898.48775652247082</v>
      </c>
      <c r="C11">
        <v>99125.685941836695</v>
      </c>
      <c r="D11">
        <v>890.63215175631876</v>
      </c>
      <c r="E11">
        <v>7.0548775652247075E-3</v>
      </c>
      <c r="F11">
        <v>97602.594578989549</v>
      </c>
      <c r="G11">
        <v>705.4877565224707</v>
      </c>
      <c r="H11">
        <v>97554.580475961789</v>
      </c>
      <c r="I11">
        <v>688.23562118477105</v>
      </c>
    </row>
    <row r="12" spans="1:9" x14ac:dyDescent="0.3">
      <c r="A12">
        <v>100087.08233551202</v>
      </c>
      <c r="B12">
        <v>1018.8861578538313</v>
      </c>
      <c r="C12">
        <v>100010.31809359301</v>
      </c>
      <c r="D12">
        <v>1018.9912874812049</v>
      </c>
      <c r="E12">
        <v>8.2588615785383138E-3</v>
      </c>
      <c r="F12">
        <v>98296.082335512023</v>
      </c>
      <c r="G12">
        <v>825.88615785383138</v>
      </c>
      <c r="H12">
        <v>98230.816097146555</v>
      </c>
      <c r="I12">
        <v>811.27471289318657</v>
      </c>
    </row>
    <row r="13" spans="1:9" x14ac:dyDescent="0.3">
      <c r="A13">
        <v>101099.96849336586</v>
      </c>
      <c r="B13">
        <v>-2453.0487300405421</v>
      </c>
      <c r="C13">
        <v>101023.30938107421</v>
      </c>
      <c r="D13">
        <v>-2478.1510078173692</v>
      </c>
      <c r="E13">
        <v>-2.6460487300405424E-2</v>
      </c>
      <c r="F13">
        <v>99109.968493365857</v>
      </c>
      <c r="G13">
        <v>-2646.0487300405425</v>
      </c>
      <c r="H13">
        <v>99030.090810039736</v>
      </c>
      <c r="I13">
        <v>-2620.3844602370523</v>
      </c>
    </row>
    <row r="14" spans="1:9" x14ac:dyDescent="0.3">
      <c r="A14">
        <v>98640.919763325321</v>
      </c>
      <c r="B14">
        <v>-1070.7734311676084</v>
      </c>
      <c r="C14">
        <v>98539.15837325684</v>
      </c>
      <c r="D14">
        <v>-1055.1311271570059</v>
      </c>
      <c r="E14">
        <v>-1.2637734311676084E-2</v>
      </c>
      <c r="F14">
        <v>96451.919763325321</v>
      </c>
      <c r="G14">
        <v>-1263.7734311676084</v>
      </c>
      <c r="H14">
        <v>96397.706349802684</v>
      </c>
      <c r="I14">
        <v>-1218.2486011037768</v>
      </c>
    </row>
    <row r="15" spans="1:9" x14ac:dyDescent="0.3">
      <c r="A15">
        <v>97564.146332157718</v>
      </c>
      <c r="B15">
        <v>2204.8182514684631</v>
      </c>
      <c r="C15">
        <v>97478.027246099839</v>
      </c>
      <c r="D15">
        <v>2149.2133358934107</v>
      </c>
      <c r="E15">
        <v>2.011818251468463E-2</v>
      </c>
      <c r="F15">
        <v>95176.146332157718</v>
      </c>
      <c r="G15">
        <v>2011.8182514684629</v>
      </c>
      <c r="H15">
        <v>95167.4577486989</v>
      </c>
      <c r="I15">
        <v>1914.5962844468625</v>
      </c>
    </row>
    <row r="16" spans="1:9" x14ac:dyDescent="0.3">
      <c r="A16">
        <v>99762.964583626177</v>
      </c>
      <c r="B16">
        <v>670.30526905597321</v>
      </c>
      <c r="C16">
        <v>99621.240581993246</v>
      </c>
      <c r="D16">
        <v>667.76642472002823</v>
      </c>
      <c r="E16">
        <v>4.7730526905597316E-3</v>
      </c>
      <c r="F16">
        <v>97175.964583626177</v>
      </c>
      <c r="G16">
        <v>477.30526905597316</v>
      </c>
      <c r="H16">
        <v>97070.05403314576</v>
      </c>
      <c r="I16">
        <v>463.32048257568488</v>
      </c>
    </row>
    <row r="17" spans="1:9" x14ac:dyDescent="0.3">
      <c r="A17">
        <v>100427.26985268215</v>
      </c>
      <c r="B17">
        <v>-374.49330233132224</v>
      </c>
      <c r="C17">
        <v>100283.00700671328</v>
      </c>
      <c r="D17">
        <v>-375.55314461659185</v>
      </c>
      <c r="E17">
        <v>-5.6749330233132229E-3</v>
      </c>
      <c r="F17">
        <v>97641.269852682148</v>
      </c>
      <c r="G17">
        <v>-567.4933023313223</v>
      </c>
      <c r="H17">
        <v>97521.374515721443</v>
      </c>
      <c r="I17">
        <v>-553.42726871816421</v>
      </c>
    </row>
    <row r="18" spans="1:9" x14ac:dyDescent="0.3">
      <c r="A18">
        <v>100046.77655035083</v>
      </c>
      <c r="B18">
        <v>2839.3795667222194</v>
      </c>
      <c r="C18">
        <v>99901.453862096678</v>
      </c>
      <c r="D18">
        <v>2836.5814678187985</v>
      </c>
      <c r="E18">
        <v>2.6463795667222192E-2</v>
      </c>
      <c r="F18">
        <v>97061.776550350827</v>
      </c>
      <c r="G18">
        <v>2646.3795667222194</v>
      </c>
      <c r="H18">
        <v>96955.947247003278</v>
      </c>
      <c r="I18">
        <v>2565.8223766666688</v>
      </c>
    </row>
    <row r="19" spans="1:9" x14ac:dyDescent="0.3">
      <c r="A19">
        <v>102880.15611707304</v>
      </c>
      <c r="B19">
        <v>1688.8360558299589</v>
      </c>
      <c r="C19">
        <v>102732.03532991548</v>
      </c>
      <c r="D19">
        <v>1734.9756535395845</v>
      </c>
      <c r="E19">
        <v>1.4958360558299589E-2</v>
      </c>
      <c r="F19">
        <v>99696.156117073042</v>
      </c>
      <c r="G19">
        <v>1495.8360558299589</v>
      </c>
      <c r="H19">
        <v>99509.769623669941</v>
      </c>
      <c r="I19">
        <v>1488.5030131041831</v>
      </c>
    </row>
    <row r="20" spans="1:9" x14ac:dyDescent="0.3">
      <c r="A20">
        <v>104562.992172903</v>
      </c>
      <c r="B20">
        <v>-209.04102430101176</v>
      </c>
      <c r="C20">
        <v>104461.01098345507</v>
      </c>
      <c r="D20">
        <v>-218.36636735500687</v>
      </c>
      <c r="E20">
        <v>-4.0204102430101175E-3</v>
      </c>
      <c r="F20">
        <v>101179.992172903</v>
      </c>
      <c r="G20">
        <v>-402.04102430101176</v>
      </c>
      <c r="H20">
        <v>100986.27263677413</v>
      </c>
      <c r="I20">
        <v>-406.00624491229905</v>
      </c>
    </row>
    <row r="21" spans="1:9" x14ac:dyDescent="0.3">
      <c r="A21">
        <v>104347.95114860199</v>
      </c>
      <c r="B21">
        <v>-593.56898704381717</v>
      </c>
      <c r="C21">
        <v>104236.64461610006</v>
      </c>
      <c r="D21">
        <v>-618.71639557624871</v>
      </c>
      <c r="E21">
        <v>-7.8656898704381716E-3</v>
      </c>
      <c r="F21">
        <v>100765.95114860199</v>
      </c>
      <c r="G21">
        <v>-786.56898704381717</v>
      </c>
      <c r="H21">
        <v>100568.26639186183</v>
      </c>
      <c r="I21">
        <v>-791.03879424599529</v>
      </c>
    </row>
    <row r="22" spans="1:9" x14ac:dyDescent="0.3">
      <c r="A22">
        <v>103748.38216155817</v>
      </c>
      <c r="B22">
        <v>1746.8593480581308</v>
      </c>
      <c r="C22">
        <v>103611.92822052381</v>
      </c>
      <c r="D22">
        <v>1809.9546538235008</v>
      </c>
      <c r="E22">
        <v>1.5538593480581309E-2</v>
      </c>
      <c r="F22">
        <v>99967.382161558169</v>
      </c>
      <c r="G22">
        <v>1553.859348058131</v>
      </c>
      <c r="H22">
        <v>99765.227597615842</v>
      </c>
      <c r="I22">
        <v>1550.211315137024</v>
      </c>
    </row>
    <row r="23" spans="1:9" x14ac:dyDescent="0.3">
      <c r="A23">
        <v>105489.2415096163</v>
      </c>
      <c r="B23">
        <v>1956.6313666162357</v>
      </c>
      <c r="C23">
        <v>105415.88287434731</v>
      </c>
      <c r="D23">
        <v>2062.6002297149121</v>
      </c>
      <c r="E23">
        <v>1.7636313666162355E-2</v>
      </c>
      <c r="F23">
        <v>101509.2415096163</v>
      </c>
      <c r="G23">
        <v>1763.6313666162355</v>
      </c>
      <c r="H23">
        <v>101303.43891275287</v>
      </c>
      <c r="I23">
        <v>1786.6192241262268</v>
      </c>
    </row>
    <row r="24" spans="1:9" x14ac:dyDescent="0.3">
      <c r="A24">
        <v>107439.87287623253</v>
      </c>
      <c r="B24">
        <v>-2106.6846725185605</v>
      </c>
      <c r="C24">
        <v>107472.48310406222</v>
      </c>
      <c r="D24">
        <v>-2264.1063287283787</v>
      </c>
      <c r="E24">
        <v>-2.2996846725185607E-2</v>
      </c>
      <c r="F24">
        <v>103260.87287623253</v>
      </c>
      <c r="G24">
        <v>-2299.6846725185605</v>
      </c>
      <c r="H24">
        <v>103078.0581368791</v>
      </c>
      <c r="I24">
        <v>-2370.4703037035797</v>
      </c>
    </row>
    <row r="25" spans="1:9" x14ac:dyDescent="0.3">
      <c r="A25">
        <v>105327.18820371397</v>
      </c>
      <c r="B25">
        <v>-466.13760690345163</v>
      </c>
      <c r="C25">
        <v>105202.37677533385</v>
      </c>
      <c r="D25">
        <v>-490.38784150609376</v>
      </c>
      <c r="E25">
        <v>-6.5913760690345163E-3</v>
      </c>
      <c r="F25">
        <v>100949.18820371397</v>
      </c>
      <c r="G25">
        <v>-659.13760690345168</v>
      </c>
      <c r="H25">
        <v>100695.58783317552</v>
      </c>
      <c r="I25">
        <v>-663.72248790095637</v>
      </c>
    </row>
    <row r="26" spans="1:9" x14ac:dyDescent="0.3">
      <c r="A26">
        <v>104855.05059681053</v>
      </c>
      <c r="B26">
        <v>48.678855852172042</v>
      </c>
      <c r="C26">
        <v>104705.98893382776</v>
      </c>
      <c r="D26">
        <v>50.969677421689227</v>
      </c>
      <c r="E26">
        <v>-1.4432114414782795E-3</v>
      </c>
      <c r="F26">
        <v>100278.05059681053</v>
      </c>
      <c r="G26">
        <v>-144.32114414782797</v>
      </c>
      <c r="H26">
        <v>100019.86534527456</v>
      </c>
      <c r="I26">
        <v>-144.34981404141712</v>
      </c>
    </row>
    <row r="27" spans="1:9" x14ac:dyDescent="0.3">
      <c r="A27">
        <v>104897.72945266269</v>
      </c>
      <c r="B27">
        <v>2733.415233415235</v>
      </c>
      <c r="C27">
        <v>104750.95861124944</v>
      </c>
      <c r="D27">
        <v>2863.2786598283801</v>
      </c>
      <c r="E27">
        <v>2.5404152334152347E-2</v>
      </c>
      <c r="F27">
        <v>100121.72945266269</v>
      </c>
      <c r="G27">
        <v>2540.4152334152345</v>
      </c>
      <c r="H27">
        <v>99863.515531233148</v>
      </c>
      <c r="I27">
        <v>2536.9479611794359</v>
      </c>
    </row>
    <row r="28" spans="1:9" x14ac:dyDescent="0.3">
      <c r="A28">
        <v>107625.14468607793</v>
      </c>
      <c r="B28">
        <v>2249.0430578194487</v>
      </c>
      <c r="C28">
        <v>107608.23727107783</v>
      </c>
      <c r="D28">
        <v>2420.1555899870564</v>
      </c>
      <c r="E28">
        <v>2.0560430578194486E-2</v>
      </c>
      <c r="F28">
        <v>102650.14468607793</v>
      </c>
      <c r="G28">
        <v>2056.0430578194487</v>
      </c>
      <c r="H28">
        <v>102388.46349241259</v>
      </c>
      <c r="I28">
        <v>2105.1508956437497</v>
      </c>
    </row>
    <row r="29" spans="1:9" x14ac:dyDescent="0.3">
      <c r="A29">
        <v>109868.18774389738</v>
      </c>
      <c r="B29">
        <v>-3744.3405871184441</v>
      </c>
      <c r="C29">
        <v>110022.39286106489</v>
      </c>
      <c r="D29">
        <v>-4119.6131108157588</v>
      </c>
      <c r="E29">
        <v>-3.9373405871184444E-2</v>
      </c>
      <c r="F29">
        <v>104694.18774389738</v>
      </c>
      <c r="G29">
        <v>-3937.3405871184445</v>
      </c>
      <c r="H29">
        <v>104481.61438805633</v>
      </c>
      <c r="I29">
        <v>-4113.7970093775266</v>
      </c>
    </row>
    <row r="30" spans="1:9" x14ac:dyDescent="0.3">
      <c r="A30">
        <v>106117.84715677894</v>
      </c>
      <c r="B30">
        <v>462.02604146780578</v>
      </c>
      <c r="C30">
        <v>105896.77975024913</v>
      </c>
      <c r="D30">
        <v>489.270699521957</v>
      </c>
      <c r="E30">
        <v>2.6902604146780574E-3</v>
      </c>
      <c r="F30">
        <v>100744.84715677892</v>
      </c>
      <c r="G30">
        <v>269.02604146780573</v>
      </c>
      <c r="H30">
        <v>100355.81737867881</v>
      </c>
      <c r="I30">
        <v>269.98328287651987</v>
      </c>
    </row>
    <row r="31" spans="1:9" x14ac:dyDescent="0.3">
      <c r="A31">
        <v>106573.87319824674</v>
      </c>
      <c r="B31">
        <v>-1431.6954189484854</v>
      </c>
      <c r="C31">
        <v>106380.05044977109</v>
      </c>
      <c r="D31">
        <v>-1523.0383089644604</v>
      </c>
      <c r="E31">
        <v>-1.6246954189484856E-2</v>
      </c>
      <c r="F31">
        <v>101001.87319824673</v>
      </c>
      <c r="G31">
        <v>-1624.6954189484857</v>
      </c>
      <c r="H31">
        <v>100613.80066155533</v>
      </c>
      <c r="I31">
        <v>-1634.6678101782506</v>
      </c>
    </row>
    <row r="32" spans="1:9" x14ac:dyDescent="0.3">
      <c r="A32">
        <v>105136.17777929826</v>
      </c>
      <c r="B32">
        <v>95.433856996032489</v>
      </c>
      <c r="C32">
        <v>104851.01214080663</v>
      </c>
      <c r="D32">
        <v>100.06336498535006</v>
      </c>
      <c r="E32">
        <v>-9.7566143003967516E-4</v>
      </c>
      <c r="F32">
        <v>99365.177779298247</v>
      </c>
      <c r="G32">
        <v>-97.566143003967511</v>
      </c>
      <c r="H32">
        <v>98967.132851377086</v>
      </c>
      <c r="I32">
        <v>-96.558414364701079</v>
      </c>
    </row>
    <row r="33" spans="1:9" x14ac:dyDescent="0.3">
      <c r="A33">
        <v>105225.6116362943</v>
      </c>
      <c r="B33">
        <v>-228.82869474624539</v>
      </c>
      <c r="C33">
        <v>104945.07550579199</v>
      </c>
      <c r="D33">
        <v>-240.1444464803655</v>
      </c>
      <c r="E33">
        <v>-4.2182869474624539E-3</v>
      </c>
      <c r="F33">
        <v>99255.611636294285</v>
      </c>
      <c r="G33">
        <v>-421.82869474624539</v>
      </c>
      <c r="H33">
        <v>98858.574437012387</v>
      </c>
      <c r="I33">
        <v>-417.01383419239477</v>
      </c>
    </row>
    <row r="34" spans="1:9" x14ac:dyDescent="0.3">
      <c r="A34">
        <v>104990.78294154805</v>
      </c>
      <c r="B34">
        <v>694.97045902137404</v>
      </c>
      <c r="C34">
        <v>104698.93105931162</v>
      </c>
      <c r="D34">
        <v>727.62664177337001</v>
      </c>
      <c r="E34">
        <v>5.0197045902137406E-3</v>
      </c>
      <c r="F34">
        <v>98821.782941548037</v>
      </c>
      <c r="G34">
        <v>501.97045902137404</v>
      </c>
      <c r="H34">
        <v>98429.560602819998</v>
      </c>
      <c r="I34">
        <v>494.08731717069708</v>
      </c>
    </row>
    <row r="35" spans="1:9" x14ac:dyDescent="0.3">
      <c r="A35">
        <v>105679.75340056943</v>
      </c>
      <c r="B35">
        <v>-553.05044899217717</v>
      </c>
      <c r="C35">
        <v>105420.557701085</v>
      </c>
      <c r="D35">
        <v>-583.02886769590782</v>
      </c>
      <c r="E35">
        <v>-7.4605044899217722E-3</v>
      </c>
      <c r="F35">
        <v>99311.753400569418</v>
      </c>
      <c r="G35">
        <v>-746.05044899217717</v>
      </c>
      <c r="H35">
        <v>98911.64791999069</v>
      </c>
      <c r="I35">
        <v>-737.93079341265206</v>
      </c>
    </row>
    <row r="36" spans="1:9" x14ac:dyDescent="0.3">
      <c r="A36">
        <v>105120.70295157726</v>
      </c>
      <c r="B36">
        <v>-666.15575075163326</v>
      </c>
      <c r="C36">
        <v>104831.52883338909</v>
      </c>
      <c r="D36">
        <v>-698.34125792447799</v>
      </c>
      <c r="E36">
        <v>-8.5915575075163324E-3</v>
      </c>
      <c r="F36">
        <v>98553.702951577245</v>
      </c>
      <c r="G36">
        <v>-859.15575075163326</v>
      </c>
      <c r="H36">
        <v>98161.717126578034</v>
      </c>
      <c r="I36">
        <v>-843.36203772954605</v>
      </c>
    </row>
    <row r="37" spans="1:9" x14ac:dyDescent="0.3">
      <c r="A37">
        <v>104448.54720082563</v>
      </c>
      <c r="B37">
        <v>-925.14221601086331</v>
      </c>
      <c r="C37">
        <v>104127.18757546462</v>
      </c>
      <c r="D37">
        <v>-963.32457060544175</v>
      </c>
      <c r="E37">
        <v>-1.1181422160108633E-2</v>
      </c>
      <c r="F37">
        <v>97682.547200825618</v>
      </c>
      <c r="G37">
        <v>-1118.1422160108632</v>
      </c>
      <c r="H37">
        <v>97306.35508884849</v>
      </c>
      <c r="I37">
        <v>-1088.02343510985</v>
      </c>
    </row>
    <row r="38" spans="1:9" x14ac:dyDescent="0.3">
      <c r="A38">
        <v>103517.40498481477</v>
      </c>
      <c r="B38">
        <v>299.39533882550393</v>
      </c>
      <c r="C38">
        <v>103157.86300485917</v>
      </c>
      <c r="D38">
        <v>308.84983346854727</v>
      </c>
      <c r="E38">
        <v>1.0639533882550393E-3</v>
      </c>
      <c r="F38">
        <v>96552.404984814755</v>
      </c>
      <c r="G38">
        <v>106.39533882550393</v>
      </c>
      <c r="H38">
        <v>96206.331653738642</v>
      </c>
      <c r="I38">
        <v>102.35905253458327</v>
      </c>
    </row>
    <row r="39" spans="1:9" x14ac:dyDescent="0.3">
      <c r="A39">
        <v>103810.80032364027</v>
      </c>
      <c r="B39">
        <v>-200.19619226842306</v>
      </c>
      <c r="C39">
        <v>103460.71283832772</v>
      </c>
      <c r="D39">
        <v>-207.12440759609962</v>
      </c>
      <c r="E39">
        <v>-3.9319619226842305E-3</v>
      </c>
      <c r="F39">
        <v>96646.800323640258</v>
      </c>
      <c r="G39">
        <v>-393.19619226842303</v>
      </c>
      <c r="H39">
        <v>96296.690706273221</v>
      </c>
      <c r="I39">
        <v>-378.63492113756672</v>
      </c>
    </row>
    <row r="40" spans="1:9" x14ac:dyDescent="0.3">
      <c r="A40">
        <v>103604.60413137185</v>
      </c>
      <c r="B40">
        <v>-1024.8699127475629</v>
      </c>
      <c r="C40">
        <v>103247.58843073162</v>
      </c>
      <c r="D40">
        <v>-1058.153469464002</v>
      </c>
      <c r="E40">
        <v>-1.2178699127475628E-2</v>
      </c>
      <c r="F40">
        <v>96241.604131371831</v>
      </c>
      <c r="G40">
        <v>-1217.8699127475629</v>
      </c>
      <c r="H40">
        <v>95906.055785135657</v>
      </c>
      <c r="I40">
        <v>-1168.0109979100605</v>
      </c>
    </row>
    <row r="41" spans="1:9" x14ac:dyDescent="0.3">
      <c r="A41">
        <v>102573.73421862427</v>
      </c>
      <c r="B41">
        <v>216.97639377197069</v>
      </c>
      <c r="C41">
        <v>102183.43496126762</v>
      </c>
      <c r="D41">
        <v>221.7139322112856</v>
      </c>
      <c r="E41">
        <v>2.3976393771970683E-4</v>
      </c>
      <c r="F41">
        <v>95011.734218624275</v>
      </c>
      <c r="G41">
        <v>23.976393771970685</v>
      </c>
      <c r="H41">
        <v>94726.04478722559</v>
      </c>
      <c r="I41">
        <v>22.711889502798517</v>
      </c>
    </row>
    <row r="42" spans="1:9" x14ac:dyDescent="0.3">
      <c r="A42">
        <v>102784.71061239624</v>
      </c>
      <c r="B42">
        <v>1841.1509185828734</v>
      </c>
      <c r="C42">
        <v>102399.14889347891</v>
      </c>
      <c r="D42">
        <v>1885.3228704733312</v>
      </c>
      <c r="E42">
        <v>1.6481509185828733E-2</v>
      </c>
      <c r="F42">
        <v>95023.710612396244</v>
      </c>
      <c r="G42">
        <v>1648.1509185828734</v>
      </c>
      <c r="H42">
        <v>94736.756676728386</v>
      </c>
      <c r="I42">
        <v>1561.4047254031204</v>
      </c>
    </row>
    <row r="43" spans="1:9" x14ac:dyDescent="0.3">
      <c r="A43">
        <v>104619.86153097912</v>
      </c>
      <c r="B43">
        <v>1852.1523917718171</v>
      </c>
      <c r="C43">
        <v>104278.47176395224</v>
      </c>
      <c r="D43">
        <v>1931.3962088791404</v>
      </c>
      <c r="E43">
        <v>1.6591523917718169E-2</v>
      </c>
      <c r="F43">
        <v>96659.86153097912</v>
      </c>
      <c r="G43">
        <v>1659.1523917718168</v>
      </c>
      <c r="H43">
        <v>96286.161402131504</v>
      </c>
      <c r="I43">
        <v>1597.5341498487369</v>
      </c>
    </row>
    <row r="44" spans="1:9" x14ac:dyDescent="0.3">
      <c r="A44">
        <v>106466.01392275094</v>
      </c>
      <c r="B44">
        <v>1238.7766832497573</v>
      </c>
      <c r="C44">
        <v>106203.86797283139</v>
      </c>
      <c r="D44">
        <v>1315.6287531567918</v>
      </c>
      <c r="E44">
        <v>1.0457766832497573E-2</v>
      </c>
      <c r="F44">
        <v>98307.013922750935</v>
      </c>
      <c r="G44">
        <v>1045.7766832497573</v>
      </c>
      <c r="H44">
        <v>97871.695551980243</v>
      </c>
      <c r="I44">
        <v>1023.5193715837992</v>
      </c>
    </row>
    <row r="45" spans="1:9" x14ac:dyDescent="0.3">
      <c r="A45">
        <v>107698.79060600069</v>
      </c>
      <c r="B45">
        <v>-183.28588698669049</v>
      </c>
      <c r="C45">
        <v>107513.49672598818</v>
      </c>
      <c r="D45">
        <v>-197.05706610463389</v>
      </c>
      <c r="E45">
        <v>-3.7628588698669051E-3</v>
      </c>
      <c r="F45">
        <v>99340.790606000694</v>
      </c>
      <c r="G45">
        <v>-376.28588698669051</v>
      </c>
      <c r="H45">
        <v>98883.214923564039</v>
      </c>
      <c r="I45">
        <v>-372.08358235608847</v>
      </c>
    </row>
    <row r="46" spans="1:9" x14ac:dyDescent="0.3">
      <c r="A46">
        <v>107509.504719014</v>
      </c>
      <c r="B46">
        <v>763.12040127252283</v>
      </c>
      <c r="C46">
        <v>107310.43965988354</v>
      </c>
      <c r="D46">
        <v>818.90785773981179</v>
      </c>
      <c r="E46">
        <v>5.7012040127252276E-3</v>
      </c>
      <c r="F46">
        <v>98952.504719014003</v>
      </c>
      <c r="G46">
        <v>570.12040127252271</v>
      </c>
      <c r="H46">
        <v>98499.131341207947</v>
      </c>
      <c r="I46">
        <v>561.56364285244399</v>
      </c>
    </row>
    <row r="47" spans="1:9" x14ac:dyDescent="0.3">
      <c r="A47">
        <v>108266.62512028652</v>
      </c>
      <c r="B47">
        <v>125.93962769097296</v>
      </c>
      <c r="C47">
        <v>108123.34751762336</v>
      </c>
      <c r="D47">
        <v>136.17014131071173</v>
      </c>
      <c r="E47">
        <v>-6.7060372309027047E-4</v>
      </c>
      <c r="F47">
        <v>99510.625120286524</v>
      </c>
      <c r="G47">
        <v>-67.060372309027045</v>
      </c>
      <c r="H47">
        <v>99048.694984060392</v>
      </c>
      <c r="I47">
        <v>-66.422423623543494</v>
      </c>
    </row>
    <row r="48" spans="1:9" x14ac:dyDescent="0.3">
      <c r="A48">
        <v>108386.56474797749</v>
      </c>
      <c r="B48">
        <v>1416.4029226741686</v>
      </c>
      <c r="C48">
        <v>108253.51765893407</v>
      </c>
      <c r="D48">
        <v>1533.3059880187393</v>
      </c>
      <c r="E48">
        <v>1.2234029226741687E-2</v>
      </c>
      <c r="F48">
        <v>99431.564747977493</v>
      </c>
      <c r="G48">
        <v>1223.4029226741686</v>
      </c>
      <c r="H48">
        <v>98970.272560436846</v>
      </c>
      <c r="I48">
        <v>1210.8052070829751</v>
      </c>
    </row>
    <row r="49" spans="1:9" x14ac:dyDescent="0.3">
      <c r="A49">
        <v>109796.96767065166</v>
      </c>
      <c r="B49">
        <v>-955.94678562893557</v>
      </c>
      <c r="C49">
        <v>109780.82364695281</v>
      </c>
      <c r="D49">
        <v>-1049.4462548900158</v>
      </c>
      <c r="E49">
        <v>-1.1489467856289355E-2</v>
      </c>
      <c r="F49">
        <v>100642.96767065166</v>
      </c>
      <c r="G49">
        <v>-1148.9467856289355</v>
      </c>
      <c r="H49">
        <v>100169.07776751982</v>
      </c>
      <c r="I49">
        <v>-1150.8893992040676</v>
      </c>
    </row>
    <row r="50" spans="1:9" x14ac:dyDescent="0.3">
      <c r="A50">
        <v>108835.02088502272</v>
      </c>
      <c r="B50">
        <v>2622.5930939728887</v>
      </c>
      <c r="C50">
        <v>108725.37739206279</v>
      </c>
      <c r="D50">
        <v>2851.424238880199</v>
      </c>
      <c r="E50">
        <v>2.4295930939728885E-2</v>
      </c>
      <c r="F50">
        <v>99482.020885022721</v>
      </c>
      <c r="G50">
        <v>2429.5930939728887</v>
      </c>
      <c r="H50">
        <v>99006.18836831575</v>
      </c>
      <c r="I50">
        <v>2405.4475152023888</v>
      </c>
    </row>
    <row r="51" spans="1:9" x14ac:dyDescent="0.3">
      <c r="A51">
        <v>111451.61397899561</v>
      </c>
      <c r="B51">
        <v>1387.4294609846265</v>
      </c>
      <c r="C51">
        <v>111570.80163094298</v>
      </c>
      <c r="D51">
        <v>1547.9661716844191</v>
      </c>
      <c r="E51">
        <v>1.1944294609846267E-2</v>
      </c>
      <c r="F51">
        <v>101899.61397899561</v>
      </c>
      <c r="G51">
        <v>1194.4294609846268</v>
      </c>
      <c r="H51">
        <v>101399.63588351815</v>
      </c>
      <c r="I51">
        <v>1211.1471243238798</v>
      </c>
    </row>
    <row r="52" spans="1:9" x14ac:dyDescent="0.3">
      <c r="A52">
        <v>112833.04343998023</v>
      </c>
      <c r="B52">
        <v>-2065.5270655270688</v>
      </c>
      <c r="C52">
        <v>113112.76780262739</v>
      </c>
      <c r="D52">
        <v>-2336.3748335300565</v>
      </c>
      <c r="E52">
        <v>-2.2585270655270689E-2</v>
      </c>
      <c r="F52">
        <v>103082.04343998023</v>
      </c>
      <c r="G52">
        <v>-2258.5270655270688</v>
      </c>
      <c r="H52">
        <v>102598.78300784202</v>
      </c>
      <c r="I52">
        <v>-2317.2212831334996</v>
      </c>
    </row>
    <row r="53" spans="1:9" x14ac:dyDescent="0.3">
      <c r="A53">
        <v>110761.51637445316</v>
      </c>
      <c r="B53">
        <v>4160.6913729337975</v>
      </c>
      <c r="C53">
        <v>110770.39296909733</v>
      </c>
      <c r="D53">
        <v>4608.8141840300987</v>
      </c>
      <c r="E53">
        <v>3.9676913729337973E-2</v>
      </c>
      <c r="F53">
        <v>100811.51637445316</v>
      </c>
      <c r="G53">
        <v>3967.6913729337975</v>
      </c>
      <c r="H53">
        <v>100269.56172470852</v>
      </c>
      <c r="I53">
        <v>3978.3867502297885</v>
      </c>
    </row>
    <row r="54" spans="1:9" x14ac:dyDescent="0.3">
      <c r="A54">
        <v>114916.20774738696</v>
      </c>
      <c r="B54">
        <v>-418.74090182054186</v>
      </c>
      <c r="C54">
        <v>115373.20715312743</v>
      </c>
      <c r="D54">
        <v>-483.11480809228766</v>
      </c>
      <c r="E54">
        <v>-6.1174090182054188E-3</v>
      </c>
      <c r="F54">
        <v>104767.20774738696</v>
      </c>
      <c r="G54">
        <v>-611.74090182054192</v>
      </c>
      <c r="H54">
        <v>104235.94847493831</v>
      </c>
      <c r="I54">
        <v>-637.65393122178295</v>
      </c>
    </row>
    <row r="55" spans="1:9" x14ac:dyDescent="0.3">
      <c r="A55">
        <v>114491.46684556642</v>
      </c>
      <c r="B55">
        <v>-1832.8432522143996</v>
      </c>
      <c r="C55">
        <v>114884.09234503514</v>
      </c>
      <c r="D55">
        <v>-2105.6453344137362</v>
      </c>
      <c r="E55">
        <v>-2.0258432522143998E-2</v>
      </c>
      <c r="F55">
        <v>104143.46684556642</v>
      </c>
      <c r="G55">
        <v>-2025.8432522143999</v>
      </c>
      <c r="H55">
        <v>103586.29454371653</v>
      </c>
      <c r="I55">
        <v>-2098.4959582328142</v>
      </c>
    </row>
    <row r="56" spans="1:9" x14ac:dyDescent="0.3">
      <c r="A56">
        <v>112652.62359335202</v>
      </c>
      <c r="B56">
        <v>-436.75274335316504</v>
      </c>
      <c r="C56">
        <v>112772.4470106214</v>
      </c>
      <c r="D56">
        <v>-492.53675606538332</v>
      </c>
      <c r="E56">
        <v>-6.2975274335316505E-3</v>
      </c>
      <c r="F56">
        <v>102105.62359335202</v>
      </c>
      <c r="G56">
        <v>-629.7527433531651</v>
      </c>
      <c r="H56">
        <v>101475.79858548372</v>
      </c>
      <c r="I56">
        <v>-639.04662543161601</v>
      </c>
    </row>
    <row r="57" spans="1:9" x14ac:dyDescent="0.3">
      <c r="A57">
        <v>112209.87084999886</v>
      </c>
      <c r="B57">
        <v>-491.67443475718858</v>
      </c>
      <c r="C57">
        <v>112273.91025455602</v>
      </c>
      <c r="D57">
        <v>-552.02211362388152</v>
      </c>
      <c r="E57">
        <v>-6.8467443475718863E-3</v>
      </c>
      <c r="F57">
        <v>101463.87084999886</v>
      </c>
      <c r="G57">
        <v>-684.67443475718858</v>
      </c>
      <c r="H57">
        <v>100824.7519600521</v>
      </c>
      <c r="I57">
        <v>-690.32130057782422</v>
      </c>
    </row>
    <row r="58" spans="1:9" x14ac:dyDescent="0.3">
      <c r="A58">
        <v>111712.19641524166</v>
      </c>
      <c r="B58">
        <v>-57.594355753145202</v>
      </c>
      <c r="C58">
        <v>111715.88814093213</v>
      </c>
      <c r="D58">
        <v>-64.342046048674206</v>
      </c>
      <c r="E58">
        <v>-2.5059435575314521E-3</v>
      </c>
      <c r="F58">
        <v>100767.19641524166</v>
      </c>
      <c r="G58">
        <v>-250.59435575314521</v>
      </c>
      <c r="H58">
        <v>100122.43065947428</v>
      </c>
      <c r="I58">
        <v>-250.90116007549912</v>
      </c>
    </row>
    <row r="59" spans="1:9" x14ac:dyDescent="0.3">
      <c r="A59">
        <v>111648.60205948852</v>
      </c>
      <c r="B59">
        <v>1121.1247296323049</v>
      </c>
      <c r="C59">
        <v>111645.54609488345</v>
      </c>
      <c r="D59">
        <v>1251.6858268027725</v>
      </c>
      <c r="E59">
        <v>9.2812472963230506E-3</v>
      </c>
      <c r="F59">
        <v>100504.60205948852</v>
      </c>
      <c r="G59">
        <v>928.12472963230505</v>
      </c>
      <c r="H59">
        <v>99859.529499398777</v>
      </c>
      <c r="I59">
        <v>926.82098817838687</v>
      </c>
    </row>
    <row r="60" spans="1:9" x14ac:dyDescent="0.3">
      <c r="A60">
        <v>112763.72678912082</v>
      </c>
      <c r="B60">
        <v>-1500.5702879954304</v>
      </c>
      <c r="C60">
        <v>112891.23192168622</v>
      </c>
      <c r="D60">
        <v>-1694.0122839688361</v>
      </c>
      <c r="E60">
        <v>-1.6935702879954304E-2</v>
      </c>
      <c r="F60">
        <v>101420.72678912082</v>
      </c>
      <c r="G60">
        <v>-1693.5702879954304</v>
      </c>
      <c r="H60">
        <v>100774.35048757716</v>
      </c>
      <c r="I60">
        <v>-1706.684457777985</v>
      </c>
    </row>
    <row r="61" spans="1:9" x14ac:dyDescent="0.3">
      <c r="A61">
        <v>111257.15650112538</v>
      </c>
      <c r="B61">
        <v>-175.8520667149746</v>
      </c>
      <c r="C61">
        <v>111191.21963771738</v>
      </c>
      <c r="D61">
        <v>-195.53205773851272</v>
      </c>
      <c r="E61">
        <v>-3.6885206671497459E-3</v>
      </c>
      <c r="F61">
        <v>99715.156501125384</v>
      </c>
      <c r="G61">
        <v>-368.85206671497457</v>
      </c>
      <c r="H61">
        <v>99055.666029799177</v>
      </c>
      <c r="I61">
        <v>-365.36887134919726</v>
      </c>
    </row>
    <row r="62" spans="1:9" x14ac:dyDescent="0.3">
      <c r="A62">
        <v>111075.30443441041</v>
      </c>
      <c r="B62">
        <v>469.18090326277797</v>
      </c>
      <c r="C62">
        <v>110989.68757997887</v>
      </c>
      <c r="D62">
        <v>520.7424187162801</v>
      </c>
      <c r="E62">
        <v>2.7618090326277794E-3</v>
      </c>
      <c r="F62">
        <v>99334.304434410413</v>
      </c>
      <c r="G62">
        <v>276.18090326277792</v>
      </c>
      <c r="H62">
        <v>98678.297158449976</v>
      </c>
      <c r="I62">
        <v>272.53061241653529</v>
      </c>
    </row>
    <row r="63" spans="1:9" x14ac:dyDescent="0.3">
      <c r="A63">
        <v>111538.48533767319</v>
      </c>
      <c r="B63">
        <v>14.081284213127441</v>
      </c>
      <c r="C63">
        <v>111504.42999869515</v>
      </c>
      <c r="D63">
        <v>15.701255698343999</v>
      </c>
      <c r="E63">
        <v>-1.7891871578687257E-3</v>
      </c>
      <c r="F63">
        <v>99598.485337673192</v>
      </c>
      <c r="G63">
        <v>-178.91871578687258</v>
      </c>
      <c r="H63">
        <v>98938.827770866512</v>
      </c>
      <c r="I63">
        <v>-177.02008006222002</v>
      </c>
    </row>
    <row r="64" spans="1:9" x14ac:dyDescent="0.3">
      <c r="A64">
        <v>111546.56662188632</v>
      </c>
      <c r="B64">
        <v>1611.0552940969078</v>
      </c>
      <c r="C64">
        <v>111514.13125439349</v>
      </c>
      <c r="D64">
        <v>1796.5543152400808</v>
      </c>
      <c r="E64">
        <v>1.4180552940969078E-2</v>
      </c>
      <c r="F64">
        <v>99407.566621886319</v>
      </c>
      <c r="G64">
        <v>1418.0552940969078</v>
      </c>
      <c r="H64">
        <v>98749.807690804286</v>
      </c>
      <c r="I64">
        <v>1400.3268758699655</v>
      </c>
    </row>
    <row r="65" spans="1:9" x14ac:dyDescent="0.3">
      <c r="A65">
        <v>113151.62191598323</v>
      </c>
      <c r="B65">
        <v>274.10174936276582</v>
      </c>
      <c r="C65">
        <v>113304.68556963357</v>
      </c>
      <c r="D65">
        <v>310.5701252563469</v>
      </c>
      <c r="E65">
        <v>8.1101749362765831E-4</v>
      </c>
      <c r="F65">
        <v>100813.62191598323</v>
      </c>
      <c r="G65">
        <v>81.10174936276583</v>
      </c>
      <c r="H65">
        <v>100138.13456667426</v>
      </c>
      <c r="I65">
        <v>81.213778912813325</v>
      </c>
    </row>
    <row r="66" spans="1:9" x14ac:dyDescent="0.3">
      <c r="A66">
        <v>113419.72366534598</v>
      </c>
      <c r="B66">
        <v>134.16270276864697</v>
      </c>
      <c r="C66">
        <v>113609.25569488991</v>
      </c>
      <c r="D66">
        <v>152.42124803560728</v>
      </c>
      <c r="E66">
        <v>-5.8837297231353045E-4</v>
      </c>
      <c r="F66">
        <v>100882.72366534598</v>
      </c>
      <c r="G66">
        <v>-58.837297231353048</v>
      </c>
      <c r="H66">
        <v>100207.34834558707</v>
      </c>
      <c r="I66">
        <v>-58.959295393750402</v>
      </c>
    </row>
    <row r="67" spans="1:9" x14ac:dyDescent="0.3">
      <c r="A67">
        <v>113547.88636811463</v>
      </c>
      <c r="B67">
        <v>-529.93336481451854</v>
      </c>
      <c r="C67">
        <v>113755.67694292552</v>
      </c>
      <c r="D67">
        <v>-602.82928649117866</v>
      </c>
      <c r="E67">
        <v>-7.2293336481451861E-3</v>
      </c>
      <c r="F67">
        <v>100811.88636811463</v>
      </c>
      <c r="G67">
        <v>-722.93336481451865</v>
      </c>
      <c r="H67">
        <v>100136.38905019332</v>
      </c>
      <c r="I67">
        <v>-723.91936676431976</v>
      </c>
    </row>
    <row r="68" spans="1:9" x14ac:dyDescent="0.3">
      <c r="A68">
        <v>113011.95300330011</v>
      </c>
      <c r="B68">
        <v>3153.1451826948687</v>
      </c>
      <c r="C68">
        <v>113146.84765643434</v>
      </c>
      <c r="D68">
        <v>3567.6843762499611</v>
      </c>
      <c r="E68">
        <v>2.9601451826948684E-2</v>
      </c>
      <c r="F68">
        <v>100076.95300330011</v>
      </c>
      <c r="G68">
        <v>2960.1451826948683</v>
      </c>
      <c r="H68">
        <v>99400.469683428993</v>
      </c>
      <c r="I68">
        <v>2942.3982149100966</v>
      </c>
    </row>
    <row r="69" spans="1:9" x14ac:dyDescent="0.3">
      <c r="A69">
        <v>116159.09818599498</v>
      </c>
      <c r="B69">
        <v>-77.826395254307556</v>
      </c>
      <c r="C69">
        <v>116708.53203268431</v>
      </c>
      <c r="D69">
        <v>-90.830043435257039</v>
      </c>
      <c r="E69">
        <v>-2.7082639525430755E-3</v>
      </c>
      <c r="F69">
        <v>103025.09818599497</v>
      </c>
      <c r="G69">
        <v>-270.82639525430756</v>
      </c>
      <c r="H69">
        <v>102330.86789833909</v>
      </c>
      <c r="I69">
        <v>-277.13900076151913</v>
      </c>
    </row>
    <row r="70" spans="1:9" x14ac:dyDescent="0.3">
      <c r="A70">
        <v>116075.27179074068</v>
      </c>
      <c r="B70">
        <v>-981.73036539269447</v>
      </c>
      <c r="C70">
        <v>116611.70198924905</v>
      </c>
      <c r="D70">
        <v>-1144.8124880296948</v>
      </c>
      <c r="E70">
        <v>-1.1747303653926944E-2</v>
      </c>
      <c r="F70">
        <v>102742.27179074066</v>
      </c>
      <c r="G70">
        <v>-1174.7303653926945</v>
      </c>
      <c r="H70">
        <v>102041.72889757756</v>
      </c>
      <c r="I70">
        <v>-1198.7151747315356</v>
      </c>
    </row>
    <row r="71" spans="1:9" x14ac:dyDescent="0.3">
      <c r="A71">
        <v>115087.54142534798</v>
      </c>
      <c r="B71">
        <v>-396.88114638945359</v>
      </c>
      <c r="C71">
        <v>115460.88950121935</v>
      </c>
      <c r="D71">
        <v>-458.24250188389959</v>
      </c>
      <c r="E71">
        <v>-5.898811463894536E-3</v>
      </c>
      <c r="F71">
        <v>101555.54142534797</v>
      </c>
      <c r="G71">
        <v>-589.88114638945365</v>
      </c>
      <c r="H71">
        <v>100831.01372284602</v>
      </c>
      <c r="I71">
        <v>-594.78313966443136</v>
      </c>
    </row>
    <row r="72" spans="1:9" x14ac:dyDescent="0.3">
      <c r="A72">
        <v>114684.66027895853</v>
      </c>
      <c r="B72">
        <v>-2218.8122828368214</v>
      </c>
      <c r="C72">
        <v>114996.64699933545</v>
      </c>
      <c r="D72">
        <v>-2551.5597284717564</v>
      </c>
      <c r="E72">
        <v>-2.4118122828368217E-2</v>
      </c>
      <c r="F72">
        <v>100953.66027895852</v>
      </c>
      <c r="G72">
        <v>-2411.8122828368219</v>
      </c>
      <c r="H72">
        <v>100224.23058318159</v>
      </c>
      <c r="I72">
        <v>-2417.220303583872</v>
      </c>
    </row>
    <row r="73" spans="1:9" x14ac:dyDescent="0.3">
      <c r="A73">
        <v>112459.84799612171</v>
      </c>
      <c r="B73">
        <v>277.02761564600735</v>
      </c>
      <c r="C73">
        <v>112439.0872708637</v>
      </c>
      <c r="D73">
        <v>311.48732252060705</v>
      </c>
      <c r="E73">
        <v>8.4027615646007346E-4</v>
      </c>
      <c r="F73">
        <v>98529.847996121694</v>
      </c>
      <c r="G73">
        <v>84.027615646007348</v>
      </c>
      <c r="H73">
        <v>97795.010279597715</v>
      </c>
      <c r="I73">
        <v>82.174815358713744</v>
      </c>
    </row>
    <row r="74" spans="1:9" x14ac:dyDescent="0.3">
      <c r="A74">
        <v>112730.87561176771</v>
      </c>
      <c r="B74">
        <v>429.31774685770603</v>
      </c>
      <c r="C74">
        <v>112744.57459338431</v>
      </c>
      <c r="D74">
        <v>484.03246734862324</v>
      </c>
      <c r="E74">
        <v>2.3631774685770601E-3</v>
      </c>
      <c r="F74">
        <v>98601.875611767697</v>
      </c>
      <c r="G74">
        <v>236.31774685770603</v>
      </c>
      <c r="H74">
        <v>97865.185094956425</v>
      </c>
      <c r="I74">
        <v>231.27280037452456</v>
      </c>
    </row>
    <row r="75" spans="1:9" x14ac:dyDescent="0.3">
      <c r="A75">
        <v>113154.19335862542</v>
      </c>
      <c r="B75">
        <v>1068.8489714687696</v>
      </c>
      <c r="C75">
        <v>113222.60706073293</v>
      </c>
      <c r="D75">
        <v>1210.1786710387705</v>
      </c>
      <c r="E75">
        <v>8.7584897146876974E-3</v>
      </c>
      <c r="F75">
        <v>98826.193358625402</v>
      </c>
      <c r="G75">
        <v>875.84897146876972</v>
      </c>
      <c r="H75">
        <v>98084.457895330954</v>
      </c>
      <c r="I75">
        <v>859.07171564697467</v>
      </c>
    </row>
    <row r="76" spans="1:9" x14ac:dyDescent="0.3">
      <c r="A76">
        <v>114217.04233009419</v>
      </c>
      <c r="B76">
        <v>-895.62159987405403</v>
      </c>
      <c r="C76">
        <v>114426.7857317717</v>
      </c>
      <c r="D76">
        <v>-1024.8310090553493</v>
      </c>
      <c r="E76">
        <v>-1.0886215998740539E-2</v>
      </c>
      <c r="F76">
        <v>99690.042330094177</v>
      </c>
      <c r="G76">
        <v>-1088.621599874054</v>
      </c>
      <c r="H76">
        <v>98931.52961097793</v>
      </c>
      <c r="I76">
        <v>-1076.9900004309013</v>
      </c>
    </row>
    <row r="77" spans="1:9" x14ac:dyDescent="0.3">
      <c r="A77">
        <v>113315.42073022014</v>
      </c>
      <c r="B77">
        <v>-327.82861750990583</v>
      </c>
      <c r="C77">
        <v>113395.95472271636</v>
      </c>
      <c r="D77">
        <v>-371.74439067963976</v>
      </c>
      <c r="E77">
        <v>-5.208286175099058E-3</v>
      </c>
      <c r="F77">
        <v>98589.420730220125</v>
      </c>
      <c r="G77">
        <v>-520.82861750990583</v>
      </c>
      <c r="H77">
        <v>97842.539610547028</v>
      </c>
      <c r="I77">
        <v>-509.59194639019404</v>
      </c>
    </row>
    <row r="78" spans="1:9" x14ac:dyDescent="0.3">
      <c r="A78">
        <v>112981.59211271023</v>
      </c>
      <c r="B78">
        <v>-322.97700544144601</v>
      </c>
      <c r="C78">
        <v>113018.21033203672</v>
      </c>
      <c r="D78">
        <v>-365.02283133392712</v>
      </c>
      <c r="E78">
        <v>-5.1597700544144601E-3</v>
      </c>
      <c r="F78">
        <v>98056.592112710219</v>
      </c>
      <c r="G78">
        <v>-515.97700544144595</v>
      </c>
      <c r="H78">
        <v>97320.947664156833</v>
      </c>
      <c r="I78">
        <v>-502.15371142475334</v>
      </c>
    </row>
    <row r="79" spans="1:9" x14ac:dyDescent="0.3">
      <c r="A79">
        <v>112652.61510726879</v>
      </c>
      <c r="B79">
        <v>60.287963685373398</v>
      </c>
      <c r="C79">
        <v>112647.18750070278</v>
      </c>
      <c r="D79">
        <v>67.912695493018177</v>
      </c>
      <c r="E79">
        <v>-1.3271203631462661E-3</v>
      </c>
      <c r="F79">
        <v>97528.615107268779</v>
      </c>
      <c r="G79">
        <v>-132.7120363146266</v>
      </c>
      <c r="H79">
        <v>96806.793952732085</v>
      </c>
      <c r="I79">
        <v>-128.47426754557557</v>
      </c>
    </row>
    <row r="80" spans="1:9" x14ac:dyDescent="0.3">
      <c r="A80">
        <v>112706.90307095417</v>
      </c>
      <c r="B80">
        <v>1222.874740385291</v>
      </c>
      <c r="C80">
        <v>112709.10019619581</v>
      </c>
      <c r="D80">
        <v>1378.2911164148272</v>
      </c>
      <c r="E80">
        <v>1.0298747403852912E-2</v>
      </c>
      <c r="F80">
        <v>97383.903070954155</v>
      </c>
      <c r="G80">
        <v>1029.8747403852913</v>
      </c>
      <c r="H80">
        <v>96666.319685186507</v>
      </c>
      <c r="I80">
        <v>995.5420088978301</v>
      </c>
    </row>
    <row r="81" spans="1:9" x14ac:dyDescent="0.3">
      <c r="A81">
        <v>113923.77781133946</v>
      </c>
      <c r="B81">
        <v>389.50527771219532</v>
      </c>
      <c r="C81">
        <v>114081.39131261063</v>
      </c>
      <c r="D81">
        <v>444.35304005012028</v>
      </c>
      <c r="E81">
        <v>1.9650527771219528E-3</v>
      </c>
      <c r="F81">
        <v>98401.777811339445</v>
      </c>
      <c r="G81">
        <v>196.50527771219529</v>
      </c>
      <c r="H81">
        <v>97649.861694084335</v>
      </c>
      <c r="I81">
        <v>191.88713190753504</v>
      </c>
    </row>
    <row r="82" spans="1:9" x14ac:dyDescent="0.3">
      <c r="A82">
        <v>114307.28308905165</v>
      </c>
      <c r="B82">
        <v>-2887.830580605902</v>
      </c>
      <c r="C82">
        <v>114519.74435266075</v>
      </c>
      <c r="D82">
        <v>-3307.1361982478379</v>
      </c>
      <c r="E82">
        <v>-3.0808305806059023E-2</v>
      </c>
      <c r="F82">
        <v>98586.283089051634</v>
      </c>
      <c r="G82">
        <v>-3080.8305806059025</v>
      </c>
      <c r="H82">
        <v>97829.748825991875</v>
      </c>
      <c r="I82">
        <v>-3013.9688187611014</v>
      </c>
    </row>
    <row r="83" spans="1:9" x14ac:dyDescent="0.3">
      <c r="A83">
        <v>111413.45250844574</v>
      </c>
      <c r="B83">
        <v>-1145.3773491755319</v>
      </c>
      <c r="C83">
        <v>111206.60815441291</v>
      </c>
      <c r="D83">
        <v>-1273.7353005870355</v>
      </c>
      <c r="E83">
        <v>-1.3383773491755319E-2</v>
      </c>
      <c r="F83">
        <v>95493.452508445727</v>
      </c>
      <c r="G83">
        <v>-1338.3773491755319</v>
      </c>
      <c r="H83">
        <v>94803.780007230773</v>
      </c>
      <c r="I83">
        <v>-1268.832317778978</v>
      </c>
    </row>
    <row r="84" spans="1:9" x14ac:dyDescent="0.3">
      <c r="A84">
        <v>110262.07515927021</v>
      </c>
      <c r="B84">
        <v>378.24442415547963</v>
      </c>
      <c r="C84">
        <v>109926.87285382587</v>
      </c>
      <c r="D84">
        <v>415.79226721807993</v>
      </c>
      <c r="E84">
        <v>1.8524442415547963E-3</v>
      </c>
      <c r="F84">
        <v>94143.0751592702</v>
      </c>
      <c r="G84">
        <v>185.24442415547963</v>
      </c>
      <c r="H84">
        <v>93522.947689451801</v>
      </c>
      <c r="I84">
        <v>173.24604590055543</v>
      </c>
    </row>
    <row r="85" spans="1:9" x14ac:dyDescent="0.3">
      <c r="A85">
        <v>110634.31958342569</v>
      </c>
      <c r="B85">
        <v>-790.78981553650374</v>
      </c>
      <c r="C85">
        <v>110336.66512104396</v>
      </c>
      <c r="D85">
        <v>-872.53111057983335</v>
      </c>
      <c r="E85">
        <v>-9.8378981553650362E-3</v>
      </c>
      <c r="F85">
        <v>94316.319583425677</v>
      </c>
      <c r="G85">
        <v>-983.78981553650362</v>
      </c>
      <c r="H85">
        <v>93684.193735352354</v>
      </c>
      <c r="I85">
        <v>-921.65555673588358</v>
      </c>
    </row>
    <row r="86" spans="1:9" x14ac:dyDescent="0.3">
      <c r="A86">
        <v>109837.52976788918</v>
      </c>
      <c r="B86">
        <v>-837.40632127728679</v>
      </c>
      <c r="C86">
        <v>109458.13401046413</v>
      </c>
      <c r="D86">
        <v>-916.60933335579034</v>
      </c>
      <c r="E86">
        <v>-1.0304063212772867E-2</v>
      </c>
      <c r="F86">
        <v>93320.52976788918</v>
      </c>
      <c r="G86">
        <v>-1030.4063212772867</v>
      </c>
      <c r="H86">
        <v>92750.538178616465</v>
      </c>
      <c r="I86">
        <v>-955.70740841116731</v>
      </c>
    </row>
    <row r="87" spans="1:9" x14ac:dyDescent="0.3">
      <c r="A87">
        <v>108994.12344661189</v>
      </c>
      <c r="B87">
        <v>-264.39051458228005</v>
      </c>
      <c r="C87">
        <v>108535.52467710833</v>
      </c>
      <c r="D87">
        <v>-286.95763219838426</v>
      </c>
      <c r="E87">
        <v>-4.5739051458228005E-3</v>
      </c>
      <c r="F87">
        <v>92278.123446611891</v>
      </c>
      <c r="G87">
        <v>-457.39051458228005</v>
      </c>
      <c r="H87">
        <v>91782.830770205299</v>
      </c>
      <c r="I87">
        <v>-419.80596195802531</v>
      </c>
    </row>
    <row r="88" spans="1:9" x14ac:dyDescent="0.3">
      <c r="A88">
        <v>108723.73293202961</v>
      </c>
      <c r="B88">
        <v>1707.400919999337</v>
      </c>
      <c r="C88">
        <v>108242.56704490994</v>
      </c>
      <c r="D88">
        <v>1848.1345855556915</v>
      </c>
      <c r="E88">
        <v>1.5144009199993371E-2</v>
      </c>
      <c r="F88">
        <v>91808.732932029612</v>
      </c>
      <c r="G88">
        <v>1514.400919999337</v>
      </c>
      <c r="H88">
        <v>91351.024808247268</v>
      </c>
      <c r="I88">
        <v>1383.4207601249193</v>
      </c>
    </row>
    <row r="89" spans="1:9" x14ac:dyDescent="0.3">
      <c r="A89">
        <v>110425.13385202894</v>
      </c>
      <c r="B89">
        <v>466.06137818703513</v>
      </c>
      <c r="C89">
        <v>110084.70163046563</v>
      </c>
      <c r="D89">
        <v>513.06227759203364</v>
      </c>
      <c r="E89">
        <v>2.7306137818703512E-3</v>
      </c>
      <c r="F89">
        <v>93311.133852028943</v>
      </c>
      <c r="G89">
        <v>273.06137818703513</v>
      </c>
      <c r="H89">
        <v>92722.44556837219</v>
      </c>
      <c r="I89">
        <v>253.18918775772059</v>
      </c>
    </row>
    <row r="90" spans="1:9" x14ac:dyDescent="0.3">
      <c r="A90">
        <v>110885.19523021598</v>
      </c>
      <c r="B90">
        <v>-279.36136692166951</v>
      </c>
      <c r="C90">
        <v>110591.76390805766</v>
      </c>
      <c r="D90">
        <v>-308.9506633563355</v>
      </c>
      <c r="E90">
        <v>-4.7236136692166957E-3</v>
      </c>
      <c r="F90">
        <v>93572.195230215977</v>
      </c>
      <c r="G90">
        <v>-472.36136692166957</v>
      </c>
      <c r="H90">
        <v>92963.634756129904</v>
      </c>
      <c r="I90">
        <v>-439.1242958741235</v>
      </c>
    </row>
    <row r="91" spans="1:9" x14ac:dyDescent="0.3">
      <c r="A91">
        <v>110599.83386329431</v>
      </c>
      <c r="B91">
        <v>1069.7697001083986</v>
      </c>
      <c r="C91">
        <v>110276.81324470133</v>
      </c>
      <c r="D91">
        <v>1179.7079343369403</v>
      </c>
      <c r="E91">
        <v>8.7676970010839867E-3</v>
      </c>
      <c r="F91">
        <v>93087.833863294305</v>
      </c>
      <c r="G91">
        <v>876.76970010839864</v>
      </c>
      <c r="H91">
        <v>92512.510460255784</v>
      </c>
      <c r="I91">
        <v>811.12166052513555</v>
      </c>
    </row>
    <row r="92" spans="1:9" x14ac:dyDescent="0.3">
      <c r="A92">
        <v>111663.60356340271</v>
      </c>
      <c r="B92">
        <v>-40.30502845535009</v>
      </c>
      <c r="C92">
        <v>111450.52117903827</v>
      </c>
      <c r="D92">
        <v>-44.920164274847352</v>
      </c>
      <c r="E92">
        <v>-2.3330502845535011E-3</v>
      </c>
      <c r="F92">
        <v>93952.603563402707</v>
      </c>
      <c r="G92">
        <v>-233.30502845535011</v>
      </c>
      <c r="H92">
        <v>93311.632120780923</v>
      </c>
      <c r="I92">
        <v>-217.70072987153955</v>
      </c>
    </row>
    <row r="93" spans="1:9" x14ac:dyDescent="0.3">
      <c r="A93">
        <v>111617.29853494736</v>
      </c>
      <c r="B93">
        <v>-417.35823517089636</v>
      </c>
      <c r="C93">
        <v>111399.60101476342</v>
      </c>
      <c r="D93">
        <v>-464.93540878263656</v>
      </c>
      <c r="E93">
        <v>-6.1035823517089638E-3</v>
      </c>
      <c r="F93">
        <v>93707.29853494736</v>
      </c>
      <c r="G93">
        <v>-610.35823517089636</v>
      </c>
      <c r="H93">
        <v>93081.931390909391</v>
      </c>
      <c r="I93">
        <v>-568.13323370053911</v>
      </c>
    </row>
    <row r="94" spans="1:9" x14ac:dyDescent="0.3">
      <c r="A94">
        <v>111193.94029977647</v>
      </c>
      <c r="B94">
        <v>142.36717789425927</v>
      </c>
      <c r="C94">
        <v>110928.66560598079</v>
      </c>
      <c r="D94">
        <v>157.92601069899467</v>
      </c>
      <c r="E94">
        <v>-5.063282210574073E-4</v>
      </c>
      <c r="F94">
        <v>93084.94029977647</v>
      </c>
      <c r="G94">
        <v>-50.632822105740729</v>
      </c>
      <c r="H94">
        <v>92501.798157208847</v>
      </c>
      <c r="I94">
        <v>-46.836270905550911</v>
      </c>
    </row>
    <row r="95" spans="1:9" x14ac:dyDescent="0.3">
      <c r="A95">
        <v>111330.30747767074</v>
      </c>
      <c r="B95">
        <v>569.38238947045386</v>
      </c>
      <c r="C95">
        <v>111080.59161667978</v>
      </c>
      <c r="D95">
        <v>632.47332678496798</v>
      </c>
      <c r="E95">
        <v>3.7638238947045382E-3</v>
      </c>
      <c r="F95">
        <v>93022.307477670736</v>
      </c>
      <c r="G95">
        <v>376.3823894704538</v>
      </c>
      <c r="H95">
        <v>92442.961886303296</v>
      </c>
      <c r="I95">
        <v>347.93902884492928</v>
      </c>
    </row>
    <row r="96" spans="1:9" x14ac:dyDescent="0.3">
      <c r="A96">
        <v>111893.68986714119</v>
      </c>
      <c r="B96">
        <v>619.9141410905371</v>
      </c>
      <c r="C96">
        <v>111707.06494346475</v>
      </c>
      <c r="D96">
        <v>692.48789218172794</v>
      </c>
      <c r="E96">
        <v>4.2691414109053702E-3</v>
      </c>
      <c r="F96">
        <v>93386.689867141191</v>
      </c>
      <c r="G96">
        <v>426.91414109053704</v>
      </c>
      <c r="H96">
        <v>92778.900915148231</v>
      </c>
      <c r="I96">
        <v>396.08624795514544</v>
      </c>
    </row>
    <row r="97" spans="1:9" x14ac:dyDescent="0.3">
      <c r="A97">
        <v>112507.60400823173</v>
      </c>
      <c r="B97">
        <v>1255.6025302775186</v>
      </c>
      <c r="C97">
        <v>112393.55283564648</v>
      </c>
      <c r="D97">
        <v>1411.2162932731769</v>
      </c>
      <c r="E97">
        <v>1.0626025302775186E-2</v>
      </c>
      <c r="F97">
        <v>93801.604008231734</v>
      </c>
      <c r="G97">
        <v>1062.6025302775186</v>
      </c>
      <c r="H97">
        <v>93162.987163103375</v>
      </c>
      <c r="I97">
        <v>989.95225887725633</v>
      </c>
    </row>
    <row r="98" spans="1:9" x14ac:dyDescent="0.3">
      <c r="A98">
        <v>113757.20653850926</v>
      </c>
      <c r="B98">
        <v>433.82236945890514</v>
      </c>
      <c r="C98">
        <v>113798.76912891965</v>
      </c>
      <c r="D98">
        <v>493.68451665014834</v>
      </c>
      <c r="E98">
        <v>2.4082236945890513E-3</v>
      </c>
      <c r="F98">
        <v>94852.206538509257</v>
      </c>
      <c r="G98">
        <v>240.82236945890514</v>
      </c>
      <c r="H98">
        <v>94140.939421980627</v>
      </c>
      <c r="I98">
        <v>226.71244094688626</v>
      </c>
    </row>
    <row r="99" spans="1:9" x14ac:dyDescent="0.3">
      <c r="A99">
        <v>114185.02890796817</v>
      </c>
      <c r="B99">
        <v>934.79968578162527</v>
      </c>
      <c r="C99">
        <v>114286.4536455698</v>
      </c>
      <c r="D99">
        <v>1068.3494095697492</v>
      </c>
      <c r="E99">
        <v>7.4179968578162525E-3</v>
      </c>
      <c r="F99">
        <v>95081.028907968168</v>
      </c>
      <c r="G99">
        <v>741.79968578162527</v>
      </c>
      <c r="H99">
        <v>94355.651862927509</v>
      </c>
      <c r="I99">
        <v>699.92992903640049</v>
      </c>
    </row>
    <row r="100" spans="1:9" x14ac:dyDescent="0.3">
      <c r="A100">
        <v>115113.8285937498</v>
      </c>
      <c r="B100">
        <v>-1467.0499640658668</v>
      </c>
      <c r="C100">
        <v>115348.80305513955</v>
      </c>
      <c r="D100">
        <v>-1692.2245737708322</v>
      </c>
      <c r="E100">
        <v>-1.660049964065867E-2</v>
      </c>
      <c r="F100">
        <v>95810.8285937498</v>
      </c>
      <c r="G100">
        <v>-1660.049964065867</v>
      </c>
      <c r="H100">
        <v>95043.581791963908</v>
      </c>
      <c r="I100">
        <v>-1577.7709453844097</v>
      </c>
    </row>
    <row r="101" spans="1:9" x14ac:dyDescent="0.3">
      <c r="A101">
        <v>113640.77862968393</v>
      </c>
      <c r="B101">
        <v>-190.8032818164364</v>
      </c>
      <c r="C101">
        <v>113650.57848136872</v>
      </c>
      <c r="D101">
        <v>-216.84903354581618</v>
      </c>
      <c r="E101">
        <v>-3.8380328181643643E-3</v>
      </c>
      <c r="F101">
        <v>94138.778629683933</v>
      </c>
      <c r="G101">
        <v>-383.80328181643642</v>
      </c>
      <c r="H101">
        <v>93453.810846579494</v>
      </c>
      <c r="I101">
        <v>-358.67879301169694</v>
      </c>
    </row>
    <row r="102" spans="1:9" x14ac:dyDescent="0.3">
      <c r="A102">
        <v>113443.9753478675</v>
      </c>
      <c r="B102">
        <v>-769.69444058051931</v>
      </c>
      <c r="C102">
        <v>113427.7294478229</v>
      </c>
      <c r="D102">
        <v>-873.04692763660546</v>
      </c>
      <c r="E102">
        <v>-9.6269444058051934E-3</v>
      </c>
      <c r="F102">
        <v>93742.975347867497</v>
      </c>
      <c r="G102">
        <v>-962.69444058051931</v>
      </c>
      <c r="H102">
        <v>93083.132053567795</v>
      </c>
      <c r="I102">
        <v>-896.10613739792052</v>
      </c>
    </row>
    <row r="103" spans="1:9" x14ac:dyDescent="0.3">
      <c r="A103">
        <v>112668.28090728697</v>
      </c>
      <c r="B103">
        <v>-2738.0346035714851</v>
      </c>
      <c r="C103">
        <v>112548.6825201863</v>
      </c>
      <c r="D103">
        <v>-3081.621873266512</v>
      </c>
      <c r="E103">
        <v>-2.9310346035714852E-2</v>
      </c>
      <c r="F103">
        <v>92768.280907286971</v>
      </c>
      <c r="G103">
        <v>-2931.0346035714851</v>
      </c>
      <c r="H103">
        <v>92175.025916169878</v>
      </c>
      <c r="I103">
        <v>-2701.6819054539237</v>
      </c>
    </row>
    <row r="104" spans="1:9" x14ac:dyDescent="0.3">
      <c r="A104">
        <v>109924.24630371548</v>
      </c>
      <c r="B104">
        <v>1281.4399809274082</v>
      </c>
      <c r="C104">
        <v>109461.06064691978</v>
      </c>
      <c r="D104">
        <v>1402.6777946768277</v>
      </c>
      <c r="E104">
        <v>1.0884399809274083E-2</v>
      </c>
      <c r="F104">
        <v>89825.246303715481</v>
      </c>
      <c r="G104">
        <v>1088.4399809274082</v>
      </c>
      <c r="H104">
        <v>89461.344010715955</v>
      </c>
      <c r="I104">
        <v>973.73303568763981</v>
      </c>
    </row>
    <row r="105" spans="1:9" x14ac:dyDescent="0.3">
      <c r="A105">
        <v>111199.68628464288</v>
      </c>
      <c r="B105">
        <v>1053.4077741493732</v>
      </c>
      <c r="C105">
        <v>110857.73844159661</v>
      </c>
      <c r="D105">
        <v>1167.7840349899568</v>
      </c>
      <c r="E105">
        <v>8.6040777414937326E-3</v>
      </c>
      <c r="F105">
        <v>90901.686284642885</v>
      </c>
      <c r="G105">
        <v>860.40777414937327</v>
      </c>
      <c r="H105">
        <v>90423.077046403589</v>
      </c>
      <c r="I105">
        <v>778.00718453233401</v>
      </c>
    </row>
    <row r="106" spans="1:9" x14ac:dyDescent="0.3">
      <c r="A106">
        <v>112247.09405879225</v>
      </c>
      <c r="B106">
        <v>-1996.0753050837038</v>
      </c>
      <c r="C106">
        <v>112019.52247658657</v>
      </c>
      <c r="D106">
        <v>-2235.9940250278337</v>
      </c>
      <c r="E106">
        <v>-2.1890753050837038E-2</v>
      </c>
      <c r="F106">
        <v>91750.094058792252</v>
      </c>
      <c r="G106">
        <v>-2189.0753050837038</v>
      </c>
      <c r="H106">
        <v>91189.084230935929</v>
      </c>
      <c r="I106">
        <v>-1996.1977238313964</v>
      </c>
    </row>
    <row r="107" spans="1:9" x14ac:dyDescent="0.3">
      <c r="A107">
        <v>110245.01875370854</v>
      </c>
      <c r="B107">
        <v>-357.55426895861945</v>
      </c>
      <c r="C107">
        <v>109777.52845155874</v>
      </c>
      <c r="D107">
        <v>-392.51423933581134</v>
      </c>
      <c r="E107">
        <v>-5.505542689586195E-3</v>
      </c>
      <c r="F107">
        <v>89549.018753708544</v>
      </c>
      <c r="G107">
        <v>-550.55426895861945</v>
      </c>
      <c r="H107">
        <v>89180.886507104529</v>
      </c>
      <c r="I107">
        <v>-490.98917776000548</v>
      </c>
    </row>
    <row r="108" spans="1:9" x14ac:dyDescent="0.3">
      <c r="A108">
        <v>109881.46448474993</v>
      </c>
      <c r="B108">
        <v>-231.20180188244032</v>
      </c>
      <c r="C108">
        <v>109379.01421222293</v>
      </c>
      <c r="D108">
        <v>-252.88625173990991</v>
      </c>
      <c r="E108">
        <v>-4.2420180188244032E-3</v>
      </c>
      <c r="F108">
        <v>88986.464484749929</v>
      </c>
      <c r="G108">
        <v>-424.20180188244029</v>
      </c>
      <c r="H108">
        <v>88677.897329344531</v>
      </c>
      <c r="I108">
        <v>-376.17323834253989</v>
      </c>
    </row>
    <row r="109" spans="1:9" x14ac:dyDescent="0.3">
      <c r="A109">
        <v>109644.26268286748</v>
      </c>
      <c r="B109">
        <v>509.90741154896642</v>
      </c>
      <c r="C109">
        <v>109120.12796048302</v>
      </c>
      <c r="D109">
        <v>556.41161996221888</v>
      </c>
      <c r="E109">
        <v>3.1690741154896639E-3</v>
      </c>
      <c r="F109">
        <v>88550.262682867484</v>
      </c>
      <c r="G109">
        <v>316.90741154896637</v>
      </c>
      <c r="H109">
        <v>88289.72409100199</v>
      </c>
      <c r="I109">
        <v>279.79667928051862</v>
      </c>
    </row>
    <row r="110" spans="1:9" x14ac:dyDescent="0.3">
      <c r="A110">
        <v>110148.17009441645</v>
      </c>
      <c r="B110">
        <v>2462.2668536361093</v>
      </c>
      <c r="C110">
        <v>109670.53958044524</v>
      </c>
      <c r="D110">
        <v>2700.3813442931728</v>
      </c>
      <c r="E110">
        <v>2.269266853636109E-2</v>
      </c>
      <c r="F110">
        <v>88855.170094416448</v>
      </c>
      <c r="G110">
        <v>2269.2668536361089</v>
      </c>
      <c r="H110">
        <v>88557.520770282514</v>
      </c>
      <c r="I110">
        <v>2009.6064652419336</v>
      </c>
    </row>
    <row r="111" spans="1:9" x14ac:dyDescent="0.3">
      <c r="A111">
        <v>112604.43694805256</v>
      </c>
      <c r="B111">
        <v>-381.1904872139184</v>
      </c>
      <c r="C111">
        <v>112364.92092473841</v>
      </c>
      <c r="D111">
        <v>-428.32438953054452</v>
      </c>
      <c r="E111">
        <v>-5.7419048721391846E-3</v>
      </c>
      <c r="F111">
        <v>91112.436948052549</v>
      </c>
      <c r="G111">
        <v>-574.19048721391846</v>
      </c>
      <c r="H111">
        <v>90555.127235524444</v>
      </c>
      <c r="I111">
        <v>-519.95892627084152</v>
      </c>
    </row>
    <row r="112" spans="1:9" x14ac:dyDescent="0.3">
      <c r="A112">
        <v>112217.24646083865</v>
      </c>
      <c r="B112">
        <v>-649.73056197075095</v>
      </c>
      <c r="C112">
        <v>111930.59653520786</v>
      </c>
      <c r="D112">
        <v>-727.24729388541994</v>
      </c>
      <c r="E112">
        <v>-8.4273056197075088E-3</v>
      </c>
      <c r="F112">
        <v>90526.246460838636</v>
      </c>
      <c r="G112">
        <v>-842.73056197075084</v>
      </c>
      <c r="H112">
        <v>90023.168309253597</v>
      </c>
      <c r="I112">
        <v>-758.65275219644775</v>
      </c>
    </row>
    <row r="113" spans="1:9" x14ac:dyDescent="0.3">
      <c r="A113">
        <v>111561.5158988679</v>
      </c>
      <c r="B113">
        <v>-1058.064123253042</v>
      </c>
      <c r="C113">
        <v>111197.34924132244</v>
      </c>
      <c r="D113">
        <v>-1176.5392583308214</v>
      </c>
      <c r="E113">
        <v>-1.251064123253042E-2</v>
      </c>
      <c r="F113">
        <v>89671.515898867889</v>
      </c>
      <c r="G113">
        <v>-1251.064123253042</v>
      </c>
      <c r="H113">
        <v>89252.515557057151</v>
      </c>
      <c r="I113">
        <v>-1116.606201235182</v>
      </c>
    </row>
    <row r="114" spans="1:9" x14ac:dyDescent="0.3">
      <c r="A114">
        <v>110497.45177561486</v>
      </c>
      <c r="B114">
        <v>20.933640360056575</v>
      </c>
      <c r="C114">
        <v>110014.80998299162</v>
      </c>
      <c r="D114">
        <v>23.030104664639083</v>
      </c>
      <c r="E114">
        <v>-1.7206635963994343E-3</v>
      </c>
      <c r="F114">
        <v>88408.451775614842</v>
      </c>
      <c r="G114">
        <v>-172.06635963994341</v>
      </c>
      <c r="H114">
        <v>88123.909355821976</v>
      </c>
      <c r="I114">
        <v>-151.63160280096639</v>
      </c>
    </row>
    <row r="115" spans="1:9" x14ac:dyDescent="0.3">
      <c r="A115">
        <v>110512.38541597492</v>
      </c>
      <c r="B115">
        <v>-891.36156975353504</v>
      </c>
      <c r="C115">
        <v>110031.84008765625</v>
      </c>
      <c r="D115">
        <v>-980.78153703403223</v>
      </c>
      <c r="E115">
        <v>-1.084361569753535E-2</v>
      </c>
      <c r="F115">
        <v>88224.385415974903</v>
      </c>
      <c r="G115">
        <v>-1084.3615697535349</v>
      </c>
      <c r="H115">
        <v>87960.277753021015</v>
      </c>
      <c r="I115">
        <v>-953.80744860222808</v>
      </c>
    </row>
    <row r="116" spans="1:9" x14ac:dyDescent="0.3">
      <c r="A116">
        <v>109615.02384622139</v>
      </c>
      <c r="B116">
        <v>-3184.647302904566</v>
      </c>
      <c r="C116">
        <v>109045.05855062223</v>
      </c>
      <c r="D116">
        <v>-3472.7005160830959</v>
      </c>
      <c r="E116">
        <v>-3.3776473029045663E-2</v>
      </c>
      <c r="F116">
        <v>87128.023846221375</v>
      </c>
      <c r="G116">
        <v>-3377.6473029045665</v>
      </c>
      <c r="H116">
        <v>86994.470304418792</v>
      </c>
      <c r="I116">
        <v>-2938.3663799133151</v>
      </c>
    </row>
    <row r="117" spans="1:9" x14ac:dyDescent="0.3">
      <c r="A117">
        <v>106424.37654331683</v>
      </c>
      <c r="B117">
        <v>2524.3685521166858</v>
      </c>
      <c r="C117">
        <v>105566.35803453912</v>
      </c>
      <c r="D117">
        <v>2664.8839438388118</v>
      </c>
      <c r="E117">
        <v>2.3313685521166857E-2</v>
      </c>
      <c r="F117">
        <v>83738.376543316816</v>
      </c>
      <c r="G117">
        <v>2331.3685521166858</v>
      </c>
      <c r="H117">
        <v>84044.103924505471</v>
      </c>
      <c r="I117">
        <v>1959.3778088041859</v>
      </c>
    </row>
    <row r="118" spans="1:9" x14ac:dyDescent="0.3">
      <c r="A118">
        <v>108942.74509543352</v>
      </c>
      <c r="B118">
        <v>347.76970572199252</v>
      </c>
      <c r="C118">
        <v>108225.24197837793</v>
      </c>
      <c r="D118">
        <v>376.37460554511927</v>
      </c>
      <c r="E118">
        <v>1.5476970572199254E-3</v>
      </c>
      <c r="F118">
        <v>86057.745095433507</v>
      </c>
      <c r="G118">
        <v>154.76970572199255</v>
      </c>
      <c r="H118">
        <v>85991.481733309658</v>
      </c>
      <c r="I118">
        <v>133.08876322462433</v>
      </c>
    </row>
    <row r="119" spans="1:9" x14ac:dyDescent="0.3">
      <c r="A119">
        <v>109284.51480115551</v>
      </c>
      <c r="B119">
        <v>780.92461474385675</v>
      </c>
      <c r="C119">
        <v>108595.61658392305</v>
      </c>
      <c r="D119">
        <v>848.04990043671683</v>
      </c>
      <c r="E119">
        <v>5.8792461474385669E-3</v>
      </c>
      <c r="F119">
        <v>86200.514801155499</v>
      </c>
      <c r="G119">
        <v>587.92461474385664</v>
      </c>
      <c r="H119">
        <v>86112.570496534288</v>
      </c>
      <c r="I119">
        <v>506.27699833778121</v>
      </c>
    </row>
    <row r="120" spans="1:9" x14ac:dyDescent="0.3">
      <c r="A120">
        <v>110059.43941589937</v>
      </c>
      <c r="B120">
        <v>1705.5749389796651</v>
      </c>
      <c r="C120">
        <v>109437.66648435977</v>
      </c>
      <c r="D120">
        <v>1866.5414133613885</v>
      </c>
      <c r="E120">
        <v>1.5125749389796652E-2</v>
      </c>
      <c r="F120">
        <v>86776.439415899353</v>
      </c>
      <c r="G120">
        <v>1512.5749389796651</v>
      </c>
      <c r="H120">
        <v>86606.847494872069</v>
      </c>
      <c r="I120">
        <v>1309.9934706477729</v>
      </c>
    </row>
    <row r="121" spans="1:9" x14ac:dyDescent="0.3">
      <c r="A121">
        <v>111759.01435487904</v>
      </c>
      <c r="B121">
        <v>-167.42155851533022</v>
      </c>
      <c r="C121">
        <v>111298.20789772115</v>
      </c>
      <c r="D121">
        <v>-186.33719426199707</v>
      </c>
      <c r="E121">
        <v>-3.6042155851533021E-3</v>
      </c>
      <c r="F121">
        <v>88277.014354879022</v>
      </c>
      <c r="G121">
        <v>-360.42155851533022</v>
      </c>
      <c r="H121">
        <v>87904.840965519848</v>
      </c>
      <c r="I121">
        <v>-316.8279978183491</v>
      </c>
    </row>
    <row r="122" spans="1:9" x14ac:dyDescent="0.3">
      <c r="A122">
        <v>111585.59279636371</v>
      </c>
      <c r="B122">
        <v>1502.3291344007869</v>
      </c>
      <c r="C122">
        <v>111105.87070345915</v>
      </c>
      <c r="D122">
        <v>1669.1758656077352</v>
      </c>
      <c r="E122">
        <v>1.3093291344007869E-2</v>
      </c>
      <c r="F122">
        <v>87904.592796363693</v>
      </c>
      <c r="G122">
        <v>1309.3291344007869</v>
      </c>
      <c r="H122">
        <v>87576.012967701507</v>
      </c>
      <c r="I122">
        <v>1146.6582525327269</v>
      </c>
    </row>
    <row r="123" spans="1:9" x14ac:dyDescent="0.3">
      <c r="A123">
        <v>113081.9219307645</v>
      </c>
      <c r="B123">
        <v>-746.69557101135638</v>
      </c>
      <c r="C123">
        <v>112769.04656906688</v>
      </c>
      <c r="D123">
        <v>-842.04147620295635</v>
      </c>
      <c r="E123">
        <v>-9.3969557101135637E-3</v>
      </c>
      <c r="F123">
        <v>89201.921930764482</v>
      </c>
      <c r="G123">
        <v>-939.69557101135638</v>
      </c>
      <c r="H123">
        <v>88710.671220234231</v>
      </c>
      <c r="I123">
        <v>-833.61024847098702</v>
      </c>
    </row>
    <row r="124" spans="1:9" x14ac:dyDescent="0.3">
      <c r="A124">
        <v>112329.22635975314</v>
      </c>
      <c r="B124">
        <v>-424.53958383160699</v>
      </c>
      <c r="C124">
        <v>111921.00509286392</v>
      </c>
      <c r="D124">
        <v>-475.14896924139617</v>
      </c>
      <c r="E124">
        <v>-6.1753958383160704E-3</v>
      </c>
      <c r="F124">
        <v>88250.226359753127</v>
      </c>
      <c r="G124">
        <v>-617.53958383160705</v>
      </c>
      <c r="H124">
        <v>87865.060971763247</v>
      </c>
      <c r="I124">
        <v>-542.60153185841455</v>
      </c>
    </row>
    <row r="125" spans="1:9" x14ac:dyDescent="0.3">
      <c r="A125">
        <v>111898.68677592154</v>
      </c>
      <c r="B125">
        <v>-77.66062307715012</v>
      </c>
      <c r="C125">
        <v>111439.85612362252</v>
      </c>
      <c r="D125">
        <v>-86.544886621884885</v>
      </c>
      <c r="E125">
        <v>-2.7066062307715012E-3</v>
      </c>
      <c r="F125">
        <v>87620.686775921524</v>
      </c>
      <c r="G125">
        <v>-270.66062307715009</v>
      </c>
      <c r="H125">
        <v>87310.459439904836</v>
      </c>
      <c r="I125">
        <v>-236.31503353156887</v>
      </c>
    </row>
    <row r="126" spans="1:9" x14ac:dyDescent="0.3">
      <c r="A126">
        <v>111815.0261528444</v>
      </c>
      <c r="B126">
        <v>-729.77573828733091</v>
      </c>
      <c r="C126">
        <v>111347.31123700064</v>
      </c>
      <c r="D126">
        <v>-812.58566264291358</v>
      </c>
      <c r="E126">
        <v>-9.2277573828733091E-3</v>
      </c>
      <c r="F126">
        <v>87338.026152844381</v>
      </c>
      <c r="G126">
        <v>-922.77573828733091</v>
      </c>
      <c r="H126">
        <v>87062.144406373263</v>
      </c>
      <c r="I126">
        <v>-803.38834581469303</v>
      </c>
    </row>
    <row r="127" spans="1:9" x14ac:dyDescent="0.3">
      <c r="A127">
        <v>111079.25041455707</v>
      </c>
      <c r="B127">
        <v>228.55626170428573</v>
      </c>
      <c r="C127">
        <v>110528.72557435773</v>
      </c>
      <c r="D127">
        <v>252.62032328214084</v>
      </c>
      <c r="E127">
        <v>3.5556261704285737E-4</v>
      </c>
      <c r="F127">
        <v>86403.250414557057</v>
      </c>
      <c r="G127">
        <v>35.556261704285738</v>
      </c>
      <c r="H127">
        <v>86246.756060558575</v>
      </c>
      <c r="I127">
        <v>30.666122296349126</v>
      </c>
    </row>
    <row r="128" spans="1:9" x14ac:dyDescent="0.3">
      <c r="A128">
        <v>111301.80667626136</v>
      </c>
      <c r="B128">
        <v>-913.05126215909843</v>
      </c>
      <c r="C128">
        <v>110775.34589763987</v>
      </c>
      <c r="D128">
        <v>-1011.4356938795079</v>
      </c>
      <c r="E128">
        <v>-1.1060512621590983E-2</v>
      </c>
      <c r="F128">
        <v>86426.806676261345</v>
      </c>
      <c r="G128">
        <v>-1106.0512621590983</v>
      </c>
      <c r="H128">
        <v>86265.42218285492</v>
      </c>
      <c r="I128">
        <v>-954.13979086034169</v>
      </c>
    </row>
    <row r="129" spans="1:9" x14ac:dyDescent="0.3">
      <c r="A129">
        <v>110382.75541410226</v>
      </c>
      <c r="B129">
        <v>-1133.5348506401103</v>
      </c>
      <c r="C129">
        <v>109757.91020376036</v>
      </c>
      <c r="D129">
        <v>-1244.1441634939015</v>
      </c>
      <c r="E129">
        <v>-1.3265348506401103E-2</v>
      </c>
      <c r="F129">
        <v>85308.755414102241</v>
      </c>
      <c r="G129">
        <v>-1326.5348506401103</v>
      </c>
      <c r="H129">
        <v>85299.28239199458</v>
      </c>
      <c r="I129">
        <v>-1131.5247082757312</v>
      </c>
    </row>
    <row r="130" spans="1:9" x14ac:dyDescent="0.3">
      <c r="A130">
        <v>109243.22056346215</v>
      </c>
      <c r="B130">
        <v>846.90936893489254</v>
      </c>
      <c r="C130">
        <v>108507.76604026646</v>
      </c>
      <c r="D130">
        <v>918.96243661697031</v>
      </c>
      <c r="E130">
        <v>6.5390936893489253E-3</v>
      </c>
      <c r="F130">
        <v>83970.220563462135</v>
      </c>
      <c r="G130">
        <v>653.90936893489254</v>
      </c>
      <c r="H130">
        <v>84155.757683718854</v>
      </c>
      <c r="I130">
        <v>550.30238399198333</v>
      </c>
    </row>
    <row r="131" spans="1:9" x14ac:dyDescent="0.3">
      <c r="A131">
        <v>110084.12993239705</v>
      </c>
      <c r="B131">
        <v>842.608500784341</v>
      </c>
      <c r="C131">
        <v>109420.72847688344</v>
      </c>
      <c r="D131">
        <v>921.98835976637201</v>
      </c>
      <c r="E131">
        <v>6.4960850078434095E-3</v>
      </c>
      <c r="F131">
        <v>84612.129932397031</v>
      </c>
      <c r="G131">
        <v>649.608500784341</v>
      </c>
      <c r="H131">
        <v>84694.06006771083</v>
      </c>
      <c r="I131">
        <v>550.17981385924554</v>
      </c>
    </row>
    <row r="132" spans="1:9" x14ac:dyDescent="0.3">
      <c r="A132">
        <v>110920.73843318138</v>
      </c>
      <c r="B132">
        <v>-407.75027560898951</v>
      </c>
      <c r="C132">
        <v>110336.71683664981</v>
      </c>
      <c r="D132">
        <v>-449.89826699934991</v>
      </c>
      <c r="E132">
        <v>-6.0075027560898952E-3</v>
      </c>
      <c r="F132">
        <v>85249.738433181366</v>
      </c>
      <c r="G132">
        <v>-600.75027560898957</v>
      </c>
      <c r="H132">
        <v>85232.239881570073</v>
      </c>
      <c r="I132">
        <v>-512.03291599624731</v>
      </c>
    </row>
    <row r="133" spans="1:9" x14ac:dyDescent="0.3">
      <c r="A133">
        <v>110506.98815757238</v>
      </c>
      <c r="B133">
        <v>-237.6531748978868</v>
      </c>
      <c r="C133">
        <v>109880.81856965045</v>
      </c>
      <c r="D133">
        <v>-261.13525393456104</v>
      </c>
      <c r="E133">
        <v>-4.3065317489788682E-3</v>
      </c>
      <c r="F133">
        <v>84636.98815757237</v>
      </c>
      <c r="G133">
        <v>-430.6531748978868</v>
      </c>
      <c r="H133">
        <v>84708.206965573831</v>
      </c>
      <c r="I133">
        <v>-364.7985826963166</v>
      </c>
    </row>
    <row r="134" spans="1:9" x14ac:dyDescent="0.3">
      <c r="A134">
        <v>110263.3349826745</v>
      </c>
      <c r="B134">
        <v>-918.82261128208279</v>
      </c>
      <c r="C134">
        <v>109613.68331571588</v>
      </c>
      <c r="D134">
        <v>-1007.1553073639334</v>
      </c>
      <c r="E134">
        <v>-1.1118226112820827E-2</v>
      </c>
      <c r="F134">
        <v>84194.334982674482</v>
      </c>
      <c r="G134">
        <v>-1111.8226112820828</v>
      </c>
      <c r="H134">
        <v>84331.408382877518</v>
      </c>
      <c r="I134">
        <v>-937.61566681346608</v>
      </c>
    </row>
    <row r="135" spans="1:9" x14ac:dyDescent="0.3">
      <c r="A135">
        <v>109338.51237139241</v>
      </c>
      <c r="B135">
        <v>653.00251708018175</v>
      </c>
      <c r="C135">
        <v>108600.52800835195</v>
      </c>
      <c r="D135">
        <v>709.16418145690591</v>
      </c>
      <c r="E135">
        <v>4.6000251708018169E-3</v>
      </c>
      <c r="F135">
        <v>83070.512371392397</v>
      </c>
      <c r="G135">
        <v>460.00251708018169</v>
      </c>
      <c r="H135">
        <v>83381.792716064054</v>
      </c>
      <c r="I135">
        <v>383.55834528047421</v>
      </c>
    </row>
    <row r="136" spans="1:9" x14ac:dyDescent="0.3">
      <c r="A136">
        <v>109985.51488847259</v>
      </c>
      <c r="B136">
        <v>15.908137735550875</v>
      </c>
      <c r="C136">
        <v>109303.69218980885</v>
      </c>
      <c r="D136">
        <v>17.388181903597356</v>
      </c>
      <c r="E136">
        <v>-1.7709186226444913E-3</v>
      </c>
      <c r="F136">
        <v>83518.514888472579</v>
      </c>
      <c r="G136">
        <v>-177.09186226444913</v>
      </c>
      <c r="H136">
        <v>83753.351061344525</v>
      </c>
      <c r="I136">
        <v>-148.32036910341679</v>
      </c>
    </row>
    <row r="137" spans="1:9" x14ac:dyDescent="0.3">
      <c r="A137">
        <v>109995.42302620814</v>
      </c>
      <c r="B137">
        <v>-3992.7719551861233</v>
      </c>
      <c r="C137">
        <v>109315.08037171245</v>
      </c>
      <c r="D137">
        <v>-4364.7018718709051</v>
      </c>
      <c r="E137">
        <v>-4.1857719551861232E-2</v>
      </c>
      <c r="F137">
        <v>83329.423026208126</v>
      </c>
      <c r="G137">
        <v>-4185.7719551861228</v>
      </c>
      <c r="H137">
        <v>83593.030692241111</v>
      </c>
      <c r="I137">
        <v>-3499.0136352059567</v>
      </c>
    </row>
    <row r="138" spans="1:9" x14ac:dyDescent="0.3">
      <c r="A138">
        <v>105996.65107102202</v>
      </c>
      <c r="B138">
        <v>1814.0589569161004</v>
      </c>
      <c r="C138">
        <v>104944.37849984155</v>
      </c>
      <c r="D138">
        <v>1903.7528979563101</v>
      </c>
      <c r="E138">
        <v>1.6210589569161004E-2</v>
      </c>
      <c r="F138">
        <v>79131.651071022003</v>
      </c>
      <c r="G138">
        <v>1621.0589569161004</v>
      </c>
      <c r="H138">
        <v>80082.017057035147</v>
      </c>
      <c r="I138">
        <v>1298.1767103821476</v>
      </c>
    </row>
    <row r="139" spans="1:9" x14ac:dyDescent="0.3">
      <c r="A139">
        <v>107804.71002793811</v>
      </c>
      <c r="B139">
        <v>1914.3491354324201</v>
      </c>
      <c r="C139">
        <v>106842.13139779786</v>
      </c>
      <c r="D139">
        <v>2045.3314186913135</v>
      </c>
      <c r="E139">
        <v>1.7213491354324199E-2</v>
      </c>
      <c r="F139">
        <v>80740.710027938097</v>
      </c>
      <c r="G139">
        <v>1721.3491354324199</v>
      </c>
      <c r="H139">
        <v>81368.193767417295</v>
      </c>
      <c r="I139">
        <v>1400.6306999324138</v>
      </c>
    </row>
    <row r="140" spans="1:9" x14ac:dyDescent="0.3">
      <c r="A140">
        <v>109713.05916337053</v>
      </c>
      <c r="B140">
        <v>1585.0288512478255</v>
      </c>
      <c r="C140">
        <v>108881.46281648918</v>
      </c>
      <c r="D140">
        <v>1725.8025993020267</v>
      </c>
      <c r="E140">
        <v>1.3920288512478255E-2</v>
      </c>
      <c r="F140">
        <v>82450.059163370519</v>
      </c>
      <c r="G140">
        <v>1392.0288512478255</v>
      </c>
      <c r="H140">
        <v>82756.82446734971</v>
      </c>
      <c r="I140">
        <v>1151.9988729620277</v>
      </c>
    </row>
    <row r="141" spans="1:9" x14ac:dyDescent="0.3">
      <c r="A141">
        <v>111292.08801461836</v>
      </c>
      <c r="B141">
        <v>198.05129094746647</v>
      </c>
      <c r="C141">
        <v>110601.2654157912</v>
      </c>
      <c r="D141">
        <v>219.04723396020825</v>
      </c>
      <c r="E141">
        <v>5.0512909474664585E-5</v>
      </c>
      <c r="F141">
        <v>83830.088014618348</v>
      </c>
      <c r="G141">
        <v>5.0512909474664589</v>
      </c>
      <c r="H141">
        <v>83896.823340311734</v>
      </c>
      <c r="I141">
        <v>4.2378726426010935</v>
      </c>
    </row>
    <row r="142" spans="1:9" x14ac:dyDescent="0.3">
      <c r="A142">
        <v>111484.13930556583</v>
      </c>
      <c r="B142">
        <v>-1041.051707008023</v>
      </c>
      <c r="C142">
        <v>110814.31264975142</v>
      </c>
      <c r="D142">
        <v>-1153.6342934494446</v>
      </c>
      <c r="E142">
        <v>-1.2340517070080229E-2</v>
      </c>
      <c r="F142">
        <v>83823.139305565812</v>
      </c>
      <c r="G142">
        <v>-1234.051707008023</v>
      </c>
      <c r="H142">
        <v>83889.06121295433</v>
      </c>
      <c r="I142">
        <v>-1035.234391891468</v>
      </c>
    </row>
    <row r="143" spans="1:9" x14ac:dyDescent="0.3">
      <c r="A143">
        <v>110437.0875985578</v>
      </c>
      <c r="B143">
        <v>1038.1585497994013</v>
      </c>
      <c r="C143">
        <v>109654.67835630197</v>
      </c>
      <c r="D143">
        <v>1138.3894186109826</v>
      </c>
      <c r="E143">
        <v>8.4515854979940134E-3</v>
      </c>
      <c r="F143">
        <v>82577.087598557788</v>
      </c>
      <c r="G143">
        <v>845.15854979940138</v>
      </c>
      <c r="H143">
        <v>82841.826821062859</v>
      </c>
      <c r="I143">
        <v>700.14478218822637</v>
      </c>
    </row>
    <row r="144" spans="1:9" x14ac:dyDescent="0.3">
      <c r="A144">
        <v>111469.2461483572</v>
      </c>
      <c r="B144">
        <v>2845.5165119285466</v>
      </c>
      <c r="C144">
        <v>110787.06777491295</v>
      </c>
      <c r="D144">
        <v>3152.4643066166182</v>
      </c>
      <c r="E144">
        <v>2.6525165119285467E-2</v>
      </c>
      <c r="F144">
        <v>83410.246148357182</v>
      </c>
      <c r="G144">
        <v>2652.5165119285466</v>
      </c>
      <c r="H144">
        <v>83529.971603251091</v>
      </c>
      <c r="I144">
        <v>2215.6462891854612</v>
      </c>
    </row>
    <row r="145" spans="1:9" x14ac:dyDescent="0.3">
      <c r="A145">
        <v>114308.76266028575</v>
      </c>
      <c r="B145">
        <v>1401.1058996298545</v>
      </c>
      <c r="C145">
        <v>113933.53208152957</v>
      </c>
      <c r="D145">
        <v>1596.3294396509839</v>
      </c>
      <c r="E145">
        <v>1.2081058996298546E-2</v>
      </c>
      <c r="F145">
        <v>86050.762660285734</v>
      </c>
      <c r="G145">
        <v>1208.1058996298545</v>
      </c>
      <c r="H145">
        <v>85733.617892436552</v>
      </c>
      <c r="I145">
        <v>1035.7528957246425</v>
      </c>
    </row>
    <row r="146" spans="1:9" x14ac:dyDescent="0.3">
      <c r="A146">
        <v>115703.8685599156</v>
      </c>
      <c r="B146">
        <v>313.04709059078567</v>
      </c>
      <c r="C146">
        <v>115523.86152118056</v>
      </c>
      <c r="D146">
        <v>361.6440874301839</v>
      </c>
      <c r="E146">
        <v>1.2004709059078567E-3</v>
      </c>
      <c r="F146">
        <v>87246.868559915587</v>
      </c>
      <c r="G146">
        <v>120.04709059078567</v>
      </c>
      <c r="H146">
        <v>86757.370788161192</v>
      </c>
      <c r="I146">
        <v>104.14969950424769</v>
      </c>
    </row>
    <row r="147" spans="1:9" x14ac:dyDescent="0.3">
      <c r="A147">
        <v>116010.91565050639</v>
      </c>
      <c r="B147">
        <v>-383.45617856822184</v>
      </c>
      <c r="C147">
        <v>115879.50560861074</v>
      </c>
      <c r="D147">
        <v>-444.34712395052702</v>
      </c>
      <c r="E147">
        <v>-5.7645617856822186E-3</v>
      </c>
      <c r="F147">
        <v>87354.915650506373</v>
      </c>
      <c r="G147">
        <v>-576.45617856822184</v>
      </c>
      <c r="H147">
        <v>86849.520487665446</v>
      </c>
      <c r="I147">
        <v>-500.64942690802116</v>
      </c>
    </row>
    <row r="148" spans="1:9" x14ac:dyDescent="0.3">
      <c r="A148">
        <v>115621.45947193817</v>
      </c>
      <c r="B148">
        <v>1737.0694827793509</v>
      </c>
      <c r="C148">
        <v>115429.15848466021</v>
      </c>
      <c r="D148">
        <v>2005.0846862660444</v>
      </c>
      <c r="E148">
        <v>1.544069482779351E-2</v>
      </c>
      <c r="F148">
        <v>86766.459471938157</v>
      </c>
      <c r="G148">
        <v>1544.0694827793511</v>
      </c>
      <c r="H148">
        <v>86336.871060757432</v>
      </c>
      <c r="I148">
        <v>1333.1012784357124</v>
      </c>
    </row>
    <row r="149" spans="1:9" x14ac:dyDescent="0.3">
      <c r="A149">
        <v>117352.52895471752</v>
      </c>
      <c r="B149">
        <v>-200.89559563242935</v>
      </c>
      <c r="C149">
        <v>117428.24317092625</v>
      </c>
      <c r="D149">
        <v>-235.90816855892982</v>
      </c>
      <c r="E149">
        <v>-3.9389559563242933E-3</v>
      </c>
      <c r="F149">
        <v>88298.528954717505</v>
      </c>
      <c r="G149">
        <v>-393.89559563242932</v>
      </c>
      <c r="H149">
        <v>87657.972339193147</v>
      </c>
      <c r="I149">
        <v>-345.28089226477499</v>
      </c>
    </row>
    <row r="150" spans="1:9" x14ac:dyDescent="0.3">
      <c r="A150">
        <v>117145.63335908508</v>
      </c>
      <c r="B150">
        <v>1248.6444149897525</v>
      </c>
      <c r="C150">
        <v>117186.33500236731</v>
      </c>
      <c r="D150">
        <v>1463.2406271382408</v>
      </c>
      <c r="E150">
        <v>1.0556444149897525E-2</v>
      </c>
      <c r="F150">
        <v>87892.63335908507</v>
      </c>
      <c r="G150">
        <v>1055.6444149897525</v>
      </c>
      <c r="H150">
        <v>87300.691446928366</v>
      </c>
      <c r="I150">
        <v>921.58487350693588</v>
      </c>
    </row>
    <row r="151" spans="1:9" x14ac:dyDescent="0.3">
      <c r="A151">
        <v>118388.27777407484</v>
      </c>
      <c r="B151">
        <v>-370.92213675472635</v>
      </c>
      <c r="C151">
        <v>118643.57562950555</v>
      </c>
      <c r="D151">
        <v>-440.07528584717176</v>
      </c>
      <c r="E151">
        <v>-5.6392213675472633E-3</v>
      </c>
      <c r="F151">
        <v>88936.277774074828</v>
      </c>
      <c r="G151">
        <v>-563.92213675472635</v>
      </c>
      <c r="H151">
        <v>88210.276320435296</v>
      </c>
      <c r="I151">
        <v>-497.43727506344709</v>
      </c>
    </row>
    <row r="152" spans="1:9" x14ac:dyDescent="0.3">
      <c r="A152">
        <v>118011.35563732011</v>
      </c>
      <c r="B152">
        <v>305.69354222392053</v>
      </c>
      <c r="C152">
        <v>118197.50034365838</v>
      </c>
      <c r="D152">
        <v>361.3221256206599</v>
      </c>
      <c r="E152">
        <v>1.1269354222392051E-3</v>
      </c>
      <c r="F152">
        <v>88360.355637320099</v>
      </c>
      <c r="G152">
        <v>112.69354222392052</v>
      </c>
      <c r="H152">
        <v>87700.839045371846</v>
      </c>
      <c r="I152">
        <v>98.833182080328683</v>
      </c>
    </row>
    <row r="153" spans="1:9" x14ac:dyDescent="0.3">
      <c r="A153">
        <v>118311.04917954403</v>
      </c>
      <c r="B153">
        <v>1300.0336875631483</v>
      </c>
      <c r="C153">
        <v>118552.82246927904</v>
      </c>
      <c r="D153">
        <v>1541.226629657561</v>
      </c>
      <c r="E153">
        <v>1.1070336875631484E-2</v>
      </c>
      <c r="F153">
        <v>88461.049179544018</v>
      </c>
      <c r="G153">
        <v>1107.0336875631483</v>
      </c>
      <c r="H153">
        <v>87787.672227452174</v>
      </c>
      <c r="I153">
        <v>971.83910508541373</v>
      </c>
    </row>
    <row r="154" spans="1:9" x14ac:dyDescent="0.3">
      <c r="A154">
        <v>119605.08286710718</v>
      </c>
      <c r="B154">
        <v>956.79106994999779</v>
      </c>
      <c r="C154">
        <v>120088.04909893659</v>
      </c>
      <c r="D154">
        <v>1148.9917298557941</v>
      </c>
      <c r="E154">
        <v>7.6379106994999774E-3</v>
      </c>
      <c r="F154">
        <v>89556.082867107165</v>
      </c>
      <c r="G154">
        <v>763.79106994999779</v>
      </c>
      <c r="H154">
        <v>88747.511332537586</v>
      </c>
      <c r="I154">
        <v>677.84556636078435</v>
      </c>
    </row>
    <row r="155" spans="1:9" x14ac:dyDescent="0.3">
      <c r="A155">
        <v>120555.87393705717</v>
      </c>
      <c r="B155">
        <v>-279.51280449720133</v>
      </c>
      <c r="C155">
        <v>121231.04082879239</v>
      </c>
      <c r="D155">
        <v>-338.85628214170481</v>
      </c>
      <c r="E155">
        <v>-4.7251280449720134E-3</v>
      </c>
      <c r="F155">
        <v>90307.873937057157</v>
      </c>
      <c r="G155">
        <v>-472.51280449720133</v>
      </c>
      <c r="H155">
        <v>89413.356898898375</v>
      </c>
      <c r="I155">
        <v>-422.48956027807657</v>
      </c>
    </row>
    <row r="156" spans="1:9" x14ac:dyDescent="0.3">
      <c r="A156">
        <v>120270.36113255996</v>
      </c>
      <c r="B156">
        <v>-808.93562739179413</v>
      </c>
      <c r="C156">
        <v>120886.18454665069</v>
      </c>
      <c r="D156">
        <v>-977.89141539245088</v>
      </c>
      <c r="E156">
        <v>-1.0019356273917941E-2</v>
      </c>
      <c r="F156">
        <v>89823.361132559949</v>
      </c>
      <c r="G156">
        <v>-1001.935627391794</v>
      </c>
      <c r="H156">
        <v>88978.867338620301</v>
      </c>
      <c r="I156">
        <v>-891.51097271531739</v>
      </c>
    </row>
    <row r="157" spans="1:9" x14ac:dyDescent="0.3">
      <c r="A157">
        <v>119455.42550516817</v>
      </c>
      <c r="B157">
        <v>325.10759513267834</v>
      </c>
      <c r="C157">
        <v>119902.29313125824</v>
      </c>
      <c r="D157">
        <v>389.81146170796819</v>
      </c>
      <c r="E157">
        <v>1.3210759513267833E-3</v>
      </c>
      <c r="F157">
        <v>88809.425505168154</v>
      </c>
      <c r="G157">
        <v>132.10759513267834</v>
      </c>
      <c r="H157">
        <v>88075.356365904983</v>
      </c>
      <c r="I157">
        <v>116.35423519953339</v>
      </c>
    </row>
    <row r="158" spans="1:9" x14ac:dyDescent="0.3">
      <c r="A158">
        <v>119774.53310030085</v>
      </c>
      <c r="B158">
        <v>158.92801495792799</v>
      </c>
      <c r="C158">
        <v>120286.10459296621</v>
      </c>
      <c r="D158">
        <v>191.16831829981825</v>
      </c>
      <c r="E158">
        <v>-3.4071985042072013E-4</v>
      </c>
      <c r="F158">
        <v>88929.533100300832</v>
      </c>
      <c r="G158">
        <v>-34.071985042072015</v>
      </c>
      <c r="H158">
        <v>88179.710601104511</v>
      </c>
      <c r="I158">
        <v>-30.04457780615072</v>
      </c>
    </row>
    <row r="159" spans="1:9" x14ac:dyDescent="0.3">
      <c r="A159">
        <v>119927.46111525877</v>
      </c>
      <c r="B159">
        <v>1225.2151141040051</v>
      </c>
      <c r="C159">
        <v>120471.27291126603</v>
      </c>
      <c r="D159">
        <v>1476.0322438623157</v>
      </c>
      <c r="E159">
        <v>1.0322151141040053E-2</v>
      </c>
      <c r="F159">
        <v>88883.46111525876</v>
      </c>
      <c r="G159">
        <v>1032.2151141040054</v>
      </c>
      <c r="H159">
        <v>88137.666023298356</v>
      </c>
      <c r="I159">
        <v>909.77030991099616</v>
      </c>
    </row>
    <row r="160" spans="1:9" x14ac:dyDescent="0.3">
      <c r="A160">
        <v>121146.67622936278</v>
      </c>
      <c r="B160">
        <v>-693.29601831828234</v>
      </c>
      <c r="C160">
        <v>121941.30515512834</v>
      </c>
      <c r="D160">
        <v>-845.41421332585116</v>
      </c>
      <c r="E160">
        <v>-8.8629601831828227E-3</v>
      </c>
      <c r="F160">
        <v>89903.676229362769</v>
      </c>
      <c r="G160">
        <v>-886.29601831828222</v>
      </c>
      <c r="H160">
        <v>89035.436333209349</v>
      </c>
      <c r="I160">
        <v>-789.1175271135437</v>
      </c>
    </row>
    <row r="161" spans="1:9" x14ac:dyDescent="0.3">
      <c r="A161">
        <v>120447.3802110445</v>
      </c>
      <c r="B161">
        <v>-1267.8338288266946</v>
      </c>
      <c r="C161">
        <v>121089.89094180249</v>
      </c>
      <c r="D161">
        <v>-1535.2186006495233</v>
      </c>
      <c r="E161">
        <v>-1.4608338288266945E-2</v>
      </c>
      <c r="F161">
        <v>89005.380211044481</v>
      </c>
      <c r="G161">
        <v>-1460.8338288266946</v>
      </c>
      <c r="H161">
        <v>88234.318806095805</v>
      </c>
      <c r="I161">
        <v>-1288.9567777542416</v>
      </c>
    </row>
    <row r="162" spans="1:9" x14ac:dyDescent="0.3">
      <c r="A162">
        <v>119173.5463822178</v>
      </c>
      <c r="B162">
        <v>935.5700986266063</v>
      </c>
      <c r="C162">
        <v>119548.67234115297</v>
      </c>
      <c r="D162">
        <v>1118.4616317289233</v>
      </c>
      <c r="E162">
        <v>7.4257009862660631E-3</v>
      </c>
      <c r="F162">
        <v>87532.546382217784</v>
      </c>
      <c r="G162">
        <v>742.5700986266063</v>
      </c>
      <c r="H162">
        <v>86933.362028341566</v>
      </c>
      <c r="I162">
        <v>645.54115215328068</v>
      </c>
    </row>
    <row r="163" spans="1:9" x14ac:dyDescent="0.3">
      <c r="A163">
        <v>120103.1164808444</v>
      </c>
      <c r="B163">
        <v>-986.61355319838594</v>
      </c>
      <c r="C163">
        <v>120661.13397288189</v>
      </c>
      <c r="D163">
        <v>-1190.4591012193148</v>
      </c>
      <c r="E163">
        <v>-1.1796135531983859E-2</v>
      </c>
      <c r="F163">
        <v>88263.116480844386</v>
      </c>
      <c r="G163">
        <v>-1179.6135531983859</v>
      </c>
      <c r="H163">
        <v>87566.903180494846</v>
      </c>
      <c r="I163">
        <v>-1032.9510580332255</v>
      </c>
    </row>
    <row r="164" spans="1:9" x14ac:dyDescent="0.3">
      <c r="A164">
        <v>119110.50292764601</v>
      </c>
      <c r="B164">
        <v>3853.9553752535467</v>
      </c>
      <c r="C164">
        <v>119464.67487166257</v>
      </c>
      <c r="D164">
        <v>4604.1152587456127</v>
      </c>
      <c r="E164">
        <v>3.6609553752535468E-2</v>
      </c>
      <c r="F164">
        <v>87071.502927645997</v>
      </c>
      <c r="G164">
        <v>3660.9553752535467</v>
      </c>
      <c r="H164">
        <v>86521.952122461618</v>
      </c>
      <c r="I164">
        <v>3167.5300570015588</v>
      </c>
    </row>
    <row r="165" spans="1:9" x14ac:dyDescent="0.3">
      <c r="A165">
        <v>122958.45830289955</v>
      </c>
      <c r="B165">
        <v>463.49581609479952</v>
      </c>
      <c r="C165">
        <v>124062.79013040819</v>
      </c>
      <c r="D165">
        <v>575.02584158491379</v>
      </c>
      <c r="E165">
        <v>2.7049581609479949E-3</v>
      </c>
      <c r="F165">
        <v>90720.45830289954</v>
      </c>
      <c r="G165">
        <v>270.49581609479947</v>
      </c>
      <c r="H165">
        <v>89677.482179463172</v>
      </c>
      <c r="I165">
        <v>242.57383727460729</v>
      </c>
    </row>
    <row r="166" spans="1:9" x14ac:dyDescent="0.3">
      <c r="A166">
        <v>123415.95411899436</v>
      </c>
      <c r="B166">
        <v>-516.11317624650758</v>
      </c>
      <c r="C166">
        <v>124631.8159719931</v>
      </c>
      <c r="D166">
        <v>-643.24122402675573</v>
      </c>
      <c r="E166">
        <v>-7.091131762465076E-3</v>
      </c>
      <c r="F166">
        <v>90978.954118994341</v>
      </c>
      <c r="G166">
        <v>-709.11317624650758</v>
      </c>
      <c r="H166">
        <v>89908.056016737784</v>
      </c>
      <c r="I166">
        <v>-637.54987172177857</v>
      </c>
    </row>
    <row r="167" spans="1:9" x14ac:dyDescent="0.3">
      <c r="A167">
        <v>122893.84094274785</v>
      </c>
      <c r="B167">
        <v>1960.9060845534002</v>
      </c>
      <c r="C167">
        <v>123982.57474796634</v>
      </c>
      <c r="D167">
        <v>2431.1818520188394</v>
      </c>
      <c r="E167">
        <v>1.7679060845534E-2</v>
      </c>
      <c r="F167">
        <v>90257.840942747833</v>
      </c>
      <c r="G167">
        <v>1767.9060845534</v>
      </c>
      <c r="H167">
        <v>89258.506145015999</v>
      </c>
      <c r="I167">
        <v>1578.0065611192083</v>
      </c>
    </row>
    <row r="168" spans="1:9" x14ac:dyDescent="0.3">
      <c r="A168">
        <v>124848.74702730124</v>
      </c>
      <c r="B168">
        <v>57.819299473539374</v>
      </c>
      <c r="C168">
        <v>126407.75659998518</v>
      </c>
      <c r="D168">
        <v>73.088079346328158</v>
      </c>
      <c r="E168">
        <v>-1.3518070052646065E-3</v>
      </c>
      <c r="F168">
        <v>92013.74702730123</v>
      </c>
      <c r="G168">
        <v>-135.18070052646064</v>
      </c>
      <c r="H168">
        <v>90824.51270613521</v>
      </c>
      <c r="I168">
        <v>-122.77721252589784</v>
      </c>
    </row>
    <row r="169" spans="1:9" x14ac:dyDescent="0.3">
      <c r="A169">
        <v>124900.56632677479</v>
      </c>
      <c r="B169">
        <v>-388.86272841888706</v>
      </c>
      <c r="C169">
        <v>126474.84467933151</v>
      </c>
      <c r="D169">
        <v>-491.81353178359808</v>
      </c>
      <c r="E169">
        <v>-5.8186272841888702E-3</v>
      </c>
      <c r="F169">
        <v>91866.566326774773</v>
      </c>
      <c r="G169">
        <v>-581.86272841888706</v>
      </c>
      <c r="H169">
        <v>90689.735493609318</v>
      </c>
      <c r="I169">
        <v>-527.68976933898693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9111B-E1F7-4A52-8AD5-E85A8D461C91}">
  <sheetPr>
    <tabColor rgb="FFFFFF00"/>
  </sheetPr>
  <dimension ref="A1:I169"/>
  <sheetViews>
    <sheetView workbookViewId="0">
      <selection activeCell="E11" sqref="E11"/>
    </sheetView>
  </sheetViews>
  <sheetFormatPr baseColWidth="10" defaultRowHeight="14.4" x14ac:dyDescent="0.3"/>
  <sheetData>
    <row r="1" spans="1:9" x14ac:dyDescent="0.3">
      <c r="A1" t="s">
        <v>9</v>
      </c>
      <c r="C1" t="s">
        <v>10</v>
      </c>
      <c r="F1" t="s">
        <v>9</v>
      </c>
      <c r="H1" t="s">
        <v>10</v>
      </c>
    </row>
    <row r="2" spans="1:9" x14ac:dyDescent="0.3">
      <c r="A2" t="s">
        <v>12</v>
      </c>
      <c r="B2" t="s">
        <v>13</v>
      </c>
      <c r="C2" t="s">
        <v>12</v>
      </c>
      <c r="D2" t="s">
        <v>13</v>
      </c>
      <c r="F2" t="s">
        <v>12</v>
      </c>
      <c r="G2" t="s">
        <v>13</v>
      </c>
      <c r="H2" t="s">
        <v>12</v>
      </c>
      <c r="I2" t="s">
        <v>13</v>
      </c>
    </row>
    <row r="3" spans="1:9" x14ac:dyDescent="0.3">
      <c r="A3">
        <v>100000</v>
      </c>
      <c r="B3">
        <v>-1407.0599851888487</v>
      </c>
      <c r="C3">
        <v>100000</v>
      </c>
      <c r="D3">
        <v>-1407.0599851888487</v>
      </c>
      <c r="E3">
        <v>-1.6000599851888488E-2</v>
      </c>
      <c r="F3">
        <v>100000</v>
      </c>
      <c r="G3">
        <v>-1600.0599851888487</v>
      </c>
      <c r="H3">
        <v>100000</v>
      </c>
      <c r="I3">
        <v>-1600.0599851888487</v>
      </c>
    </row>
    <row r="4" spans="1:9" x14ac:dyDescent="0.3">
      <c r="A4">
        <v>98586.940014811145</v>
      </c>
      <c r="B4">
        <v>-1532.7400146179964</v>
      </c>
      <c r="C4">
        <v>98586.940014811145</v>
      </c>
      <c r="D4">
        <v>-1511.0814787944516</v>
      </c>
      <c r="E4">
        <v>-1.7257400146179963E-2</v>
      </c>
      <c r="F4">
        <v>98387.940014811145</v>
      </c>
      <c r="G4">
        <v>-1725.7400146179964</v>
      </c>
      <c r="H4">
        <v>98387.940014811145</v>
      </c>
      <c r="I4">
        <v>-1697.9200503939473</v>
      </c>
    </row>
    <row r="5" spans="1:9" x14ac:dyDescent="0.3">
      <c r="A5">
        <v>97048.200000193145</v>
      </c>
      <c r="B5">
        <v>-2113.327169462415</v>
      </c>
      <c r="C5">
        <v>97069.858536016691</v>
      </c>
      <c r="D5">
        <v>-2051.4036938003719</v>
      </c>
      <c r="E5">
        <v>-2.306327169462415E-2</v>
      </c>
      <c r="F5">
        <v>96650.200000193145</v>
      </c>
      <c r="G5">
        <v>-2306.327169462415</v>
      </c>
      <c r="H5">
        <v>96678.019964417195</v>
      </c>
      <c r="I5">
        <v>-2229.7114413376516</v>
      </c>
    </row>
    <row r="6" spans="1:9" x14ac:dyDescent="0.3">
      <c r="A6">
        <v>94928.872830730732</v>
      </c>
      <c r="B6">
        <v>739.24731182795949</v>
      </c>
      <c r="C6">
        <v>95012.454842216321</v>
      </c>
      <c r="D6">
        <v>702.37701832283813</v>
      </c>
      <c r="E6">
        <v>5.4624731182795951E-3</v>
      </c>
      <c r="F6">
        <v>94331.872830730732</v>
      </c>
      <c r="G6">
        <v>546.24731182795949</v>
      </c>
      <c r="H6">
        <v>94436.30852307954</v>
      </c>
      <c r="I6">
        <v>515.85579669688025</v>
      </c>
    </row>
    <row r="7" spans="1:9" x14ac:dyDescent="0.3">
      <c r="A7">
        <v>95662.120142558691</v>
      </c>
      <c r="B7">
        <v>99.162626707798282</v>
      </c>
      <c r="C7">
        <v>95708.831860539154</v>
      </c>
      <c r="D7">
        <v>94.907391664260743</v>
      </c>
      <c r="E7">
        <v>-9.3837373292201729E-4</v>
      </c>
      <c r="F7">
        <v>94866.120142558691</v>
      </c>
      <c r="G7">
        <v>-93.837373292201733</v>
      </c>
      <c r="H7">
        <v>94940.164319776421</v>
      </c>
      <c r="I7">
        <v>-89.089356396978317</v>
      </c>
    </row>
    <row r="8" spans="1:9" x14ac:dyDescent="0.3">
      <c r="A8">
        <v>95755.282769266487</v>
      </c>
      <c r="B8">
        <v>454.25618293137728</v>
      </c>
      <c r="C8">
        <v>95797.739252203421</v>
      </c>
      <c r="D8">
        <v>435.16715366161299</v>
      </c>
      <c r="E8">
        <v>2.6125618293137724E-3</v>
      </c>
      <c r="F8">
        <v>94760.282769266487</v>
      </c>
      <c r="G8">
        <v>261.25618293137723</v>
      </c>
      <c r="H8">
        <v>94839.074963379448</v>
      </c>
      <c r="I8">
        <v>247.77294717675261</v>
      </c>
    </row>
    <row r="9" spans="1:9" x14ac:dyDescent="0.3">
      <c r="A9">
        <v>96203.538952197865</v>
      </c>
      <c r="B9">
        <v>1748.70466321244</v>
      </c>
      <c r="C9">
        <v>96226.90640586504</v>
      </c>
      <c r="D9">
        <v>1682.7243995844321</v>
      </c>
      <c r="E9">
        <v>1.5557046632124401E-2</v>
      </c>
      <c r="F9">
        <v>95009.538952197865</v>
      </c>
      <c r="G9">
        <v>1555.7046632124402</v>
      </c>
      <c r="H9">
        <v>95074.8479105562</v>
      </c>
      <c r="I9">
        <v>1479.0838424866579</v>
      </c>
    </row>
    <row r="10" spans="1:9" x14ac:dyDescent="0.3">
      <c r="A10">
        <v>97946.243615410305</v>
      </c>
      <c r="B10">
        <v>1254.3509635792445</v>
      </c>
      <c r="C10">
        <v>97903.630805449473</v>
      </c>
      <c r="D10">
        <v>1228.0551363872214</v>
      </c>
      <c r="E10">
        <v>1.0613509635792445E-2</v>
      </c>
      <c r="F10">
        <v>96553.243615410305</v>
      </c>
      <c r="G10">
        <v>1061.3509635792445</v>
      </c>
      <c r="H10">
        <v>96541.931753042853</v>
      </c>
      <c r="I10">
        <v>1024.648722918937</v>
      </c>
    </row>
    <row r="11" spans="1:9" x14ac:dyDescent="0.3">
      <c r="A11">
        <v>99194.594578989549</v>
      </c>
      <c r="B11">
        <v>898.48775652247082</v>
      </c>
      <c r="C11">
        <v>99125.685941836695</v>
      </c>
      <c r="D11">
        <v>890.63215175631876</v>
      </c>
      <c r="E11">
        <v>7.0548775652247075E-3</v>
      </c>
      <c r="F11">
        <v>97602.594578989549</v>
      </c>
      <c r="G11">
        <v>705.4877565224707</v>
      </c>
      <c r="H11">
        <v>97554.580475961789</v>
      </c>
      <c r="I11">
        <v>688.23562118477105</v>
      </c>
    </row>
    <row r="12" spans="1:9" x14ac:dyDescent="0.3">
      <c r="A12">
        <v>100087.08233551202</v>
      </c>
      <c r="B12">
        <v>1018.8861578538313</v>
      </c>
      <c r="C12">
        <v>100010.31809359301</v>
      </c>
      <c r="D12">
        <v>1018.9912874812049</v>
      </c>
      <c r="E12">
        <v>8.2588615785383138E-3</v>
      </c>
      <c r="F12">
        <v>98296.082335512023</v>
      </c>
      <c r="G12">
        <v>825.88615785383138</v>
      </c>
      <c r="H12">
        <v>98230.816097146555</v>
      </c>
      <c r="I12">
        <v>811.27471289318657</v>
      </c>
    </row>
    <row r="13" spans="1:9" x14ac:dyDescent="0.3">
      <c r="A13">
        <v>101099.96849336586</v>
      </c>
      <c r="B13">
        <v>-2453.0487300405421</v>
      </c>
      <c r="C13">
        <v>101023.30938107421</v>
      </c>
      <c r="D13">
        <v>-2478.1510078173692</v>
      </c>
      <c r="E13">
        <v>-2.6460487300405424E-2</v>
      </c>
      <c r="F13">
        <v>99109.968493365857</v>
      </c>
      <c r="G13">
        <v>-2646.0487300405425</v>
      </c>
      <c r="H13">
        <v>99030.090810039736</v>
      </c>
      <c r="I13">
        <v>-2620.3844602370523</v>
      </c>
    </row>
    <row r="14" spans="1:9" x14ac:dyDescent="0.3">
      <c r="A14">
        <v>98640.919763325321</v>
      </c>
      <c r="B14">
        <v>-1070.7734311676084</v>
      </c>
      <c r="C14">
        <v>98539.15837325684</v>
      </c>
      <c r="D14">
        <v>-1055.1311271570059</v>
      </c>
      <c r="E14">
        <v>-1.2637734311676084E-2</v>
      </c>
      <c r="F14">
        <v>96451.919763325321</v>
      </c>
      <c r="G14">
        <v>-1263.7734311676084</v>
      </c>
      <c r="H14">
        <v>96397.706349802684</v>
      </c>
      <c r="I14">
        <v>-1218.2486011037768</v>
      </c>
    </row>
    <row r="15" spans="1:9" x14ac:dyDescent="0.3">
      <c r="A15">
        <v>97564.146332157718</v>
      </c>
      <c r="B15">
        <v>2204.8182514684631</v>
      </c>
      <c r="C15">
        <v>97478.027246099839</v>
      </c>
      <c r="D15">
        <v>2149.2133358934107</v>
      </c>
      <c r="E15">
        <v>2.011818251468463E-2</v>
      </c>
      <c r="F15">
        <v>95176.146332157718</v>
      </c>
      <c r="G15">
        <v>2011.8182514684629</v>
      </c>
      <c r="H15">
        <v>95167.4577486989</v>
      </c>
      <c r="I15">
        <v>1914.5962844468625</v>
      </c>
    </row>
    <row r="16" spans="1:9" x14ac:dyDescent="0.3">
      <c r="A16">
        <v>99762.964583626177</v>
      </c>
      <c r="B16">
        <v>670.30526905597321</v>
      </c>
      <c r="C16">
        <v>99621.240581993246</v>
      </c>
      <c r="D16">
        <v>667.76642472002823</v>
      </c>
      <c r="E16">
        <v>4.7730526905597316E-3</v>
      </c>
      <c r="F16">
        <v>97175.964583626177</v>
      </c>
      <c r="G16">
        <v>477.30526905597316</v>
      </c>
      <c r="H16">
        <v>97070.05403314576</v>
      </c>
      <c r="I16">
        <v>463.32048257568488</v>
      </c>
    </row>
    <row r="17" spans="1:9" x14ac:dyDescent="0.3">
      <c r="A17">
        <v>100427.26985268215</v>
      </c>
      <c r="B17">
        <v>-374.49330233132224</v>
      </c>
      <c r="C17">
        <v>100283.00700671328</v>
      </c>
      <c r="D17">
        <v>-375.55314461659185</v>
      </c>
      <c r="E17">
        <v>-5.6749330233132229E-3</v>
      </c>
      <c r="F17">
        <v>97641.269852682148</v>
      </c>
      <c r="G17">
        <v>-567.4933023313223</v>
      </c>
      <c r="H17">
        <v>97521.374515721443</v>
      </c>
      <c r="I17">
        <v>-553.42726871816421</v>
      </c>
    </row>
    <row r="18" spans="1:9" x14ac:dyDescent="0.3">
      <c r="A18">
        <v>100046.77655035083</v>
      </c>
      <c r="B18">
        <v>2839.3795667222194</v>
      </c>
      <c r="C18">
        <v>99901.453862096678</v>
      </c>
      <c r="D18">
        <v>2836.5814678187985</v>
      </c>
      <c r="E18">
        <v>2.6463795667222192E-2</v>
      </c>
      <c r="F18">
        <v>97061.776550350827</v>
      </c>
      <c r="G18">
        <v>2646.3795667222194</v>
      </c>
      <c r="H18">
        <v>96955.947247003278</v>
      </c>
      <c r="I18">
        <v>2565.8223766666688</v>
      </c>
    </row>
    <row r="19" spans="1:9" x14ac:dyDescent="0.3">
      <c r="A19">
        <v>102880.15611707304</v>
      </c>
      <c r="B19">
        <v>1688.8360558299589</v>
      </c>
      <c r="C19">
        <v>102732.03532991548</v>
      </c>
      <c r="D19">
        <v>1734.9756535395845</v>
      </c>
      <c r="E19">
        <v>1.4958360558299589E-2</v>
      </c>
      <c r="F19">
        <v>99696.156117073042</v>
      </c>
      <c r="G19">
        <v>1495.8360558299589</v>
      </c>
      <c r="H19">
        <v>99509.769623669941</v>
      </c>
      <c r="I19">
        <v>1488.5030131041831</v>
      </c>
    </row>
    <row r="20" spans="1:9" x14ac:dyDescent="0.3">
      <c r="A20">
        <v>104562.992172903</v>
      </c>
      <c r="B20">
        <v>-209.04102430101176</v>
      </c>
      <c r="C20">
        <v>104461.01098345507</v>
      </c>
      <c r="D20">
        <v>-218.36636735500687</v>
      </c>
      <c r="E20">
        <v>-4.0204102430101175E-3</v>
      </c>
      <c r="F20">
        <v>101179.992172903</v>
      </c>
      <c r="G20">
        <v>-402.04102430101176</v>
      </c>
      <c r="H20">
        <v>100986.27263677413</v>
      </c>
      <c r="I20">
        <v>-406.00624491229905</v>
      </c>
    </row>
    <row r="21" spans="1:9" x14ac:dyDescent="0.3">
      <c r="A21">
        <v>104347.95114860199</v>
      </c>
      <c r="B21">
        <v>-593.56898704381717</v>
      </c>
      <c r="C21">
        <v>104236.64461610006</v>
      </c>
      <c r="D21">
        <v>-618.71639557624871</v>
      </c>
      <c r="E21">
        <v>-7.8656898704381716E-3</v>
      </c>
      <c r="F21">
        <v>100765.95114860199</v>
      </c>
      <c r="G21">
        <v>-786.56898704381717</v>
      </c>
      <c r="H21">
        <v>100568.26639186183</v>
      </c>
      <c r="I21">
        <v>-791.03879424599529</v>
      </c>
    </row>
    <row r="22" spans="1:9" x14ac:dyDescent="0.3">
      <c r="A22">
        <v>103748.38216155817</v>
      </c>
      <c r="B22">
        <v>1746.8593480581308</v>
      </c>
      <c r="C22">
        <v>103611.92822052381</v>
      </c>
      <c r="D22">
        <v>1809.9546538235008</v>
      </c>
      <c r="E22">
        <v>1.5538593480581309E-2</v>
      </c>
      <c r="F22">
        <v>99967.382161558169</v>
      </c>
      <c r="G22">
        <v>1553.859348058131</v>
      </c>
      <c r="H22">
        <v>99765.227597615842</v>
      </c>
      <c r="I22">
        <v>1550.211315137024</v>
      </c>
    </row>
    <row r="23" spans="1:9" x14ac:dyDescent="0.3">
      <c r="A23">
        <v>105489.2415096163</v>
      </c>
      <c r="B23">
        <v>1956.6313666162357</v>
      </c>
      <c r="C23">
        <v>105415.88287434731</v>
      </c>
      <c r="D23">
        <v>2062.6002297149121</v>
      </c>
      <c r="E23">
        <v>1.7636313666162355E-2</v>
      </c>
      <c r="F23">
        <v>101509.2415096163</v>
      </c>
      <c r="G23">
        <v>1763.6313666162355</v>
      </c>
      <c r="H23">
        <v>101303.43891275287</v>
      </c>
      <c r="I23">
        <v>1786.6192241262268</v>
      </c>
    </row>
    <row r="24" spans="1:9" x14ac:dyDescent="0.3">
      <c r="A24">
        <v>107439.87287623253</v>
      </c>
      <c r="B24">
        <v>2106.6846725185605</v>
      </c>
      <c r="C24">
        <v>107472.48310406222</v>
      </c>
      <c r="D24">
        <v>2264.1063287283787</v>
      </c>
      <c r="E24">
        <v>1.9136846725185605E-2</v>
      </c>
      <c r="F24">
        <v>103260.87287623253</v>
      </c>
      <c r="G24">
        <v>1913.6846725185605</v>
      </c>
      <c r="H24">
        <v>103078.0581368791</v>
      </c>
      <c r="I24">
        <v>1972.5889992952264</v>
      </c>
    </row>
    <row r="25" spans="1:9" x14ac:dyDescent="0.3">
      <c r="A25">
        <v>109540.55754875109</v>
      </c>
      <c r="B25">
        <v>-466.13760690345163</v>
      </c>
      <c r="C25">
        <v>109730.5894327906</v>
      </c>
      <c r="D25">
        <v>-511.49554362306185</v>
      </c>
      <c r="E25">
        <v>-6.5913760690345163E-3</v>
      </c>
      <c r="F25">
        <v>105162.55754875109</v>
      </c>
      <c r="G25">
        <v>-659.13760690345168</v>
      </c>
      <c r="H25">
        <v>105038.64713617433</v>
      </c>
      <c r="I25">
        <v>-692.34922505714042</v>
      </c>
    </row>
    <row r="26" spans="1:9" x14ac:dyDescent="0.3">
      <c r="A26">
        <v>109068.41994184765</v>
      </c>
      <c r="B26">
        <v>48.678855852172042</v>
      </c>
      <c r="C26">
        <v>109213.09388916753</v>
      </c>
      <c r="D26">
        <v>53.163684546005179</v>
      </c>
      <c r="E26">
        <v>-1.4432114414782795E-3</v>
      </c>
      <c r="F26">
        <v>104491.41994184765</v>
      </c>
      <c r="G26">
        <v>-144.32114414782797</v>
      </c>
      <c r="H26">
        <v>104334.29791111719</v>
      </c>
      <c r="I26">
        <v>-150.57645248392768</v>
      </c>
    </row>
    <row r="27" spans="1:9" x14ac:dyDescent="0.3">
      <c r="A27">
        <v>109111.09879769981</v>
      </c>
      <c r="B27">
        <v>2733.415233415235</v>
      </c>
      <c r="C27">
        <v>109260.25757371353</v>
      </c>
      <c r="D27">
        <v>2986.5365245886087</v>
      </c>
      <c r="E27">
        <v>2.5404152334152347E-2</v>
      </c>
      <c r="F27">
        <v>104335.09879769981</v>
      </c>
      <c r="G27">
        <v>2540.4152334152345</v>
      </c>
      <c r="H27">
        <v>104171.72145863326</v>
      </c>
      <c r="I27">
        <v>2646.394280846006</v>
      </c>
    </row>
    <row r="28" spans="1:9" x14ac:dyDescent="0.3">
      <c r="A28">
        <v>111838.51403111505</v>
      </c>
      <c r="B28">
        <v>2249.0430578194487</v>
      </c>
      <c r="C28">
        <v>112240.79409830214</v>
      </c>
      <c r="D28">
        <v>2524.3437877092856</v>
      </c>
      <c r="E28">
        <v>2.0560430578194486E-2</v>
      </c>
      <c r="F28">
        <v>106863.51403111505</v>
      </c>
      <c r="G28">
        <v>2056.0430578194487</v>
      </c>
      <c r="H28">
        <v>106806.11573947927</v>
      </c>
      <c r="I28">
        <v>2195.9797279881691</v>
      </c>
    </row>
    <row r="29" spans="1:9" x14ac:dyDescent="0.3">
      <c r="A29">
        <v>114081.5570889345</v>
      </c>
      <c r="B29">
        <v>3744.3405871184441</v>
      </c>
      <c r="C29">
        <v>114759.13788601142</v>
      </c>
      <c r="D29">
        <v>4296.972977293145</v>
      </c>
      <c r="E29">
        <v>3.5513405871184442E-2</v>
      </c>
      <c r="F29">
        <v>108907.5570889345</v>
      </c>
      <c r="G29">
        <v>3551.3405871184441</v>
      </c>
      <c r="H29">
        <v>108990.09546746744</v>
      </c>
      <c r="I29">
        <v>3870.6094962753109</v>
      </c>
    </row>
    <row r="30" spans="1:9" x14ac:dyDescent="0.3">
      <c r="A30">
        <v>117819.89767605293</v>
      </c>
      <c r="B30">
        <v>462.02604146780578</v>
      </c>
      <c r="C30">
        <v>119050.11086330457</v>
      </c>
      <c r="D30">
        <v>550.04251458476028</v>
      </c>
      <c r="E30">
        <v>2.6902604146780574E-3</v>
      </c>
      <c r="F30">
        <v>112446.89767605293</v>
      </c>
      <c r="G30">
        <v>269.02604146780573</v>
      </c>
      <c r="H30">
        <v>112848.70496374276</v>
      </c>
      <c r="I30">
        <v>303.59240381164034</v>
      </c>
    </row>
    <row r="31" spans="1:9" x14ac:dyDescent="0.3">
      <c r="A31">
        <v>118275.92371752074</v>
      </c>
      <c r="B31">
        <v>-1431.6954189484854</v>
      </c>
      <c r="C31">
        <v>119594.15337788932</v>
      </c>
      <c r="D31">
        <v>-1712.2240152414668</v>
      </c>
      <c r="E31">
        <v>-1.6246954189484856E-2</v>
      </c>
      <c r="F31">
        <v>112703.92371752074</v>
      </c>
      <c r="G31">
        <v>-1624.6954189484857</v>
      </c>
      <c r="H31">
        <v>113140.29736755439</v>
      </c>
      <c r="I31">
        <v>-1838.1852283153503</v>
      </c>
    </row>
    <row r="32" spans="1:9" x14ac:dyDescent="0.3">
      <c r="A32">
        <v>116838.22829857226</v>
      </c>
      <c r="B32">
        <v>95.433856996032489</v>
      </c>
      <c r="C32">
        <v>117875.92936264786</v>
      </c>
      <c r="D32">
        <v>112.49354586069363</v>
      </c>
      <c r="E32">
        <v>-9.7566143003967516E-4</v>
      </c>
      <c r="F32">
        <v>111067.22829857226</v>
      </c>
      <c r="G32">
        <v>-97.566143003967511</v>
      </c>
      <c r="H32">
        <v>111290.11213923903</v>
      </c>
      <c r="I32">
        <v>-108.58146995904576</v>
      </c>
    </row>
    <row r="33" spans="1:9" x14ac:dyDescent="0.3">
      <c r="A33">
        <v>116927.66215556829</v>
      </c>
      <c r="B33">
        <v>-228.82869474624539</v>
      </c>
      <c r="C33">
        <v>117982.42290850855</v>
      </c>
      <c r="D33">
        <v>-269.97763837153536</v>
      </c>
      <c r="E33">
        <v>-4.2182869474624539E-3</v>
      </c>
      <c r="F33">
        <v>110957.66215556829</v>
      </c>
      <c r="G33">
        <v>-421.82869474624539</v>
      </c>
      <c r="H33">
        <v>111169.53066927999</v>
      </c>
      <c r="I33">
        <v>-468.94498017775078</v>
      </c>
    </row>
    <row r="34" spans="1:9" x14ac:dyDescent="0.3">
      <c r="A34">
        <v>116692.83346082205</v>
      </c>
      <c r="B34">
        <v>694.97045902137404</v>
      </c>
      <c r="C34">
        <v>117706.44527013702</v>
      </c>
      <c r="D34">
        <v>818.0250229916137</v>
      </c>
      <c r="E34">
        <v>5.0197045902137406E-3</v>
      </c>
      <c r="F34">
        <v>110523.83346082205</v>
      </c>
      <c r="G34">
        <v>501.97045902137404</v>
      </c>
      <c r="H34">
        <v>110688.58568910224</v>
      </c>
      <c r="I34">
        <v>555.62400166785346</v>
      </c>
    </row>
    <row r="35" spans="1:9" x14ac:dyDescent="0.3">
      <c r="A35">
        <v>117381.80391984343</v>
      </c>
      <c r="B35">
        <v>-553.05044899217717</v>
      </c>
      <c r="C35">
        <v>118518.47029312863</v>
      </c>
      <c r="D35">
        <v>-655.46693209480804</v>
      </c>
      <c r="E35">
        <v>-7.4605044899217722E-3</v>
      </c>
      <c r="F35">
        <v>111013.80391984343</v>
      </c>
      <c r="G35">
        <v>-746.05044899217717</v>
      </c>
      <c r="H35">
        <v>111232.20969077009</v>
      </c>
      <c r="I35">
        <v>-829.84839982191033</v>
      </c>
    </row>
    <row r="36" spans="1:9" x14ac:dyDescent="0.3">
      <c r="A36">
        <v>116822.75347085125</v>
      </c>
      <c r="B36">
        <v>-666.15575075163326</v>
      </c>
      <c r="C36">
        <v>117857.00336103383</v>
      </c>
      <c r="D36">
        <v>-785.11120555307252</v>
      </c>
      <c r="E36">
        <v>-8.5915575075163324E-3</v>
      </c>
      <c r="F36">
        <v>110255.75347085125</v>
      </c>
      <c r="G36">
        <v>-859.15575075163326</v>
      </c>
      <c r="H36">
        <v>110390.36129094817</v>
      </c>
      <c r="I36">
        <v>-948.42513730668611</v>
      </c>
    </row>
    <row r="37" spans="1:9" x14ac:dyDescent="0.3">
      <c r="A37">
        <v>116150.59772009963</v>
      </c>
      <c r="B37">
        <v>-925.14221601086331</v>
      </c>
      <c r="C37">
        <v>117065.89215548076</v>
      </c>
      <c r="D37">
        <v>-1083.0259888801022</v>
      </c>
      <c r="E37">
        <v>-1.1181422160108633E-2</v>
      </c>
      <c r="F37">
        <v>109384.59772009963</v>
      </c>
      <c r="G37">
        <v>-1118.1422160108632</v>
      </c>
      <c r="H37">
        <v>109429.93615364149</v>
      </c>
      <c r="I37">
        <v>-1223.5823130875999</v>
      </c>
    </row>
    <row r="38" spans="1:9" x14ac:dyDescent="0.3">
      <c r="A38">
        <v>115219.45550408876</v>
      </c>
      <c r="B38">
        <v>-299.39533882550393</v>
      </c>
      <c r="C38">
        <v>115976.86616660065</v>
      </c>
      <c r="D38">
        <v>-347.22933141869527</v>
      </c>
      <c r="E38">
        <v>-4.9239533882550392E-3</v>
      </c>
      <c r="F38">
        <v>108254.45550408876</v>
      </c>
      <c r="G38">
        <v>-492.39533882550393</v>
      </c>
      <c r="H38">
        <v>108194.3538405539</v>
      </c>
      <c r="I38">
        <v>-532.74395518326003</v>
      </c>
    </row>
    <row r="39" spans="1:9" x14ac:dyDescent="0.3">
      <c r="A39">
        <v>114914.06016526326</v>
      </c>
      <c r="B39">
        <v>-200.19619226842306</v>
      </c>
      <c r="C39">
        <v>115623.63683518195</v>
      </c>
      <c r="D39">
        <v>-231.47411830630409</v>
      </c>
      <c r="E39">
        <v>-3.9319619226842305E-3</v>
      </c>
      <c r="F39">
        <v>107750.06016526326</v>
      </c>
      <c r="G39">
        <v>-393.19619226842303</v>
      </c>
      <c r="H39">
        <v>107649.60988537064</v>
      </c>
      <c r="I39">
        <v>-423.27416706108926</v>
      </c>
    </row>
    <row r="40" spans="1:9" x14ac:dyDescent="0.3">
      <c r="A40">
        <v>114707.86397299483</v>
      </c>
      <c r="B40">
        <v>-1024.8699127475629</v>
      </c>
      <c r="C40">
        <v>115386.16271687565</v>
      </c>
      <c r="D40">
        <v>-1182.5580651592045</v>
      </c>
      <c r="E40">
        <v>-1.2178699127475628E-2</v>
      </c>
      <c r="F40">
        <v>107344.86397299483</v>
      </c>
      <c r="G40">
        <v>-1217.8699127475629</v>
      </c>
      <c r="H40">
        <v>107214.33571830955</v>
      </c>
      <c r="I40">
        <v>-1305.7311368654557</v>
      </c>
    </row>
    <row r="41" spans="1:9" x14ac:dyDescent="0.3">
      <c r="A41">
        <v>113676.99406024726</v>
      </c>
      <c r="B41">
        <v>216.97639377197069</v>
      </c>
      <c r="C41">
        <v>114197.60465171645</v>
      </c>
      <c r="D41">
        <v>247.7818443472666</v>
      </c>
      <c r="E41">
        <v>2.3976393771970683E-4</v>
      </c>
      <c r="F41">
        <v>106114.99406024726</v>
      </c>
      <c r="G41">
        <v>23.976393771970685</v>
      </c>
      <c r="H41">
        <v>105896.60458144409</v>
      </c>
      <c r="I41">
        <v>25.390186905593783</v>
      </c>
    </row>
    <row r="42" spans="1:9" x14ac:dyDescent="0.3">
      <c r="A42">
        <v>113887.97045401923</v>
      </c>
      <c r="B42">
        <v>-1841.1509185828734</v>
      </c>
      <c r="C42">
        <v>114439.38649606371</v>
      </c>
      <c r="D42">
        <v>-2107.0018156928818</v>
      </c>
      <c r="E42">
        <v>-2.0341509185828735E-2</v>
      </c>
      <c r="F42">
        <v>106126.97045401923</v>
      </c>
      <c r="G42">
        <v>-2034.1509185828736</v>
      </c>
      <c r="H42">
        <v>105909.99476834969</v>
      </c>
      <c r="I42">
        <v>-2154.3691314514585</v>
      </c>
    </row>
    <row r="43" spans="1:9" x14ac:dyDescent="0.3">
      <c r="A43">
        <v>112040.81953543636</v>
      </c>
      <c r="B43">
        <v>1852.1523917718171</v>
      </c>
      <c r="C43">
        <v>112326.38468037083</v>
      </c>
      <c r="D43">
        <v>2080.4558204483001</v>
      </c>
      <c r="E43">
        <v>1.6591523917718169E-2</v>
      </c>
      <c r="F43">
        <v>104080.81953543636</v>
      </c>
      <c r="G43">
        <v>1659.1523917718168</v>
      </c>
      <c r="H43">
        <v>103743.62563689823</v>
      </c>
      <c r="I43">
        <v>1721.2648460653968</v>
      </c>
    </row>
    <row r="44" spans="1:9" x14ac:dyDescent="0.3">
      <c r="A44">
        <v>113886.97192720817</v>
      </c>
      <c r="B44">
        <v>1238.7766832497573</v>
      </c>
      <c r="C44">
        <v>114400.84050081913</v>
      </c>
      <c r="D44">
        <v>1417.1709375658922</v>
      </c>
      <c r="E44">
        <v>1.0457766832497573E-2</v>
      </c>
      <c r="F44">
        <v>105727.97192720817</v>
      </c>
      <c r="G44">
        <v>1045.7766832497573</v>
      </c>
      <c r="H44">
        <v>105452.89048296363</v>
      </c>
      <c r="I44">
        <v>1102.801740483736</v>
      </c>
    </row>
    <row r="45" spans="1:9" x14ac:dyDescent="0.3">
      <c r="A45">
        <v>115119.74861045793</v>
      </c>
      <c r="B45">
        <v>183.28588698669049</v>
      </c>
      <c r="C45">
        <v>115812.01143838503</v>
      </c>
      <c r="D45">
        <v>212.26707240197146</v>
      </c>
      <c r="E45">
        <v>-9.7141130133095079E-5</v>
      </c>
      <c r="F45">
        <v>106761.74861045793</v>
      </c>
      <c r="G45">
        <v>-9.7141130133095075</v>
      </c>
      <c r="H45">
        <v>106543.69222344736</v>
      </c>
      <c r="I45">
        <v>-10.349774671138331</v>
      </c>
    </row>
    <row r="46" spans="1:9" x14ac:dyDescent="0.3">
      <c r="A46">
        <v>115297.03449744462</v>
      </c>
      <c r="B46">
        <v>-763.12040127252283</v>
      </c>
      <c r="C46">
        <v>116018.278510787</v>
      </c>
      <c r="D46">
        <v>-885.35915252099085</v>
      </c>
      <c r="E46">
        <v>-9.5612040127252274E-3</v>
      </c>
      <c r="F46">
        <v>106740.03449744462</v>
      </c>
      <c r="G46">
        <v>-956.12040127252271</v>
      </c>
      <c r="H46">
        <v>106521.34244877622</v>
      </c>
      <c r="I46">
        <v>-1018.4722868621174</v>
      </c>
    </row>
    <row r="47" spans="1:9" x14ac:dyDescent="0.3">
      <c r="A47">
        <v>114527.9140961721</v>
      </c>
      <c r="B47">
        <v>-125.93962769097296</v>
      </c>
      <c r="C47">
        <v>115126.91935826601</v>
      </c>
      <c r="D47">
        <v>-144.99041361188688</v>
      </c>
      <c r="E47">
        <v>-3.1893962769097297E-3</v>
      </c>
      <c r="F47">
        <v>105771.9140961721</v>
      </c>
      <c r="G47">
        <v>-318.93962769097294</v>
      </c>
      <c r="H47">
        <v>105490.87016191411</v>
      </c>
      <c r="I47">
        <v>-336.45218854237652</v>
      </c>
    </row>
    <row r="48" spans="1:9" x14ac:dyDescent="0.3">
      <c r="A48">
        <v>114395.97446848113</v>
      </c>
      <c r="B48">
        <v>-1416.4029226741686</v>
      </c>
      <c r="C48">
        <v>114975.92894465412</v>
      </c>
      <c r="D48">
        <v>-1628.5224179438565</v>
      </c>
      <c r="E48">
        <v>-1.6094029226741687E-2</v>
      </c>
      <c r="F48">
        <v>105440.97446848113</v>
      </c>
      <c r="G48">
        <v>-1609.4029226741686</v>
      </c>
      <c r="H48">
        <v>105142.41797337173</v>
      </c>
      <c r="I48">
        <v>-1692.1651478337351</v>
      </c>
    </row>
    <row r="49" spans="1:9" x14ac:dyDescent="0.3">
      <c r="A49">
        <v>112973.57154580696</v>
      </c>
      <c r="B49">
        <v>-955.94678562893557</v>
      </c>
      <c r="C49">
        <v>113341.40652671027</v>
      </c>
      <c r="D49">
        <v>-1083.4835324787114</v>
      </c>
      <c r="E49">
        <v>-1.1489467856289355E-2</v>
      </c>
      <c r="F49">
        <v>103819.57154580696</v>
      </c>
      <c r="G49">
        <v>-1148.9467856289355</v>
      </c>
      <c r="H49">
        <v>103438.252825538</v>
      </c>
      <c r="I49">
        <v>-1188.4504809497505</v>
      </c>
    </row>
    <row r="50" spans="1:9" x14ac:dyDescent="0.3">
      <c r="A50">
        <v>112011.62476017802</v>
      </c>
      <c r="B50">
        <v>2622.5930939728887</v>
      </c>
      <c r="C50">
        <v>112251.92299423156</v>
      </c>
      <c r="D50">
        <v>2943.9111802984817</v>
      </c>
      <c r="E50">
        <v>2.4295930939728885E-2</v>
      </c>
      <c r="F50">
        <v>102658.62476017802</v>
      </c>
      <c r="G50">
        <v>2429.5930939728887</v>
      </c>
      <c r="H50">
        <v>102237.80234458826</v>
      </c>
      <c r="I50">
        <v>2483.9625851937681</v>
      </c>
    </row>
    <row r="51" spans="1:9" x14ac:dyDescent="0.3">
      <c r="A51">
        <v>114628.21785415091</v>
      </c>
      <c r="B51">
        <v>1387.4294609846265</v>
      </c>
      <c r="C51">
        <v>115189.83417453004</v>
      </c>
      <c r="D51">
        <v>1598.1776953967674</v>
      </c>
      <c r="E51">
        <v>1.1944294609846267E-2</v>
      </c>
      <c r="F51">
        <v>105076.21785415091</v>
      </c>
      <c r="G51">
        <v>1194.4294609846268</v>
      </c>
      <c r="H51">
        <v>104709.76492978203</v>
      </c>
      <c r="I51">
        <v>1250.6842808490651</v>
      </c>
    </row>
    <row r="52" spans="1:9" x14ac:dyDescent="0.3">
      <c r="A52">
        <v>116009.64731513553</v>
      </c>
      <c r="B52">
        <v>2065.5270655270688</v>
      </c>
      <c r="C52">
        <v>116782.01186992681</v>
      </c>
      <c r="D52">
        <v>2412.1640628403725</v>
      </c>
      <c r="E52">
        <v>1.8725270655270687E-2</v>
      </c>
      <c r="F52">
        <v>106258.64731513553</v>
      </c>
      <c r="G52">
        <v>1872.5270655270688</v>
      </c>
      <c r="H52">
        <v>105948.44921063109</v>
      </c>
      <c r="I52">
        <v>1983.9133869752673</v>
      </c>
    </row>
    <row r="53" spans="1:9" x14ac:dyDescent="0.3">
      <c r="A53">
        <v>118069.1743806626</v>
      </c>
      <c r="B53">
        <v>-4160.6913729337975</v>
      </c>
      <c r="C53">
        <v>119188.17593276718</v>
      </c>
      <c r="D53">
        <v>-4959.0521535918006</v>
      </c>
      <c r="E53">
        <v>-4.3536913729337975E-2</v>
      </c>
      <c r="F53">
        <v>108119.1743806626</v>
      </c>
      <c r="G53">
        <v>-4353.6913729337975</v>
      </c>
      <c r="H53">
        <v>107920.36259760636</v>
      </c>
      <c r="I53">
        <v>-4698.5195160508611</v>
      </c>
    </row>
    <row r="54" spans="1:9" x14ac:dyDescent="0.3">
      <c r="A54">
        <v>113902.48300772881</v>
      </c>
      <c r="B54">
        <v>-418.74090182054186</v>
      </c>
      <c r="C54">
        <v>114223.12377917538</v>
      </c>
      <c r="D54">
        <v>-478.29893860051277</v>
      </c>
      <c r="E54">
        <v>-6.1174090182054188E-3</v>
      </c>
      <c r="F54">
        <v>103753.48300772881</v>
      </c>
      <c r="G54">
        <v>-611.74090182054192</v>
      </c>
      <c r="H54">
        <v>103209.8430815555</v>
      </c>
      <c r="I54">
        <v>-631.37682483467381</v>
      </c>
    </row>
    <row r="55" spans="1:9" x14ac:dyDescent="0.3">
      <c r="A55">
        <v>113477.74210590827</v>
      </c>
      <c r="B55">
        <v>1832.8432522143996</v>
      </c>
      <c r="C55">
        <v>113738.82484057487</v>
      </c>
      <c r="D55">
        <v>2084.6543762384322</v>
      </c>
      <c r="E55">
        <v>1.6398432522143996E-2</v>
      </c>
      <c r="F55">
        <v>103129.74210590827</v>
      </c>
      <c r="G55">
        <v>1639.8432522143996</v>
      </c>
      <c r="H55">
        <v>102566.46625672083</v>
      </c>
      <c r="I55">
        <v>1681.9292759455955</v>
      </c>
    </row>
    <row r="56" spans="1:9" x14ac:dyDescent="0.3">
      <c r="A56">
        <v>115304.58535812267</v>
      </c>
      <c r="B56">
        <v>436.75274335316504</v>
      </c>
      <c r="C56">
        <v>115817.47921681331</v>
      </c>
      <c r="D56">
        <v>505.83601776191387</v>
      </c>
      <c r="E56">
        <v>2.4375274335316499E-3</v>
      </c>
      <c r="F56">
        <v>104757.58535812267</v>
      </c>
      <c r="G56">
        <v>243.75274335316499</v>
      </c>
      <c r="H56">
        <v>104236.39553266643</v>
      </c>
      <c r="I56">
        <v>254.07907368333034</v>
      </c>
    </row>
    <row r="57" spans="1:9" x14ac:dyDescent="0.3">
      <c r="A57">
        <v>115735.33810147583</v>
      </c>
      <c r="B57">
        <v>491.67443475718858</v>
      </c>
      <c r="C57">
        <v>116317.31523457523</v>
      </c>
      <c r="D57">
        <v>571.90250220433495</v>
      </c>
      <c r="E57">
        <v>2.9867443475718857E-3</v>
      </c>
      <c r="F57">
        <v>104989.33810147583</v>
      </c>
      <c r="G57">
        <v>298.67443475718858</v>
      </c>
      <c r="H57">
        <v>104478.47460634976</v>
      </c>
      <c r="I57">
        <v>312.05049347344794</v>
      </c>
    </row>
    <row r="58" spans="1:9" x14ac:dyDescent="0.3">
      <c r="A58">
        <v>116221.01253623303</v>
      </c>
      <c r="B58">
        <v>57.594355753145202</v>
      </c>
      <c r="C58">
        <v>116883.21773677957</v>
      </c>
      <c r="D58">
        <v>67.318136239044136</v>
      </c>
      <c r="E58">
        <v>-1.3540564424685481E-3</v>
      </c>
      <c r="F58">
        <v>105276.01253623303</v>
      </c>
      <c r="G58">
        <v>-135.40564424685482</v>
      </c>
      <c r="H58">
        <v>104778.52509982321</v>
      </c>
      <c r="I58">
        <v>-141.8760369437681</v>
      </c>
    </row>
    <row r="59" spans="1:9" x14ac:dyDescent="0.3">
      <c r="A59">
        <v>116272.60689198617</v>
      </c>
      <c r="B59">
        <v>-1121.1247296323049</v>
      </c>
      <c r="C59">
        <v>116944.53587301861</v>
      </c>
      <c r="D59">
        <v>-1311.0941116261338</v>
      </c>
      <c r="E59">
        <v>-1.3141247296323049E-2</v>
      </c>
      <c r="F59">
        <v>105128.60689198617</v>
      </c>
      <c r="G59">
        <v>-1314.1247296323049</v>
      </c>
      <c r="H59">
        <v>104624.64906287944</v>
      </c>
      <c r="I59">
        <v>-1374.8983866263122</v>
      </c>
    </row>
    <row r="60" spans="1:9" x14ac:dyDescent="0.3">
      <c r="A60">
        <v>115145.48216235387</v>
      </c>
      <c r="B60">
        <v>1500.5702879954304</v>
      </c>
      <c r="C60">
        <v>115627.44176139247</v>
      </c>
      <c r="D60">
        <v>1735.0710358406754</v>
      </c>
      <c r="E60">
        <v>1.3075702879954304E-2</v>
      </c>
      <c r="F60">
        <v>103802.48216235387</v>
      </c>
      <c r="G60">
        <v>1307.5702879954304</v>
      </c>
      <c r="H60">
        <v>103237.75067625313</v>
      </c>
      <c r="I60">
        <v>1349.9061538374874</v>
      </c>
    </row>
    <row r="61" spans="1:9" x14ac:dyDescent="0.3">
      <c r="A61">
        <v>116640.05245034931</v>
      </c>
      <c r="B61">
        <v>175.8520667149746</v>
      </c>
      <c r="C61">
        <v>117356.51279723315</v>
      </c>
      <c r="D61">
        <v>206.37385317855814</v>
      </c>
      <c r="E61">
        <v>-1.7147933285025408E-4</v>
      </c>
      <c r="F61">
        <v>105098.05245034931</v>
      </c>
      <c r="G61">
        <v>-17.147933285025406</v>
      </c>
      <c r="H61">
        <v>104575.65683009061</v>
      </c>
      <c r="I61">
        <v>-17.932563865601054</v>
      </c>
    </row>
    <row r="62" spans="1:9" x14ac:dyDescent="0.3">
      <c r="A62">
        <v>116809.90451706428</v>
      </c>
      <c r="B62">
        <v>-469.18090326277797</v>
      </c>
      <c r="C62">
        <v>117556.88665041172</v>
      </c>
      <c r="D62">
        <v>-551.55446263400177</v>
      </c>
      <c r="E62">
        <v>-6.62180903262778E-3</v>
      </c>
      <c r="F62">
        <v>105068.90451706428</v>
      </c>
      <c r="G62">
        <v>-662.18090326277797</v>
      </c>
      <c r="H62">
        <v>104545.72426622501</v>
      </c>
      <c r="I62">
        <v>-692.28182126870206</v>
      </c>
    </row>
    <row r="63" spans="1:9" x14ac:dyDescent="0.3">
      <c r="A63">
        <v>116334.7236138015</v>
      </c>
      <c r="B63">
        <v>-14.081284213127441</v>
      </c>
      <c r="C63">
        <v>116999.33218777772</v>
      </c>
      <c r="D63">
        <v>-16.475008492822077</v>
      </c>
      <c r="E63">
        <v>-2.0708128421312744E-3</v>
      </c>
      <c r="F63">
        <v>104394.7236138015</v>
      </c>
      <c r="G63">
        <v>-207.08128421312745</v>
      </c>
      <c r="H63">
        <v>103841.44244495631</v>
      </c>
      <c r="I63">
        <v>-215.03619256045113</v>
      </c>
    </row>
    <row r="64" spans="1:9" x14ac:dyDescent="0.3">
      <c r="A64">
        <v>116314.64232958837</v>
      </c>
      <c r="B64">
        <v>-1611.0552940969078</v>
      </c>
      <c r="C64">
        <v>116976.8571792849</v>
      </c>
      <c r="D64">
        <v>-1884.561850455048</v>
      </c>
      <c r="E64">
        <v>-1.8040552940969078E-2</v>
      </c>
      <c r="F64">
        <v>104175.64232958837</v>
      </c>
      <c r="G64">
        <v>-1804.0552940969078</v>
      </c>
      <c r="H64">
        <v>103614.40625239586</v>
      </c>
      <c r="I64">
        <v>-1869.2611814434249</v>
      </c>
    </row>
    <row r="65" spans="1:9" x14ac:dyDescent="0.3">
      <c r="A65">
        <v>114697.58703549147</v>
      </c>
      <c r="B65">
        <v>-274.10174936276582</v>
      </c>
      <c r="C65">
        <v>115086.29532882984</v>
      </c>
      <c r="D65">
        <v>-315.45354877312167</v>
      </c>
      <c r="E65">
        <v>-4.6710174936276582E-3</v>
      </c>
      <c r="F65">
        <v>102359.58703549147</v>
      </c>
      <c r="G65">
        <v>-467.10174936276582</v>
      </c>
      <c r="H65">
        <v>101733.14507095244</v>
      </c>
      <c r="I65">
        <v>-475.19730030817919</v>
      </c>
    </row>
    <row r="66" spans="1:9" x14ac:dyDescent="0.3">
      <c r="A66">
        <v>114417.48528612871</v>
      </c>
      <c r="B66">
        <v>-134.16270276864697</v>
      </c>
      <c r="C66">
        <v>114764.84178005673</v>
      </c>
      <c r="D66">
        <v>-153.97161356028548</v>
      </c>
      <c r="E66">
        <v>-3.2716270276864695E-3</v>
      </c>
      <c r="F66">
        <v>101880.48528612871</v>
      </c>
      <c r="G66">
        <v>-327.16270276864697</v>
      </c>
      <c r="H66">
        <v>101245.94777064426</v>
      </c>
      <c r="I66">
        <v>-331.2389791701724</v>
      </c>
    </row>
    <row r="67" spans="1:9" x14ac:dyDescent="0.3">
      <c r="A67">
        <v>114277.32258336006</v>
      </c>
      <c r="B67">
        <v>529.93336481451854</v>
      </c>
      <c r="C67">
        <v>114604.87016649645</v>
      </c>
      <c r="D67">
        <v>607.32944471462497</v>
      </c>
      <c r="E67">
        <v>3.3693336481451855E-3</v>
      </c>
      <c r="F67">
        <v>101541.32258336006</v>
      </c>
      <c r="G67">
        <v>336.93336481451854</v>
      </c>
      <c r="H67">
        <v>100902.70879147408</v>
      </c>
      <c r="I67">
        <v>339.97489192010863</v>
      </c>
    </row>
    <row r="68" spans="1:9" x14ac:dyDescent="0.3">
      <c r="A68">
        <v>114801.25594817458</v>
      </c>
      <c r="B68">
        <v>-3153.1451826948687</v>
      </c>
      <c r="C68">
        <v>115206.19961121106</v>
      </c>
      <c r="D68">
        <v>-3632.6187332067361</v>
      </c>
      <c r="E68">
        <v>-3.3461451826948686E-2</v>
      </c>
      <c r="F68">
        <v>101866.25594817458</v>
      </c>
      <c r="G68">
        <v>-3346.1451826948687</v>
      </c>
      <c r="H68">
        <v>101230.68368339419</v>
      </c>
      <c r="I68">
        <v>-3387.3256454809753</v>
      </c>
    </row>
    <row r="69" spans="1:9" x14ac:dyDescent="0.3">
      <c r="A69">
        <v>111642.11076547971</v>
      </c>
      <c r="B69">
        <v>-77.826395254307556</v>
      </c>
      <c r="C69">
        <v>111567.58087800433</v>
      </c>
      <c r="D69">
        <v>-86.829026469784907</v>
      </c>
      <c r="E69">
        <v>-2.7082639525430755E-3</v>
      </c>
      <c r="F69">
        <v>98508.110765479709</v>
      </c>
      <c r="G69">
        <v>-270.82639525430756</v>
      </c>
      <c r="H69">
        <v>97831.358037913218</v>
      </c>
      <c r="I69">
        <v>-264.95314040241561</v>
      </c>
    </row>
    <row r="70" spans="1:9" x14ac:dyDescent="0.3">
      <c r="A70">
        <v>111558.2843702254</v>
      </c>
      <c r="B70">
        <v>981.73036539269447</v>
      </c>
      <c r="C70">
        <v>111474.75185153454</v>
      </c>
      <c r="D70">
        <v>1094.3814886726695</v>
      </c>
      <c r="E70">
        <v>7.8873036539269456E-3</v>
      </c>
      <c r="F70">
        <v>98225.284370225403</v>
      </c>
      <c r="G70">
        <v>788.73036539269458</v>
      </c>
      <c r="H70">
        <v>97554.404897510802</v>
      </c>
      <c r="I70">
        <v>769.44121420480565</v>
      </c>
    </row>
    <row r="71" spans="1:9" x14ac:dyDescent="0.3">
      <c r="A71">
        <v>112534.0147356181</v>
      </c>
      <c r="B71">
        <v>396.88114638945359</v>
      </c>
      <c r="C71">
        <v>112563.13334020722</v>
      </c>
      <c r="D71">
        <v>446.74185401250361</v>
      </c>
      <c r="E71">
        <v>2.0388114638945354E-3</v>
      </c>
      <c r="F71">
        <v>99002.014735618097</v>
      </c>
      <c r="G71">
        <v>203.88114638945353</v>
      </c>
      <c r="H71">
        <v>98311.846111715611</v>
      </c>
      <c r="I71">
        <v>200.43931888920119</v>
      </c>
    </row>
    <row r="72" spans="1:9" x14ac:dyDescent="0.3">
      <c r="A72">
        <v>112924.89588200755</v>
      </c>
      <c r="B72">
        <v>-2218.8122828368214</v>
      </c>
      <c r="C72">
        <v>113003.87519421973</v>
      </c>
      <c r="D72">
        <v>-2507.3438628909394</v>
      </c>
      <c r="E72">
        <v>-2.4118122828368217E-2</v>
      </c>
      <c r="F72">
        <v>99193.89588200755</v>
      </c>
      <c r="G72">
        <v>-2411.8122828368219</v>
      </c>
      <c r="H72">
        <v>98500.28543060481</v>
      </c>
      <c r="I72">
        <v>-2375.6419826446549</v>
      </c>
    </row>
    <row r="73" spans="1:9" x14ac:dyDescent="0.3">
      <c r="A73">
        <v>110700.08359917073</v>
      </c>
      <c r="B73">
        <v>277.02761564600735</v>
      </c>
      <c r="C73">
        <v>110490.53133132879</v>
      </c>
      <c r="D73">
        <v>306.08928446178487</v>
      </c>
      <c r="E73">
        <v>8.4027615646007346E-4</v>
      </c>
      <c r="F73">
        <v>96770.083599170728</v>
      </c>
      <c r="G73">
        <v>84.027615646007348</v>
      </c>
      <c r="H73">
        <v>96112.643447960159</v>
      </c>
      <c r="I73">
        <v>80.761162623669421</v>
      </c>
    </row>
    <row r="74" spans="1:9" x14ac:dyDescent="0.3">
      <c r="A74">
        <v>110971.11121481673</v>
      </c>
      <c r="B74">
        <v>429.31774685770603</v>
      </c>
      <c r="C74">
        <v>110790.62061579058</v>
      </c>
      <c r="D74">
        <v>475.6437961573813</v>
      </c>
      <c r="E74">
        <v>2.3631774685770601E-3</v>
      </c>
      <c r="F74">
        <v>96842.11121481673</v>
      </c>
      <c r="G74">
        <v>236.31774685770603</v>
      </c>
      <c r="H74">
        <v>96181.404610583835</v>
      </c>
      <c r="I74">
        <v>227.2937282718255</v>
      </c>
    </row>
    <row r="75" spans="1:9" x14ac:dyDescent="0.3">
      <c r="A75">
        <v>111394.42896167444</v>
      </c>
      <c r="B75">
        <v>1068.8489714687696</v>
      </c>
      <c r="C75">
        <v>111260.26441194797</v>
      </c>
      <c r="D75">
        <v>1189.2041918205393</v>
      </c>
      <c r="E75">
        <v>8.7584897146876974E-3</v>
      </c>
      <c r="F75">
        <v>97066.428961674435</v>
      </c>
      <c r="G75">
        <v>875.84897146876972</v>
      </c>
      <c r="H75">
        <v>96396.698338855655</v>
      </c>
      <c r="I75">
        <v>844.28949093071992</v>
      </c>
    </row>
    <row r="76" spans="1:9" x14ac:dyDescent="0.3">
      <c r="A76">
        <v>112457.27793314321</v>
      </c>
      <c r="B76">
        <v>-895.62159987405403</v>
      </c>
      <c r="C76">
        <v>112443.4686037685</v>
      </c>
      <c r="D76">
        <v>-1007.0679924629511</v>
      </c>
      <c r="E76">
        <v>-1.0886215998740539E-2</v>
      </c>
      <c r="F76">
        <v>97930.27793314321</v>
      </c>
      <c r="G76">
        <v>-1088.621599874054</v>
      </c>
      <c r="H76">
        <v>97228.987829786376</v>
      </c>
      <c r="I76">
        <v>-1058.4557628539696</v>
      </c>
    </row>
    <row r="77" spans="1:9" x14ac:dyDescent="0.3">
      <c r="A77">
        <v>111555.65633326916</v>
      </c>
      <c r="B77">
        <v>-327.82861750990583</v>
      </c>
      <c r="C77">
        <v>111430.40061130555</v>
      </c>
      <c r="D77">
        <v>-365.30074180979261</v>
      </c>
      <c r="E77">
        <v>-5.208286175099058E-3</v>
      </c>
      <c r="F77">
        <v>96829.656333269158</v>
      </c>
      <c r="G77">
        <v>-520.82861750990583</v>
      </c>
      <c r="H77">
        <v>96158.532066932414</v>
      </c>
      <c r="I77">
        <v>-500.82115318202352</v>
      </c>
    </row>
    <row r="78" spans="1:9" x14ac:dyDescent="0.3">
      <c r="A78">
        <v>111221.82771575925</v>
      </c>
      <c r="B78">
        <v>-322.97700544144601</v>
      </c>
      <c r="C78">
        <v>111059.09986949575</v>
      </c>
      <c r="D78">
        <v>-358.69535502872225</v>
      </c>
      <c r="E78">
        <v>-5.1597700544144601E-3</v>
      </c>
      <c r="F78">
        <v>96296.827715759253</v>
      </c>
      <c r="G78">
        <v>-515.97700544144595</v>
      </c>
      <c r="H78">
        <v>95645.710913750387</v>
      </c>
      <c r="I78">
        <v>-493.50987500595153</v>
      </c>
    </row>
    <row r="79" spans="1:9" x14ac:dyDescent="0.3">
      <c r="A79">
        <v>110892.85071031781</v>
      </c>
      <c r="B79">
        <v>60.287963685373398</v>
      </c>
      <c r="C79">
        <v>110694.40451446702</v>
      </c>
      <c r="D79">
        <v>66.735402395422213</v>
      </c>
      <c r="E79">
        <v>-1.3271203631462661E-3</v>
      </c>
      <c r="F79">
        <v>95768.850710317813</v>
      </c>
      <c r="G79">
        <v>-132.7120363146266</v>
      </c>
      <c r="H79">
        <v>95140.201038744432</v>
      </c>
      <c r="I79">
        <v>-126.26249815234728</v>
      </c>
    </row>
    <row r="80" spans="1:9" x14ac:dyDescent="0.3">
      <c r="A80">
        <v>110947.13867400319</v>
      </c>
      <c r="B80">
        <v>1222.874740385291</v>
      </c>
      <c r="C80">
        <v>110755.13991686245</v>
      </c>
      <c r="D80">
        <v>1354.3966297216975</v>
      </c>
      <c r="E80">
        <v>1.0298747403852912E-2</v>
      </c>
      <c r="F80">
        <v>95624.138674003188</v>
      </c>
      <c r="G80">
        <v>1029.8747403852913</v>
      </c>
      <c r="H80">
        <v>95001.938540592091</v>
      </c>
      <c r="I80">
        <v>978.40096790591667</v>
      </c>
    </row>
    <row r="81" spans="1:9" x14ac:dyDescent="0.3">
      <c r="A81">
        <v>112164.01341438848</v>
      </c>
      <c r="B81">
        <v>389.50527771219532</v>
      </c>
      <c r="C81">
        <v>112103.53654658415</v>
      </c>
      <c r="D81">
        <v>436.64919135096494</v>
      </c>
      <c r="E81">
        <v>1.9650527771219528E-3</v>
      </c>
      <c r="F81">
        <v>96642.013414388479</v>
      </c>
      <c r="G81">
        <v>196.50527771219529</v>
      </c>
      <c r="H81">
        <v>95968.339508498015</v>
      </c>
      <c r="I81">
        <v>188.58285206695646</v>
      </c>
    </row>
    <row r="82" spans="1:9" x14ac:dyDescent="0.3">
      <c r="A82">
        <v>112547.51869210067</v>
      </c>
      <c r="B82">
        <v>-2887.830580605902</v>
      </c>
      <c r="C82">
        <v>112534.18573793511</v>
      </c>
      <c r="D82">
        <v>-3249.7966293759359</v>
      </c>
      <c r="E82">
        <v>-3.0808305806059023E-2</v>
      </c>
      <c r="F82">
        <v>96826.518692100668</v>
      </c>
      <c r="G82">
        <v>-3080.8305806059025</v>
      </c>
      <c r="H82">
        <v>96144.922360564975</v>
      </c>
      <c r="I82">
        <v>-2962.0621697840879</v>
      </c>
    </row>
    <row r="83" spans="1:9" x14ac:dyDescent="0.3">
      <c r="A83">
        <v>109653.68811149476</v>
      </c>
      <c r="B83">
        <v>-1145.3773491755319</v>
      </c>
      <c r="C83">
        <v>109278.38910855917</v>
      </c>
      <c r="D83">
        <v>-1251.6499163933383</v>
      </c>
      <c r="E83">
        <v>-1.3383773491755319E-2</v>
      </c>
      <c r="F83">
        <v>93733.688111494761</v>
      </c>
      <c r="G83">
        <v>-1338.3773491755319</v>
      </c>
      <c r="H83">
        <v>93170.860190780892</v>
      </c>
      <c r="I83">
        <v>-1246.9776888254141</v>
      </c>
    </row>
    <row r="84" spans="1:9" x14ac:dyDescent="0.3">
      <c r="A84">
        <v>108502.31076231923</v>
      </c>
      <c r="B84">
        <v>378.24442415547963</v>
      </c>
      <c r="C84">
        <v>108020.73919216584</v>
      </c>
      <c r="D84">
        <v>408.58242292590018</v>
      </c>
      <c r="E84">
        <v>1.8524442415547963E-3</v>
      </c>
      <c r="F84">
        <v>92383.310762319234</v>
      </c>
      <c r="G84">
        <v>185.24442415547963</v>
      </c>
      <c r="H84">
        <v>91911.882501955479</v>
      </c>
      <c r="I84">
        <v>170.26163747120847</v>
      </c>
    </row>
    <row r="85" spans="1:9" x14ac:dyDescent="0.3">
      <c r="A85">
        <v>108874.55518647471</v>
      </c>
      <c r="B85">
        <v>790.78981553650374</v>
      </c>
      <c r="C85">
        <v>108423.32161509174</v>
      </c>
      <c r="D85">
        <v>857.4005849985341</v>
      </c>
      <c r="E85">
        <v>5.9778981553650365E-3</v>
      </c>
      <c r="F85">
        <v>92556.55518647471</v>
      </c>
      <c r="G85">
        <v>597.78981553650362</v>
      </c>
      <c r="H85">
        <v>92070.144139426688</v>
      </c>
      <c r="I85">
        <v>550.38594481527184</v>
      </c>
    </row>
    <row r="86" spans="1:9" x14ac:dyDescent="0.3">
      <c r="A86">
        <v>109659.34500201122</v>
      </c>
      <c r="B86">
        <v>837.40632127728679</v>
      </c>
      <c r="C86">
        <v>109274.72220009028</v>
      </c>
      <c r="D86">
        <v>915.07343126175067</v>
      </c>
      <c r="E86">
        <v>6.4440632127728678E-3</v>
      </c>
      <c r="F86">
        <v>93142.345002011207</v>
      </c>
      <c r="G86">
        <v>644.40632127728679</v>
      </c>
      <c r="H86">
        <v>92608.530084241953</v>
      </c>
      <c r="I86">
        <v>596.77522190483296</v>
      </c>
    </row>
    <row r="87" spans="1:9" x14ac:dyDescent="0.3">
      <c r="A87">
        <v>110490.75132328851</v>
      </c>
      <c r="B87">
        <v>264.39051458228005</v>
      </c>
      <c r="C87">
        <v>110183.79563135204</v>
      </c>
      <c r="D87">
        <v>291.31550425601944</v>
      </c>
      <c r="E87">
        <v>7.1390514582280015E-4</v>
      </c>
      <c r="F87">
        <v>93774.751323288496</v>
      </c>
      <c r="G87">
        <v>71.390514582280019</v>
      </c>
      <c r="H87">
        <v>93193.30530614678</v>
      </c>
      <c r="I87">
        <v>66.531180214293457</v>
      </c>
    </row>
    <row r="88" spans="1:9" x14ac:dyDescent="0.3">
      <c r="A88">
        <v>110749.14183787079</v>
      </c>
      <c r="B88">
        <v>-1707.400919999337</v>
      </c>
      <c r="C88">
        <v>110469.11113560807</v>
      </c>
      <c r="D88">
        <v>-1886.1506198444622</v>
      </c>
      <c r="E88">
        <v>-1.9004009199993371E-2</v>
      </c>
      <c r="F88">
        <v>93834.141837870775</v>
      </c>
      <c r="G88">
        <v>-1900.4009199993372</v>
      </c>
      <c r="H88">
        <v>93247.836486361077</v>
      </c>
      <c r="I88">
        <v>-1772.0827424662834</v>
      </c>
    </row>
    <row r="89" spans="1:9" x14ac:dyDescent="0.3">
      <c r="A89">
        <v>109035.74091787146</v>
      </c>
      <c r="B89">
        <v>466.06137818703513</v>
      </c>
      <c r="C89">
        <v>108576.96051576361</v>
      </c>
      <c r="D89">
        <v>506.03527857336087</v>
      </c>
      <c r="E89">
        <v>2.7306137818703512E-3</v>
      </c>
      <c r="F89">
        <v>91921.740917871444</v>
      </c>
      <c r="G89">
        <v>273.06137818703513</v>
      </c>
      <c r="H89">
        <v>91463.753743894791</v>
      </c>
      <c r="I89">
        <v>249.75218651467506</v>
      </c>
    </row>
    <row r="90" spans="1:9" x14ac:dyDescent="0.3">
      <c r="A90">
        <v>109495.80229605849</v>
      </c>
      <c r="B90">
        <v>279.36136692166951</v>
      </c>
      <c r="C90">
        <v>109076.99579433697</v>
      </c>
      <c r="D90">
        <v>304.71898644815172</v>
      </c>
      <c r="E90">
        <v>8.6361366921669535E-4</v>
      </c>
      <c r="F90">
        <v>92182.802296058479</v>
      </c>
      <c r="G90">
        <v>86.361366921669529</v>
      </c>
      <c r="H90">
        <v>91701.505930409461</v>
      </c>
      <c r="I90">
        <v>79.194674009257469</v>
      </c>
    </row>
    <row r="91" spans="1:9" x14ac:dyDescent="0.3">
      <c r="A91">
        <v>109769.16366298017</v>
      </c>
      <c r="B91">
        <v>-1069.7697001083986</v>
      </c>
      <c r="C91">
        <v>109375.71478078511</v>
      </c>
      <c r="D91">
        <v>-1170.0682560018224</v>
      </c>
      <c r="E91">
        <v>-1.2627697001083986E-2</v>
      </c>
      <c r="F91">
        <v>92257.163662980151</v>
      </c>
      <c r="G91">
        <v>-1262.7697001083986</v>
      </c>
      <c r="H91">
        <v>91768.700604418715</v>
      </c>
      <c r="I91">
        <v>-1158.8273454157923</v>
      </c>
    </row>
    <row r="92" spans="1:9" x14ac:dyDescent="0.3">
      <c r="A92">
        <v>108693.39396287176</v>
      </c>
      <c r="B92">
        <v>40.30502845535009</v>
      </c>
      <c r="C92">
        <v>108199.6465247833</v>
      </c>
      <c r="D92">
        <v>43.609898320402124</v>
      </c>
      <c r="E92">
        <v>-1.5269497154464992E-3</v>
      </c>
      <c r="F92">
        <v>90982.393962871749</v>
      </c>
      <c r="G92">
        <v>-152.69497154464992</v>
      </c>
      <c r="H92">
        <v>90597.873259002925</v>
      </c>
      <c r="I92">
        <v>-138.33839679289252</v>
      </c>
    </row>
    <row r="93" spans="1:9" x14ac:dyDescent="0.3">
      <c r="A93">
        <v>108727.69899132711</v>
      </c>
      <c r="B93">
        <v>417.35823517089636</v>
      </c>
      <c r="C93">
        <v>108237.2564231037</v>
      </c>
      <c r="D93">
        <v>451.73710320486322</v>
      </c>
      <c r="E93">
        <v>2.2435823517089632E-3</v>
      </c>
      <c r="F93">
        <v>90817.698991327095</v>
      </c>
      <c r="G93">
        <v>224.35823517089631</v>
      </c>
      <c r="H93">
        <v>90447.534862210028</v>
      </c>
      <c r="I93">
        <v>202.92649297243563</v>
      </c>
    </row>
    <row r="94" spans="1:9" x14ac:dyDescent="0.3">
      <c r="A94">
        <v>109139.057226498</v>
      </c>
      <c r="B94">
        <v>-142.36717789425927</v>
      </c>
      <c r="C94">
        <v>108682.99352630856</v>
      </c>
      <c r="D94">
        <v>-154.72891073440601</v>
      </c>
      <c r="E94">
        <v>-3.3536717789425926E-3</v>
      </c>
      <c r="F94">
        <v>91030.057226497986</v>
      </c>
      <c r="G94">
        <v>-335.36717789425927</v>
      </c>
      <c r="H94">
        <v>90638.461355182459</v>
      </c>
      <c r="I94">
        <v>-303.97164993365419</v>
      </c>
    </row>
    <row r="95" spans="1:9" x14ac:dyDescent="0.3">
      <c r="A95">
        <v>108990.69004860373</v>
      </c>
      <c r="B95">
        <v>-569.38238947045386</v>
      </c>
      <c r="C95">
        <v>108522.26461557415</v>
      </c>
      <c r="D95">
        <v>-617.90666337560492</v>
      </c>
      <c r="E95">
        <v>-7.6238238947045388E-3</v>
      </c>
      <c r="F95">
        <v>90682.690048603719</v>
      </c>
      <c r="G95">
        <v>-762.38238947045386</v>
      </c>
      <c r="H95">
        <v>90322.489705248809</v>
      </c>
      <c r="I95">
        <v>-688.60275524408064</v>
      </c>
    </row>
    <row r="96" spans="1:9" x14ac:dyDescent="0.3">
      <c r="A96">
        <v>108415.30765913328</v>
      </c>
      <c r="B96">
        <v>-619.9141410905371</v>
      </c>
      <c r="C96">
        <v>107898.35795219855</v>
      </c>
      <c r="D96">
        <v>-668.87717895016488</v>
      </c>
      <c r="E96">
        <v>-8.1291414109053699E-3</v>
      </c>
      <c r="F96">
        <v>89908.307659133265</v>
      </c>
      <c r="G96">
        <v>-812.91414109053699</v>
      </c>
      <c r="H96">
        <v>89621.886950004729</v>
      </c>
      <c r="I96">
        <v>-728.54899252876305</v>
      </c>
    </row>
    <row r="97" spans="1:9" x14ac:dyDescent="0.3">
      <c r="A97">
        <v>107789.39351804274</v>
      </c>
      <c r="B97">
        <v>-1255.6025302775186</v>
      </c>
      <c r="C97">
        <v>107223.48077324839</v>
      </c>
      <c r="D97">
        <v>-1346.3007376405353</v>
      </c>
      <c r="E97">
        <v>-1.4486025302775185E-2</v>
      </c>
      <c r="F97">
        <v>89083.393518042722</v>
      </c>
      <c r="G97">
        <v>-1448.6025302775186</v>
      </c>
      <c r="H97">
        <v>88881.33795747596</v>
      </c>
      <c r="I97">
        <v>-1287.5373105965093</v>
      </c>
    </row>
    <row r="98" spans="1:9" x14ac:dyDescent="0.3">
      <c r="A98">
        <v>106527.79098776521</v>
      </c>
      <c r="B98">
        <v>-433.82236945890514</v>
      </c>
      <c r="C98">
        <v>105871.18003560786</v>
      </c>
      <c r="D98">
        <v>-459.2928618045774</v>
      </c>
      <c r="E98">
        <v>-6.2682236945890519E-3</v>
      </c>
      <c r="F98">
        <v>87622.790987765198</v>
      </c>
      <c r="G98">
        <v>-626.8223694589052</v>
      </c>
      <c r="H98">
        <v>87581.800646879448</v>
      </c>
      <c r="I98">
        <v>-548.98231802954456</v>
      </c>
    </row>
    <row r="99" spans="1:9" x14ac:dyDescent="0.3">
      <c r="A99">
        <v>106087.9686183063</v>
      </c>
      <c r="B99">
        <v>-934.79968578162527</v>
      </c>
      <c r="C99">
        <v>105405.88717380328</v>
      </c>
      <c r="D99">
        <v>-985.3339020960475</v>
      </c>
      <c r="E99">
        <v>-1.1277996857816252E-2</v>
      </c>
      <c r="F99">
        <v>86983.968618306288</v>
      </c>
      <c r="G99">
        <v>-1127.7996857816252</v>
      </c>
      <c r="H99">
        <v>87020.818328849899</v>
      </c>
      <c r="I99">
        <v>-981.42051567736814</v>
      </c>
    </row>
    <row r="100" spans="1:9" x14ac:dyDescent="0.3">
      <c r="A100">
        <v>105147.16893252467</v>
      </c>
      <c r="B100">
        <v>1467.0499640658668</v>
      </c>
      <c r="C100">
        <v>104414.55327170723</v>
      </c>
      <c r="D100">
        <v>1531.8136662521165</v>
      </c>
      <c r="E100">
        <v>1.2740499640658669E-2</v>
      </c>
      <c r="F100">
        <v>85844.168932524655</v>
      </c>
      <c r="G100">
        <v>1274.049964065867</v>
      </c>
      <c r="H100">
        <v>86027.397813172531</v>
      </c>
      <c r="I100">
        <v>1096.0320309255251</v>
      </c>
    </row>
    <row r="101" spans="1:9" x14ac:dyDescent="0.3">
      <c r="A101">
        <v>106608.21889659054</v>
      </c>
      <c r="B101">
        <v>190.8032818164364</v>
      </c>
      <c r="C101">
        <v>105940.36693795935</v>
      </c>
      <c r="D101">
        <v>202.13769688600138</v>
      </c>
      <c r="E101">
        <v>-2.1967181835636082E-5</v>
      </c>
      <c r="F101">
        <v>87106.218896590522</v>
      </c>
      <c r="G101">
        <v>-2.196718183563608</v>
      </c>
      <c r="H101">
        <v>87111.429844098049</v>
      </c>
      <c r="I101">
        <v>-1.9135926193475576</v>
      </c>
    </row>
    <row r="102" spans="1:9" x14ac:dyDescent="0.3">
      <c r="A102">
        <v>106793.02217840697</v>
      </c>
      <c r="B102">
        <v>-769.69444058051931</v>
      </c>
      <c r="C102">
        <v>106136.50463484535</v>
      </c>
      <c r="D102">
        <v>-816.92677560088987</v>
      </c>
      <c r="E102">
        <v>-9.6269444058051934E-3</v>
      </c>
      <c r="F102">
        <v>87092.022178406958</v>
      </c>
      <c r="G102">
        <v>-962.69444058051931</v>
      </c>
      <c r="H102">
        <v>87097.516251478708</v>
      </c>
      <c r="I102">
        <v>-838.48294683669985</v>
      </c>
    </row>
    <row r="103" spans="1:9" x14ac:dyDescent="0.3">
      <c r="A103">
        <v>106017.32773782645</v>
      </c>
      <c r="B103">
        <v>-2738.0346035714851</v>
      </c>
      <c r="C103">
        <v>105313.57785924445</v>
      </c>
      <c r="D103">
        <v>-2883.5222040453114</v>
      </c>
      <c r="E103">
        <v>-2.9310346035714852E-2</v>
      </c>
      <c r="F103">
        <v>86117.327737826432</v>
      </c>
      <c r="G103">
        <v>-2931.0346035714851</v>
      </c>
      <c r="H103">
        <v>86247.033304642013</v>
      </c>
      <c r="I103">
        <v>-2527.930390712881</v>
      </c>
    </row>
    <row r="104" spans="1:9" x14ac:dyDescent="0.3">
      <c r="A104">
        <v>103273.29313425496</v>
      </c>
      <c r="B104">
        <v>1281.4399809274082</v>
      </c>
      <c r="C104">
        <v>102424.05565519915</v>
      </c>
      <c r="D104">
        <v>1312.502799253062</v>
      </c>
      <c r="E104">
        <v>1.0884399809274083E-2</v>
      </c>
      <c r="F104">
        <v>83174.293134254942</v>
      </c>
      <c r="G104">
        <v>1088.4399809274082</v>
      </c>
      <c r="H104">
        <v>83707.102913929135</v>
      </c>
      <c r="I104">
        <v>911.10157499125626</v>
      </c>
    </row>
    <row r="105" spans="1:9" x14ac:dyDescent="0.3">
      <c r="A105">
        <v>104548.73311518236</v>
      </c>
      <c r="B105">
        <v>1053.4077741493732</v>
      </c>
      <c r="C105">
        <v>103730.55845445221</v>
      </c>
      <c r="D105">
        <v>1092.7057669277594</v>
      </c>
      <c r="E105">
        <v>8.6040777414937326E-3</v>
      </c>
      <c r="F105">
        <v>84250.733115182346</v>
      </c>
      <c r="G105">
        <v>860.40777414937327</v>
      </c>
      <c r="H105">
        <v>84606.204488920397</v>
      </c>
      <c r="I105">
        <v>727.95836083538711</v>
      </c>
    </row>
    <row r="106" spans="1:9" x14ac:dyDescent="0.3">
      <c r="A106">
        <v>105596.14088933173</v>
      </c>
      <c r="B106">
        <v>-1996.0753050837038</v>
      </c>
      <c r="C106">
        <v>104817.26422137997</v>
      </c>
      <c r="D106">
        <v>-2092.2315265873021</v>
      </c>
      <c r="E106">
        <v>-2.1890753050837038E-2</v>
      </c>
      <c r="F106">
        <v>85099.140889331713</v>
      </c>
      <c r="G106">
        <v>-2189.0753050837038</v>
      </c>
      <c r="H106">
        <v>85322.162849755783</v>
      </c>
      <c r="I106">
        <v>-1867.7663967073061</v>
      </c>
    </row>
    <row r="107" spans="1:9" x14ac:dyDescent="0.3">
      <c r="A107">
        <v>103594.06558424802</v>
      </c>
      <c r="B107">
        <v>-357.55426895861945</v>
      </c>
      <c r="C107">
        <v>102719.03269479267</v>
      </c>
      <c r="D107">
        <v>-367.27628643323123</v>
      </c>
      <c r="E107">
        <v>-5.505542689586195E-3</v>
      </c>
      <c r="F107">
        <v>82898.065584248005</v>
      </c>
      <c r="G107">
        <v>-550.55426895861945</v>
      </c>
      <c r="H107">
        <v>83442.396453048481</v>
      </c>
      <c r="I107">
        <v>-459.3956757936341</v>
      </c>
    </row>
    <row r="108" spans="1:9" x14ac:dyDescent="0.3">
      <c r="A108">
        <v>103230.5113152894</v>
      </c>
      <c r="B108">
        <v>-231.20180188244032</v>
      </c>
      <c r="C108">
        <v>102345.75640835943</v>
      </c>
      <c r="D108">
        <v>-236.62523296634015</v>
      </c>
      <c r="E108">
        <v>-4.2420180188244032E-3</v>
      </c>
      <c r="F108">
        <v>82335.51131528939</v>
      </c>
      <c r="G108">
        <v>-424.20180188244029</v>
      </c>
      <c r="H108">
        <v>82971.000777254842</v>
      </c>
      <c r="I108">
        <v>-351.96448033700858</v>
      </c>
    </row>
    <row r="109" spans="1:9" x14ac:dyDescent="0.3">
      <c r="A109">
        <v>102993.30951340696</v>
      </c>
      <c r="B109">
        <v>509.90741154896642</v>
      </c>
      <c r="C109">
        <v>102103.13117539309</v>
      </c>
      <c r="D109">
        <v>520.63143328689273</v>
      </c>
      <c r="E109">
        <v>3.1690741154896639E-3</v>
      </c>
      <c r="F109">
        <v>81899.309513406944</v>
      </c>
      <c r="G109">
        <v>316.90741154896637</v>
      </c>
      <c r="H109">
        <v>82607.036296917839</v>
      </c>
      <c r="I109">
        <v>261.78782048587743</v>
      </c>
    </row>
    <row r="110" spans="1:9" x14ac:dyDescent="0.3">
      <c r="A110">
        <v>103497.21692495592</v>
      </c>
      <c r="B110">
        <v>2462.2668536361093</v>
      </c>
      <c r="C110">
        <v>102617.76260867999</v>
      </c>
      <c r="D110">
        <v>2526.7231546565163</v>
      </c>
      <c r="E110">
        <v>2.269266853636109E-2</v>
      </c>
      <c r="F110">
        <v>82204.216924955908</v>
      </c>
      <c r="G110">
        <v>2269.2668536361089</v>
      </c>
      <c r="H110">
        <v>82856.82411740371</v>
      </c>
      <c r="I110">
        <v>1880.242445671812</v>
      </c>
    </row>
    <row r="111" spans="1:9" x14ac:dyDescent="0.3">
      <c r="A111">
        <v>105953.48377859204</v>
      </c>
      <c r="B111">
        <v>-381.1904872139184</v>
      </c>
      <c r="C111">
        <v>105138.4857633365</v>
      </c>
      <c r="D111">
        <v>-400.77790613059869</v>
      </c>
      <c r="E111">
        <v>-5.7419048721391846E-3</v>
      </c>
      <c r="F111">
        <v>84461.483778592024</v>
      </c>
      <c r="G111">
        <v>-574.19048721391846</v>
      </c>
      <c r="H111">
        <v>84725.066563075525</v>
      </c>
      <c r="I111">
        <v>-486.48327249084008</v>
      </c>
    </row>
    <row r="112" spans="1:9" x14ac:dyDescent="0.3">
      <c r="A112">
        <v>105566.29329137813</v>
      </c>
      <c r="B112">
        <v>-649.73056197075095</v>
      </c>
      <c r="C112">
        <v>104731.70785720591</v>
      </c>
      <c r="D112">
        <v>-680.47391402218909</v>
      </c>
      <c r="E112">
        <v>-8.4273056197075088E-3</v>
      </c>
      <c r="F112">
        <v>83875.293291378111</v>
      </c>
      <c r="G112">
        <v>-842.73056197075084</v>
      </c>
      <c r="H112">
        <v>84226.583290584691</v>
      </c>
      <c r="I112">
        <v>-709.80315869350693</v>
      </c>
    </row>
    <row r="113" spans="1:9" x14ac:dyDescent="0.3">
      <c r="A113">
        <v>104910.56272940738</v>
      </c>
      <c r="B113">
        <v>-1058.064123253042</v>
      </c>
      <c r="C113">
        <v>104045.23394318372</v>
      </c>
      <c r="D113">
        <v>-1100.8652923075233</v>
      </c>
      <c r="E113">
        <v>-1.251064123253042E-2</v>
      </c>
      <c r="F113">
        <v>83020.562729407364</v>
      </c>
      <c r="G113">
        <v>-1251.064123253042</v>
      </c>
      <c r="H113">
        <v>83504.780131891181</v>
      </c>
      <c r="I113">
        <v>-1044.6983454314247</v>
      </c>
    </row>
    <row r="114" spans="1:9" x14ac:dyDescent="0.3">
      <c r="A114">
        <v>103846.49860615433</v>
      </c>
      <c r="B114">
        <v>20.933640360056575</v>
      </c>
      <c r="C114">
        <v>102938.36865087619</v>
      </c>
      <c r="D114">
        <v>21.548747885883643</v>
      </c>
      <c r="E114">
        <v>-1.7206635963994343E-3</v>
      </c>
      <c r="F114">
        <v>81757.498606154317</v>
      </c>
      <c r="G114">
        <v>-172.06635963994341</v>
      </c>
      <c r="H114">
        <v>82448.081786459763</v>
      </c>
      <c r="I114">
        <v>-141.86541292292455</v>
      </c>
    </row>
    <row r="115" spans="1:9" x14ac:dyDescent="0.3">
      <c r="A115">
        <v>103861.43224651439</v>
      </c>
      <c r="B115">
        <v>-891.36156975353504</v>
      </c>
      <c r="C115">
        <v>102953.91739876207</v>
      </c>
      <c r="D115">
        <v>-917.69165424836342</v>
      </c>
      <c r="E115">
        <v>-1.084361569753535E-2</v>
      </c>
      <c r="F115">
        <v>81573.432246514378</v>
      </c>
      <c r="G115">
        <v>-1084.3615697535349</v>
      </c>
      <c r="H115">
        <v>82294.216373536838</v>
      </c>
      <c r="I115">
        <v>-892.36685648445462</v>
      </c>
    </row>
    <row r="116" spans="1:9" x14ac:dyDescent="0.3">
      <c r="A116">
        <v>102964.07067676086</v>
      </c>
      <c r="B116">
        <v>-3184.647302904566</v>
      </c>
      <c r="C116">
        <v>102030.22574451371</v>
      </c>
      <c r="D116">
        <v>-3249.3028323200961</v>
      </c>
      <c r="E116">
        <v>-3.3776473029045663E-2</v>
      </c>
      <c r="F116">
        <v>80477.07067676085</v>
      </c>
      <c r="G116">
        <v>-3377.6473029045665</v>
      </c>
      <c r="H116">
        <v>81389.849517052382</v>
      </c>
      <c r="I116">
        <v>-2749.0620570508049</v>
      </c>
    </row>
    <row r="117" spans="1:9" x14ac:dyDescent="0.3">
      <c r="A117">
        <v>99773.423373856305</v>
      </c>
      <c r="B117">
        <v>2524.3685521166858</v>
      </c>
      <c r="C117">
        <v>98774.922912193608</v>
      </c>
      <c r="D117">
        <v>2493.4430913729143</v>
      </c>
      <c r="E117">
        <v>2.3313685521166857E-2</v>
      </c>
      <c r="F117">
        <v>77087.423373856291</v>
      </c>
      <c r="G117">
        <v>2331.3685521166858</v>
      </c>
      <c r="H117">
        <v>78628.787460001578</v>
      </c>
      <c r="I117">
        <v>1833.1268237531449</v>
      </c>
    </row>
    <row r="118" spans="1:9" x14ac:dyDescent="0.3">
      <c r="A118">
        <v>102291.791925973</v>
      </c>
      <c r="B118">
        <v>347.76970572199252</v>
      </c>
      <c r="C118">
        <v>101262.36600356652</v>
      </c>
      <c r="D118">
        <v>352.15983225773033</v>
      </c>
      <c r="E118">
        <v>1.5476970572199254E-3</v>
      </c>
      <c r="F118">
        <v>79406.791925972982</v>
      </c>
      <c r="G118">
        <v>154.76970572199255</v>
      </c>
      <c r="H118">
        <v>80449.914283754726</v>
      </c>
      <c r="I118">
        <v>124.51209559056244</v>
      </c>
    </row>
    <row r="119" spans="1:9" x14ac:dyDescent="0.3">
      <c r="A119">
        <v>102633.56163169499</v>
      </c>
      <c r="B119">
        <v>780.92461474385675</v>
      </c>
      <c r="C119">
        <v>101608.52583582426</v>
      </c>
      <c r="D119">
        <v>793.48598893032272</v>
      </c>
      <c r="E119">
        <v>5.8792461474385669E-3</v>
      </c>
      <c r="F119">
        <v>79549.561631694974</v>
      </c>
      <c r="G119">
        <v>587.92461474385664</v>
      </c>
      <c r="H119">
        <v>80562.426379345285</v>
      </c>
      <c r="I119">
        <v>473.64633491906892</v>
      </c>
    </row>
    <row r="120" spans="1:9" x14ac:dyDescent="0.3">
      <c r="A120">
        <v>103408.48624643884</v>
      </c>
      <c r="B120">
        <v>-1705.5749389796651</v>
      </c>
      <c r="C120">
        <v>102396.01182475458</v>
      </c>
      <c r="D120">
        <v>-1746.4407161976685</v>
      </c>
      <c r="E120">
        <v>-1.8985749389796653E-2</v>
      </c>
      <c r="F120">
        <v>80125.486246438828</v>
      </c>
      <c r="G120">
        <v>-1898.5749389796654</v>
      </c>
      <c r="H120">
        <v>81024.072714264359</v>
      </c>
      <c r="I120">
        <v>-1538.3027390936843</v>
      </c>
    </row>
    <row r="121" spans="1:9" x14ac:dyDescent="0.3">
      <c r="A121">
        <v>101696.91130745917</v>
      </c>
      <c r="B121">
        <v>-167.42155851533022</v>
      </c>
      <c r="C121">
        <v>100643.57110855691</v>
      </c>
      <c r="D121">
        <v>-168.49903529543056</v>
      </c>
      <c r="E121">
        <v>-3.6042155851533021E-3</v>
      </c>
      <c r="F121">
        <v>78214.911307459159</v>
      </c>
      <c r="G121">
        <v>-360.42155851533022</v>
      </c>
      <c r="H121">
        <v>79473.769975170668</v>
      </c>
      <c r="I121">
        <v>-286.44060035539866</v>
      </c>
    </row>
    <row r="122" spans="1:9" x14ac:dyDescent="0.3">
      <c r="A122">
        <v>101523.48974894384</v>
      </c>
      <c r="B122">
        <v>1502.3291344007869</v>
      </c>
      <c r="C122">
        <v>100469.07207326147</v>
      </c>
      <c r="D122">
        <v>1509.3761408187318</v>
      </c>
      <c r="E122">
        <v>1.3093291344007869E-2</v>
      </c>
      <c r="F122">
        <v>77842.48974894383</v>
      </c>
      <c r="G122">
        <v>1309.3291344007869</v>
      </c>
      <c r="H122">
        <v>79175.329374815265</v>
      </c>
      <c r="I122">
        <v>1036.6656547622406</v>
      </c>
    </row>
    <row r="123" spans="1:9" x14ac:dyDescent="0.3">
      <c r="A123">
        <v>103019.81888334463</v>
      </c>
      <c r="B123">
        <v>-746.69557101135638</v>
      </c>
      <c r="C123">
        <v>101972.4482140802</v>
      </c>
      <c r="D123">
        <v>-761.42375446638584</v>
      </c>
      <c r="E123">
        <v>-9.3969557101135637E-3</v>
      </c>
      <c r="F123">
        <v>79139.818883344618</v>
      </c>
      <c r="G123">
        <v>-939.69557101135638</v>
      </c>
      <c r="H123">
        <v>80199.995029577505</v>
      </c>
      <c r="I123">
        <v>-753.63580124426778</v>
      </c>
    </row>
    <row r="124" spans="1:9" x14ac:dyDescent="0.3">
      <c r="A124">
        <v>102267.12331233328</v>
      </c>
      <c r="B124">
        <v>-424.53958383160699</v>
      </c>
      <c r="C124">
        <v>101205.02445961381</v>
      </c>
      <c r="D124">
        <v>-429.65538965752052</v>
      </c>
      <c r="E124">
        <v>-6.1753958383160704E-3</v>
      </c>
      <c r="F124">
        <v>78188.123312333264</v>
      </c>
      <c r="G124">
        <v>-617.53958383160705</v>
      </c>
      <c r="H124">
        <v>79434.35922833324</v>
      </c>
      <c r="I124">
        <v>-490.53861139795282</v>
      </c>
    </row>
    <row r="125" spans="1:9" x14ac:dyDescent="0.3">
      <c r="A125">
        <v>101836.58372850168</v>
      </c>
      <c r="B125">
        <v>-77.66062307715012</v>
      </c>
      <c r="C125">
        <v>100769.36906995629</v>
      </c>
      <c r="D125">
        <v>-78.258119890641041</v>
      </c>
      <c r="E125">
        <v>-2.7066062307715012E-3</v>
      </c>
      <c r="F125">
        <v>77558.583728501661</v>
      </c>
      <c r="G125">
        <v>-270.66062307715009</v>
      </c>
      <c r="H125">
        <v>78931.820616935292</v>
      </c>
      <c r="I125">
        <v>-213.6373574879355</v>
      </c>
    </row>
    <row r="126" spans="1:9" x14ac:dyDescent="0.3">
      <c r="A126">
        <v>101752.92310542453</v>
      </c>
      <c r="B126">
        <v>-729.77573828733091</v>
      </c>
      <c r="C126">
        <v>100685.11095006565</v>
      </c>
      <c r="D126">
        <v>-734.77551178125975</v>
      </c>
      <c r="E126">
        <v>-9.2277573828733091E-3</v>
      </c>
      <c r="F126">
        <v>77275.923105424517</v>
      </c>
      <c r="G126">
        <v>-922.77573828733091</v>
      </c>
      <c r="H126">
        <v>78706.183259447353</v>
      </c>
      <c r="I126">
        <v>-726.2815636501449</v>
      </c>
    </row>
    <row r="127" spans="1:9" x14ac:dyDescent="0.3">
      <c r="A127">
        <v>101017.14736713721</v>
      </c>
      <c r="B127">
        <v>228.55626170428573</v>
      </c>
      <c r="C127">
        <v>99944.335438284383</v>
      </c>
      <c r="D127">
        <v>228.42903686293445</v>
      </c>
      <c r="E127">
        <v>3.5556261704285737E-4</v>
      </c>
      <c r="F127">
        <v>76341.147367137193</v>
      </c>
      <c r="G127">
        <v>35.556261704285738</v>
      </c>
      <c r="H127">
        <v>77967.901695797205</v>
      </c>
      <c r="I127">
        <v>27.72247117229789</v>
      </c>
    </row>
    <row r="128" spans="1:9" x14ac:dyDescent="0.3">
      <c r="A128">
        <v>101239.7036288415</v>
      </c>
      <c r="B128">
        <v>-913.05126215909843</v>
      </c>
      <c r="C128">
        <v>100166.76447514731</v>
      </c>
      <c r="D128">
        <v>-914.57390730426391</v>
      </c>
      <c r="E128">
        <v>-1.1060512621590983E-2</v>
      </c>
      <c r="F128">
        <v>76364.703628841482</v>
      </c>
      <c r="G128">
        <v>-1106.0512621590983</v>
      </c>
      <c r="H128">
        <v>77983.624166969501</v>
      </c>
      <c r="I128">
        <v>-862.53885937617383</v>
      </c>
    </row>
    <row r="129" spans="1:9" x14ac:dyDescent="0.3">
      <c r="A129">
        <v>100320.65236668239</v>
      </c>
      <c r="B129">
        <v>-1133.5348506401103</v>
      </c>
      <c r="C129">
        <v>99246.190567843048</v>
      </c>
      <c r="D129">
        <v>-1124.990158019199</v>
      </c>
      <c r="E129">
        <v>-1.3265348506401103E-2</v>
      </c>
      <c r="F129">
        <v>75246.652366682378</v>
      </c>
      <c r="G129">
        <v>-1326.5348506401103</v>
      </c>
      <c r="H129">
        <v>77109.085307593326</v>
      </c>
      <c r="I129">
        <v>-1022.8788896150384</v>
      </c>
    </row>
    <row r="130" spans="1:9" x14ac:dyDescent="0.3">
      <c r="A130">
        <v>99181.117516042286</v>
      </c>
      <c r="B130">
        <v>846.90936893489254</v>
      </c>
      <c r="C130">
        <v>98115.200409823854</v>
      </c>
      <c r="D130">
        <v>830.94682462004437</v>
      </c>
      <c r="E130">
        <v>6.5390936893489253E-3</v>
      </c>
      <c r="F130">
        <v>73908.117516042272</v>
      </c>
      <c r="G130">
        <v>653.90936893489254</v>
      </c>
      <c r="H130">
        <v>76074.20641797829</v>
      </c>
      <c r="I130">
        <v>497.45636311002937</v>
      </c>
    </row>
    <row r="131" spans="1:9" x14ac:dyDescent="0.3">
      <c r="A131">
        <v>100022.02688497718</v>
      </c>
      <c r="B131">
        <v>842.608500784341</v>
      </c>
      <c r="C131">
        <v>98940.147234443895</v>
      </c>
      <c r="D131">
        <v>833.6780912859673</v>
      </c>
      <c r="E131">
        <v>6.4960850078434095E-3</v>
      </c>
      <c r="F131">
        <v>74550.026884977167</v>
      </c>
      <c r="G131">
        <v>649.608500784341</v>
      </c>
      <c r="H131">
        <v>76559.662781088322</v>
      </c>
      <c r="I131">
        <v>497.33807759777494</v>
      </c>
    </row>
    <row r="132" spans="1:9" x14ac:dyDescent="0.3">
      <c r="A132">
        <v>100858.63538576152</v>
      </c>
      <c r="B132">
        <v>-407.75027560898951</v>
      </c>
      <c r="C132">
        <v>99767.825325729864</v>
      </c>
      <c r="D132">
        <v>-406.80358273475872</v>
      </c>
      <c r="E132">
        <v>-6.0075027560898952E-3</v>
      </c>
      <c r="F132">
        <v>75187.635385761503</v>
      </c>
      <c r="G132">
        <v>-600.75027560898957</v>
      </c>
      <c r="H132">
        <v>77045.000858686093</v>
      </c>
      <c r="I132">
        <v>-462.84805500150503</v>
      </c>
    </row>
    <row r="133" spans="1:9" x14ac:dyDescent="0.3">
      <c r="A133">
        <v>100444.88511015252</v>
      </c>
      <c r="B133">
        <v>-237.6531748978868</v>
      </c>
      <c r="C133">
        <v>99355.021742995101</v>
      </c>
      <c r="D133">
        <v>-236.1203635927136</v>
      </c>
      <c r="E133">
        <v>-4.3065317489788682E-3</v>
      </c>
      <c r="F133">
        <v>74574.885110152507</v>
      </c>
      <c r="G133">
        <v>-430.6531748978868</v>
      </c>
      <c r="H133">
        <v>76570.152803684585</v>
      </c>
      <c r="I133">
        <v>-329.75179407323094</v>
      </c>
    </row>
    <row r="134" spans="1:9" x14ac:dyDescent="0.3">
      <c r="A134">
        <v>100201.23193525463</v>
      </c>
      <c r="B134">
        <v>-918.82261128208279</v>
      </c>
      <c r="C134">
        <v>99112.901379402392</v>
      </c>
      <c r="D134">
        <v>-910.67174857166049</v>
      </c>
      <c r="E134">
        <v>-1.1118226112820827E-2</v>
      </c>
      <c r="F134">
        <v>74132.231935254618</v>
      </c>
      <c r="G134">
        <v>-1111.8226112820828</v>
      </c>
      <c r="H134">
        <v>76228.401009611349</v>
      </c>
      <c r="I134">
        <v>-847.52459864363846</v>
      </c>
    </row>
    <row r="135" spans="1:9" x14ac:dyDescent="0.3">
      <c r="A135">
        <v>99276.409323972548</v>
      </c>
      <c r="B135">
        <v>653.00251708018175</v>
      </c>
      <c r="C135">
        <v>98196.229630830727</v>
      </c>
      <c r="D135">
        <v>641.22385116715986</v>
      </c>
      <c r="E135">
        <v>4.6000251708018169E-3</v>
      </c>
      <c r="F135">
        <v>73008.409323972533</v>
      </c>
      <c r="G135">
        <v>460.00251708018169</v>
      </c>
      <c r="H135">
        <v>75368.876410967714</v>
      </c>
      <c r="I135">
        <v>346.69872858550281</v>
      </c>
    </row>
    <row r="136" spans="1:9" x14ac:dyDescent="0.3">
      <c r="A136">
        <v>99923.41184105273</v>
      </c>
      <c r="B136">
        <v>15.908137735550875</v>
      </c>
      <c r="C136">
        <v>98831.453481997887</v>
      </c>
      <c r="D136">
        <v>15.722243745963116</v>
      </c>
      <c r="E136">
        <v>-1.7709186226444913E-3</v>
      </c>
      <c r="F136">
        <v>73456.411841052715</v>
      </c>
      <c r="G136">
        <v>-177.09186226444913</v>
      </c>
      <c r="H136">
        <v>75703.575139553213</v>
      </c>
      <c r="I136">
        <v>-134.06487101540134</v>
      </c>
    </row>
    <row r="137" spans="1:9" x14ac:dyDescent="0.3">
      <c r="A137">
        <v>99933.319978788277</v>
      </c>
      <c r="B137">
        <v>-3992.7719551861233</v>
      </c>
      <c r="C137">
        <v>98841.175725743844</v>
      </c>
      <c r="D137">
        <v>-3946.5027445537344</v>
      </c>
      <c r="E137">
        <v>-4.1857719551861232E-2</v>
      </c>
      <c r="F137">
        <v>73267.319978788262</v>
      </c>
      <c r="G137">
        <v>-4185.7719551861228</v>
      </c>
      <c r="H137">
        <v>75557.510268537808</v>
      </c>
      <c r="I137">
        <v>-3162.6650748573306</v>
      </c>
    </row>
    <row r="138" spans="1:9" x14ac:dyDescent="0.3">
      <c r="A138">
        <v>95934.548023602154</v>
      </c>
      <c r="B138">
        <v>1814.0589569161004</v>
      </c>
      <c r="C138">
        <v>94888.672981190117</v>
      </c>
      <c r="D138">
        <v>1721.336471314107</v>
      </c>
      <c r="E138">
        <v>1.6210589569161004E-2</v>
      </c>
      <c r="F138">
        <v>69069.548023602139</v>
      </c>
      <c r="G138">
        <v>1621.0589569161004</v>
      </c>
      <c r="H138">
        <v>72382.845193680478</v>
      </c>
      <c r="I138">
        <v>1173.3685952828725</v>
      </c>
    </row>
    <row r="139" spans="1:9" x14ac:dyDescent="0.3">
      <c r="A139">
        <v>97742.606980518249</v>
      </c>
      <c r="B139">
        <v>1914.3491354324201</v>
      </c>
      <c r="C139">
        <v>96604.009452504222</v>
      </c>
      <c r="D139">
        <v>1849.3380197470678</v>
      </c>
      <c r="E139">
        <v>1.7213491354324199E-2</v>
      </c>
      <c r="F139">
        <v>70678.606980518234</v>
      </c>
      <c r="G139">
        <v>1721.3491354324199</v>
      </c>
      <c r="H139">
        <v>73544.213788963345</v>
      </c>
      <c r="I139">
        <v>1265.9526882168911</v>
      </c>
    </row>
    <row r="140" spans="1:9" x14ac:dyDescent="0.3">
      <c r="A140">
        <v>99650.95611595067</v>
      </c>
      <c r="B140">
        <v>1585.0288512478255</v>
      </c>
      <c r="C140">
        <v>98447.347472251291</v>
      </c>
      <c r="D140">
        <v>1560.4188607233798</v>
      </c>
      <c r="E140">
        <v>1.3920288512478255E-2</v>
      </c>
      <c r="F140">
        <v>72387.956115950656</v>
      </c>
      <c r="G140">
        <v>1392.0288512478255</v>
      </c>
      <c r="H140">
        <v>74798.166477180232</v>
      </c>
      <c r="I140">
        <v>1041.2120575667282</v>
      </c>
    </row>
    <row r="141" spans="1:9" x14ac:dyDescent="0.3">
      <c r="A141">
        <v>101229.9849671985</v>
      </c>
      <c r="B141">
        <v>198.05129094746647</v>
      </c>
      <c r="C141">
        <v>100001.76633297467</v>
      </c>
      <c r="D141">
        <v>198.05478919272522</v>
      </c>
      <c r="E141">
        <v>5.0512909474664585E-5</v>
      </c>
      <c r="F141">
        <v>73767.984967198485</v>
      </c>
      <c r="G141">
        <v>5.0512909474664589</v>
      </c>
      <c r="H141">
        <v>75827.378534746953</v>
      </c>
      <c r="I141">
        <v>3.8302615076267972</v>
      </c>
    </row>
    <row r="142" spans="1:9" x14ac:dyDescent="0.3">
      <c r="A142">
        <v>101422.03625814596</v>
      </c>
      <c r="B142">
        <v>-1041.051707008023</v>
      </c>
      <c r="C142">
        <v>100193.8211221674</v>
      </c>
      <c r="D142">
        <v>-1043.0694851088888</v>
      </c>
      <c r="E142">
        <v>-1.2340517070080229E-2</v>
      </c>
      <c r="F142">
        <v>73761.036258145949</v>
      </c>
      <c r="G142">
        <v>-1234.051707008023</v>
      </c>
      <c r="H142">
        <v>75819.208796254577</v>
      </c>
      <c r="I142">
        <v>-935.64824039015662</v>
      </c>
    </row>
    <row r="143" spans="1:9" x14ac:dyDescent="0.3">
      <c r="A143">
        <v>100374.98455113794</v>
      </c>
      <c r="B143">
        <v>1038.1585497994013</v>
      </c>
      <c r="C143">
        <v>99144.751637058507</v>
      </c>
      <c r="D143">
        <v>1029.2797157975047</v>
      </c>
      <c r="E143">
        <v>8.4515854979940134E-3</v>
      </c>
      <c r="F143">
        <v>72514.984551137924</v>
      </c>
      <c r="G143">
        <v>845.15854979940138</v>
      </c>
      <c r="H143">
        <v>74871.560555864417</v>
      </c>
      <c r="I143">
        <v>632.78339540612433</v>
      </c>
    </row>
    <row r="144" spans="1:9" x14ac:dyDescent="0.3">
      <c r="A144">
        <v>101407.14310093733</v>
      </c>
      <c r="B144">
        <v>2845.5165119285466</v>
      </c>
      <c r="C144">
        <v>100168.03135285601</v>
      </c>
      <c r="D144">
        <v>2850.2978718192812</v>
      </c>
      <c r="E144">
        <v>2.6525165119285467E-2</v>
      </c>
      <c r="F144">
        <v>73348.143100937319</v>
      </c>
      <c r="G144">
        <v>2652.5165119285466</v>
      </c>
      <c r="H144">
        <v>75492.343951270537</v>
      </c>
      <c r="I144">
        <v>2002.4468885493425</v>
      </c>
    </row>
    <row r="145" spans="1:9" x14ac:dyDescent="0.3">
      <c r="A145">
        <v>104246.65961286589</v>
      </c>
      <c r="B145">
        <v>-1401.1058996298545</v>
      </c>
      <c r="C145">
        <v>103012.32922467528</v>
      </c>
      <c r="D145">
        <v>-1443.3118221130542</v>
      </c>
      <c r="E145">
        <v>-1.5941058996298545E-2</v>
      </c>
      <c r="F145">
        <v>75988.659612865871</v>
      </c>
      <c r="G145">
        <v>-1594.1058996298545</v>
      </c>
      <c r="H145">
        <v>77482.790839819878</v>
      </c>
      <c r="I145">
        <v>-1235.1577399754292</v>
      </c>
    </row>
    <row r="146" spans="1:9" x14ac:dyDescent="0.3">
      <c r="A146">
        <v>102839.55371323603</v>
      </c>
      <c r="B146">
        <v>313.04709059078567</v>
      </c>
      <c r="C146">
        <v>101563.01740256223</v>
      </c>
      <c r="D146">
        <v>317.94007109493441</v>
      </c>
      <c r="E146">
        <v>1.2004709059078567E-3</v>
      </c>
      <c r="F146">
        <v>74382.553713236019</v>
      </c>
      <c r="G146">
        <v>120.04709059078567</v>
      </c>
      <c r="H146">
        <v>76235.633099844446</v>
      </c>
      <c r="I146">
        <v>91.51865952982925</v>
      </c>
    </row>
    <row r="147" spans="1:9" x14ac:dyDescent="0.3">
      <c r="A147">
        <v>103146.60080382682</v>
      </c>
      <c r="B147">
        <v>-383.45617856822184</v>
      </c>
      <c r="C147">
        <v>101874.95747365717</v>
      </c>
      <c r="D147">
        <v>-390.64581884648686</v>
      </c>
      <c r="E147">
        <v>-5.7645617856822186E-3</v>
      </c>
      <c r="F147">
        <v>74490.600803826805</v>
      </c>
      <c r="G147">
        <v>-576.45617856822184</v>
      </c>
      <c r="H147">
        <v>76315.151759374276</v>
      </c>
      <c r="I147">
        <v>-439.92340750062806</v>
      </c>
    </row>
    <row r="148" spans="1:9" x14ac:dyDescent="0.3">
      <c r="A148">
        <v>102757.1446252586</v>
      </c>
      <c r="B148">
        <v>1737.0694827793509</v>
      </c>
      <c r="C148">
        <v>101478.31165481068</v>
      </c>
      <c r="D148">
        <v>1762.7487833954376</v>
      </c>
      <c r="E148">
        <v>1.544069482779351E-2</v>
      </c>
      <c r="F148">
        <v>73902.144625258588</v>
      </c>
      <c r="G148">
        <v>1544.0694827793511</v>
      </c>
      <c r="H148">
        <v>75863.228351873651</v>
      </c>
      <c r="I148">
        <v>1171.3809576324934</v>
      </c>
    </row>
    <row r="149" spans="1:9" x14ac:dyDescent="0.3">
      <c r="A149">
        <v>104488.21410803795</v>
      </c>
      <c r="B149">
        <v>-200.89559563242935</v>
      </c>
      <c r="C149">
        <v>103235.06043820611</v>
      </c>
      <c r="D149">
        <v>-207.3946895688326</v>
      </c>
      <c r="E149">
        <v>-3.9389559563242933E-3</v>
      </c>
      <c r="F149">
        <v>75434.214108037937</v>
      </c>
      <c r="G149">
        <v>-393.89559563242932</v>
      </c>
      <c r="H149">
        <v>77022.609309506151</v>
      </c>
      <c r="I149">
        <v>-303.3886657113182</v>
      </c>
    </row>
    <row r="150" spans="1:9" x14ac:dyDescent="0.3">
      <c r="A150">
        <v>104281.31851240552</v>
      </c>
      <c r="B150">
        <v>1248.6444149897525</v>
      </c>
      <c r="C150">
        <v>103021.66574863729</v>
      </c>
      <c r="D150">
        <v>1286.3742755997703</v>
      </c>
      <c r="E150">
        <v>1.0556444149897525E-2</v>
      </c>
      <c r="F150">
        <v>75028.318512405502</v>
      </c>
      <c r="G150">
        <v>1055.6444149897525</v>
      </c>
      <c r="H150">
        <v>76707.220643794833</v>
      </c>
      <c r="I150">
        <v>809.75549062008668</v>
      </c>
    </row>
    <row r="151" spans="1:9" x14ac:dyDescent="0.3">
      <c r="A151">
        <v>105523.96292739527</v>
      </c>
      <c r="B151">
        <v>-370.92213675472635</v>
      </c>
      <c r="C151">
        <v>104302.04002423705</v>
      </c>
      <c r="D151">
        <v>-386.87935553666995</v>
      </c>
      <c r="E151">
        <v>-5.6392213675472633E-3</v>
      </c>
      <c r="F151">
        <v>76071.96292739526</v>
      </c>
      <c r="G151">
        <v>-563.92213675472635</v>
      </c>
      <c r="H151">
        <v>77504.976134414916</v>
      </c>
      <c r="I151">
        <v>-437.0677175084333</v>
      </c>
    </row>
    <row r="152" spans="1:9" x14ac:dyDescent="0.3">
      <c r="A152">
        <v>105147.04079064055</v>
      </c>
      <c r="B152">
        <v>305.69354222392053</v>
      </c>
      <c r="C152">
        <v>103909.16066870038</v>
      </c>
      <c r="D152">
        <v>317.643593943295</v>
      </c>
      <c r="E152">
        <v>1.1269354222392051E-3</v>
      </c>
      <c r="F152">
        <v>75496.040790640531</v>
      </c>
      <c r="G152">
        <v>112.69354222392052</v>
      </c>
      <c r="H152">
        <v>77055.908416906488</v>
      </c>
      <c r="I152">
        <v>86.837032687832036</v>
      </c>
    </row>
    <row r="153" spans="1:9" x14ac:dyDescent="0.3">
      <c r="A153">
        <v>105446.73433286446</v>
      </c>
      <c r="B153">
        <v>1300.0336875631483</v>
      </c>
      <c r="C153">
        <v>104220.80426264368</v>
      </c>
      <c r="D153">
        <v>1354.9055648636174</v>
      </c>
      <c r="E153">
        <v>1.1070336875631484E-2</v>
      </c>
      <c r="F153">
        <v>75596.734332864449</v>
      </c>
      <c r="G153">
        <v>1107.0336875631483</v>
      </c>
      <c r="H153">
        <v>77130.745449594324</v>
      </c>
      <c r="I153">
        <v>853.86333559558932</v>
      </c>
    </row>
    <row r="154" spans="1:9" x14ac:dyDescent="0.3">
      <c r="A154">
        <v>106740.76802042761</v>
      </c>
      <c r="B154">
        <v>956.79106994999779</v>
      </c>
      <c r="C154">
        <v>105569.70982750729</v>
      </c>
      <c r="D154">
        <v>1010.081556201715</v>
      </c>
      <c r="E154">
        <v>7.6379106994999774E-3</v>
      </c>
      <c r="F154">
        <v>76691.768020427597</v>
      </c>
      <c r="G154">
        <v>763.79106994999779</v>
      </c>
      <c r="H154">
        <v>77972.608785189906</v>
      </c>
      <c r="I154">
        <v>595.54782290832793</v>
      </c>
    </row>
    <row r="155" spans="1:9" x14ac:dyDescent="0.3">
      <c r="A155">
        <v>107691.5590903776</v>
      </c>
      <c r="B155">
        <v>-279.51280449720133</v>
      </c>
      <c r="C155">
        <v>106573.791383709</v>
      </c>
      <c r="D155">
        <v>-297.88739315560179</v>
      </c>
      <c r="E155">
        <v>-4.7251280449720134E-3</v>
      </c>
      <c r="F155">
        <v>77443.559090377588</v>
      </c>
      <c r="G155">
        <v>-472.51280449720133</v>
      </c>
      <c r="H155">
        <v>78556.15660809823</v>
      </c>
      <c r="I155">
        <v>-371.18789869413848</v>
      </c>
    </row>
    <row r="156" spans="1:9" x14ac:dyDescent="0.3">
      <c r="A156">
        <v>107406.04628588039</v>
      </c>
      <c r="B156">
        <v>-808.93562739179413</v>
      </c>
      <c r="C156">
        <v>106269.9039905534</v>
      </c>
      <c r="D156">
        <v>-859.65511457464038</v>
      </c>
      <c r="E156">
        <v>-1.0019356273917941E-2</v>
      </c>
      <c r="F156">
        <v>76959.04628588038</v>
      </c>
      <c r="G156">
        <v>-1001.935627391794</v>
      </c>
      <c r="H156">
        <v>78172.968709404086</v>
      </c>
      <c r="I156">
        <v>-783.24282448935867</v>
      </c>
    </row>
    <row r="157" spans="1:9" x14ac:dyDescent="0.3">
      <c r="A157">
        <v>106591.1106584886</v>
      </c>
      <c r="B157">
        <v>325.10759513267834</v>
      </c>
      <c r="C157">
        <v>105404.24887597877</v>
      </c>
      <c r="D157">
        <v>342.6772186883577</v>
      </c>
      <c r="E157">
        <v>1.3210759513267833E-3</v>
      </c>
      <c r="F157">
        <v>75945.110658488586</v>
      </c>
      <c r="G157">
        <v>132.10759513267834</v>
      </c>
      <c r="H157">
        <v>77377.725884914733</v>
      </c>
      <c r="I157">
        <v>102.2218528349168</v>
      </c>
    </row>
    <row r="158" spans="1:9" x14ac:dyDescent="0.3">
      <c r="A158">
        <v>106910.21825362128</v>
      </c>
      <c r="B158">
        <v>158.92801495792799</v>
      </c>
      <c r="C158">
        <v>105740.92609466713</v>
      </c>
      <c r="D158">
        <v>168.05195484038416</v>
      </c>
      <c r="E158">
        <v>-3.4071985042072013E-4</v>
      </c>
      <c r="F158">
        <v>76065.218253621264</v>
      </c>
      <c r="G158">
        <v>-34.071985042072015</v>
      </c>
      <c r="H158">
        <v>77467.947737749651</v>
      </c>
      <c r="I158">
        <v>-26.394867565606226</v>
      </c>
    </row>
    <row r="159" spans="1:9" x14ac:dyDescent="0.3">
      <c r="A159">
        <v>107063.14626857921</v>
      </c>
      <c r="B159">
        <v>1225.2151141040051</v>
      </c>
      <c r="C159">
        <v>105902.97804950751</v>
      </c>
      <c r="D159">
        <v>1297.5392933488131</v>
      </c>
      <c r="E159">
        <v>1.0322151141040053E-2</v>
      </c>
      <c r="F159">
        <v>76019.146268579192</v>
      </c>
      <c r="G159">
        <v>1032.2151141040054</v>
      </c>
      <c r="H159">
        <v>77429.552870184052</v>
      </c>
      <c r="I159">
        <v>799.23954750919142</v>
      </c>
    </row>
    <row r="160" spans="1:9" x14ac:dyDescent="0.3">
      <c r="A160">
        <v>108282.36138268322</v>
      </c>
      <c r="B160">
        <v>-693.29601831828234</v>
      </c>
      <c r="C160">
        <v>107194.51734285633</v>
      </c>
      <c r="D160">
        <v>-743.17532059352357</v>
      </c>
      <c r="E160">
        <v>-8.8629601831828227E-3</v>
      </c>
      <c r="F160">
        <v>77039.361382683201</v>
      </c>
      <c r="G160">
        <v>-886.29601831828222</v>
      </c>
      <c r="H160">
        <v>78216.792417693243</v>
      </c>
      <c r="I160">
        <v>-693.2323168542913</v>
      </c>
    </row>
    <row r="161" spans="1:9" x14ac:dyDescent="0.3">
      <c r="A161">
        <v>107583.06536436493</v>
      </c>
      <c r="B161">
        <v>-1267.8338288266946</v>
      </c>
      <c r="C161">
        <v>106445.3420222628</v>
      </c>
      <c r="D161">
        <v>-1349.5500553685249</v>
      </c>
      <c r="E161">
        <v>-1.4608338288266945E-2</v>
      </c>
      <c r="F161">
        <v>76141.065364364913</v>
      </c>
      <c r="G161">
        <v>-1460.8338288266946</v>
      </c>
      <c r="H161">
        <v>77511.560100838949</v>
      </c>
      <c r="I161">
        <v>-1132.31509120439</v>
      </c>
    </row>
    <row r="162" spans="1:9" x14ac:dyDescent="0.3">
      <c r="A162">
        <v>106309.23153553823</v>
      </c>
      <c r="B162">
        <v>935.5700986266063</v>
      </c>
      <c r="C162">
        <v>105089.79196689428</v>
      </c>
      <c r="D162">
        <v>983.18867035116818</v>
      </c>
      <c r="E162">
        <v>7.4257009862660631E-3</v>
      </c>
      <c r="F162">
        <v>74668.231535538216</v>
      </c>
      <c r="G162">
        <v>742.5700986266063</v>
      </c>
      <c r="H162">
        <v>76367.245009634556</v>
      </c>
      <c r="I162">
        <v>567.08032658646539</v>
      </c>
    </row>
    <row r="163" spans="1:9" x14ac:dyDescent="0.3">
      <c r="A163">
        <v>107238.80163416483</v>
      </c>
      <c r="B163">
        <v>-986.61355319838594</v>
      </c>
      <c r="C163">
        <v>106066.98063724545</v>
      </c>
      <c r="D163">
        <v>-1046.4712064353714</v>
      </c>
      <c r="E163">
        <v>-1.1796135531983859E-2</v>
      </c>
      <c r="F163">
        <v>75398.801634164818</v>
      </c>
      <c r="G163">
        <v>-1179.6135531983859</v>
      </c>
      <c r="H163">
        <v>76922.325336221023</v>
      </c>
      <c r="I163">
        <v>-907.3861751014191</v>
      </c>
    </row>
    <row r="164" spans="1:9" x14ac:dyDescent="0.3">
      <c r="A164">
        <v>106246.18808096644</v>
      </c>
      <c r="B164">
        <v>3853.9553752535467</v>
      </c>
      <c r="C164">
        <v>105014.50943081008</v>
      </c>
      <c r="D164">
        <v>4047.2123310048482</v>
      </c>
      <c r="E164">
        <v>3.6609553752535468E-2</v>
      </c>
      <c r="F164">
        <v>74207.188080966429</v>
      </c>
      <c r="G164">
        <v>3660.9553752535467</v>
      </c>
      <c r="H164">
        <v>76002.939161119604</v>
      </c>
      <c r="I164">
        <v>2782.433686569691</v>
      </c>
    </row>
    <row r="165" spans="1:9" x14ac:dyDescent="0.3">
      <c r="A165">
        <v>110094.14345621999</v>
      </c>
      <c r="B165">
        <v>-463.49581609479952</v>
      </c>
      <c r="C165">
        <v>109055.72176181493</v>
      </c>
      <c r="D165">
        <v>-505.46870757799798</v>
      </c>
      <c r="E165">
        <v>-6.5649581609479955E-3</v>
      </c>
      <c r="F165">
        <v>77856.143456219972</v>
      </c>
      <c r="G165">
        <v>-656.49581609479958</v>
      </c>
      <c r="H165">
        <v>78773.372847689301</v>
      </c>
      <c r="I165">
        <v>-517.14389694183717</v>
      </c>
    </row>
    <row r="166" spans="1:9" x14ac:dyDescent="0.3">
      <c r="A166">
        <v>109624.64764012519</v>
      </c>
      <c r="B166">
        <v>516.11317624650758</v>
      </c>
      <c r="C166">
        <v>108544.25305423693</v>
      </c>
      <c r="D166">
        <v>560.21119207126901</v>
      </c>
      <c r="E166">
        <v>3.2311317624650754E-3</v>
      </c>
      <c r="F166">
        <v>77187.647640125171</v>
      </c>
      <c r="G166">
        <v>323.11317624650752</v>
      </c>
      <c r="H166">
        <v>78244.228950747463</v>
      </c>
      <c r="I166">
        <v>252.81741339234952</v>
      </c>
    </row>
    <row r="167" spans="1:9" x14ac:dyDescent="0.3">
      <c r="A167">
        <v>110134.76081637169</v>
      </c>
      <c r="B167">
        <v>-1960.9060845534002</v>
      </c>
      <c r="C167">
        <v>109098.4642463082</v>
      </c>
      <c r="D167">
        <v>-2139.3184235601734</v>
      </c>
      <c r="E167">
        <v>-2.1539060845534003E-2</v>
      </c>
      <c r="F167">
        <v>77498.76081637168</v>
      </c>
      <c r="G167">
        <v>-2153.9060845534004</v>
      </c>
      <c r="H167">
        <v>78485.046364139809</v>
      </c>
      <c r="I167">
        <v>-1690.4941891017645</v>
      </c>
    </row>
    <row r="168" spans="1:9" x14ac:dyDescent="0.3">
      <c r="A168">
        <v>108167.8547318183</v>
      </c>
      <c r="B168">
        <v>-57.819299473539374</v>
      </c>
      <c r="C168">
        <v>106953.14582274802</v>
      </c>
      <c r="D168">
        <v>-61.839559679625943</v>
      </c>
      <c r="E168">
        <v>-2.5081929947353937E-3</v>
      </c>
      <c r="F168">
        <v>75332.854731818283</v>
      </c>
      <c r="G168">
        <v>-250.81929947353936</v>
      </c>
      <c r="H168">
        <v>76782.552175038043</v>
      </c>
      <c r="I168">
        <v>-192.58545948333528</v>
      </c>
    </row>
    <row r="169" spans="1:9" x14ac:dyDescent="0.3">
      <c r="A169">
        <v>108104.03543234475</v>
      </c>
      <c r="B169">
        <v>388.86272841888706</v>
      </c>
      <c r="C169">
        <v>106885.30626306839</v>
      </c>
      <c r="D169">
        <v>415.63711821345129</v>
      </c>
      <c r="E169">
        <v>1.9586272841888705E-3</v>
      </c>
      <c r="F169">
        <v>75070.035432344739</v>
      </c>
      <c r="G169">
        <v>195.86272841888706</v>
      </c>
      <c r="H169">
        <v>76577.966715554707</v>
      </c>
      <c r="I169">
        <v>149.98769497679262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6C910-0907-4E7B-8375-E350A00F4D32}">
  <sheetPr>
    <tabColor rgb="FFFFFF00"/>
  </sheetPr>
  <dimension ref="A1:I169"/>
  <sheetViews>
    <sheetView topLeftCell="A142" workbookViewId="0">
      <selection activeCell="H3" sqref="H3:H169"/>
    </sheetView>
  </sheetViews>
  <sheetFormatPr baseColWidth="10" defaultRowHeight="14.4" x14ac:dyDescent="0.3"/>
  <sheetData>
    <row r="1" spans="1:9" x14ac:dyDescent="0.3">
      <c r="A1" t="s">
        <v>9</v>
      </c>
      <c r="C1" t="s">
        <v>10</v>
      </c>
      <c r="F1" t="s">
        <v>9</v>
      </c>
      <c r="H1" t="s">
        <v>10</v>
      </c>
    </row>
    <row r="2" spans="1:9" x14ac:dyDescent="0.3">
      <c r="A2" t="s">
        <v>12</v>
      </c>
      <c r="B2" t="s">
        <v>13</v>
      </c>
      <c r="C2" t="s">
        <v>12</v>
      </c>
      <c r="D2" t="s">
        <v>13</v>
      </c>
      <c r="F2" t="s">
        <v>12</v>
      </c>
      <c r="G2" t="s">
        <v>13</v>
      </c>
      <c r="H2" t="s">
        <v>12</v>
      </c>
      <c r="I2" t="s">
        <v>13</v>
      </c>
    </row>
    <row r="3" spans="1:9" x14ac:dyDescent="0.3">
      <c r="A3">
        <v>100000</v>
      </c>
      <c r="B3">
        <v>1407.0599851888487</v>
      </c>
      <c r="C3">
        <v>100000</v>
      </c>
      <c r="D3">
        <v>1407.0599851888487</v>
      </c>
      <c r="E3">
        <v>1.2140599851888489E-2</v>
      </c>
      <c r="F3">
        <v>100000</v>
      </c>
      <c r="G3">
        <v>1214.0599851888489</v>
      </c>
      <c r="H3">
        <v>100000</v>
      </c>
      <c r="I3">
        <v>1214.0599851888489</v>
      </c>
    </row>
    <row r="4" spans="1:9" x14ac:dyDescent="0.3">
      <c r="A4">
        <v>101401.05998518885</v>
      </c>
      <c r="B4">
        <v>-1532.7400146179964</v>
      </c>
      <c r="C4">
        <v>101401.05998518885</v>
      </c>
      <c r="D4">
        <v>-1554.2146216397869</v>
      </c>
      <c r="E4">
        <v>-1.7257400146179963E-2</v>
      </c>
      <c r="F4">
        <v>101202.05998518885</v>
      </c>
      <c r="G4">
        <v>-1725.7400146179964</v>
      </c>
      <c r="H4">
        <v>101202.05998518885</v>
      </c>
      <c r="I4">
        <v>-1746.4844447821115</v>
      </c>
    </row>
    <row r="5" spans="1:9" x14ac:dyDescent="0.3">
      <c r="A5">
        <v>99862.319970570854</v>
      </c>
      <c r="B5">
        <v>-2113.327169462415</v>
      </c>
      <c r="C5">
        <v>99840.845363549073</v>
      </c>
      <c r="D5">
        <v>-2109.9637112888381</v>
      </c>
      <c r="E5">
        <v>-2.306327169462415E-2</v>
      </c>
      <c r="F5">
        <v>99464.319970570854</v>
      </c>
      <c r="G5">
        <v>-2306.327169462415</v>
      </c>
      <c r="H5">
        <v>99443.575540406746</v>
      </c>
      <c r="I5">
        <v>-2293.4942009732813</v>
      </c>
    </row>
    <row r="6" spans="1:9" x14ac:dyDescent="0.3">
      <c r="A6">
        <v>97742.992801108441</v>
      </c>
      <c r="B6">
        <v>739.24731182795949</v>
      </c>
      <c r="C6">
        <v>97724.881652260228</v>
      </c>
      <c r="D6">
        <v>722.42856060138854</v>
      </c>
      <c r="E6">
        <v>5.4624731182795951E-3</v>
      </c>
      <c r="F6">
        <v>97145.992801108441</v>
      </c>
      <c r="G6">
        <v>546.24731182795949</v>
      </c>
      <c r="H6">
        <v>97138.081339433469</v>
      </c>
      <c r="I6">
        <v>530.61415807791207</v>
      </c>
    </row>
    <row r="7" spans="1:9" x14ac:dyDescent="0.3">
      <c r="A7">
        <v>98476.240112936401</v>
      </c>
      <c r="B7">
        <v>99.162626707798282</v>
      </c>
      <c r="C7">
        <v>98441.310212861616</v>
      </c>
      <c r="D7">
        <v>97.616988972645672</v>
      </c>
      <c r="E7">
        <v>-9.3837373292201729E-4</v>
      </c>
      <c r="F7">
        <v>97680.240112936401</v>
      </c>
      <c r="G7">
        <v>-93.837373292201733</v>
      </c>
      <c r="H7">
        <v>97656.695497511377</v>
      </c>
      <c r="I7">
        <v>-91.638477898828512</v>
      </c>
    </row>
    <row r="8" spans="1:9" x14ac:dyDescent="0.3">
      <c r="A8">
        <v>98569.402739644196</v>
      </c>
      <c r="B8">
        <v>454.25618293137728</v>
      </c>
      <c r="C8">
        <v>98532.92720183426</v>
      </c>
      <c r="D8">
        <v>447.59191403760502</v>
      </c>
      <c r="E8">
        <v>2.6125618293137724E-3</v>
      </c>
      <c r="F8">
        <v>97574.402739644196</v>
      </c>
      <c r="G8">
        <v>261.25618293137723</v>
      </c>
      <c r="H8">
        <v>97553.057019612548</v>
      </c>
      <c r="I8">
        <v>254.86339310230971</v>
      </c>
    </row>
    <row r="9" spans="1:9" x14ac:dyDescent="0.3">
      <c r="A9">
        <v>99017.658922575574</v>
      </c>
      <c r="B9">
        <v>1748.70466321244</v>
      </c>
      <c r="C9">
        <v>98974.519115871866</v>
      </c>
      <c r="D9">
        <v>1730.7720311713392</v>
      </c>
      <c r="E9">
        <v>1.5557046632124401E-2</v>
      </c>
      <c r="F9">
        <v>97823.658922575574</v>
      </c>
      <c r="G9">
        <v>1555.7046632124402</v>
      </c>
      <c r="H9">
        <v>97795.920412714855</v>
      </c>
      <c r="I9">
        <v>1521.4156942921315</v>
      </c>
    </row>
    <row r="10" spans="1:9" x14ac:dyDescent="0.3">
      <c r="A10">
        <v>100760.36358578801</v>
      </c>
      <c r="B10">
        <v>-1254.3509635792445</v>
      </c>
      <c r="C10">
        <v>100699.2911470432</v>
      </c>
      <c r="D10">
        <v>-1263.1225288204053</v>
      </c>
      <c r="E10">
        <v>-1.4473509635792444E-2</v>
      </c>
      <c r="F10">
        <v>99367.363585788014</v>
      </c>
      <c r="G10">
        <v>-1447.3509635792443</v>
      </c>
      <c r="H10">
        <v>99305.33610700698</v>
      </c>
      <c r="I10">
        <v>-1437.2967390303729</v>
      </c>
    </row>
    <row r="11" spans="1:9" x14ac:dyDescent="0.3">
      <c r="A11">
        <v>99500.012622208771</v>
      </c>
      <c r="B11">
        <v>-898.48775652247082</v>
      </c>
      <c r="C11">
        <v>99430.1686182228</v>
      </c>
      <c r="D11">
        <v>-893.3678913243798</v>
      </c>
      <c r="E11">
        <v>-1.0914877565224707E-2</v>
      </c>
      <c r="F11">
        <v>97908.012622208771</v>
      </c>
      <c r="G11">
        <v>-1091.4877565224708</v>
      </c>
      <c r="H11">
        <v>97856.039367976613</v>
      </c>
      <c r="I11">
        <v>-1068.0866887192738</v>
      </c>
    </row>
    <row r="12" spans="1:9" x14ac:dyDescent="0.3">
      <c r="A12">
        <v>98595.524865686297</v>
      </c>
      <c r="B12">
        <v>-1018.8861578538313</v>
      </c>
      <c r="C12">
        <v>98530.800726898422</v>
      </c>
      <c r="D12">
        <v>-1003.9166898289102</v>
      </c>
      <c r="E12">
        <v>-1.2118861578538313E-2</v>
      </c>
      <c r="F12">
        <v>96804.524865686297</v>
      </c>
      <c r="G12">
        <v>-1211.8861578538313</v>
      </c>
      <c r="H12">
        <v>96775.952679257345</v>
      </c>
      <c r="I12">
        <v>-1172.8143746510937</v>
      </c>
    </row>
    <row r="13" spans="1:9" x14ac:dyDescent="0.3">
      <c r="A13">
        <v>97570.638707832462</v>
      </c>
      <c r="B13">
        <v>2453.0487300405421</v>
      </c>
      <c r="C13">
        <v>97520.884037069511</v>
      </c>
      <c r="D13">
        <v>2392.2348073956437</v>
      </c>
      <c r="E13">
        <v>2.2600487300405422E-2</v>
      </c>
      <c r="F13">
        <v>95580.638707832462</v>
      </c>
      <c r="G13">
        <v>2260.0487300405421</v>
      </c>
      <c r="H13">
        <v>95591.138304606255</v>
      </c>
      <c r="I13">
        <v>2160.406307284552</v>
      </c>
    </row>
    <row r="14" spans="1:9" x14ac:dyDescent="0.3">
      <c r="A14">
        <v>100017.687437873</v>
      </c>
      <c r="B14">
        <v>-1070.7734311676084</v>
      </c>
      <c r="C14">
        <v>99907.118844465149</v>
      </c>
      <c r="D14">
        <v>-1069.7788844315799</v>
      </c>
      <c r="E14">
        <v>-1.2637734311676084E-2</v>
      </c>
      <c r="F14">
        <v>97828.687437872999</v>
      </c>
      <c r="G14">
        <v>-1263.7734311676084</v>
      </c>
      <c r="H14">
        <v>97739.5446118908</v>
      </c>
      <c r="I14">
        <v>-1235.2063965492875</v>
      </c>
    </row>
    <row r="15" spans="1:9" x14ac:dyDescent="0.3">
      <c r="A15">
        <v>98940.914006705396</v>
      </c>
      <c r="B15">
        <v>2204.8182514684631</v>
      </c>
      <c r="C15">
        <v>98831.339960033569</v>
      </c>
      <c r="D15">
        <v>2179.0514216096644</v>
      </c>
      <c r="E15">
        <v>2.011818251468463E-2</v>
      </c>
      <c r="F15">
        <v>96552.914006705396</v>
      </c>
      <c r="G15">
        <v>2011.8182514684629</v>
      </c>
      <c r="H15">
        <v>96492.338215341515</v>
      </c>
      <c r="I15">
        <v>1941.2504714849192</v>
      </c>
    </row>
    <row r="16" spans="1:9" x14ac:dyDescent="0.3">
      <c r="A16">
        <v>101139.73225817386</v>
      </c>
      <c r="B16">
        <v>-670.30526905597321</v>
      </c>
      <c r="C16">
        <v>101004.39138164323</v>
      </c>
      <c r="D16">
        <v>-677.0377574090719</v>
      </c>
      <c r="E16">
        <v>-8.6330526905597314E-3</v>
      </c>
      <c r="F16">
        <v>98552.732258173855</v>
      </c>
      <c r="G16">
        <v>-863.3052690559731</v>
      </c>
      <c r="H16">
        <v>98421.588686826435</v>
      </c>
      <c r="I16">
        <v>-849.67876102197022</v>
      </c>
    </row>
    <row r="17" spans="1:9" x14ac:dyDescent="0.3">
      <c r="A17">
        <v>100463.42698911788</v>
      </c>
      <c r="B17">
        <v>374.49330233132224</v>
      </c>
      <c r="C17">
        <v>100321.35362423417</v>
      </c>
      <c r="D17">
        <v>375.69675013087817</v>
      </c>
      <c r="E17">
        <v>1.8149330233132226E-3</v>
      </c>
      <c r="F17">
        <v>97677.426989117885</v>
      </c>
      <c r="G17">
        <v>181.49330233132227</v>
      </c>
      <c r="H17">
        <v>97559.909925804459</v>
      </c>
      <c r="I17">
        <v>177.06470227580596</v>
      </c>
    </row>
    <row r="18" spans="1:9" x14ac:dyDescent="0.3">
      <c r="A18">
        <v>100831.92029144921</v>
      </c>
      <c r="B18">
        <v>2839.3795667222194</v>
      </c>
      <c r="C18">
        <v>100691.05037436505</v>
      </c>
      <c r="D18">
        <v>2859.001109847698</v>
      </c>
      <c r="E18">
        <v>2.6463795667222192E-2</v>
      </c>
      <c r="F18">
        <v>97846.920291449205</v>
      </c>
      <c r="G18">
        <v>2646.3795667222194</v>
      </c>
      <c r="H18">
        <v>97724.974628080265</v>
      </c>
      <c r="I18">
        <v>2586.1737601419891</v>
      </c>
    </row>
    <row r="19" spans="1:9" x14ac:dyDescent="0.3">
      <c r="A19">
        <v>103665.29985817142</v>
      </c>
      <c r="B19">
        <v>1688.8360558299589</v>
      </c>
      <c r="C19">
        <v>103544.05148421274</v>
      </c>
      <c r="D19">
        <v>1748.6892751325206</v>
      </c>
      <c r="E19">
        <v>1.4958360558299589E-2</v>
      </c>
      <c r="F19">
        <v>100481.29985817142</v>
      </c>
      <c r="G19">
        <v>1495.8360558299589</v>
      </c>
      <c r="H19">
        <v>100299.14838822225</v>
      </c>
      <c r="I19">
        <v>1500.3108252814216</v>
      </c>
    </row>
    <row r="20" spans="1:9" x14ac:dyDescent="0.3">
      <c r="A20">
        <v>105348.13591400138</v>
      </c>
      <c r="B20">
        <v>-209.04102430101176</v>
      </c>
      <c r="C20">
        <v>105286.74075934527</v>
      </c>
      <c r="D20">
        <v>-220.0924813364862</v>
      </c>
      <c r="E20">
        <v>-4.0204102430101175E-3</v>
      </c>
      <c r="F20">
        <v>101965.13591400138</v>
      </c>
      <c r="G20">
        <v>-402.04102430101176</v>
      </c>
      <c r="H20">
        <v>101787.45921350368</v>
      </c>
      <c r="I20">
        <v>-409.22734363194473</v>
      </c>
    </row>
    <row r="21" spans="1:9" x14ac:dyDescent="0.3">
      <c r="A21">
        <v>105133.09488970037</v>
      </c>
      <c r="B21">
        <v>-593.56898704381717</v>
      </c>
      <c r="C21">
        <v>105060.64827800878</v>
      </c>
      <c r="D21">
        <v>-623.60742576544419</v>
      </c>
      <c r="E21">
        <v>-7.8656898704381716E-3</v>
      </c>
      <c r="F21">
        <v>101551.09488970037</v>
      </c>
      <c r="G21">
        <v>-786.56898704381717</v>
      </c>
      <c r="H21">
        <v>101366.23186987173</v>
      </c>
      <c r="I21">
        <v>-797.31534322333698</v>
      </c>
    </row>
    <row r="22" spans="1:9" x14ac:dyDescent="0.3">
      <c r="A22">
        <v>104533.52590265655</v>
      </c>
      <c r="B22">
        <v>1746.8593480581308</v>
      </c>
      <c r="C22">
        <v>104431.04085224334</v>
      </c>
      <c r="D22">
        <v>1824.2633994018183</v>
      </c>
      <c r="E22">
        <v>1.5538593480581309E-2</v>
      </c>
      <c r="F22">
        <v>100752.52590265655</v>
      </c>
      <c r="G22">
        <v>1553.859348058131</v>
      </c>
      <c r="H22">
        <v>100556.91652664839</v>
      </c>
      <c r="I22">
        <v>1562.5130475683375</v>
      </c>
    </row>
    <row r="23" spans="1:9" x14ac:dyDescent="0.3">
      <c r="A23">
        <v>106274.38525071468</v>
      </c>
      <c r="B23">
        <v>1956.6313666162357</v>
      </c>
      <c r="C23">
        <v>106249.30425164517</v>
      </c>
      <c r="D23">
        <v>2078.9072137992071</v>
      </c>
      <c r="E23">
        <v>1.7636313666162355E-2</v>
      </c>
      <c r="F23">
        <v>102294.38525071468</v>
      </c>
      <c r="G23">
        <v>1763.6313666162355</v>
      </c>
      <c r="H23">
        <v>102107.42957421673</v>
      </c>
      <c r="I23">
        <v>1800.7986556164687</v>
      </c>
    </row>
    <row r="24" spans="1:9" x14ac:dyDescent="0.3">
      <c r="A24">
        <v>108225.01661733091</v>
      </c>
      <c r="B24">
        <v>-2106.6846725185605</v>
      </c>
      <c r="C24">
        <v>108322.21146544437</v>
      </c>
      <c r="D24">
        <v>-2282.0074258756595</v>
      </c>
      <c r="E24">
        <v>-2.2996846725185607E-2</v>
      </c>
      <c r="F24">
        <v>104046.01661733091</v>
      </c>
      <c r="G24">
        <v>-2299.6846725185605</v>
      </c>
      <c r="H24">
        <v>103896.2282298332</v>
      </c>
      <c r="I24">
        <v>-2389.285635926376</v>
      </c>
    </row>
    <row r="25" spans="1:9" x14ac:dyDescent="0.3">
      <c r="A25">
        <v>106112.33194481235</v>
      </c>
      <c r="B25">
        <v>466.13760690345163</v>
      </c>
      <c r="C25">
        <v>106034.20403956871</v>
      </c>
      <c r="D25">
        <v>494.26530120916857</v>
      </c>
      <c r="E25">
        <v>2.7313760690345157E-3</v>
      </c>
      <c r="F25">
        <v>101734.33194481235</v>
      </c>
      <c r="G25">
        <v>273.13760690345157</v>
      </c>
      <c r="H25">
        <v>101494.94259390682</v>
      </c>
      <c r="I25">
        <v>277.22085732902906</v>
      </c>
    </row>
    <row r="26" spans="1:9" x14ac:dyDescent="0.3">
      <c r="A26">
        <v>106572.4695517158</v>
      </c>
      <c r="B26">
        <v>-48.678855852172042</v>
      </c>
      <c r="C26">
        <v>106522.46934077787</v>
      </c>
      <c r="D26">
        <v>-51.85391930057142</v>
      </c>
      <c r="E26">
        <v>-2.4167885585217206E-3</v>
      </c>
      <c r="F26">
        <v>101995.4695517158</v>
      </c>
      <c r="G26">
        <v>-241.67885585217206</v>
      </c>
      <c r="H26">
        <v>101760.16345123584</v>
      </c>
      <c r="I26">
        <v>-245.93279874224694</v>
      </c>
    </row>
    <row r="27" spans="1:9" x14ac:dyDescent="0.3">
      <c r="A27">
        <v>106517.79069586363</v>
      </c>
      <c r="B27">
        <v>-2733.415233415235</v>
      </c>
      <c r="C27">
        <v>106464.6154214773</v>
      </c>
      <c r="D27">
        <v>-2910.1200161276056</v>
      </c>
      <c r="E27">
        <v>-2.926415233415235E-2</v>
      </c>
      <c r="F27">
        <v>101741.79069586363</v>
      </c>
      <c r="G27">
        <v>-2926.415233415235</v>
      </c>
      <c r="H27">
        <v>101502.2306524936</v>
      </c>
      <c r="I27">
        <v>-2970.3767400708407</v>
      </c>
    </row>
    <row r="28" spans="1:9" x14ac:dyDescent="0.3">
      <c r="A28">
        <v>103778.3754624484</v>
      </c>
      <c r="B28">
        <v>2249.0430578194487</v>
      </c>
      <c r="C28">
        <v>103548.49540534969</v>
      </c>
      <c r="D28">
        <v>2328.8502473905082</v>
      </c>
      <c r="E28">
        <v>2.0560430578194486E-2</v>
      </c>
      <c r="F28">
        <v>98803.375462448399</v>
      </c>
      <c r="G28">
        <v>2056.0430578194487</v>
      </c>
      <c r="H28">
        <v>98519.853912422754</v>
      </c>
      <c r="I28">
        <v>2025.6106169402306</v>
      </c>
    </row>
    <row r="29" spans="1:9" x14ac:dyDescent="0.3">
      <c r="A29">
        <v>106021.41852026785</v>
      </c>
      <c r="B29">
        <v>3744.3405871184441</v>
      </c>
      <c r="C29">
        <v>105871.3456527402</v>
      </c>
      <c r="D29">
        <v>3964.18376540401</v>
      </c>
      <c r="E29">
        <v>3.5513405871184442E-2</v>
      </c>
      <c r="F29">
        <v>100847.41852026785</v>
      </c>
      <c r="G29">
        <v>3551.3405871184441</v>
      </c>
      <c r="H29">
        <v>100533.46452936299</v>
      </c>
      <c r="I29">
        <v>3570.2857294675923</v>
      </c>
    </row>
    <row r="30" spans="1:9" x14ac:dyDescent="0.3">
      <c r="A30">
        <v>109759.75910738629</v>
      </c>
      <c r="B30">
        <v>-462.02604146780578</v>
      </c>
      <c r="C30">
        <v>109829.52941814422</v>
      </c>
      <c r="D30">
        <v>-507.44102713337094</v>
      </c>
      <c r="E30">
        <v>-6.550260414678058E-3</v>
      </c>
      <c r="F30">
        <v>104386.75910738629</v>
      </c>
      <c r="G30">
        <v>-655.02604146780584</v>
      </c>
      <c r="H30">
        <v>104091.75025883058</v>
      </c>
      <c r="I30">
        <v>-681.8280712149724</v>
      </c>
    </row>
    <row r="31" spans="1:9" x14ac:dyDescent="0.3">
      <c r="A31">
        <v>109291.73306591848</v>
      </c>
      <c r="B31">
        <v>-1431.6954189484854</v>
      </c>
      <c r="C31">
        <v>109316.08839101084</v>
      </c>
      <c r="D31">
        <v>-1565.0734296677792</v>
      </c>
      <c r="E31">
        <v>-1.6246954189484856E-2</v>
      </c>
      <c r="F31">
        <v>103719.73306591848</v>
      </c>
      <c r="G31">
        <v>-1624.6954189484857</v>
      </c>
      <c r="H31">
        <v>103397.92218761561</v>
      </c>
      <c r="I31">
        <v>-1679.9013050701105</v>
      </c>
    </row>
    <row r="32" spans="1:9" x14ac:dyDescent="0.3">
      <c r="A32">
        <v>107854.03764697</v>
      </c>
      <c r="B32">
        <v>95.433856996032489</v>
      </c>
      <c r="C32">
        <v>107745.01496134305</v>
      </c>
      <c r="D32">
        <v>102.82522349856194</v>
      </c>
      <c r="E32">
        <v>-9.7566143003967516E-4</v>
      </c>
      <c r="F32">
        <v>102083.03764697</v>
      </c>
      <c r="G32">
        <v>-97.566143003967511</v>
      </c>
      <c r="H32">
        <v>101706.0208825455</v>
      </c>
      <c r="I32">
        <v>-99.230641777909412</v>
      </c>
    </row>
    <row r="33" spans="1:9" x14ac:dyDescent="0.3">
      <c r="A33">
        <v>107943.47150396604</v>
      </c>
      <c r="B33">
        <v>-228.82869474624539</v>
      </c>
      <c r="C33">
        <v>107841.84018484161</v>
      </c>
      <c r="D33">
        <v>-246.77307528530503</v>
      </c>
      <c r="E33">
        <v>-4.2182869474624539E-3</v>
      </c>
      <c r="F33">
        <v>101973.47150396604</v>
      </c>
      <c r="G33">
        <v>-421.82869474624539</v>
      </c>
      <c r="H33">
        <v>101594.7902407676</v>
      </c>
      <c r="I33">
        <v>-428.55597760281586</v>
      </c>
    </row>
    <row r="34" spans="1:9" x14ac:dyDescent="0.3">
      <c r="A34">
        <v>107708.64280921979</v>
      </c>
      <c r="B34">
        <v>694.97045902137404</v>
      </c>
      <c r="C34">
        <v>107589.0671095563</v>
      </c>
      <c r="D34">
        <v>747.71223354809763</v>
      </c>
      <c r="E34">
        <v>5.0197045902137406E-3</v>
      </c>
      <c r="F34">
        <v>101539.64280921979</v>
      </c>
      <c r="G34">
        <v>501.97045902137404</v>
      </c>
      <c r="H34">
        <v>101154.23426316479</v>
      </c>
      <c r="I34">
        <v>507.76437405036432</v>
      </c>
    </row>
    <row r="35" spans="1:9" x14ac:dyDescent="0.3">
      <c r="A35">
        <v>108397.61326824117</v>
      </c>
      <c r="B35">
        <v>-553.05044899217717</v>
      </c>
      <c r="C35">
        <v>108330.7793431044</v>
      </c>
      <c r="D35">
        <v>-599.12386155376362</v>
      </c>
      <c r="E35">
        <v>-7.4605044899217722E-3</v>
      </c>
      <c r="F35">
        <v>102029.61326824117</v>
      </c>
      <c r="G35">
        <v>-746.05044899217717</v>
      </c>
      <c r="H35">
        <v>101649.99863721516</v>
      </c>
      <c r="I35">
        <v>-758.36027123348572</v>
      </c>
    </row>
    <row r="36" spans="1:9" x14ac:dyDescent="0.3">
      <c r="A36">
        <v>107838.562819249</v>
      </c>
      <c r="B36">
        <v>-666.15575075163326</v>
      </c>
      <c r="C36">
        <v>107725.65548155064</v>
      </c>
      <c r="D36">
        <v>-717.62064902524162</v>
      </c>
      <c r="E36">
        <v>-8.5915575075163324E-3</v>
      </c>
      <c r="F36">
        <v>101271.562819249</v>
      </c>
      <c r="G36">
        <v>-859.15575075163326</v>
      </c>
      <c r="H36">
        <v>100879.63836598168</v>
      </c>
      <c r="I36">
        <v>-866.71321435878258</v>
      </c>
    </row>
    <row r="37" spans="1:9" x14ac:dyDescent="0.3">
      <c r="A37">
        <v>107166.40706849737</v>
      </c>
      <c r="B37">
        <v>-925.14221601086331</v>
      </c>
      <c r="C37">
        <v>107002.0348325254</v>
      </c>
      <c r="D37">
        <v>-989.92099622634134</v>
      </c>
      <c r="E37">
        <v>-1.1181422160108633E-2</v>
      </c>
      <c r="F37">
        <v>100400.40706849737</v>
      </c>
      <c r="G37">
        <v>-1118.1422160108632</v>
      </c>
      <c r="H37">
        <v>100000.9251516229</v>
      </c>
      <c r="I37">
        <v>-1118.1525605217209</v>
      </c>
    </row>
    <row r="38" spans="1:9" x14ac:dyDescent="0.3">
      <c r="A38">
        <v>106235.26485248651</v>
      </c>
      <c r="B38">
        <v>299.39533882550393</v>
      </c>
      <c r="C38">
        <v>106006.11383629906</v>
      </c>
      <c r="D38">
        <v>317.37736369593699</v>
      </c>
      <c r="E38">
        <v>1.0639533882550393E-3</v>
      </c>
      <c r="F38">
        <v>99270.264852486507</v>
      </c>
      <c r="G38">
        <v>106.39533882550393</v>
      </c>
      <c r="H38">
        <v>98870.77259110118</v>
      </c>
      <c r="I38">
        <v>105.19389349769557</v>
      </c>
    </row>
    <row r="39" spans="1:9" x14ac:dyDescent="0.3">
      <c r="A39">
        <v>106528.66019131201</v>
      </c>
      <c r="B39">
        <v>-200.19619226842306</v>
      </c>
      <c r="C39">
        <v>106317.491199995</v>
      </c>
      <c r="D39">
        <v>-212.84356909770577</v>
      </c>
      <c r="E39">
        <v>-3.9319619226842305E-3</v>
      </c>
      <c r="F39">
        <v>99364.66019131201</v>
      </c>
      <c r="G39">
        <v>-393.19619226842303</v>
      </c>
      <c r="H39">
        <v>98963.966484598874</v>
      </c>
      <c r="I39">
        <v>-389.12254793524113</v>
      </c>
    </row>
    <row r="40" spans="1:9" x14ac:dyDescent="0.3">
      <c r="A40">
        <v>106322.46399904358</v>
      </c>
      <c r="B40">
        <v>1024.8699127475629</v>
      </c>
      <c r="C40">
        <v>106098.64763089729</v>
      </c>
      <c r="D40">
        <v>1087.3731174011214</v>
      </c>
      <c r="E40">
        <v>8.3186991274756296E-3</v>
      </c>
      <c r="F40">
        <v>98959.463999043583</v>
      </c>
      <c r="G40">
        <v>831.86991274756292</v>
      </c>
      <c r="H40">
        <v>98562.84393666363</v>
      </c>
      <c r="I40">
        <v>819.91464385744041</v>
      </c>
    </row>
    <row r="41" spans="1:9" x14ac:dyDescent="0.3">
      <c r="A41">
        <v>107341.33391179115</v>
      </c>
      <c r="B41">
        <v>-216.97639377197069</v>
      </c>
      <c r="C41">
        <v>107180.02074829841</v>
      </c>
      <c r="D41">
        <v>-232.55534386370786</v>
      </c>
      <c r="E41">
        <v>-4.0997639377197068E-3</v>
      </c>
      <c r="F41">
        <v>99779.333911791153</v>
      </c>
      <c r="G41">
        <v>-409.97639377197066</v>
      </c>
      <c r="H41">
        <v>99370.758580521069</v>
      </c>
      <c r="I41">
        <v>-407.39665249227141</v>
      </c>
    </row>
    <row r="42" spans="1:9" x14ac:dyDescent="0.3">
      <c r="A42">
        <v>107118.35751801918</v>
      </c>
      <c r="B42">
        <v>1841.1509185828734</v>
      </c>
      <c r="C42">
        <v>106941.4654044347</v>
      </c>
      <c r="D42">
        <v>1968.9537726397352</v>
      </c>
      <c r="E42">
        <v>1.6481509185828733E-2</v>
      </c>
      <c r="F42">
        <v>99357.357518019184</v>
      </c>
      <c r="G42">
        <v>1648.1509185828734</v>
      </c>
      <c r="H42">
        <v>98951.361928028797</v>
      </c>
      <c r="I42">
        <v>1630.8677805670702</v>
      </c>
    </row>
    <row r="43" spans="1:9" x14ac:dyDescent="0.3">
      <c r="A43">
        <v>108953.50843660206</v>
      </c>
      <c r="B43">
        <v>-1852.1523917718171</v>
      </c>
      <c r="C43">
        <v>108904.41917707444</v>
      </c>
      <c r="D43">
        <v>-2017.0758045333896</v>
      </c>
      <c r="E43">
        <v>-2.0451523917718172E-2</v>
      </c>
      <c r="F43">
        <v>100993.50843660206</v>
      </c>
      <c r="G43">
        <v>-2045.1523917718171</v>
      </c>
      <c r="H43">
        <v>100570.22970859587</v>
      </c>
      <c r="I43">
        <v>-2056.8144582957589</v>
      </c>
    </row>
    <row r="44" spans="1:9" x14ac:dyDescent="0.3">
      <c r="A44">
        <v>107095.35604483025</v>
      </c>
      <c r="B44">
        <v>-1238.7766832497573</v>
      </c>
      <c r="C44">
        <v>106881.34337254104</v>
      </c>
      <c r="D44">
        <v>-1324.0211604431481</v>
      </c>
      <c r="E44">
        <v>-1.4317766832497572E-2</v>
      </c>
      <c r="F44">
        <v>98936.356044830245</v>
      </c>
      <c r="G44">
        <v>-1431.7766832497571</v>
      </c>
      <c r="H44">
        <v>98501.41525030011</v>
      </c>
      <c r="I44">
        <v>-1410.3202962248174</v>
      </c>
    </row>
    <row r="45" spans="1:9" x14ac:dyDescent="0.3">
      <c r="A45">
        <v>105850.57936158049</v>
      </c>
      <c r="B45">
        <v>-183.28588698669049</v>
      </c>
      <c r="C45">
        <v>105551.32221209789</v>
      </c>
      <c r="D45">
        <v>-193.4606771426233</v>
      </c>
      <c r="E45">
        <v>-3.7628588698669051E-3</v>
      </c>
      <c r="F45">
        <v>97492.579361580487</v>
      </c>
      <c r="G45">
        <v>-376.28588698669051</v>
      </c>
      <c r="H45">
        <v>97079.094954075292</v>
      </c>
      <c r="I45">
        <v>-365.2949335265937</v>
      </c>
    </row>
    <row r="46" spans="1:9" x14ac:dyDescent="0.3">
      <c r="A46">
        <v>105661.2934745938</v>
      </c>
      <c r="B46">
        <v>763.12040127252283</v>
      </c>
      <c r="C46">
        <v>105351.86153495527</v>
      </c>
      <c r="D46">
        <v>803.96154849362324</v>
      </c>
      <c r="E46">
        <v>5.7012040127252276E-3</v>
      </c>
      <c r="F46">
        <v>97104.293474593796</v>
      </c>
      <c r="G46">
        <v>570.12040127252271</v>
      </c>
      <c r="H46">
        <v>96701.800020548704</v>
      </c>
      <c r="I46">
        <v>551.3166903149048</v>
      </c>
    </row>
    <row r="47" spans="1:9" x14ac:dyDescent="0.3">
      <c r="A47">
        <v>106418.41387586632</v>
      </c>
      <c r="B47">
        <v>125.93962769097296</v>
      </c>
      <c r="C47">
        <v>106149.82308344889</v>
      </c>
      <c r="D47">
        <v>133.684691985922</v>
      </c>
      <c r="E47">
        <v>-6.7060372309027047E-4</v>
      </c>
      <c r="F47">
        <v>97662.413875866318</v>
      </c>
      <c r="G47">
        <v>-67.060372309027045</v>
      </c>
      <c r="H47">
        <v>97241.116710863615</v>
      </c>
      <c r="I47">
        <v>-65.210254903760656</v>
      </c>
    </row>
    <row r="48" spans="1:9" x14ac:dyDescent="0.3">
      <c r="A48">
        <v>106538.35350355729</v>
      </c>
      <c r="B48">
        <v>1416.4029226741686</v>
      </c>
      <c r="C48">
        <v>106277.50777543482</v>
      </c>
      <c r="D48">
        <v>1505.3177262765255</v>
      </c>
      <c r="E48">
        <v>1.2234029226741687E-2</v>
      </c>
      <c r="F48">
        <v>97583.353503557286</v>
      </c>
      <c r="G48">
        <v>1223.4029226741686</v>
      </c>
      <c r="H48">
        <v>97163.906455959848</v>
      </c>
      <c r="I48">
        <v>1188.7060713666081</v>
      </c>
    </row>
    <row r="49" spans="1:9" x14ac:dyDescent="0.3">
      <c r="A49">
        <v>107948.75642623146</v>
      </c>
      <c r="B49">
        <v>955.94678562893557</v>
      </c>
      <c r="C49">
        <v>107776.82550171134</v>
      </c>
      <c r="D49">
        <v>1030.2890990365165</v>
      </c>
      <c r="E49">
        <v>7.6294678562893554E-3</v>
      </c>
      <c r="F49">
        <v>98794.756426231455</v>
      </c>
      <c r="G49">
        <v>762.94678562893557</v>
      </c>
      <c r="H49">
        <v>98340.612527326462</v>
      </c>
      <c r="I49">
        <v>750.28654224504351</v>
      </c>
    </row>
    <row r="50" spans="1:9" x14ac:dyDescent="0.3">
      <c r="A50">
        <v>108898.7032118604</v>
      </c>
      <c r="B50">
        <v>-2622.5930939728887</v>
      </c>
      <c r="C50">
        <v>108801.11460074785</v>
      </c>
      <c r="D50">
        <v>-2853.4105176847415</v>
      </c>
      <c r="E50">
        <v>-2.8155930939728888E-2</v>
      </c>
      <c r="F50">
        <v>99545.703211860397</v>
      </c>
      <c r="G50">
        <v>-2815.5930939728887</v>
      </c>
      <c r="H50">
        <v>99078.899069571504</v>
      </c>
      <c r="I50">
        <v>-2789.6586397872238</v>
      </c>
    </row>
    <row r="51" spans="1:9" x14ac:dyDescent="0.3">
      <c r="A51">
        <v>106270.11011788751</v>
      </c>
      <c r="B51">
        <v>-1387.4294609846265</v>
      </c>
      <c r="C51">
        <v>105941.70408306312</v>
      </c>
      <c r="D51">
        <v>-1469.8664139175708</v>
      </c>
      <c r="E51">
        <v>-1.5804294609846267E-2</v>
      </c>
      <c r="F51">
        <v>96718.110117887511</v>
      </c>
      <c r="G51">
        <v>-1580.4294609846268</v>
      </c>
      <c r="H51">
        <v>96277.240429784273</v>
      </c>
      <c r="I51">
        <v>-1521.5938719753126</v>
      </c>
    </row>
    <row r="52" spans="1:9" x14ac:dyDescent="0.3">
      <c r="A52">
        <v>104876.68065690288</v>
      </c>
      <c r="B52">
        <v>-2065.5270655270688</v>
      </c>
      <c r="C52">
        <v>104465.83766914555</v>
      </c>
      <c r="D52">
        <v>-2157.7701512857734</v>
      </c>
      <c r="E52">
        <v>-2.2585270655270689E-2</v>
      </c>
      <c r="F52">
        <v>95125.680656902885</v>
      </c>
      <c r="G52">
        <v>-2258.5270655270688</v>
      </c>
      <c r="H52">
        <v>94743.646557808956</v>
      </c>
      <c r="I52">
        <v>-2139.8109003754203</v>
      </c>
    </row>
    <row r="53" spans="1:9" x14ac:dyDescent="0.3">
      <c r="A53">
        <v>102805.15359137581</v>
      </c>
      <c r="B53">
        <v>-4160.6913729337975</v>
      </c>
      <c r="C53">
        <v>102302.06751785977</v>
      </c>
      <c r="D53">
        <v>-4256.4732975485003</v>
      </c>
      <c r="E53">
        <v>-4.3536913729337975E-2</v>
      </c>
      <c r="F53">
        <v>92855.153591375813</v>
      </c>
      <c r="G53">
        <v>-4353.6913729337975</v>
      </c>
      <c r="H53">
        <v>92591.835657433534</v>
      </c>
      <c r="I53">
        <v>-4031.1627610587234</v>
      </c>
    </row>
    <row r="54" spans="1:9" x14ac:dyDescent="0.3">
      <c r="A54">
        <v>98638.462218442015</v>
      </c>
      <c r="B54">
        <v>-418.74090182054186</v>
      </c>
      <c r="C54">
        <v>98039.594220311279</v>
      </c>
      <c r="D54">
        <v>-410.53188097933128</v>
      </c>
      <c r="E54">
        <v>-6.1174090182054188E-3</v>
      </c>
      <c r="F54">
        <v>88489.462218442015</v>
      </c>
      <c r="G54">
        <v>-611.74090182054192</v>
      </c>
      <c r="H54">
        <v>88548.672896374817</v>
      </c>
      <c r="I54">
        <v>-541.68845012640509</v>
      </c>
    </row>
    <row r="55" spans="1:9" x14ac:dyDescent="0.3">
      <c r="A55">
        <v>98213.721316621479</v>
      </c>
      <c r="B55">
        <v>1832.8432522143996</v>
      </c>
      <c r="C55">
        <v>97623.062339331955</v>
      </c>
      <c r="D55">
        <v>1789.2777106915025</v>
      </c>
      <c r="E55">
        <v>1.6398432522143996E-2</v>
      </c>
      <c r="F55">
        <v>87865.721316621479</v>
      </c>
      <c r="G55">
        <v>1639.8432522143996</v>
      </c>
      <c r="H55">
        <v>87994.984446248418</v>
      </c>
      <c r="I55">
        <v>1442.979814728915</v>
      </c>
    </row>
    <row r="56" spans="1:9" x14ac:dyDescent="0.3">
      <c r="A56">
        <v>100040.56456883588</v>
      </c>
      <c r="B56">
        <v>436.75274335316504</v>
      </c>
      <c r="C56">
        <v>99406.340050023457</v>
      </c>
      <c r="D56">
        <v>434.15991723545346</v>
      </c>
      <c r="E56">
        <v>2.4375274335316499E-3</v>
      </c>
      <c r="F56">
        <v>89493.564568835878</v>
      </c>
      <c r="G56">
        <v>243.75274335316499</v>
      </c>
      <c r="H56">
        <v>89425.964260977329</v>
      </c>
      <c r="I56">
        <v>217.9782411561531</v>
      </c>
    </row>
    <row r="57" spans="1:9" x14ac:dyDescent="0.3">
      <c r="A57">
        <v>100471.31731218904</v>
      </c>
      <c r="B57">
        <v>491.67443475718858</v>
      </c>
      <c r="C57">
        <v>99834.499967258904</v>
      </c>
      <c r="D57">
        <v>490.86071340668587</v>
      </c>
      <c r="E57">
        <v>2.9867443475718857E-3</v>
      </c>
      <c r="F57">
        <v>89725.317312189043</v>
      </c>
      <c r="G57">
        <v>298.67443475718858</v>
      </c>
      <c r="H57">
        <v>89631.942502133476</v>
      </c>
      <c r="I57">
        <v>267.70769763013544</v>
      </c>
    </row>
    <row r="58" spans="1:9" x14ac:dyDescent="0.3">
      <c r="A58">
        <v>100956.99174694624</v>
      </c>
      <c r="B58">
        <v>57.594355753145202</v>
      </c>
      <c r="C58">
        <v>100319.36068066559</v>
      </c>
      <c r="D58">
        <v>57.778289479703403</v>
      </c>
      <c r="E58">
        <v>-1.3540564424685481E-3</v>
      </c>
      <c r="F58">
        <v>90011.991746946238</v>
      </c>
      <c r="G58">
        <v>-135.40564424685482</v>
      </c>
      <c r="H58">
        <v>89887.650199763608</v>
      </c>
      <c r="I58">
        <v>-121.71295185134919</v>
      </c>
    </row>
    <row r="59" spans="1:9" x14ac:dyDescent="0.3">
      <c r="A59">
        <v>101008.58610269938</v>
      </c>
      <c r="B59">
        <v>-1121.1247296323049</v>
      </c>
      <c r="C59">
        <v>100371.13897014529</v>
      </c>
      <c r="D59">
        <v>-1125.2856604079066</v>
      </c>
      <c r="E59">
        <v>-1.3141247296323049E-2</v>
      </c>
      <c r="F59">
        <v>89864.586102699381</v>
      </c>
      <c r="G59">
        <v>-1314.1247296323049</v>
      </c>
      <c r="H59">
        <v>89753.937247912254</v>
      </c>
      <c r="I59">
        <v>-1179.4786851934755</v>
      </c>
    </row>
    <row r="60" spans="1:9" x14ac:dyDescent="0.3">
      <c r="A60">
        <v>99881.461373067083</v>
      </c>
      <c r="B60">
        <v>1500.5702879954304</v>
      </c>
      <c r="C60">
        <v>99239.853309737373</v>
      </c>
      <c r="D60">
        <v>1489.1637526161687</v>
      </c>
      <c r="E60">
        <v>1.3075702879954304E-2</v>
      </c>
      <c r="F60">
        <v>88538.461373067083</v>
      </c>
      <c r="G60">
        <v>1307.5702879954304</v>
      </c>
      <c r="H60">
        <v>88562.458562718777</v>
      </c>
      <c r="I60">
        <v>1158.0163944843755</v>
      </c>
    </row>
    <row r="61" spans="1:9" x14ac:dyDescent="0.3">
      <c r="A61">
        <v>101376.03166106252</v>
      </c>
      <c r="B61">
        <v>175.8520667149746</v>
      </c>
      <c r="C61">
        <v>100723.01706235354</v>
      </c>
      <c r="D61">
        <v>177.12350716182519</v>
      </c>
      <c r="E61">
        <v>-1.7147933285025408E-4</v>
      </c>
      <c r="F61">
        <v>89834.031661062516</v>
      </c>
      <c r="G61">
        <v>-17.147933285025406</v>
      </c>
      <c r="H61">
        <v>89708.474957203158</v>
      </c>
      <c r="I61">
        <v>-15.383149436674923</v>
      </c>
    </row>
    <row r="62" spans="1:9" x14ac:dyDescent="0.3">
      <c r="A62">
        <v>101545.88372777749</v>
      </c>
      <c r="B62">
        <v>-469.18090326277797</v>
      </c>
      <c r="C62">
        <v>100894.14056951537</v>
      </c>
      <c r="D62">
        <v>-473.3760400632691</v>
      </c>
      <c r="E62">
        <v>-6.62180903262778E-3</v>
      </c>
      <c r="F62">
        <v>89804.883727777487</v>
      </c>
      <c r="G62">
        <v>-662.18090326277797</v>
      </c>
      <c r="H62">
        <v>89681.091807766483</v>
      </c>
      <c r="I62">
        <v>-593.85106378858927</v>
      </c>
    </row>
    <row r="63" spans="1:9" x14ac:dyDescent="0.3">
      <c r="A63">
        <v>101070.70282451471</v>
      </c>
      <c r="B63">
        <v>-14.081284213127441</v>
      </c>
      <c r="C63">
        <v>100414.76452945209</v>
      </c>
      <c r="D63">
        <v>-14.139688385334832</v>
      </c>
      <c r="E63">
        <v>-2.0708128421312744E-3</v>
      </c>
      <c r="F63">
        <v>89130.702824514708</v>
      </c>
      <c r="G63">
        <v>-207.08128421312745</v>
      </c>
      <c r="H63">
        <v>89075.240743977891</v>
      </c>
      <c r="I63">
        <v>-184.45815244856436</v>
      </c>
    </row>
    <row r="64" spans="1:9" x14ac:dyDescent="0.3">
      <c r="A64">
        <v>101050.62154030158</v>
      </c>
      <c r="B64">
        <v>-1611.0552940969078</v>
      </c>
      <c r="C64">
        <v>100394.62484106676</v>
      </c>
      <c r="D64">
        <v>-1617.4129184907354</v>
      </c>
      <c r="E64">
        <v>-1.8040552940969078E-2</v>
      </c>
      <c r="F64">
        <v>88911.621540301581</v>
      </c>
      <c r="G64">
        <v>-1804.0552940969078</v>
      </c>
      <c r="H64">
        <v>88878.782591529322</v>
      </c>
      <c r="I64">
        <v>-1603.4223826713655</v>
      </c>
    </row>
    <row r="65" spans="1:9" x14ac:dyDescent="0.3">
      <c r="A65">
        <v>99433.566246204675</v>
      </c>
      <c r="B65">
        <v>-274.10174936276582</v>
      </c>
      <c r="C65">
        <v>98771.211922576025</v>
      </c>
      <c r="D65">
        <v>-270.73361974658565</v>
      </c>
      <c r="E65">
        <v>-4.6710174936276582E-3</v>
      </c>
      <c r="F65">
        <v>87095.566246204675</v>
      </c>
      <c r="G65">
        <v>-467.10174936276582</v>
      </c>
      <c r="H65">
        <v>87263.36020885795</v>
      </c>
      <c r="I65">
        <v>-407.60868208830721</v>
      </c>
    </row>
    <row r="66" spans="1:9" x14ac:dyDescent="0.3">
      <c r="A66">
        <v>99153.464496841916</v>
      </c>
      <c r="B66">
        <v>-134.16270276864697</v>
      </c>
      <c r="C66">
        <v>98494.478302829433</v>
      </c>
      <c r="D66">
        <v>-132.14285416895453</v>
      </c>
      <c r="E66">
        <v>-3.2716270276864695E-3</v>
      </c>
      <c r="F66">
        <v>86616.464496841916</v>
      </c>
      <c r="G66">
        <v>-327.16270276864697</v>
      </c>
      <c r="H66">
        <v>86843.751526769644</v>
      </c>
      <c r="I66">
        <v>-284.12036468066765</v>
      </c>
    </row>
    <row r="67" spans="1:9" x14ac:dyDescent="0.3">
      <c r="A67">
        <v>99013.301794073268</v>
      </c>
      <c r="B67">
        <v>529.93336481451854</v>
      </c>
      <c r="C67">
        <v>98356.33544866048</v>
      </c>
      <c r="D67">
        <v>521.22303795134155</v>
      </c>
      <c r="E67">
        <v>3.3693336481451855E-3</v>
      </c>
      <c r="F67">
        <v>86277.301794073268</v>
      </c>
      <c r="G67">
        <v>336.93336481451854</v>
      </c>
      <c r="H67">
        <v>86547.631162088976</v>
      </c>
      <c r="I67">
        <v>291.60784584168516</v>
      </c>
    </row>
    <row r="68" spans="1:9" x14ac:dyDescent="0.3">
      <c r="A68">
        <v>99537.235158887794</v>
      </c>
      <c r="B68">
        <v>-3153.1451826948687</v>
      </c>
      <c r="C68">
        <v>98871.558486611815</v>
      </c>
      <c r="D68">
        <v>-3117.56378347594</v>
      </c>
      <c r="E68">
        <v>-3.3461451826948686E-2</v>
      </c>
      <c r="F68">
        <v>86602.235158887794</v>
      </c>
      <c r="G68">
        <v>-3346.1451826948687</v>
      </c>
      <c r="H68">
        <v>86827.239007930664</v>
      </c>
      <c r="I68">
        <v>-2905.3654753308319</v>
      </c>
    </row>
    <row r="69" spans="1:9" x14ac:dyDescent="0.3">
      <c r="A69">
        <v>96378.089976192918</v>
      </c>
      <c r="B69">
        <v>-77.826395254307556</v>
      </c>
      <c r="C69">
        <v>95747.994703135875</v>
      </c>
      <c r="D69">
        <v>-74.517212805735994</v>
      </c>
      <c r="E69">
        <v>-2.7082639525430755E-3</v>
      </c>
      <c r="F69">
        <v>83244.089976192918</v>
      </c>
      <c r="G69">
        <v>-270.82639525430756</v>
      </c>
      <c r="H69">
        <v>83909.873532599828</v>
      </c>
      <c r="I69">
        <v>-227.2500857507884</v>
      </c>
    </row>
    <row r="70" spans="1:9" x14ac:dyDescent="0.3">
      <c r="A70">
        <v>96294.263580938612</v>
      </c>
      <c r="B70">
        <v>981.73036539269447</v>
      </c>
      <c r="C70">
        <v>95667.477490330144</v>
      </c>
      <c r="D70">
        <v>939.19667632779192</v>
      </c>
      <c r="E70">
        <v>7.8873036539269456E-3</v>
      </c>
      <c r="F70">
        <v>82961.263580938612</v>
      </c>
      <c r="G70">
        <v>788.73036539269458</v>
      </c>
      <c r="H70">
        <v>83670.623446849044</v>
      </c>
      <c r="I70">
        <v>659.93561403867807</v>
      </c>
    </row>
    <row r="71" spans="1:9" x14ac:dyDescent="0.3">
      <c r="A71">
        <v>97269.993946331306</v>
      </c>
      <c r="B71">
        <v>396.88114638945359</v>
      </c>
      <c r="C71">
        <v>96600.674166657933</v>
      </c>
      <c r="D71">
        <v>383.38986305257271</v>
      </c>
      <c r="E71">
        <v>2.0388114638945354E-3</v>
      </c>
      <c r="F71">
        <v>83737.993946331306</v>
      </c>
      <c r="G71">
        <v>203.88114638945353</v>
      </c>
      <c r="H71">
        <v>84318.559060887725</v>
      </c>
      <c r="I71">
        <v>171.90964483240634</v>
      </c>
    </row>
    <row r="72" spans="1:9" x14ac:dyDescent="0.3">
      <c r="A72">
        <v>97660.875092720758</v>
      </c>
      <c r="B72">
        <v>-2218.8122828368214</v>
      </c>
      <c r="C72">
        <v>96978.064029710498</v>
      </c>
      <c r="D72">
        <v>-2151.7611963485738</v>
      </c>
      <c r="E72">
        <v>-2.4118122828368217E-2</v>
      </c>
      <c r="F72">
        <v>83929.875092720758</v>
      </c>
      <c r="G72">
        <v>-2411.8122828368219</v>
      </c>
      <c r="H72">
        <v>84478.468705720137</v>
      </c>
      <c r="I72">
        <v>-2037.4620845970189</v>
      </c>
    </row>
    <row r="73" spans="1:9" x14ac:dyDescent="0.3">
      <c r="A73">
        <v>95436.062809883937</v>
      </c>
      <c r="B73">
        <v>277.02761564600735</v>
      </c>
      <c r="C73">
        <v>94820.30283336193</v>
      </c>
      <c r="D73">
        <v>262.67842408758611</v>
      </c>
      <c r="E73">
        <v>8.4027615646007346E-4</v>
      </c>
      <c r="F73">
        <v>81506.062809883937</v>
      </c>
      <c r="G73">
        <v>84.027615646007348</v>
      </c>
      <c r="H73">
        <v>82429.006621123117</v>
      </c>
      <c r="I73">
        <v>69.263128864419272</v>
      </c>
    </row>
    <row r="74" spans="1:9" x14ac:dyDescent="0.3">
      <c r="A74">
        <v>95707.090425529939</v>
      </c>
      <c r="B74">
        <v>429.31774685770603</v>
      </c>
      <c r="C74">
        <v>95076.981257449515</v>
      </c>
      <c r="D74">
        <v>408.18235371480574</v>
      </c>
      <c r="E74">
        <v>2.3631774685770601E-3</v>
      </c>
      <c r="F74">
        <v>81578.090425529939</v>
      </c>
      <c r="G74">
        <v>236.31774685770603</v>
      </c>
      <c r="H74">
        <v>82486.269749987536</v>
      </c>
      <c r="I74">
        <v>194.92969414014007</v>
      </c>
    </row>
    <row r="75" spans="1:9" x14ac:dyDescent="0.3">
      <c r="A75">
        <v>96130.408172387644</v>
      </c>
      <c r="B75">
        <v>1068.8489714687696</v>
      </c>
      <c r="C75">
        <v>95479.163611164317</v>
      </c>
      <c r="D75">
        <v>1020.5280582249136</v>
      </c>
      <c r="E75">
        <v>8.7584897146876974E-3</v>
      </c>
      <c r="F75">
        <v>81802.408172387644</v>
      </c>
      <c r="G75">
        <v>875.84897146876972</v>
      </c>
      <c r="H75">
        <v>82669.199444127677</v>
      </c>
      <c r="I75">
        <v>724.05733305285821</v>
      </c>
    </row>
    <row r="76" spans="1:9" x14ac:dyDescent="0.3">
      <c r="A76">
        <v>97193.257143856419</v>
      </c>
      <c r="B76">
        <v>-895.62159987405403</v>
      </c>
      <c r="C76">
        <v>96493.691669389227</v>
      </c>
      <c r="D76">
        <v>-864.21834510692054</v>
      </c>
      <c r="E76">
        <v>-1.0886215998740539E-2</v>
      </c>
      <c r="F76">
        <v>82666.257143856419</v>
      </c>
      <c r="G76">
        <v>-1088.621599874054</v>
      </c>
      <c r="H76">
        <v>83381.256777180533</v>
      </c>
      <c r="I76">
        <v>-907.70637152283575</v>
      </c>
    </row>
    <row r="77" spans="1:9" x14ac:dyDescent="0.3">
      <c r="A77">
        <v>96291.635543982367</v>
      </c>
      <c r="B77">
        <v>-327.82861750990583</v>
      </c>
      <c r="C77">
        <v>95623.473324282313</v>
      </c>
      <c r="D77">
        <v>-313.48111061394826</v>
      </c>
      <c r="E77">
        <v>-5.208286175099058E-3</v>
      </c>
      <c r="F77">
        <v>81565.635543982367</v>
      </c>
      <c r="G77">
        <v>-520.82861750990583</v>
      </c>
      <c r="H77">
        <v>82461.550405657705</v>
      </c>
      <c r="I77">
        <v>-429.48335295502113</v>
      </c>
    </row>
    <row r="78" spans="1:9" x14ac:dyDescent="0.3">
      <c r="A78">
        <v>95957.806926472462</v>
      </c>
      <c r="B78">
        <v>-322.97700544144601</v>
      </c>
      <c r="C78">
        <v>95303.99221366836</v>
      </c>
      <c r="D78">
        <v>-307.80998011785493</v>
      </c>
      <c r="E78">
        <v>-5.1597700544144601E-3</v>
      </c>
      <c r="F78">
        <v>81032.806926472462</v>
      </c>
      <c r="G78">
        <v>-515.97700544144595</v>
      </c>
      <c r="H78">
        <v>82020.067052702681</v>
      </c>
      <c r="I78">
        <v>-423.20468583960138</v>
      </c>
    </row>
    <row r="79" spans="1:9" x14ac:dyDescent="0.3">
      <c r="A79">
        <v>95628.829921031022</v>
      </c>
      <c r="B79">
        <v>60.287963685373398</v>
      </c>
      <c r="C79">
        <v>94990.182233550498</v>
      </c>
      <c r="D79">
        <v>57.267646569632937</v>
      </c>
      <c r="E79">
        <v>-1.3271203631462661E-3</v>
      </c>
      <c r="F79">
        <v>80504.829921031022</v>
      </c>
      <c r="G79">
        <v>-132.7120363146266</v>
      </c>
      <c r="H79">
        <v>81584.862366863075</v>
      </c>
      <c r="I79">
        <v>-108.27293217154946</v>
      </c>
    </row>
    <row r="80" spans="1:9" x14ac:dyDescent="0.3">
      <c r="A80">
        <v>95683.117884716397</v>
      </c>
      <c r="B80">
        <v>1222.874740385291</v>
      </c>
      <c r="C80">
        <v>95041.449880120126</v>
      </c>
      <c r="D80">
        <v>1162.2378834799356</v>
      </c>
      <c r="E80">
        <v>1.0298747403852912E-2</v>
      </c>
      <c r="F80">
        <v>80360.117884716397</v>
      </c>
      <c r="G80">
        <v>1029.8747403852913</v>
      </c>
      <c r="H80">
        <v>81464.58943469153</v>
      </c>
      <c r="I80">
        <v>838.98322894647276</v>
      </c>
    </row>
    <row r="81" spans="1:9" x14ac:dyDescent="0.3">
      <c r="A81">
        <v>96899.992625101688</v>
      </c>
      <c r="B81">
        <v>389.50527771219532</v>
      </c>
      <c r="C81">
        <v>96197.687763600057</v>
      </c>
      <c r="D81">
        <v>374.69507087632093</v>
      </c>
      <c r="E81">
        <v>1.9650527771219528E-3</v>
      </c>
      <c r="F81">
        <v>81377.992625101688</v>
      </c>
      <c r="G81">
        <v>196.50527771219529</v>
      </c>
      <c r="H81">
        <v>82291.572663637999</v>
      </c>
      <c r="I81">
        <v>161.70728339641482</v>
      </c>
    </row>
    <row r="82" spans="1:9" x14ac:dyDescent="0.3">
      <c r="A82">
        <v>97283.497902813877</v>
      </c>
      <c r="B82">
        <v>-2887.830580605902</v>
      </c>
      <c r="C82">
        <v>96566.382834476375</v>
      </c>
      <c r="D82">
        <v>-2788.6735340789774</v>
      </c>
      <c r="E82">
        <v>-3.0808305806059023E-2</v>
      </c>
      <c r="F82">
        <v>81562.497902813877</v>
      </c>
      <c r="G82">
        <v>-3080.8305806059025</v>
      </c>
      <c r="H82">
        <v>82441.279947034418</v>
      </c>
      <c r="I82">
        <v>-2539.8761636511576</v>
      </c>
    </row>
    <row r="83" spans="1:9" x14ac:dyDescent="0.3">
      <c r="A83">
        <v>94389.66732220797</v>
      </c>
      <c r="B83">
        <v>-1145.3773491755319</v>
      </c>
      <c r="C83">
        <v>93771.709300397401</v>
      </c>
      <c r="D83">
        <v>-1074.0399182614774</v>
      </c>
      <c r="E83">
        <v>-1.3383773491755319E-2</v>
      </c>
      <c r="F83">
        <v>78469.66732220797</v>
      </c>
      <c r="G83">
        <v>-1338.3773491755319</v>
      </c>
      <c r="H83">
        <v>79889.403783383255</v>
      </c>
      <c r="I83">
        <v>-1069.2216846281819</v>
      </c>
    </row>
    <row r="84" spans="1:9" x14ac:dyDescent="0.3">
      <c r="A84">
        <v>93238.289973032443</v>
      </c>
      <c r="B84">
        <v>378.24442415547963</v>
      </c>
      <c r="C84">
        <v>92691.669382135922</v>
      </c>
      <c r="D84">
        <v>350.60107109456106</v>
      </c>
      <c r="E84">
        <v>1.8524442415547963E-3</v>
      </c>
      <c r="F84">
        <v>77119.289973032443</v>
      </c>
      <c r="G84">
        <v>185.24442415547963</v>
      </c>
      <c r="H84">
        <v>78808.182098755075</v>
      </c>
      <c r="I84">
        <v>145.98776311624061</v>
      </c>
    </row>
    <row r="85" spans="1:9" x14ac:dyDescent="0.3">
      <c r="A85">
        <v>93610.534397187919</v>
      </c>
      <c r="B85">
        <v>790.78981553650374</v>
      </c>
      <c r="C85">
        <v>93036.270453230478</v>
      </c>
      <c r="D85">
        <v>735.72135149914402</v>
      </c>
      <c r="E85">
        <v>5.9778981553650365E-3</v>
      </c>
      <c r="F85">
        <v>77292.534397187919</v>
      </c>
      <c r="G85">
        <v>597.78981553650362</v>
      </c>
      <c r="H85">
        <v>78942.169861871313</v>
      </c>
      <c r="I85">
        <v>471.90825159779388</v>
      </c>
    </row>
    <row r="86" spans="1:9" x14ac:dyDescent="0.3">
      <c r="A86">
        <v>94395.32421272443</v>
      </c>
      <c r="B86">
        <v>837.40632127728679</v>
      </c>
      <c r="C86">
        <v>93765.991804729623</v>
      </c>
      <c r="D86">
        <v>785.20234258114851</v>
      </c>
      <c r="E86">
        <v>6.4440632127728678E-3</v>
      </c>
      <c r="F86">
        <v>77878.324212724416</v>
      </c>
      <c r="G86">
        <v>644.40632127728679</v>
      </c>
      <c r="H86">
        <v>79402.078113469106</v>
      </c>
      <c r="I86">
        <v>511.67201058872394</v>
      </c>
    </row>
    <row r="87" spans="1:9" x14ac:dyDescent="0.3">
      <c r="A87">
        <v>95226.730534001719</v>
      </c>
      <c r="B87">
        <v>264.39051458228005</v>
      </c>
      <c r="C87">
        <v>94545.194147310773</v>
      </c>
      <c r="D87">
        <v>249.96852531889064</v>
      </c>
      <c r="E87">
        <v>7.1390514582280015E-4</v>
      </c>
      <c r="F87">
        <v>78510.730534001705</v>
      </c>
      <c r="G87">
        <v>71.390514582280019</v>
      </c>
      <c r="H87">
        <v>79901.750124057828</v>
      </c>
      <c r="I87">
        <v>57.042270573812445</v>
      </c>
    </row>
    <row r="88" spans="1:9" x14ac:dyDescent="0.3">
      <c r="A88">
        <v>95485.121048583998</v>
      </c>
      <c r="B88">
        <v>-1707.400919999337</v>
      </c>
      <c r="C88">
        <v>94789.162672629667</v>
      </c>
      <c r="D88">
        <v>-1618.431035532147</v>
      </c>
      <c r="E88">
        <v>-1.9004009199993371E-2</v>
      </c>
      <c r="F88">
        <v>78570.121048583984</v>
      </c>
      <c r="G88">
        <v>-1900.4009199993372</v>
      </c>
      <c r="H88">
        <v>79946.792394631644</v>
      </c>
      <c r="I88">
        <v>-1519.3095781775398</v>
      </c>
    </row>
    <row r="89" spans="1:9" x14ac:dyDescent="0.3">
      <c r="A89">
        <v>93771.720128584668</v>
      </c>
      <c r="B89">
        <v>466.06137818703513</v>
      </c>
      <c r="C89">
        <v>93164.731637097517</v>
      </c>
      <c r="D89">
        <v>434.20483225210944</v>
      </c>
      <c r="E89">
        <v>2.7306137818703512E-3</v>
      </c>
      <c r="F89">
        <v>76657.720128584653</v>
      </c>
      <c r="G89">
        <v>273.06137818703513</v>
      </c>
      <c r="H89">
        <v>78415.48281645411</v>
      </c>
      <c r="I89">
        <v>214.12239809062731</v>
      </c>
    </row>
    <row r="90" spans="1:9" x14ac:dyDescent="0.3">
      <c r="A90">
        <v>94231.781506771702</v>
      </c>
      <c r="B90">
        <v>279.36136692166951</v>
      </c>
      <c r="C90">
        <v>93592.936469349632</v>
      </c>
      <c r="D90">
        <v>261.4625066629049</v>
      </c>
      <c r="E90">
        <v>8.6361366921669535E-4</v>
      </c>
      <c r="F90">
        <v>76918.781506771687</v>
      </c>
      <c r="G90">
        <v>86.361366921669529</v>
      </c>
      <c r="H90">
        <v>78617.605214544732</v>
      </c>
      <c r="I90">
        <v>67.895238504362581</v>
      </c>
    </row>
    <row r="91" spans="1:9" x14ac:dyDescent="0.3">
      <c r="A91">
        <v>94505.142873693374</v>
      </c>
      <c r="B91">
        <v>-1069.7697001083986</v>
      </c>
      <c r="C91">
        <v>93848.398976012541</v>
      </c>
      <c r="D91">
        <v>-1003.9617362822228</v>
      </c>
      <c r="E91">
        <v>-1.2627697001083986E-2</v>
      </c>
      <c r="F91">
        <v>76993.142873693359</v>
      </c>
      <c r="G91">
        <v>-1262.7697001083986</v>
      </c>
      <c r="H91">
        <v>78673.500453049099</v>
      </c>
      <c r="I91">
        <v>-993.46512573574773</v>
      </c>
    </row>
    <row r="92" spans="1:9" x14ac:dyDescent="0.3">
      <c r="A92">
        <v>93429.373173584972</v>
      </c>
      <c r="B92">
        <v>40.30502845535009</v>
      </c>
      <c r="C92">
        <v>92838.437239730323</v>
      </c>
      <c r="D92">
        <v>37.418558546975639</v>
      </c>
      <c r="E92">
        <v>-1.5269497154464992E-3</v>
      </c>
      <c r="F92">
        <v>75718.373173584958</v>
      </c>
      <c r="G92">
        <v>-152.69497154464992</v>
      </c>
      <c r="H92">
        <v>77668.035327313351</v>
      </c>
      <c r="I92">
        <v>-118.59518444232977</v>
      </c>
    </row>
    <row r="93" spans="1:9" x14ac:dyDescent="0.3">
      <c r="A93">
        <v>93463.678202040319</v>
      </c>
      <c r="B93">
        <v>417.35823517089636</v>
      </c>
      <c r="C93">
        <v>92869.855798277305</v>
      </c>
      <c r="D93">
        <v>387.59999116544651</v>
      </c>
      <c r="E93">
        <v>2.2435823517089632E-3</v>
      </c>
      <c r="F93">
        <v>75553.678202040304</v>
      </c>
      <c r="G93">
        <v>224.35823517089631</v>
      </c>
      <c r="H93">
        <v>77537.440142871026</v>
      </c>
      <c r="I93">
        <v>173.96163230123554</v>
      </c>
    </row>
    <row r="94" spans="1:9" x14ac:dyDescent="0.3">
      <c r="A94">
        <v>93875.036437211209</v>
      </c>
      <c r="B94">
        <v>-142.36717789425927</v>
      </c>
      <c r="C94">
        <v>93251.455789442756</v>
      </c>
      <c r="D94">
        <v>-132.75946595274252</v>
      </c>
      <c r="E94">
        <v>-3.3536717789425926E-3</v>
      </c>
      <c r="F94">
        <v>75766.036437211194</v>
      </c>
      <c r="G94">
        <v>-335.36717789425927</v>
      </c>
      <c r="H94">
        <v>77699.401775172257</v>
      </c>
      <c r="I94">
        <v>-260.57829097411718</v>
      </c>
    </row>
    <row r="95" spans="1:9" x14ac:dyDescent="0.3">
      <c r="A95">
        <v>93726.669259316943</v>
      </c>
      <c r="B95">
        <v>-569.38238947045386</v>
      </c>
      <c r="C95">
        <v>93112.696323490018</v>
      </c>
      <c r="D95">
        <v>-530.16729522705486</v>
      </c>
      <c r="E95">
        <v>-7.6238238947045388E-3</v>
      </c>
      <c r="F95">
        <v>75418.669259316928</v>
      </c>
      <c r="G95">
        <v>-762.38238947045386</v>
      </c>
      <c r="H95">
        <v>77426.823484198147</v>
      </c>
      <c r="I95">
        <v>-590.28846696990036</v>
      </c>
    </row>
    <row r="96" spans="1:9" x14ac:dyDescent="0.3">
      <c r="A96">
        <v>93151.286869846488</v>
      </c>
      <c r="B96">
        <v>-619.9141410905371</v>
      </c>
      <c r="C96">
        <v>92576.529028262958</v>
      </c>
      <c r="D96">
        <v>-573.89499477698803</v>
      </c>
      <c r="E96">
        <v>-8.1291414109053699E-3</v>
      </c>
      <c r="F96">
        <v>74644.286869846474</v>
      </c>
      <c r="G96">
        <v>-812.91414109053699</v>
      </c>
      <c r="H96">
        <v>76824.535017228249</v>
      </c>
      <c r="I96">
        <v>-624.5175089820998</v>
      </c>
    </row>
    <row r="97" spans="1:9" x14ac:dyDescent="0.3">
      <c r="A97">
        <v>92525.372728755945</v>
      </c>
      <c r="B97">
        <v>-1255.6025302775186</v>
      </c>
      <c r="C97">
        <v>91996.634033485971</v>
      </c>
      <c r="D97">
        <v>-1155.1120646945985</v>
      </c>
      <c r="E97">
        <v>-1.4486025302775185E-2</v>
      </c>
      <c r="F97">
        <v>73819.37272875593</v>
      </c>
      <c r="G97">
        <v>-1448.6025302775186</v>
      </c>
      <c r="H97">
        <v>76188.01750824615</v>
      </c>
      <c r="I97">
        <v>-1103.6615493927325</v>
      </c>
    </row>
    <row r="98" spans="1:9" x14ac:dyDescent="0.3">
      <c r="A98">
        <v>91263.770198478422</v>
      </c>
      <c r="B98">
        <v>-433.82236945890514</v>
      </c>
      <c r="C98">
        <v>90835.521968791378</v>
      </c>
      <c r="D98">
        <v>-394.06481371537512</v>
      </c>
      <c r="E98">
        <v>-6.2682236945890519E-3</v>
      </c>
      <c r="F98">
        <v>72358.770198478407</v>
      </c>
      <c r="G98">
        <v>-626.8223694589052</v>
      </c>
      <c r="H98">
        <v>75072.355958853412</v>
      </c>
      <c r="I98">
        <v>-470.57032042990858</v>
      </c>
    </row>
    <row r="99" spans="1:9" x14ac:dyDescent="0.3">
      <c r="A99">
        <v>90823.947829019511</v>
      </c>
      <c r="B99">
        <v>-934.79968578162527</v>
      </c>
      <c r="C99">
        <v>90435.457155076001</v>
      </c>
      <c r="D99">
        <v>-845.39036932082684</v>
      </c>
      <c r="E99">
        <v>-1.1277996857816252E-2</v>
      </c>
      <c r="F99">
        <v>71719.947829019497</v>
      </c>
      <c r="G99">
        <v>-1127.7996857816252</v>
      </c>
      <c r="H99">
        <v>74589.785638423506</v>
      </c>
      <c r="I99">
        <v>-841.22336805532814</v>
      </c>
    </row>
    <row r="100" spans="1:9" x14ac:dyDescent="0.3">
      <c r="A100">
        <v>89883.148143237879</v>
      </c>
      <c r="B100">
        <v>1467.0499640658668</v>
      </c>
      <c r="C100">
        <v>89584.066785755174</v>
      </c>
      <c r="D100">
        <v>1314.2430195891634</v>
      </c>
      <c r="E100">
        <v>1.2740499640658669E-2</v>
      </c>
      <c r="F100">
        <v>70580.148143237864</v>
      </c>
      <c r="G100">
        <v>1274.049964065867</v>
      </c>
      <c r="H100">
        <v>73736.562270368173</v>
      </c>
      <c r="I100">
        <v>939.44064510903127</v>
      </c>
    </row>
    <row r="101" spans="1:9" x14ac:dyDescent="0.3">
      <c r="A101">
        <v>91344.198107303746</v>
      </c>
      <c r="B101">
        <v>190.8032818164364</v>
      </c>
      <c r="C101">
        <v>90892.309805344339</v>
      </c>
      <c r="D101">
        <v>173.42551002735962</v>
      </c>
      <c r="E101">
        <v>-2.1967181835636082E-5</v>
      </c>
      <c r="F101">
        <v>71842.198107303731</v>
      </c>
      <c r="G101">
        <v>-2.196718183563608</v>
      </c>
      <c r="H101">
        <v>74664.002915477206</v>
      </c>
      <c r="I101">
        <v>-1.6401577286207503</v>
      </c>
    </row>
    <row r="102" spans="1:9" x14ac:dyDescent="0.3">
      <c r="A102">
        <v>91529.001389120182</v>
      </c>
      <c r="B102">
        <v>-769.69444058051931</v>
      </c>
      <c r="C102">
        <v>91059.735315371698</v>
      </c>
      <c r="D102">
        <v>-700.88172032975172</v>
      </c>
      <c r="E102">
        <v>-9.6269444058051934E-3</v>
      </c>
      <c r="F102">
        <v>71828.001389120167</v>
      </c>
      <c r="G102">
        <v>-962.69444058051931</v>
      </c>
      <c r="H102">
        <v>74650.36275774859</v>
      </c>
      <c r="I102">
        <v>-718.65489214203615</v>
      </c>
    </row>
    <row r="103" spans="1:9" x14ac:dyDescent="0.3">
      <c r="A103">
        <v>90753.306948539655</v>
      </c>
      <c r="B103">
        <v>-2738.0346035714851</v>
      </c>
      <c r="C103">
        <v>90352.853595041946</v>
      </c>
      <c r="D103">
        <v>-2473.8923967465312</v>
      </c>
      <c r="E103">
        <v>-2.9310346035714852E-2</v>
      </c>
      <c r="F103">
        <v>70853.306948539641</v>
      </c>
      <c r="G103">
        <v>-2931.0346035714851</v>
      </c>
      <c r="H103">
        <v>73919.707865606557</v>
      </c>
      <c r="I103">
        <v>-2166.6122163998812</v>
      </c>
    </row>
    <row r="104" spans="1:9" x14ac:dyDescent="0.3">
      <c r="A104">
        <v>88009.272344968165</v>
      </c>
      <c r="B104">
        <v>1281.4399809274082</v>
      </c>
      <c r="C104">
        <v>87872.961198295408</v>
      </c>
      <c r="D104">
        <v>1126.0392572197854</v>
      </c>
      <c r="E104">
        <v>1.0884399809274083E-2</v>
      </c>
      <c r="F104">
        <v>67910.272344968151</v>
      </c>
      <c r="G104">
        <v>1088.4399809274082</v>
      </c>
      <c r="H104">
        <v>71741.095649206676</v>
      </c>
      <c r="I104">
        <v>780.8587678013389</v>
      </c>
    </row>
    <row r="105" spans="1:9" x14ac:dyDescent="0.3">
      <c r="A105">
        <v>89284.712325895569</v>
      </c>
      <c r="B105">
        <v>1053.4077741493732</v>
      </c>
      <c r="C105">
        <v>88993.000455515197</v>
      </c>
      <c r="D105">
        <v>937.45918524718422</v>
      </c>
      <c r="E105">
        <v>8.6040777414937326E-3</v>
      </c>
      <c r="F105">
        <v>68986.712325895554</v>
      </c>
      <c r="G105">
        <v>860.40777414937327</v>
      </c>
      <c r="H105">
        <v>72509.954417008019</v>
      </c>
      <c r="I105">
        <v>623.88128483610387</v>
      </c>
    </row>
    <row r="106" spans="1:9" x14ac:dyDescent="0.3">
      <c r="A106">
        <v>90332.120100044936</v>
      </c>
      <c r="B106">
        <v>-1996.0753050837038</v>
      </c>
      <c r="C106">
        <v>89924.459640762376</v>
      </c>
      <c r="D106">
        <v>-1794.9599321192195</v>
      </c>
      <c r="E106">
        <v>-2.1890753050837038E-2</v>
      </c>
      <c r="F106">
        <v>69835.120100044922</v>
      </c>
      <c r="G106">
        <v>-2189.0753050837038</v>
      </c>
      <c r="H106">
        <v>73121.835701844117</v>
      </c>
      <c r="I106">
        <v>-1600.6920479729488</v>
      </c>
    </row>
    <row r="107" spans="1:9" x14ac:dyDescent="0.3">
      <c r="A107">
        <v>88330.044794961228</v>
      </c>
      <c r="B107">
        <v>-357.55426895861945</v>
      </c>
      <c r="C107">
        <v>88123.499708643154</v>
      </c>
      <c r="D107">
        <v>-315.0893351639902</v>
      </c>
      <c r="E107">
        <v>-5.505542689586195E-3</v>
      </c>
      <c r="F107">
        <v>67634.044794961213</v>
      </c>
      <c r="G107">
        <v>-550.55426895861945</v>
      </c>
      <c r="H107">
        <v>71509.143653871171</v>
      </c>
      <c r="I107">
        <v>-393.69664308213947</v>
      </c>
    </row>
    <row r="108" spans="1:9" x14ac:dyDescent="0.3">
      <c r="A108">
        <v>87966.490526002613</v>
      </c>
      <c r="B108">
        <v>-231.20180188244032</v>
      </c>
      <c r="C108">
        <v>87802.410373479157</v>
      </c>
      <c r="D108">
        <v>-203.00075487969852</v>
      </c>
      <c r="E108">
        <v>-4.2420180188244032E-3</v>
      </c>
      <c r="F108">
        <v>67071.490526002599</v>
      </c>
      <c r="G108">
        <v>-424.20180188244029</v>
      </c>
      <c r="H108">
        <v>71103.447010789037</v>
      </c>
      <c r="I108">
        <v>-301.62210342029323</v>
      </c>
    </row>
    <row r="109" spans="1:9" x14ac:dyDescent="0.3">
      <c r="A109">
        <v>87729.288724120168</v>
      </c>
      <c r="B109">
        <v>509.90741154896642</v>
      </c>
      <c r="C109">
        <v>87593.409618599457</v>
      </c>
      <c r="D109">
        <v>446.64528767368387</v>
      </c>
      <c r="E109">
        <v>3.1690741154896639E-3</v>
      </c>
      <c r="F109">
        <v>66635.288724120153</v>
      </c>
      <c r="G109">
        <v>316.90741154896637</v>
      </c>
      <c r="H109">
        <v>70789.824907368748</v>
      </c>
      <c r="I109">
        <v>224.33820175398779</v>
      </c>
    </row>
    <row r="110" spans="1:9" x14ac:dyDescent="0.3">
      <c r="A110">
        <v>88233.196135669132</v>
      </c>
      <c r="B110">
        <v>2462.2668536361093</v>
      </c>
      <c r="C110">
        <v>88034.054906273144</v>
      </c>
      <c r="D110">
        <v>2167.6333538689764</v>
      </c>
      <c r="E110">
        <v>2.269266853636109E-2</v>
      </c>
      <c r="F110">
        <v>66940.196135669117</v>
      </c>
      <c r="G110">
        <v>2269.2668536361089</v>
      </c>
      <c r="H110">
        <v>71002.163109122732</v>
      </c>
      <c r="I110">
        <v>1611.2285527999675</v>
      </c>
    </row>
    <row r="111" spans="1:9" x14ac:dyDescent="0.3">
      <c r="A111">
        <v>90689.462989305248</v>
      </c>
      <c r="B111">
        <v>381.1904872139184</v>
      </c>
      <c r="C111">
        <v>90195.688260142124</v>
      </c>
      <c r="D111">
        <v>343.81738352478277</v>
      </c>
      <c r="E111">
        <v>1.8819048721391842E-3</v>
      </c>
      <c r="F111">
        <v>69197.462989305233</v>
      </c>
      <c r="G111">
        <v>188.19048721391843</v>
      </c>
      <c r="H111">
        <v>72601.391661922695</v>
      </c>
      <c r="I111">
        <v>136.62891269265745</v>
      </c>
    </row>
    <row r="112" spans="1:9" x14ac:dyDescent="0.3">
      <c r="A112">
        <v>91064.653476519161</v>
      </c>
      <c r="B112">
        <v>649.73056197075095</v>
      </c>
      <c r="C112">
        <v>90533.505643666911</v>
      </c>
      <c r="D112">
        <v>588.22385499041854</v>
      </c>
      <c r="E112">
        <v>4.5673056197075091E-3</v>
      </c>
      <c r="F112">
        <v>69373.653476519146</v>
      </c>
      <c r="G112">
        <v>456.7305619707509</v>
      </c>
      <c r="H112">
        <v>72726.020574615352</v>
      </c>
      <c r="I112">
        <v>332.16196246940461</v>
      </c>
    </row>
    <row r="113" spans="1:9" x14ac:dyDescent="0.3">
      <c r="A113">
        <v>91708.384038489909</v>
      </c>
      <c r="B113">
        <v>1058.064123253042</v>
      </c>
      <c r="C113">
        <v>91115.729498657325</v>
      </c>
      <c r="D113">
        <v>964.06284446558197</v>
      </c>
      <c r="E113">
        <v>8.6506412325304208E-3</v>
      </c>
      <c r="F113">
        <v>69818.384038489894</v>
      </c>
      <c r="G113">
        <v>865.06412325304211</v>
      </c>
      <c r="H113">
        <v>73046.182537084751</v>
      </c>
      <c r="I113">
        <v>631.89631853424896</v>
      </c>
    </row>
    <row r="114" spans="1:9" x14ac:dyDescent="0.3">
      <c r="A114">
        <v>92760.448161742956</v>
      </c>
      <c r="B114">
        <v>20.933640360056575</v>
      </c>
      <c r="C114">
        <v>92073.792343122914</v>
      </c>
      <c r="D114">
        <v>19.274396554974658</v>
      </c>
      <c r="E114">
        <v>-1.7206635963994343E-3</v>
      </c>
      <c r="F114">
        <v>70671.448161742941</v>
      </c>
      <c r="G114">
        <v>-172.06635963994341</v>
      </c>
      <c r="H114">
        <v>73666.078855618995</v>
      </c>
      <c r="I114">
        <v>-126.7545401763537</v>
      </c>
    </row>
    <row r="115" spans="1:9" x14ac:dyDescent="0.3">
      <c r="A115">
        <v>92775.381802103017</v>
      </c>
      <c r="B115">
        <v>891.36156975353504</v>
      </c>
      <c r="C115">
        <v>92087.066739677888</v>
      </c>
      <c r="D115">
        <v>820.82872363077831</v>
      </c>
      <c r="E115">
        <v>6.9836156975353501E-3</v>
      </c>
      <c r="F115">
        <v>70487.381802103002</v>
      </c>
      <c r="G115">
        <v>698.36156975353504</v>
      </c>
      <c r="H115">
        <v>73527.324315442645</v>
      </c>
      <c r="I115">
        <v>513.48657628709793</v>
      </c>
    </row>
    <row r="116" spans="1:9" x14ac:dyDescent="0.3">
      <c r="A116">
        <v>93660.743371856544</v>
      </c>
      <c r="B116">
        <v>-3184.647302904566</v>
      </c>
      <c r="C116">
        <v>92901.895463308669</v>
      </c>
      <c r="D116">
        <v>-2958.597708219479</v>
      </c>
      <c r="E116">
        <v>-3.3776473029045663E-2</v>
      </c>
      <c r="F116">
        <v>71173.74337185653</v>
      </c>
      <c r="G116">
        <v>-3377.6473029045665</v>
      </c>
      <c r="H116">
        <v>74028.81089172975</v>
      </c>
      <c r="I116">
        <v>-2500.4321344568316</v>
      </c>
    </row>
    <row r="117" spans="1:9" x14ac:dyDescent="0.3">
      <c r="A117">
        <v>90470.096068951985</v>
      </c>
      <c r="B117">
        <v>2524.3685521166858</v>
      </c>
      <c r="C117">
        <v>89937.297755089196</v>
      </c>
      <c r="D117">
        <v>2270.3488611530179</v>
      </c>
      <c r="E117">
        <v>2.3313685521166857E-2</v>
      </c>
      <c r="F117">
        <v>67784.096068951971</v>
      </c>
      <c r="G117">
        <v>2331.3685521166858</v>
      </c>
      <c r="H117">
        <v>71516.37875727292</v>
      </c>
      <c r="I117">
        <v>1667.3103639597186</v>
      </c>
    </row>
    <row r="118" spans="1:9" x14ac:dyDescent="0.3">
      <c r="A118">
        <v>92988.464621068677</v>
      </c>
      <c r="B118">
        <v>347.76970572199252</v>
      </c>
      <c r="C118">
        <v>92201.646616242215</v>
      </c>
      <c r="D118">
        <v>320.64939510813707</v>
      </c>
      <c r="E118">
        <v>1.5476970572199254E-3</v>
      </c>
      <c r="F118">
        <v>70103.464621068662</v>
      </c>
      <c r="G118">
        <v>154.76970572199255</v>
      </c>
      <c r="H118">
        <v>73171.689121232645</v>
      </c>
      <c r="I118">
        <v>113.24760792474299</v>
      </c>
    </row>
    <row r="119" spans="1:9" x14ac:dyDescent="0.3">
      <c r="A119">
        <v>93330.234326790669</v>
      </c>
      <c r="B119">
        <v>780.92461474385675</v>
      </c>
      <c r="C119">
        <v>92516.29601135035</v>
      </c>
      <c r="D119">
        <v>722.48252820192386</v>
      </c>
      <c r="E119">
        <v>5.8792461474385669E-3</v>
      </c>
      <c r="F119">
        <v>70246.234326790654</v>
      </c>
      <c r="G119">
        <v>587.92461474385664</v>
      </c>
      <c r="H119">
        <v>73272.936729157387</v>
      </c>
      <c r="I119">
        <v>430.78963097640843</v>
      </c>
    </row>
    <row r="120" spans="1:9" x14ac:dyDescent="0.3">
      <c r="A120">
        <v>94105.158941534522</v>
      </c>
      <c r="B120">
        <v>1705.5749389796651</v>
      </c>
      <c r="C120">
        <v>93232.778539552281</v>
      </c>
      <c r="D120">
        <v>1590.1549056850151</v>
      </c>
      <c r="E120">
        <v>1.5125749389796652E-2</v>
      </c>
      <c r="F120">
        <v>70822.158941534508</v>
      </c>
      <c r="G120">
        <v>1512.5749389796651</v>
      </c>
      <c r="H120">
        <v>73691.726360133791</v>
      </c>
      <c r="I120">
        <v>1114.6425850248556</v>
      </c>
    </row>
    <row r="121" spans="1:9" x14ac:dyDescent="0.3">
      <c r="A121">
        <v>95804.733880514192</v>
      </c>
      <c r="B121">
        <v>-167.42155851533022</v>
      </c>
      <c r="C121">
        <v>94816.9334452373</v>
      </c>
      <c r="D121">
        <v>-158.74398771045966</v>
      </c>
      <c r="E121">
        <v>-3.6042155851533021E-3</v>
      </c>
      <c r="F121">
        <v>72322.733880514177</v>
      </c>
      <c r="G121">
        <v>-360.42155851533022</v>
      </c>
      <c r="H121">
        <v>74794.36894515864</v>
      </c>
      <c r="I121">
        <v>-269.57503023384692</v>
      </c>
    </row>
    <row r="122" spans="1:9" x14ac:dyDescent="0.3">
      <c r="A122">
        <v>95631.312321998863</v>
      </c>
      <c r="B122">
        <v>-1502.3291344007869</v>
      </c>
      <c r="C122">
        <v>94652.189457526838</v>
      </c>
      <c r="D122">
        <v>-1421.9874185686558</v>
      </c>
      <c r="E122">
        <v>-1.695329134400787E-2</v>
      </c>
      <c r="F122">
        <v>71950.312321998848</v>
      </c>
      <c r="G122">
        <v>-1695.3291344007869</v>
      </c>
      <c r="H122">
        <v>74512.793914924798</v>
      </c>
      <c r="I122">
        <v>-1263.2371040957369</v>
      </c>
    </row>
    <row r="123" spans="1:9" x14ac:dyDescent="0.3">
      <c r="A123">
        <v>94122.983187598074</v>
      </c>
      <c r="B123">
        <v>746.69557101135638</v>
      </c>
      <c r="C123">
        <v>93224.202038958188</v>
      </c>
      <c r="D123">
        <v>696.10098773557945</v>
      </c>
      <c r="E123">
        <v>5.536955710113564E-3</v>
      </c>
      <c r="F123">
        <v>70242.98318759806</v>
      </c>
      <c r="G123">
        <v>553.69557101135638</v>
      </c>
      <c r="H123">
        <v>73237.556810829061</v>
      </c>
      <c r="I123">
        <v>405.51310837848649</v>
      </c>
    </row>
    <row r="124" spans="1:9" x14ac:dyDescent="0.3">
      <c r="A124">
        <v>94863.678758609429</v>
      </c>
      <c r="B124">
        <v>424.53958383160699</v>
      </c>
      <c r="C124">
        <v>93914.303026693771</v>
      </c>
      <c r="D124">
        <v>398.70339122788005</v>
      </c>
      <c r="E124">
        <v>2.3153958383160698E-3</v>
      </c>
      <c r="F124">
        <v>70784.678758609414</v>
      </c>
      <c r="G124">
        <v>231.53958383160699</v>
      </c>
      <c r="H124">
        <v>73631.069919207541</v>
      </c>
      <c r="I124">
        <v>170.48507286169269</v>
      </c>
    </row>
    <row r="125" spans="1:9" x14ac:dyDescent="0.3">
      <c r="A125">
        <v>95282.218342441032</v>
      </c>
      <c r="B125">
        <v>77.66062307715012</v>
      </c>
      <c r="C125">
        <v>94307.006417921657</v>
      </c>
      <c r="D125">
        <v>73.239408789565914</v>
      </c>
      <c r="E125">
        <v>-1.153393769228499E-3</v>
      </c>
      <c r="F125">
        <v>71004.218342441018</v>
      </c>
      <c r="G125">
        <v>-115.33937692284989</v>
      </c>
      <c r="H125">
        <v>73789.554992069228</v>
      </c>
      <c r="I125">
        <v>-85.108412961996336</v>
      </c>
    </row>
    <row r="126" spans="1:9" x14ac:dyDescent="0.3">
      <c r="A126">
        <v>95353.878965518175</v>
      </c>
      <c r="B126">
        <v>729.77573828733091</v>
      </c>
      <c r="C126">
        <v>94374.245826711223</v>
      </c>
      <c r="D126">
        <v>688.72034923498234</v>
      </c>
      <c r="E126">
        <v>5.3677573828733085E-3</v>
      </c>
      <c r="F126">
        <v>70876.878965518161</v>
      </c>
      <c r="G126">
        <v>536.7757382873308</v>
      </c>
      <c r="H126">
        <v>73692.446579107229</v>
      </c>
      <c r="I126">
        <v>395.56317418699973</v>
      </c>
    </row>
    <row r="127" spans="1:9" x14ac:dyDescent="0.3">
      <c r="A127">
        <v>96077.6547038055</v>
      </c>
      <c r="B127">
        <v>228.55626170428573</v>
      </c>
      <c r="C127">
        <v>95056.966175946203</v>
      </c>
      <c r="D127">
        <v>217.25864838125</v>
      </c>
      <c r="E127">
        <v>3.5556261704285737E-4</v>
      </c>
      <c r="F127">
        <v>71401.654703805485</v>
      </c>
      <c r="G127">
        <v>35.556261704285738</v>
      </c>
      <c r="H127">
        <v>74076.009753294231</v>
      </c>
      <c r="I127">
        <v>26.338659887973524</v>
      </c>
    </row>
    <row r="128" spans="1:9" x14ac:dyDescent="0.3">
      <c r="A128">
        <v>96300.210965509788</v>
      </c>
      <c r="B128">
        <v>913.05126215909843</v>
      </c>
      <c r="C128">
        <v>95268.224824327452</v>
      </c>
      <c r="D128">
        <v>869.8477291950893</v>
      </c>
      <c r="E128">
        <v>7.2005126215909836E-3</v>
      </c>
      <c r="F128">
        <v>71425.210965509774</v>
      </c>
      <c r="G128">
        <v>720.05126215909831</v>
      </c>
      <c r="H128">
        <v>74090.348413182204</v>
      </c>
      <c r="I128">
        <v>533.48848888719192</v>
      </c>
    </row>
    <row r="129" spans="1:9" x14ac:dyDescent="0.3">
      <c r="A129">
        <v>97207.262227668893</v>
      </c>
      <c r="B129">
        <v>-1133.5348506401103</v>
      </c>
      <c r="C129">
        <v>96132.072553522536</v>
      </c>
      <c r="D129">
        <v>-1089.6905450368142</v>
      </c>
      <c r="E129">
        <v>-1.3265348506401103E-2</v>
      </c>
      <c r="F129">
        <v>72133.262227668878</v>
      </c>
      <c r="G129">
        <v>-1326.5348506401103</v>
      </c>
      <c r="H129">
        <v>74611.836902069394</v>
      </c>
      <c r="I129">
        <v>-989.75201920870893</v>
      </c>
    </row>
    <row r="130" spans="1:9" x14ac:dyDescent="0.3">
      <c r="A130">
        <v>96067.727377028787</v>
      </c>
      <c r="B130">
        <v>846.90936893489254</v>
      </c>
      <c r="C130">
        <v>95036.382008485714</v>
      </c>
      <c r="D130">
        <v>804.87202312662009</v>
      </c>
      <c r="E130">
        <v>6.5390936893489253E-3</v>
      </c>
      <c r="F130">
        <v>70794.727377028772</v>
      </c>
      <c r="G130">
        <v>653.90936893489254</v>
      </c>
      <c r="H130">
        <v>73610.084882860683</v>
      </c>
      <c r="I130">
        <v>481.34324152995305</v>
      </c>
    </row>
    <row r="131" spans="1:9" x14ac:dyDescent="0.3">
      <c r="A131">
        <v>96908.636745963682</v>
      </c>
      <c r="B131">
        <v>842.608500784341</v>
      </c>
      <c r="C131">
        <v>95835.254031612334</v>
      </c>
      <c r="D131">
        <v>807.5159972186334</v>
      </c>
      <c r="E131">
        <v>6.4960850078434095E-3</v>
      </c>
      <c r="F131">
        <v>71436.636745963668</v>
      </c>
      <c r="G131">
        <v>649.608500784341</v>
      </c>
      <c r="H131">
        <v>74079.42812439063</v>
      </c>
      <c r="I131">
        <v>481.22626242846741</v>
      </c>
    </row>
    <row r="132" spans="1:9" x14ac:dyDescent="0.3">
      <c r="A132">
        <v>97745.245246748018</v>
      </c>
      <c r="B132">
        <v>-407.75027560898951</v>
      </c>
      <c r="C132">
        <v>96636.770028830972</v>
      </c>
      <c r="D132">
        <v>-394.03669613218364</v>
      </c>
      <c r="E132">
        <v>-6.0075027560898952E-3</v>
      </c>
      <c r="F132">
        <v>72074.245246748003</v>
      </c>
      <c r="G132">
        <v>-600.75027560898957</v>
      </c>
      <c r="H132">
        <v>74548.654386819093</v>
      </c>
      <c r="I132">
        <v>-447.85124669160876</v>
      </c>
    </row>
    <row r="133" spans="1:9" x14ac:dyDescent="0.3">
      <c r="A133">
        <v>97331.494971139022</v>
      </c>
      <c r="B133">
        <v>-237.6531748978868</v>
      </c>
      <c r="C133">
        <v>96236.733332698786</v>
      </c>
      <c r="D133">
        <v>-228.70965218317156</v>
      </c>
      <c r="E133">
        <v>-4.3065317489788682E-3</v>
      </c>
      <c r="F133">
        <v>71461.494971139007</v>
      </c>
      <c r="G133">
        <v>-430.6531748978868</v>
      </c>
      <c r="H133">
        <v>74088.803140127478</v>
      </c>
      <c r="I133">
        <v>-319.06578296680425</v>
      </c>
    </row>
    <row r="134" spans="1:9" x14ac:dyDescent="0.3">
      <c r="A134">
        <v>97087.841796241133</v>
      </c>
      <c r="B134">
        <v>-918.82261128208279</v>
      </c>
      <c r="C134">
        <v>96002.023680515616</v>
      </c>
      <c r="D134">
        <v>-882.08830086495709</v>
      </c>
      <c r="E134">
        <v>-1.1118226112820827E-2</v>
      </c>
      <c r="F134">
        <v>71018.841796241119</v>
      </c>
      <c r="G134">
        <v>-1111.8226112820828</v>
      </c>
      <c r="H134">
        <v>73757.737357160673</v>
      </c>
      <c r="I134">
        <v>-820.05520150696407</v>
      </c>
    </row>
    <row r="135" spans="1:9" x14ac:dyDescent="0.3">
      <c r="A135">
        <v>96163.019184959048</v>
      </c>
      <c r="B135">
        <v>653.00251708018175</v>
      </c>
      <c r="C135">
        <v>95113.935379650662</v>
      </c>
      <c r="D135">
        <v>621.0963921231363</v>
      </c>
      <c r="E135">
        <v>4.6000251708018169E-3</v>
      </c>
      <c r="F135">
        <v>69895.019184959034</v>
      </c>
      <c r="G135">
        <v>460.00251708018169</v>
      </c>
      <c r="H135">
        <v>72925.682155653703</v>
      </c>
      <c r="I135">
        <v>335.45997351389991</v>
      </c>
    </row>
    <row r="136" spans="1:9" x14ac:dyDescent="0.3">
      <c r="A136">
        <v>96810.02170203923</v>
      </c>
      <c r="B136">
        <v>15.908137735550875</v>
      </c>
      <c r="C136">
        <v>95729.031771773793</v>
      </c>
      <c r="D136">
        <v>15.228706227163034</v>
      </c>
      <c r="E136">
        <v>-1.7709186226444913E-3</v>
      </c>
      <c r="F136">
        <v>70343.021702039216</v>
      </c>
      <c r="G136">
        <v>-177.09186226444913</v>
      </c>
      <c r="H136">
        <v>73249.142129167609</v>
      </c>
      <c r="I136">
        <v>-129.71826988927609</v>
      </c>
    </row>
    <row r="137" spans="1:9" x14ac:dyDescent="0.3">
      <c r="A137">
        <v>96819.929839774777</v>
      </c>
      <c r="B137">
        <v>-3992.7719551861233</v>
      </c>
      <c r="C137">
        <v>95738.260478000957</v>
      </c>
      <c r="D137">
        <v>-3822.6104147486622</v>
      </c>
      <c r="E137">
        <v>-4.1857719551861232E-2</v>
      </c>
      <c r="F137">
        <v>70153.929839774763</v>
      </c>
      <c r="G137">
        <v>-4185.7719551861228</v>
      </c>
      <c r="H137">
        <v>73107.423859278337</v>
      </c>
      <c r="I137">
        <v>-3060.1100450607209</v>
      </c>
    </row>
    <row r="138" spans="1:9" x14ac:dyDescent="0.3">
      <c r="A138">
        <v>92821.157884588654</v>
      </c>
      <c r="B138">
        <v>1814.0589569161004</v>
      </c>
      <c r="C138">
        <v>91909.650063252295</v>
      </c>
      <c r="D138">
        <v>1667.2952392426728</v>
      </c>
      <c r="E138">
        <v>1.6210589569161004E-2</v>
      </c>
      <c r="F138">
        <v>65956.15788458864</v>
      </c>
      <c r="G138">
        <v>1621.0589569161004</v>
      </c>
      <c r="H138">
        <v>70035.313814217618</v>
      </c>
      <c r="I138">
        <v>1135.3137275896736</v>
      </c>
    </row>
    <row r="139" spans="1:9" x14ac:dyDescent="0.3">
      <c r="A139">
        <v>94629.216841504749</v>
      </c>
      <c r="B139">
        <v>1914.3491354324201</v>
      </c>
      <c r="C139">
        <v>93570.945302494962</v>
      </c>
      <c r="D139">
        <v>1791.2745824142551</v>
      </c>
      <c r="E139">
        <v>1.7213491354324199E-2</v>
      </c>
      <c r="F139">
        <v>67565.216841504734</v>
      </c>
      <c r="G139">
        <v>1721.3491354324199</v>
      </c>
      <c r="H139">
        <v>71158.627541807291</v>
      </c>
      <c r="I139">
        <v>1224.8884199764757</v>
      </c>
    </row>
    <row r="140" spans="1:9" x14ac:dyDescent="0.3">
      <c r="A140">
        <v>96537.56597693717</v>
      </c>
      <c r="B140">
        <v>1585.0288512478255</v>
      </c>
      <c r="C140">
        <v>95356.219884909224</v>
      </c>
      <c r="D140">
        <v>1511.4235966351273</v>
      </c>
      <c r="E140">
        <v>1.3920288512478255E-2</v>
      </c>
      <c r="F140">
        <v>69274.565976937156</v>
      </c>
      <c r="G140">
        <v>1392.0288512478255</v>
      </c>
      <c r="H140">
        <v>72371.515961783763</v>
      </c>
      <c r="I140">
        <v>1007.4323822734552</v>
      </c>
    </row>
    <row r="141" spans="1:9" x14ac:dyDescent="0.3">
      <c r="A141">
        <v>98116.594828185</v>
      </c>
      <c r="B141">
        <v>198.05129094746647</v>
      </c>
      <c r="C141">
        <v>96861.64348154435</v>
      </c>
      <c r="D141">
        <v>191.8357353481311</v>
      </c>
      <c r="E141">
        <v>5.0512909474664585E-5</v>
      </c>
      <c r="F141">
        <v>70654.594828184985</v>
      </c>
      <c r="G141">
        <v>5.0512909474664589</v>
      </c>
      <c r="H141">
        <v>73366.948344057222</v>
      </c>
      <c r="I141">
        <v>3.7059780201357553</v>
      </c>
    </row>
    <row r="142" spans="1:9" x14ac:dyDescent="0.3">
      <c r="A142">
        <v>98308.646119132463</v>
      </c>
      <c r="B142">
        <v>-1041.051707008023</v>
      </c>
      <c r="C142">
        <v>97047.479216892476</v>
      </c>
      <c r="D142">
        <v>-1010.3144389957154</v>
      </c>
      <c r="E142">
        <v>-1.2340517070080229E-2</v>
      </c>
      <c r="F142">
        <v>70647.646119132449</v>
      </c>
      <c r="G142">
        <v>-1234.051707008023</v>
      </c>
      <c r="H142">
        <v>73358.65432207736</v>
      </c>
      <c r="I142">
        <v>-905.28372589971036</v>
      </c>
    </row>
    <row r="143" spans="1:9" x14ac:dyDescent="0.3">
      <c r="A143">
        <v>97261.594412124439</v>
      </c>
      <c r="B143">
        <v>1038.1585497994013</v>
      </c>
      <c r="C143">
        <v>96031.16477789676</v>
      </c>
      <c r="D143">
        <v>996.95574761368641</v>
      </c>
      <c r="E143">
        <v>8.4515854979940134E-3</v>
      </c>
      <c r="F143">
        <v>69401.594412124425</v>
      </c>
      <c r="G143">
        <v>845.15854979940138</v>
      </c>
      <c r="H143">
        <v>72441.370596177643</v>
      </c>
      <c r="I143">
        <v>612.2444371854649</v>
      </c>
    </row>
    <row r="144" spans="1:9" x14ac:dyDescent="0.3">
      <c r="A144">
        <v>98293.752961923834</v>
      </c>
      <c r="B144">
        <v>2845.5165119285466</v>
      </c>
      <c r="C144">
        <v>97022.120525510443</v>
      </c>
      <c r="D144">
        <v>2760.7804597766153</v>
      </c>
      <c r="E144">
        <v>2.6525165119285467E-2</v>
      </c>
      <c r="F144">
        <v>70234.752961923819</v>
      </c>
      <c r="G144">
        <v>2652.5165119285466</v>
      </c>
      <c r="H144">
        <v>73041.615033363109</v>
      </c>
      <c r="I144">
        <v>1937.4408993392401</v>
      </c>
    </row>
    <row r="145" spans="1:9" x14ac:dyDescent="0.3">
      <c r="A145">
        <v>101133.26947385239</v>
      </c>
      <c r="B145">
        <v>-1401.1058996298545</v>
      </c>
      <c r="C145">
        <v>99776.900985287066</v>
      </c>
      <c r="D145">
        <v>-1397.9800461726954</v>
      </c>
      <c r="E145">
        <v>-1.5941058996298545E-2</v>
      </c>
      <c r="F145">
        <v>72875.269473852371</v>
      </c>
      <c r="G145">
        <v>-1594.1058996298545</v>
      </c>
      <c r="H145">
        <v>74967.055932702351</v>
      </c>
      <c r="I145">
        <v>-1195.054261402021</v>
      </c>
    </row>
    <row r="146" spans="1:9" x14ac:dyDescent="0.3">
      <c r="A146">
        <v>99726.163574222533</v>
      </c>
      <c r="B146">
        <v>313.04709059078567</v>
      </c>
      <c r="C146">
        <v>98372.920939114367</v>
      </c>
      <c r="D146">
        <v>307.95356692907131</v>
      </c>
      <c r="E146">
        <v>1.2004709059078567E-3</v>
      </c>
      <c r="F146">
        <v>71269.163574222519</v>
      </c>
      <c r="G146">
        <v>120.04709059078567</v>
      </c>
      <c r="H146">
        <v>73760.001671300328</v>
      </c>
      <c r="I146">
        <v>88.546736026110921</v>
      </c>
    </row>
    <row r="147" spans="1:9" x14ac:dyDescent="0.3">
      <c r="A147">
        <v>100033.21066481332</v>
      </c>
      <c r="B147">
        <v>-383.45617856822184</v>
      </c>
      <c r="C147">
        <v>98674.874506043445</v>
      </c>
      <c r="D147">
        <v>-378.37490298786275</v>
      </c>
      <c r="E147">
        <v>-5.7645617856822186E-3</v>
      </c>
      <c r="F147">
        <v>71377.210664813305</v>
      </c>
      <c r="G147">
        <v>-576.45617856822184</v>
      </c>
      <c r="H147">
        <v>73836.548407326438</v>
      </c>
      <c r="I147">
        <v>-425.63534533554929</v>
      </c>
    </row>
    <row r="148" spans="1:9" x14ac:dyDescent="0.3">
      <c r="A148">
        <v>99643.754486245103</v>
      </c>
      <c r="B148">
        <v>1737.0694827793509</v>
      </c>
      <c r="C148">
        <v>98290.499603055578</v>
      </c>
      <c r="D148">
        <v>1707.3742730760375</v>
      </c>
      <c r="E148">
        <v>1.544069482779351E-2</v>
      </c>
      <c r="F148">
        <v>70788.754486245089</v>
      </c>
      <c r="G148">
        <v>1544.0694827793511</v>
      </c>
      <c r="H148">
        <v>73398.913061990883</v>
      </c>
      <c r="I148">
        <v>1133.3302172819481</v>
      </c>
    </row>
    <row r="149" spans="1:9" x14ac:dyDescent="0.3">
      <c r="A149">
        <v>101374.82396902445</v>
      </c>
      <c r="B149">
        <v>-200.89559563242935</v>
      </c>
      <c r="C149">
        <v>99991.87387613162</v>
      </c>
      <c r="D149">
        <v>-200.87927060748214</v>
      </c>
      <c r="E149">
        <v>-3.9389559563242933E-3</v>
      </c>
      <c r="F149">
        <v>72320.823969024437</v>
      </c>
      <c r="G149">
        <v>-393.89559563242932</v>
      </c>
      <c r="H149">
        <v>74520.243279272836</v>
      </c>
      <c r="I149">
        <v>-293.53195613162711</v>
      </c>
    </row>
    <row r="150" spans="1:9" x14ac:dyDescent="0.3">
      <c r="A150">
        <v>101167.92837339202</v>
      </c>
      <c r="B150">
        <v>1248.6444149897525</v>
      </c>
      <c r="C150">
        <v>99784.994605524131</v>
      </c>
      <c r="D150">
        <v>1245.9597621397029</v>
      </c>
      <c r="E150">
        <v>1.0556444149897525E-2</v>
      </c>
      <c r="F150">
        <v>71914.928373392002</v>
      </c>
      <c r="G150">
        <v>1055.6444149897525</v>
      </c>
      <c r="H150">
        <v>74214.711323141208</v>
      </c>
      <c r="I150">
        <v>783.44345518350758</v>
      </c>
    </row>
    <row r="151" spans="1:9" x14ac:dyDescent="0.3">
      <c r="A151">
        <v>102410.57278838177</v>
      </c>
      <c r="B151">
        <v>-370.92213675472635</v>
      </c>
      <c r="C151">
        <v>101024.95436766383</v>
      </c>
      <c r="D151">
        <v>-374.72391939602591</v>
      </c>
      <c r="E151">
        <v>-5.6392213675472633E-3</v>
      </c>
      <c r="F151">
        <v>72958.57278838176</v>
      </c>
      <c r="G151">
        <v>-563.92213675472635</v>
      </c>
      <c r="H151">
        <v>74986.154778324722</v>
      </c>
      <c r="I151">
        <v>-422.86352629613509</v>
      </c>
    </row>
    <row r="152" spans="1:9" x14ac:dyDescent="0.3">
      <c r="A152">
        <v>102033.65065162705</v>
      </c>
      <c r="B152">
        <v>305.69354222392053</v>
      </c>
      <c r="C152">
        <v>100644.2304482678</v>
      </c>
      <c r="D152">
        <v>307.66291310131538</v>
      </c>
      <c r="E152">
        <v>1.1269354222392051E-3</v>
      </c>
      <c r="F152">
        <v>72382.650651627031</v>
      </c>
      <c r="G152">
        <v>112.69354222392052</v>
      </c>
      <c r="H152">
        <v>74551.29125202859</v>
      </c>
      <c r="I152">
        <v>84.014490885582802</v>
      </c>
    </row>
    <row r="153" spans="1:9" x14ac:dyDescent="0.3">
      <c r="A153">
        <v>102333.34419385096</v>
      </c>
      <c r="B153">
        <v>1300.0336875631483</v>
      </c>
      <c r="C153">
        <v>100945.89336136912</v>
      </c>
      <c r="D153">
        <v>1312.3306199093704</v>
      </c>
      <c r="E153">
        <v>1.1070336875631484E-2</v>
      </c>
      <c r="F153">
        <v>72483.34419385095</v>
      </c>
      <c r="G153">
        <v>1107.0336875631483</v>
      </c>
      <c r="H153">
        <v>74623.305742914177</v>
      </c>
      <c r="I153">
        <v>826.10513334730547</v>
      </c>
    </row>
    <row r="154" spans="1:9" x14ac:dyDescent="0.3">
      <c r="A154">
        <v>103627.37788141411</v>
      </c>
      <c r="B154">
        <v>956.79106994999779</v>
      </c>
      <c r="C154">
        <v>102252.22398127848</v>
      </c>
      <c r="D154">
        <v>978.3401478781426</v>
      </c>
      <c r="E154">
        <v>7.6379106994999774E-3</v>
      </c>
      <c r="F154">
        <v>73578.377881414097</v>
      </c>
      <c r="G154">
        <v>763.79106994999779</v>
      </c>
      <c r="H154">
        <v>75437.410876261478</v>
      </c>
      <c r="I154">
        <v>576.18420767437351</v>
      </c>
    </row>
    <row r="155" spans="1:9" x14ac:dyDescent="0.3">
      <c r="A155">
        <v>104578.1689513641</v>
      </c>
      <c r="B155">
        <v>-279.51280449720133</v>
      </c>
      <c r="C155">
        <v>103224.56412915663</v>
      </c>
      <c r="D155">
        <v>-288.52587412741781</v>
      </c>
      <c r="E155">
        <v>-4.7251280449720134E-3</v>
      </c>
      <c r="F155">
        <v>74330.168951364089</v>
      </c>
      <c r="G155">
        <v>-472.51280449720133</v>
      </c>
      <c r="H155">
        <v>76001.595083935856</v>
      </c>
      <c r="I155">
        <v>-359.11726839371244</v>
      </c>
    </row>
    <row r="156" spans="1:9" x14ac:dyDescent="0.3">
      <c r="A156">
        <v>104292.6561468669</v>
      </c>
      <c r="B156">
        <v>-808.93562739179413</v>
      </c>
      <c r="C156">
        <v>102930.03825502921</v>
      </c>
      <c r="D156">
        <v>-832.63775073293425</v>
      </c>
      <c r="E156">
        <v>-1.0019356273917941E-2</v>
      </c>
      <c r="F156">
        <v>73845.656146866881</v>
      </c>
      <c r="G156">
        <v>-1001.935627391794</v>
      </c>
      <c r="H156">
        <v>75630.477815542137</v>
      </c>
      <c r="I156">
        <v>-757.76870240056371</v>
      </c>
    </row>
    <row r="157" spans="1:9" x14ac:dyDescent="0.3">
      <c r="A157">
        <v>103477.7205194751</v>
      </c>
      <c r="B157">
        <v>325.10759513267834</v>
      </c>
      <c r="C157">
        <v>102091.40050429628</v>
      </c>
      <c r="D157">
        <v>331.90689701678866</v>
      </c>
      <c r="E157">
        <v>1.3210759513267833E-3</v>
      </c>
      <c r="F157">
        <v>72831.720519475086</v>
      </c>
      <c r="G157">
        <v>132.10759513267834</v>
      </c>
      <c r="H157">
        <v>74860.70911314158</v>
      </c>
      <c r="I157">
        <v>98.896682508641106</v>
      </c>
    </row>
    <row r="158" spans="1:9" x14ac:dyDescent="0.3">
      <c r="A158">
        <v>103796.82811460778</v>
      </c>
      <c r="B158">
        <v>158.92801495792799</v>
      </c>
      <c r="C158">
        <v>102417.30740131307</v>
      </c>
      <c r="D158">
        <v>162.76979362626594</v>
      </c>
      <c r="E158">
        <v>-3.4071985042072013E-4</v>
      </c>
      <c r="F158">
        <v>72951.828114607764</v>
      </c>
      <c r="G158">
        <v>-34.071985042072015</v>
      </c>
      <c r="H158">
        <v>74947.605795650219</v>
      </c>
      <c r="I158">
        <v>-25.536137036085041</v>
      </c>
    </row>
    <row r="159" spans="1:9" x14ac:dyDescent="0.3">
      <c r="A159">
        <v>103949.75612956571</v>
      </c>
      <c r="B159">
        <v>1225.2151141040051</v>
      </c>
      <c r="C159">
        <v>102574.07719493934</v>
      </c>
      <c r="D159">
        <v>1256.7530969451063</v>
      </c>
      <c r="E159">
        <v>1.0322151141040053E-2</v>
      </c>
      <c r="F159">
        <v>72905.756129565692</v>
      </c>
      <c r="G159">
        <v>1032.2151141040054</v>
      </c>
      <c r="H159">
        <v>74910.069658614128</v>
      </c>
      <c r="I159">
        <v>773.23306100205366</v>
      </c>
    </row>
    <row r="160" spans="1:9" x14ac:dyDescent="0.3">
      <c r="A160">
        <v>105168.97124366972</v>
      </c>
      <c r="B160">
        <v>-693.29601831828234</v>
      </c>
      <c r="C160">
        <v>103824.83029188444</v>
      </c>
      <c r="D160">
        <v>-719.81341443934866</v>
      </c>
      <c r="E160">
        <v>-8.8629601831828227E-3</v>
      </c>
      <c r="F160">
        <v>73925.971243669701</v>
      </c>
      <c r="G160">
        <v>-886.29601831828222</v>
      </c>
      <c r="H160">
        <v>75671.302719616186</v>
      </c>
      <c r="I160">
        <v>-670.67174301353225</v>
      </c>
    </row>
    <row r="161" spans="1:9" x14ac:dyDescent="0.3">
      <c r="A161">
        <v>104469.67522535143</v>
      </c>
      <c r="B161">
        <v>-1267.8338288266946</v>
      </c>
      <c r="C161">
        <v>103099.01687744509</v>
      </c>
      <c r="D161">
        <v>-1307.124213159992</v>
      </c>
      <c r="E161">
        <v>-1.4608338288266945E-2</v>
      </c>
      <c r="F161">
        <v>73027.675225351413</v>
      </c>
      <c r="G161">
        <v>-1460.8338288266946</v>
      </c>
      <c r="H161">
        <v>74988.630976602653</v>
      </c>
      <c r="I161">
        <v>-1095.4592890802253</v>
      </c>
    </row>
    <row r="162" spans="1:9" x14ac:dyDescent="0.3">
      <c r="A162">
        <v>103195.84139652473</v>
      </c>
      <c r="B162">
        <v>935.5700986266063</v>
      </c>
      <c r="C162">
        <v>101785.8926642851</v>
      </c>
      <c r="D162">
        <v>952.27837638722383</v>
      </c>
      <c r="E162">
        <v>7.4257009862660631E-3</v>
      </c>
      <c r="F162">
        <v>71554.841396524716</v>
      </c>
      <c r="G162">
        <v>742.5700986266063</v>
      </c>
      <c r="H162">
        <v>73881.171687522423</v>
      </c>
      <c r="I162">
        <v>548.61948946652763</v>
      </c>
    </row>
    <row r="163" spans="1:9" x14ac:dyDescent="0.3">
      <c r="A163">
        <v>104125.41149515133</v>
      </c>
      <c r="B163">
        <v>-986.61355319838594</v>
      </c>
      <c r="C163">
        <v>102732.17104067233</v>
      </c>
      <c r="D163">
        <v>-1013.5695229822205</v>
      </c>
      <c r="E163">
        <v>-1.1796135531983859E-2</v>
      </c>
      <c r="F163">
        <v>72285.411495151318</v>
      </c>
      <c r="G163">
        <v>-1179.6135531983859</v>
      </c>
      <c r="H163">
        <v>74417.791176988947</v>
      </c>
      <c r="I163">
        <v>-877.84235071463422</v>
      </c>
    </row>
    <row r="164" spans="1:9" x14ac:dyDescent="0.3">
      <c r="A164">
        <v>103132.79794195294</v>
      </c>
      <c r="B164">
        <v>3853.9553752535467</v>
      </c>
      <c r="C164">
        <v>101712.60151769011</v>
      </c>
      <c r="D164">
        <v>3919.9582735012386</v>
      </c>
      <c r="E164">
        <v>3.6609553752535468E-2</v>
      </c>
      <c r="F164">
        <v>71093.797941952929</v>
      </c>
      <c r="G164">
        <v>3660.9553752535467</v>
      </c>
      <c r="H164">
        <v>73527.948826274311</v>
      </c>
      <c r="I164">
        <v>2691.8253948691663</v>
      </c>
    </row>
    <row r="165" spans="1:9" x14ac:dyDescent="0.3">
      <c r="A165">
        <v>106980.75331720649</v>
      </c>
      <c r="B165">
        <v>-463.49581609479952</v>
      </c>
      <c r="C165">
        <v>105626.55979119135</v>
      </c>
      <c r="D165">
        <v>-489.5746853170437</v>
      </c>
      <c r="E165">
        <v>-6.5649581609479955E-3</v>
      </c>
      <c r="F165">
        <v>74742.753317206472</v>
      </c>
      <c r="G165">
        <v>-656.49581609479958</v>
      </c>
      <c r="H165">
        <v>76207.774221143482</v>
      </c>
      <c r="I165">
        <v>-500.30084930077817</v>
      </c>
    </row>
    <row r="166" spans="1:9" x14ac:dyDescent="0.3">
      <c r="A166">
        <v>106511.25750111169</v>
      </c>
      <c r="B166">
        <v>516.11317624650758</v>
      </c>
      <c r="C166">
        <v>105130.98510587431</v>
      </c>
      <c r="D166">
        <v>542.59486644917069</v>
      </c>
      <c r="E166">
        <v>3.2311317624650754E-3</v>
      </c>
      <c r="F166">
        <v>74074.257501111671</v>
      </c>
      <c r="G166">
        <v>323.11317624650752</v>
      </c>
      <c r="H166">
        <v>75695.473371842701</v>
      </c>
      <c r="I166">
        <v>244.58204828659029</v>
      </c>
    </row>
    <row r="167" spans="1:9" x14ac:dyDescent="0.3">
      <c r="A167">
        <v>107021.37067735819</v>
      </c>
      <c r="B167">
        <v>-1960.9060845534002</v>
      </c>
      <c r="C167">
        <v>105667.57997232348</v>
      </c>
      <c r="D167">
        <v>-2072.0420050776211</v>
      </c>
      <c r="E167">
        <v>-2.1539060845534003E-2</v>
      </c>
      <c r="F167">
        <v>74385.37067735818</v>
      </c>
      <c r="G167">
        <v>-2153.9060845534004</v>
      </c>
      <c r="H167">
        <v>75928.055420129298</v>
      </c>
      <c r="I167">
        <v>-1635.4190055772428</v>
      </c>
    </row>
    <row r="168" spans="1:9" x14ac:dyDescent="0.3">
      <c r="A168">
        <v>105054.4645928048</v>
      </c>
      <c r="B168">
        <v>-57.819299473539374</v>
      </c>
      <c r="C168">
        <v>103589.53796724587</v>
      </c>
      <c r="D168">
        <v>-59.894745180537655</v>
      </c>
      <c r="E168">
        <v>-2.5081929947353937E-3</v>
      </c>
      <c r="F168">
        <v>72219.464592804783</v>
      </c>
      <c r="G168">
        <v>-250.81929947353936</v>
      </c>
      <c r="H168">
        <v>74280.636414552049</v>
      </c>
      <c r="I168">
        <v>-186.31017189946624</v>
      </c>
    </row>
    <row r="169" spans="1:9" x14ac:dyDescent="0.3">
      <c r="A169">
        <v>104990.64529333125</v>
      </c>
      <c r="B169">
        <v>388.86272841888706</v>
      </c>
      <c r="C169">
        <v>103523.64322206532</v>
      </c>
      <c r="D169">
        <v>402.56486359195742</v>
      </c>
      <c r="E169">
        <v>1.9586272841888705E-3</v>
      </c>
      <c r="F169">
        <v>71956.645293331239</v>
      </c>
      <c r="G169">
        <v>195.86272841888706</v>
      </c>
      <c r="H169">
        <v>74082.326242652576</v>
      </c>
      <c r="I169">
        <v>145.09966545504051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B0186-4EE7-43DD-AD78-C4207E1DC15F}">
  <sheetPr>
    <tabColor rgb="FFFFFF00"/>
  </sheetPr>
  <dimension ref="A1:I169"/>
  <sheetViews>
    <sheetView topLeftCell="A142" workbookViewId="0">
      <selection activeCell="H3" sqref="H3:H169"/>
    </sheetView>
  </sheetViews>
  <sheetFormatPr baseColWidth="10" defaultRowHeight="14.4" x14ac:dyDescent="0.3"/>
  <sheetData>
    <row r="1" spans="1:9" x14ac:dyDescent="0.3">
      <c r="A1" t="s">
        <v>9</v>
      </c>
      <c r="C1" t="s">
        <v>10</v>
      </c>
      <c r="F1" t="s">
        <v>9</v>
      </c>
      <c r="H1" t="s">
        <v>10</v>
      </c>
    </row>
    <row r="2" spans="1:9" x14ac:dyDescent="0.3">
      <c r="A2" t="s">
        <v>12</v>
      </c>
      <c r="B2" t="s">
        <v>13</v>
      </c>
      <c r="C2" t="s">
        <v>12</v>
      </c>
      <c r="D2" t="s">
        <v>13</v>
      </c>
      <c r="F2" t="s">
        <v>12</v>
      </c>
      <c r="G2" t="s">
        <v>13</v>
      </c>
      <c r="H2" t="s">
        <v>12</v>
      </c>
      <c r="I2" t="s">
        <v>13</v>
      </c>
    </row>
    <row r="3" spans="1:9" x14ac:dyDescent="0.3">
      <c r="A3">
        <v>100000</v>
      </c>
      <c r="B3">
        <v>1407.0599851888487</v>
      </c>
      <c r="C3">
        <v>100000</v>
      </c>
      <c r="D3">
        <v>1407.0599851888487</v>
      </c>
      <c r="E3">
        <v>1.2140599851888489E-2</v>
      </c>
      <c r="F3">
        <v>100000</v>
      </c>
      <c r="G3">
        <v>1214.0599851888489</v>
      </c>
      <c r="H3">
        <v>100000</v>
      </c>
      <c r="I3">
        <v>1214.0599851888489</v>
      </c>
    </row>
    <row r="4" spans="1:9" x14ac:dyDescent="0.3">
      <c r="A4">
        <v>101401.05998518885</v>
      </c>
      <c r="B4">
        <v>-1532.7400146179964</v>
      </c>
      <c r="C4">
        <v>101401.05998518885</v>
      </c>
      <c r="D4">
        <v>-1554.2146216397869</v>
      </c>
      <c r="E4">
        <v>-1.7257400146179963E-2</v>
      </c>
      <c r="F4">
        <v>101202.05998518885</v>
      </c>
      <c r="G4">
        <v>-1725.7400146179964</v>
      </c>
      <c r="H4">
        <v>101202.05998518885</v>
      </c>
      <c r="I4">
        <v>-1746.4844447821115</v>
      </c>
    </row>
    <row r="5" spans="1:9" x14ac:dyDescent="0.3">
      <c r="A5">
        <v>99862.319970570854</v>
      </c>
      <c r="B5">
        <v>-2113.327169462415</v>
      </c>
      <c r="C5">
        <v>99840.845363549073</v>
      </c>
      <c r="D5">
        <v>-2109.9637112888381</v>
      </c>
      <c r="E5">
        <v>-2.306327169462415E-2</v>
      </c>
      <c r="F5">
        <v>99464.319970570854</v>
      </c>
      <c r="G5">
        <v>-2306.327169462415</v>
      </c>
      <c r="H5">
        <v>99443.575540406746</v>
      </c>
      <c r="I5">
        <v>-2293.4942009732813</v>
      </c>
    </row>
    <row r="6" spans="1:9" x14ac:dyDescent="0.3">
      <c r="A6">
        <v>97742.992801108441</v>
      </c>
      <c r="B6">
        <v>739.24731182795949</v>
      </c>
      <c r="C6">
        <v>97724.881652260228</v>
      </c>
      <c r="D6">
        <v>722.42856060138854</v>
      </c>
      <c r="E6">
        <v>5.4624731182795951E-3</v>
      </c>
      <c r="F6">
        <v>97145.992801108441</v>
      </c>
      <c r="G6">
        <v>546.24731182795949</v>
      </c>
      <c r="H6">
        <v>97138.081339433469</v>
      </c>
      <c r="I6">
        <v>530.61415807791207</v>
      </c>
    </row>
    <row r="7" spans="1:9" x14ac:dyDescent="0.3">
      <c r="A7">
        <v>98476.240112936401</v>
      </c>
      <c r="B7">
        <v>99.162626707798282</v>
      </c>
      <c r="C7">
        <v>98441.310212861616</v>
      </c>
      <c r="D7">
        <v>97.616988972645672</v>
      </c>
      <c r="E7">
        <v>-9.3837373292201729E-4</v>
      </c>
      <c r="F7">
        <v>97680.240112936401</v>
      </c>
      <c r="G7">
        <v>-93.837373292201733</v>
      </c>
      <c r="H7">
        <v>97656.695497511377</v>
      </c>
      <c r="I7">
        <v>-91.638477898828512</v>
      </c>
    </row>
    <row r="8" spans="1:9" x14ac:dyDescent="0.3">
      <c r="A8">
        <v>98569.402739644196</v>
      </c>
      <c r="B8">
        <v>454.25618293137728</v>
      </c>
      <c r="C8">
        <v>98532.92720183426</v>
      </c>
      <c r="D8">
        <v>447.59191403760502</v>
      </c>
      <c r="E8">
        <v>2.6125618293137724E-3</v>
      </c>
      <c r="F8">
        <v>97574.402739644196</v>
      </c>
      <c r="G8">
        <v>261.25618293137723</v>
      </c>
      <c r="H8">
        <v>97553.057019612548</v>
      </c>
      <c r="I8">
        <v>254.86339310230971</v>
      </c>
    </row>
    <row r="9" spans="1:9" x14ac:dyDescent="0.3">
      <c r="A9">
        <v>99017.658922575574</v>
      </c>
      <c r="B9">
        <v>1748.70466321244</v>
      </c>
      <c r="C9">
        <v>98974.519115871866</v>
      </c>
      <c r="D9">
        <v>1730.7720311713392</v>
      </c>
      <c r="E9">
        <v>1.5557046632124401E-2</v>
      </c>
      <c r="F9">
        <v>97823.658922575574</v>
      </c>
      <c r="G9">
        <v>1555.7046632124402</v>
      </c>
      <c r="H9">
        <v>97795.920412714855</v>
      </c>
      <c r="I9">
        <v>1521.4156942921315</v>
      </c>
    </row>
    <row r="10" spans="1:9" x14ac:dyDescent="0.3">
      <c r="A10">
        <v>100760.36358578801</v>
      </c>
      <c r="B10">
        <v>1254.3509635792445</v>
      </c>
      <c r="C10">
        <v>100699.2911470432</v>
      </c>
      <c r="D10">
        <v>1263.1225288204053</v>
      </c>
      <c r="E10">
        <v>1.0613509635792445E-2</v>
      </c>
      <c r="F10">
        <v>99367.363585788014</v>
      </c>
      <c r="G10">
        <v>1061.3509635792445</v>
      </c>
      <c r="H10">
        <v>99305.33610700698</v>
      </c>
      <c r="I10">
        <v>1053.978141657326</v>
      </c>
    </row>
    <row r="11" spans="1:9" x14ac:dyDescent="0.3">
      <c r="A11">
        <v>102008.71454936726</v>
      </c>
      <c r="B11">
        <v>898.48775652247082</v>
      </c>
      <c r="C11">
        <v>101956.4136758636</v>
      </c>
      <c r="D11">
        <v>916.06589386703649</v>
      </c>
      <c r="E11">
        <v>7.0548775652247075E-3</v>
      </c>
      <c r="F11">
        <v>100416.71454936726</v>
      </c>
      <c r="G11">
        <v>705.4877565224707</v>
      </c>
      <c r="H11">
        <v>100347.3142486643</v>
      </c>
      <c r="I11">
        <v>707.93801602345548</v>
      </c>
    </row>
    <row r="12" spans="1:9" x14ac:dyDescent="0.3">
      <c r="A12">
        <v>102901.20230588973</v>
      </c>
      <c r="B12">
        <v>1018.8861578538313</v>
      </c>
      <c r="C12">
        <v>102866.47956973064</v>
      </c>
      <c r="D12">
        <v>1048.0923214075249</v>
      </c>
      <c r="E12">
        <v>8.2588615785383138E-3</v>
      </c>
      <c r="F12">
        <v>101110.20230588973</v>
      </c>
      <c r="G12">
        <v>825.88615785383138</v>
      </c>
      <c r="H12">
        <v>101043.25226468776</v>
      </c>
      <c r="I12">
        <v>834.50223389938424</v>
      </c>
    </row>
    <row r="13" spans="1:9" x14ac:dyDescent="0.3">
      <c r="A13">
        <v>103914.08846374357</v>
      </c>
      <c r="B13">
        <v>-2453.0487300405421</v>
      </c>
      <c r="C13">
        <v>103908.57189113817</v>
      </c>
      <c r="D13">
        <v>-2548.9279031788287</v>
      </c>
      <c r="E13">
        <v>-2.6460487300405424E-2</v>
      </c>
      <c r="F13">
        <v>101924.08846374357</v>
      </c>
      <c r="G13">
        <v>-2646.0487300405425</v>
      </c>
      <c r="H13">
        <v>101865.75449858715</v>
      </c>
      <c r="I13">
        <v>-2695.417503256082</v>
      </c>
    </row>
    <row r="14" spans="1:9" x14ac:dyDescent="0.3">
      <c r="A14">
        <v>101455.03973370303</v>
      </c>
      <c r="B14">
        <v>-1070.7734311676084</v>
      </c>
      <c r="C14">
        <v>101353.64398795934</v>
      </c>
      <c r="D14">
        <v>-1085.2678913432746</v>
      </c>
      <c r="E14">
        <v>-1.2637734311676084E-2</v>
      </c>
      <c r="F14">
        <v>99266.03973370303</v>
      </c>
      <c r="G14">
        <v>-1263.7734311676084</v>
      </c>
      <c r="H14">
        <v>99158.336995331061</v>
      </c>
      <c r="I14">
        <v>-1253.1367177346353</v>
      </c>
    </row>
    <row r="15" spans="1:9" x14ac:dyDescent="0.3">
      <c r="A15">
        <v>100378.26630253543</v>
      </c>
      <c r="B15">
        <v>2204.8182514684631</v>
      </c>
      <c r="C15">
        <v>100262.37609661606</v>
      </c>
      <c r="D15">
        <v>2210.6031675341446</v>
      </c>
      <c r="E15">
        <v>2.011818251468463E-2</v>
      </c>
      <c r="F15">
        <v>97990.266302535427</v>
      </c>
      <c r="G15">
        <v>2011.8182514684629</v>
      </c>
      <c r="H15">
        <v>97893.200277596421</v>
      </c>
      <c r="I15">
        <v>1969.433270131261</v>
      </c>
    </row>
    <row r="16" spans="1:9" x14ac:dyDescent="0.3">
      <c r="A16">
        <v>102577.08455400389</v>
      </c>
      <c r="B16">
        <v>-670.30526905597321</v>
      </c>
      <c r="C16">
        <v>102466.97926415021</v>
      </c>
      <c r="D16">
        <v>-686.84156105009038</v>
      </c>
      <c r="E16">
        <v>-8.6330526905597314E-3</v>
      </c>
      <c r="F16">
        <v>99990.084554003886</v>
      </c>
      <c r="G16">
        <v>-863.3052690559731</v>
      </c>
      <c r="H16">
        <v>99850.633547727688</v>
      </c>
      <c r="I16">
        <v>-862.01578060330428</v>
      </c>
    </row>
    <row r="17" spans="1:9" x14ac:dyDescent="0.3">
      <c r="A17">
        <v>101900.77928494792</v>
      </c>
      <c r="B17">
        <v>374.49330233132224</v>
      </c>
      <c r="C17">
        <v>101774.13770310012</v>
      </c>
      <c r="D17">
        <v>381.13732920356699</v>
      </c>
      <c r="E17">
        <v>1.8149330233132226E-3</v>
      </c>
      <c r="F17">
        <v>99114.779284947916</v>
      </c>
      <c r="G17">
        <v>181.49330233132227</v>
      </c>
      <c r="H17">
        <v>98976.617767124379</v>
      </c>
      <c r="I17">
        <v>179.63593212140427</v>
      </c>
    </row>
    <row r="18" spans="1:9" x14ac:dyDescent="0.3">
      <c r="A18">
        <v>102269.27258727924</v>
      </c>
      <c r="B18">
        <v>2839.3795667222194</v>
      </c>
      <c r="C18">
        <v>102149.27503230369</v>
      </c>
      <c r="D18">
        <v>2900.4056428221129</v>
      </c>
      <c r="E18">
        <v>2.6463795667222192E-2</v>
      </c>
      <c r="F18">
        <v>99284.272587279236</v>
      </c>
      <c r="G18">
        <v>2646.3795667222194</v>
      </c>
      <c r="H18">
        <v>99144.25369924579</v>
      </c>
      <c r="I18">
        <v>2623.7332714760787</v>
      </c>
    </row>
    <row r="19" spans="1:9" x14ac:dyDescent="0.3">
      <c r="A19">
        <v>105102.65215400145</v>
      </c>
      <c r="B19">
        <v>-1688.8360558299589</v>
      </c>
      <c r="C19">
        <v>105043.6806751258</v>
      </c>
      <c r="D19">
        <v>-1774.0155536124112</v>
      </c>
      <c r="E19">
        <v>-1.881836055829959E-2</v>
      </c>
      <c r="F19">
        <v>101918.65215400145</v>
      </c>
      <c r="G19">
        <v>-1881.8360558299589</v>
      </c>
      <c r="H19">
        <v>101755.98697072187</v>
      </c>
      <c r="I19">
        <v>-1914.8808517806794</v>
      </c>
    </row>
    <row r="20" spans="1:9" x14ac:dyDescent="0.3">
      <c r="A20">
        <v>103407.81609817149</v>
      </c>
      <c r="B20">
        <v>209.04102430101176</v>
      </c>
      <c r="C20">
        <v>103263.66512151339</v>
      </c>
      <c r="D20">
        <v>215.86342330077821</v>
      </c>
      <c r="E20">
        <v>1.6041024301011761E-4</v>
      </c>
      <c r="F20">
        <v>100024.81609817149</v>
      </c>
      <c r="G20">
        <v>16.04102430101176</v>
      </c>
      <c r="H20">
        <v>99829.106118941199</v>
      </c>
      <c r="I20">
        <v>16.013611172022177</v>
      </c>
    </row>
    <row r="21" spans="1:9" x14ac:dyDescent="0.3">
      <c r="A21">
        <v>103610.8571224725</v>
      </c>
      <c r="B21">
        <v>593.56898704381717</v>
      </c>
      <c r="C21">
        <v>103473.52854481417</v>
      </c>
      <c r="D21">
        <v>614.18677524194845</v>
      </c>
      <c r="E21">
        <v>4.005689870438171E-3</v>
      </c>
      <c r="F21">
        <v>100028.8571224725</v>
      </c>
      <c r="G21">
        <v>400.56898704381712</v>
      </c>
      <c r="H21">
        <v>99833.11973011322</v>
      </c>
      <c r="I21">
        <v>399.90051643715566</v>
      </c>
    </row>
    <row r="22" spans="1:9" x14ac:dyDescent="0.3">
      <c r="A22">
        <v>104198.42610951632</v>
      </c>
      <c r="B22">
        <v>-1746.8593480581308</v>
      </c>
      <c r="C22">
        <v>104081.71532005612</v>
      </c>
      <c r="D22">
        <v>-1818.1611736876519</v>
      </c>
      <c r="E22">
        <v>-1.939859348058131E-2</v>
      </c>
      <c r="F22">
        <v>100417.42610951632</v>
      </c>
      <c r="G22">
        <v>-1939.859348058131</v>
      </c>
      <c r="H22">
        <v>100221.02024655038</v>
      </c>
      <c r="I22">
        <v>-1944.1468299719397</v>
      </c>
    </row>
    <row r="23" spans="1:9" x14ac:dyDescent="0.3">
      <c r="A23">
        <v>102445.56676145819</v>
      </c>
      <c r="B23">
        <v>1956.6313666162357</v>
      </c>
      <c r="C23">
        <v>102257.55414636846</v>
      </c>
      <c r="D23">
        <v>2000.8033791624264</v>
      </c>
      <c r="E23">
        <v>1.7636313666162355E-2</v>
      </c>
      <c r="F23">
        <v>98465.566761458191</v>
      </c>
      <c r="G23">
        <v>1763.6313666162355</v>
      </c>
      <c r="H23">
        <v>98264.873416578441</v>
      </c>
      <c r="I23">
        <v>1733.0301299405162</v>
      </c>
    </row>
    <row r="24" spans="1:9" x14ac:dyDescent="0.3">
      <c r="A24">
        <v>104396.19812807442</v>
      </c>
      <c r="B24">
        <v>-2106.6846725185605</v>
      </c>
      <c r="C24">
        <v>104252.3575255309</v>
      </c>
      <c r="D24">
        <v>-2196.2684367296097</v>
      </c>
      <c r="E24">
        <v>-2.2996846725185607E-2</v>
      </c>
      <c r="F24">
        <v>100217.19812807442</v>
      </c>
      <c r="G24">
        <v>-2299.6846725185605</v>
      </c>
      <c r="H24">
        <v>99985.903546518952</v>
      </c>
      <c r="I24">
        <v>-2299.3604985384882</v>
      </c>
    </row>
    <row r="25" spans="1:9" x14ac:dyDescent="0.3">
      <c r="A25">
        <v>102283.51345555586</v>
      </c>
      <c r="B25">
        <v>466.13760690345163</v>
      </c>
      <c r="C25">
        <v>102050.08908880129</v>
      </c>
      <c r="D25">
        <v>475.69384312137873</v>
      </c>
      <c r="E25">
        <v>2.7313760690345157E-3</v>
      </c>
      <c r="F25">
        <v>97905.513455555862</v>
      </c>
      <c r="G25">
        <v>273.13760690345157</v>
      </c>
      <c r="H25">
        <v>97674.543047980464</v>
      </c>
      <c r="I25">
        <v>266.78590943513547</v>
      </c>
    </row>
    <row r="26" spans="1:9" x14ac:dyDescent="0.3">
      <c r="A26">
        <v>102743.65106245931</v>
      </c>
      <c r="B26">
        <v>48.678855852172042</v>
      </c>
      <c r="C26">
        <v>102519.78293192267</v>
      </c>
      <c r="D26">
        <v>49.905457353390318</v>
      </c>
      <c r="E26">
        <v>-1.4432114414782795E-3</v>
      </c>
      <c r="F26">
        <v>98166.651062459307</v>
      </c>
      <c r="G26">
        <v>-144.32114414782797</v>
      </c>
      <c r="H26">
        <v>97929.328957415593</v>
      </c>
      <c r="I26">
        <v>-141.33272800763237</v>
      </c>
    </row>
    <row r="27" spans="1:9" x14ac:dyDescent="0.3">
      <c r="A27">
        <v>102786.32991831147</v>
      </c>
      <c r="B27">
        <v>-2733.415233415235</v>
      </c>
      <c r="C27">
        <v>102563.68838927607</v>
      </c>
      <c r="D27">
        <v>-2803.4914823850045</v>
      </c>
      <c r="E27">
        <v>-2.926415233415235E-2</v>
      </c>
      <c r="F27">
        <v>98010.329918311472</v>
      </c>
      <c r="G27">
        <v>-2926.415233415235</v>
      </c>
      <c r="H27">
        <v>97775.99622940796</v>
      </c>
      <c r="I27">
        <v>-2861.3316482809005</v>
      </c>
    </row>
    <row r="28" spans="1:9" x14ac:dyDescent="0.3">
      <c r="A28">
        <v>100046.91468489624</v>
      </c>
      <c r="B28">
        <v>-2249.0430578194487</v>
      </c>
      <c r="C28">
        <v>99754.196906891069</v>
      </c>
      <c r="D28">
        <v>-2243.5148404179768</v>
      </c>
      <c r="E28">
        <v>-2.4420430578194489E-2</v>
      </c>
      <c r="F28">
        <v>95071.914684896241</v>
      </c>
      <c r="G28">
        <v>-2442.0430578194487</v>
      </c>
      <c r="H28">
        <v>94902.664581127057</v>
      </c>
      <c r="I28">
        <v>-2317.56393208909</v>
      </c>
    </row>
    <row r="29" spans="1:9" x14ac:dyDescent="0.3">
      <c r="A29">
        <v>97791.871627076791</v>
      </c>
      <c r="B29">
        <v>-3744.3405871184441</v>
      </c>
      <c r="C29">
        <v>97504.682066473091</v>
      </c>
      <c r="D29">
        <v>-3650.9073849557512</v>
      </c>
      <c r="E29">
        <v>-3.9373405871184444E-2</v>
      </c>
      <c r="F29">
        <v>92617.871627076791</v>
      </c>
      <c r="G29">
        <v>-3937.3405871184445</v>
      </c>
      <c r="H29">
        <v>92573.100649037966</v>
      </c>
      <c r="I29">
        <v>-3644.9182646085801</v>
      </c>
    </row>
    <row r="30" spans="1:9" x14ac:dyDescent="0.3">
      <c r="A30">
        <v>94041.531039958354</v>
      </c>
      <c r="B30">
        <v>-462.02604146780578</v>
      </c>
      <c r="C30">
        <v>93847.774681517345</v>
      </c>
      <c r="D30">
        <v>-433.60115836664028</v>
      </c>
      <c r="E30">
        <v>-6.550260414678058E-3</v>
      </c>
      <c r="F30">
        <v>88668.53103995834</v>
      </c>
      <c r="G30">
        <v>-655.02604146780584</v>
      </c>
      <c r="H30">
        <v>88916.182384429383</v>
      </c>
      <c r="I30">
        <v>-582.42414969702224</v>
      </c>
    </row>
    <row r="31" spans="1:9" x14ac:dyDescent="0.3">
      <c r="A31">
        <v>93573.504998490549</v>
      </c>
      <c r="B31">
        <v>-1431.6954189484854</v>
      </c>
      <c r="C31">
        <v>93408.173523150705</v>
      </c>
      <c r="D31">
        <v>-1337.3205412544007</v>
      </c>
      <c r="E31">
        <v>-1.6246954189484856E-2</v>
      </c>
      <c r="F31">
        <v>88001.504998490534</v>
      </c>
      <c r="G31">
        <v>-1624.6954189484857</v>
      </c>
      <c r="H31">
        <v>88321.758234732362</v>
      </c>
      <c r="I31">
        <v>-1434.9595599744534</v>
      </c>
    </row>
    <row r="32" spans="1:9" x14ac:dyDescent="0.3">
      <c r="A32">
        <v>92135.809579542067</v>
      </c>
      <c r="B32">
        <v>-95.433856996032489</v>
      </c>
      <c r="C32">
        <v>92064.8529818963</v>
      </c>
      <c r="D32">
        <v>-87.861040138350475</v>
      </c>
      <c r="E32">
        <v>-2.8843385699603248E-3</v>
      </c>
      <c r="F32">
        <v>86364.809579542052</v>
      </c>
      <c r="G32">
        <v>-288.43385699603249</v>
      </c>
      <c r="H32">
        <v>86874.798674757913</v>
      </c>
      <c r="I32">
        <v>-250.57633257514235</v>
      </c>
    </row>
    <row r="33" spans="1:9" x14ac:dyDescent="0.3">
      <c r="A33">
        <v>92034.375722546029</v>
      </c>
      <c r="B33">
        <v>228.82869474624539</v>
      </c>
      <c r="C33">
        <v>91970.991941757951</v>
      </c>
      <c r="D33">
        <v>210.45602040549926</v>
      </c>
      <c r="E33">
        <v>3.5828694746245396E-4</v>
      </c>
      <c r="F33">
        <v>86064.375722546014</v>
      </c>
      <c r="G33">
        <v>35.828694746245397</v>
      </c>
      <c r="H33">
        <v>86612.222342182766</v>
      </c>
      <c r="I33">
        <v>31.032028755920017</v>
      </c>
    </row>
    <row r="34" spans="1:9" x14ac:dyDescent="0.3">
      <c r="A34">
        <v>92257.204417292276</v>
      </c>
      <c r="B34">
        <v>-694.97045902137404</v>
      </c>
      <c r="C34">
        <v>92175.447962163453</v>
      </c>
      <c r="D34">
        <v>-640.59213380765516</v>
      </c>
      <c r="E34">
        <v>-8.8797045902137411E-3</v>
      </c>
      <c r="F34">
        <v>86088.204417292261</v>
      </c>
      <c r="G34">
        <v>-887.97045902137415</v>
      </c>
      <c r="H34">
        <v>86631.254370938681</v>
      </c>
      <c r="I34">
        <v>-769.25994709359838</v>
      </c>
    </row>
    <row r="35" spans="1:9" x14ac:dyDescent="0.3">
      <c r="A35">
        <v>91556.233958270896</v>
      </c>
      <c r="B35">
        <v>553.05044899217717</v>
      </c>
      <c r="C35">
        <v>91528.855828355794</v>
      </c>
      <c r="D35">
        <v>506.20074811612426</v>
      </c>
      <c r="E35">
        <v>3.6005044899217716E-3</v>
      </c>
      <c r="F35">
        <v>85188.233958270881</v>
      </c>
      <c r="G35">
        <v>360.05044899217717</v>
      </c>
      <c r="H35">
        <v>85849.994423845084</v>
      </c>
      <c r="I35">
        <v>309.10329038281327</v>
      </c>
    </row>
    <row r="36" spans="1:9" x14ac:dyDescent="0.3">
      <c r="A36">
        <v>92103.284407263069</v>
      </c>
      <c r="B36">
        <v>666.15575075163326</v>
      </c>
      <c r="C36">
        <v>92029.056576471921</v>
      </c>
      <c r="D36">
        <v>613.05685274664177</v>
      </c>
      <c r="E36">
        <v>4.7315575075163319E-3</v>
      </c>
      <c r="F36">
        <v>85536.284407263054</v>
      </c>
      <c r="G36">
        <v>473.15575075163321</v>
      </c>
      <c r="H36">
        <v>86147.097714227901</v>
      </c>
      <c r="I36">
        <v>407.60994694049805</v>
      </c>
    </row>
    <row r="37" spans="1:9" x14ac:dyDescent="0.3">
      <c r="A37">
        <v>92763.440158014695</v>
      </c>
      <c r="B37">
        <v>925.14221601086331</v>
      </c>
      <c r="C37">
        <v>92636.11342921856</v>
      </c>
      <c r="D37">
        <v>857.0157926054095</v>
      </c>
      <c r="E37">
        <v>7.3214221601086331E-3</v>
      </c>
      <c r="F37">
        <v>85997.44015801468</v>
      </c>
      <c r="G37">
        <v>732.14221601086331</v>
      </c>
      <c r="H37">
        <v>86542.707661168402</v>
      </c>
      <c r="I37">
        <v>633.61569766628156</v>
      </c>
    </row>
    <row r="38" spans="1:9" x14ac:dyDescent="0.3">
      <c r="A38">
        <v>93682.582374025558</v>
      </c>
      <c r="B38">
        <v>-299.39533882550393</v>
      </c>
      <c r="C38">
        <v>93487.129221823969</v>
      </c>
      <c r="D38">
        <v>-279.89610729191656</v>
      </c>
      <c r="E38">
        <v>-4.9239533882550392E-3</v>
      </c>
      <c r="F38">
        <v>86717.582374025544</v>
      </c>
      <c r="G38">
        <v>-492.39533882550393</v>
      </c>
      <c r="H38">
        <v>87164.323358834677</v>
      </c>
      <c r="I38">
        <v>-429.19306533769185</v>
      </c>
    </row>
    <row r="39" spans="1:9" x14ac:dyDescent="0.3">
      <c r="A39">
        <v>93377.187035200055</v>
      </c>
      <c r="B39">
        <v>200.19619226842306</v>
      </c>
      <c r="C39">
        <v>93201.23311453205</v>
      </c>
      <c r="D39">
        <v>186.58531984250976</v>
      </c>
      <c r="E39">
        <v>7.1961922684230612E-5</v>
      </c>
      <c r="F39">
        <v>86213.187035200041</v>
      </c>
      <c r="G39">
        <v>7.1961922684230615</v>
      </c>
      <c r="H39">
        <v>86723.130293496986</v>
      </c>
      <c r="I39">
        <v>6.2407631971150881</v>
      </c>
    </row>
    <row r="40" spans="1:9" x14ac:dyDescent="0.3">
      <c r="A40">
        <v>93571.383227468483</v>
      </c>
      <c r="B40">
        <v>-1024.8699127475629</v>
      </c>
      <c r="C40">
        <v>93381.818434374552</v>
      </c>
      <c r="D40">
        <v>-957.04216111046208</v>
      </c>
      <c r="E40">
        <v>-1.2178699127475628E-2</v>
      </c>
      <c r="F40">
        <v>86208.383227468468</v>
      </c>
      <c r="G40">
        <v>-1217.8699127475629</v>
      </c>
      <c r="H40">
        <v>86717.371056694101</v>
      </c>
      <c r="I40">
        <v>-1056.1047712251407</v>
      </c>
    </row>
    <row r="41" spans="1:9" x14ac:dyDescent="0.3">
      <c r="A41">
        <v>92540.513314720913</v>
      </c>
      <c r="B41">
        <v>-216.97639377197069</v>
      </c>
      <c r="C41">
        <v>92418.776273264084</v>
      </c>
      <c r="D41">
        <v>-200.52692792591409</v>
      </c>
      <c r="E41">
        <v>-4.0997639377197068E-3</v>
      </c>
      <c r="F41">
        <v>84978.513314720913</v>
      </c>
      <c r="G41">
        <v>-409.97639377197066</v>
      </c>
      <c r="H41">
        <v>85649.266285468955</v>
      </c>
      <c r="I41">
        <v>-351.14177320931793</v>
      </c>
    </row>
    <row r="42" spans="1:9" x14ac:dyDescent="0.3">
      <c r="A42">
        <v>92317.536920948944</v>
      </c>
      <c r="B42">
        <v>-1841.1509185828734</v>
      </c>
      <c r="C42">
        <v>92212.249345338176</v>
      </c>
      <c r="D42">
        <v>-1697.7666758676235</v>
      </c>
      <c r="E42">
        <v>-2.0341509185828735E-2</v>
      </c>
      <c r="F42">
        <v>84556.536920948944</v>
      </c>
      <c r="G42">
        <v>-2034.1509185828736</v>
      </c>
      <c r="H42">
        <v>85286.12451225963</v>
      </c>
      <c r="I42">
        <v>-1734.8484851898625</v>
      </c>
    </row>
    <row r="43" spans="1:9" x14ac:dyDescent="0.3">
      <c r="A43">
        <v>90470.386002366067</v>
      </c>
      <c r="B43">
        <v>1852.1523917718171</v>
      </c>
      <c r="C43">
        <v>90508.482669470555</v>
      </c>
      <c r="D43">
        <v>1676.3550265189795</v>
      </c>
      <c r="E43">
        <v>1.6591523917718169E-2</v>
      </c>
      <c r="F43">
        <v>82510.386002366067</v>
      </c>
      <c r="G43">
        <v>1659.1523917718168</v>
      </c>
      <c r="H43">
        <v>83539.276027069762</v>
      </c>
      <c r="I43">
        <v>1386.0438962719879</v>
      </c>
    </row>
    <row r="44" spans="1:9" x14ac:dyDescent="0.3">
      <c r="A44">
        <v>92316.538394137882</v>
      </c>
      <c r="B44">
        <v>1238.7766832497573</v>
      </c>
      <c r="C44">
        <v>92178.837695989539</v>
      </c>
      <c r="D44">
        <v>1141.8899482685561</v>
      </c>
      <c r="E44">
        <v>1.0457766832497573E-2</v>
      </c>
      <c r="F44">
        <v>84157.538394137882</v>
      </c>
      <c r="G44">
        <v>1045.7766832497573</v>
      </c>
      <c r="H44">
        <v>84913.319923341754</v>
      </c>
      <c r="I44">
        <v>888.00370073157876</v>
      </c>
    </row>
    <row r="45" spans="1:9" x14ac:dyDescent="0.3">
      <c r="A45">
        <v>93549.31507738764</v>
      </c>
      <c r="B45">
        <v>183.28588698669049</v>
      </c>
      <c r="C45">
        <v>93314.727644258091</v>
      </c>
      <c r="D45">
        <v>171.03272625199293</v>
      </c>
      <c r="E45">
        <v>-9.7141130133095079E-5</v>
      </c>
      <c r="F45">
        <v>85191.31507738764</v>
      </c>
      <c r="G45">
        <v>-9.7141130133095075</v>
      </c>
      <c r="H45">
        <v>85789.323624073339</v>
      </c>
      <c r="I45">
        <v>-8.3336718501963158</v>
      </c>
    </row>
    <row r="46" spans="1:9" x14ac:dyDescent="0.3">
      <c r="A46">
        <v>93726.600964374331</v>
      </c>
      <c r="B46">
        <v>-763.12040127252283</v>
      </c>
      <c r="C46">
        <v>93479.760370510077</v>
      </c>
      <c r="D46">
        <v>-713.36312244802923</v>
      </c>
      <c r="E46">
        <v>-9.5612040127252274E-3</v>
      </c>
      <c r="F46">
        <v>85169.600964374331</v>
      </c>
      <c r="G46">
        <v>-956.12040127252271</v>
      </c>
      <c r="H46">
        <v>85768.989952223143</v>
      </c>
      <c r="I46">
        <v>-820.05481089858563</v>
      </c>
    </row>
    <row r="47" spans="1:9" x14ac:dyDescent="0.3">
      <c r="A47">
        <v>92957.48056310181</v>
      </c>
      <c r="B47">
        <v>125.93962769097296</v>
      </c>
      <c r="C47">
        <v>92760.397248062043</v>
      </c>
      <c r="D47">
        <v>116.82209893887686</v>
      </c>
      <c r="E47">
        <v>-6.7060372309027047E-4</v>
      </c>
      <c r="F47">
        <v>84201.48056310181</v>
      </c>
      <c r="G47">
        <v>-67.060372309027045</v>
      </c>
      <c r="H47">
        <v>84936.93514132456</v>
      </c>
      <c r="I47">
        <v>-56.959024933649076</v>
      </c>
    </row>
    <row r="48" spans="1:9" x14ac:dyDescent="0.3">
      <c r="A48">
        <v>93077.420190792778</v>
      </c>
      <c r="B48">
        <v>-1416.4029226741686</v>
      </c>
      <c r="C48">
        <v>92871.219347000922</v>
      </c>
      <c r="D48">
        <v>-1315.4306651540589</v>
      </c>
      <c r="E48">
        <v>-1.6094029226741687E-2</v>
      </c>
      <c r="F48">
        <v>84122.420190792778</v>
      </c>
      <c r="G48">
        <v>-1609.4029226741686</v>
      </c>
      <c r="H48">
        <v>84867.976116390913</v>
      </c>
      <c r="I48">
        <v>-1365.8676880316109</v>
      </c>
    </row>
    <row r="49" spans="1:9" x14ac:dyDescent="0.3">
      <c r="A49">
        <v>91655.017268118609</v>
      </c>
      <c r="B49">
        <v>-955.94678562893557</v>
      </c>
      <c r="C49">
        <v>91549.788681846869</v>
      </c>
      <c r="D49">
        <v>-875.16726215419817</v>
      </c>
      <c r="E49">
        <v>-1.1489467856289355E-2</v>
      </c>
      <c r="F49">
        <v>82501.017268118609</v>
      </c>
      <c r="G49">
        <v>-1148.9467856289355</v>
      </c>
      <c r="H49">
        <v>83490.108428359308</v>
      </c>
      <c r="I49">
        <v>-959.25691710574722</v>
      </c>
    </row>
    <row r="50" spans="1:9" x14ac:dyDescent="0.3">
      <c r="A50">
        <v>90693.070482489667</v>
      </c>
      <c r="B50">
        <v>-2622.5930939728887</v>
      </c>
      <c r="C50">
        <v>90668.621419692674</v>
      </c>
      <c r="D50">
        <v>-2377.8690037532833</v>
      </c>
      <c r="E50">
        <v>-2.8155930939728888E-2</v>
      </c>
      <c r="F50">
        <v>81340.070482489667</v>
      </c>
      <c r="G50">
        <v>-2815.5930939728887</v>
      </c>
      <c r="H50">
        <v>82518.851511253568</v>
      </c>
      <c r="I50">
        <v>-2323.3950843765983</v>
      </c>
    </row>
    <row r="51" spans="1:9" x14ac:dyDescent="0.3">
      <c r="A51">
        <v>88064.477388516782</v>
      </c>
      <c r="B51">
        <v>1387.4294609846265</v>
      </c>
      <c r="C51">
        <v>88284.752415939394</v>
      </c>
      <c r="D51">
        <v>1224.8886645760801</v>
      </c>
      <c r="E51">
        <v>1.1944294609846267E-2</v>
      </c>
      <c r="F51">
        <v>78512.477388516782</v>
      </c>
      <c r="G51">
        <v>1194.4294609846268</v>
      </c>
      <c r="H51">
        <v>80183.456426876975</v>
      </c>
      <c r="I51">
        <v>957.7348263983896</v>
      </c>
    </row>
    <row r="52" spans="1:9" x14ac:dyDescent="0.3">
      <c r="A52">
        <v>89445.906849501407</v>
      </c>
      <c r="B52">
        <v>2065.5270655270688</v>
      </c>
      <c r="C52">
        <v>89503.641080515474</v>
      </c>
      <c r="D52">
        <v>1848.7219311502513</v>
      </c>
      <c r="E52">
        <v>1.8725270655270687E-2</v>
      </c>
      <c r="F52">
        <v>79694.906849501407</v>
      </c>
      <c r="G52">
        <v>1872.5270655270688</v>
      </c>
      <c r="H52">
        <v>81129.191253275363</v>
      </c>
      <c r="I52">
        <v>1519.1660642608006</v>
      </c>
    </row>
    <row r="53" spans="1:9" x14ac:dyDescent="0.3">
      <c r="A53">
        <v>91505.43391502848</v>
      </c>
      <c r="B53">
        <v>-4160.6913729337975</v>
      </c>
      <c r="C53">
        <v>91346.36301166573</v>
      </c>
      <c r="D53">
        <v>-3800.6402453151654</v>
      </c>
      <c r="E53">
        <v>-4.3536913729337975E-2</v>
      </c>
      <c r="F53">
        <v>81555.43391502848</v>
      </c>
      <c r="G53">
        <v>-4353.6913729337975</v>
      </c>
      <c r="H53">
        <v>82636.357317536167</v>
      </c>
      <c r="I53">
        <v>-3597.7319594403189</v>
      </c>
    </row>
    <row r="54" spans="1:9" x14ac:dyDescent="0.3">
      <c r="A54">
        <v>87338.742542094682</v>
      </c>
      <c r="B54">
        <v>-418.74090182054186</v>
      </c>
      <c r="C54">
        <v>87539.722766350562</v>
      </c>
      <c r="D54">
        <v>-366.56462456301853</v>
      </c>
      <c r="E54">
        <v>-6.1174090182054188E-3</v>
      </c>
      <c r="F54">
        <v>77189.742542094682</v>
      </c>
      <c r="G54">
        <v>-611.74090182054192</v>
      </c>
      <c r="H54">
        <v>79026.625358095844</v>
      </c>
      <c r="I54">
        <v>-483.43819064395655</v>
      </c>
    </row>
    <row r="55" spans="1:9" x14ac:dyDescent="0.3">
      <c r="A55">
        <v>86914.001640274146</v>
      </c>
      <c r="B55">
        <v>-1832.8432522143996</v>
      </c>
      <c r="C55">
        <v>87167.158141787542</v>
      </c>
      <c r="D55">
        <v>-1597.6373761488076</v>
      </c>
      <c r="E55">
        <v>-2.0258432522143998E-2</v>
      </c>
      <c r="F55">
        <v>76566.001640274146</v>
      </c>
      <c r="G55">
        <v>-2025.8432522143999</v>
      </c>
      <c r="H55">
        <v>78531.187167451892</v>
      </c>
      <c r="I55">
        <v>-1590.9187561156848</v>
      </c>
    </row>
    <row r="56" spans="1:9" x14ac:dyDescent="0.3">
      <c r="A56">
        <v>85075.158388059746</v>
      </c>
      <c r="B56">
        <v>-436.75274335316504</v>
      </c>
      <c r="C56">
        <v>85563.520765638736</v>
      </c>
      <c r="D56">
        <v>-373.70102425348222</v>
      </c>
      <c r="E56">
        <v>-6.2975274335316505E-3</v>
      </c>
      <c r="F56">
        <v>74528.158388059746</v>
      </c>
      <c r="G56">
        <v>-629.7527433531651</v>
      </c>
      <c r="H56">
        <v>76928.268411336205</v>
      </c>
      <c r="I56">
        <v>-484.45788073447602</v>
      </c>
    </row>
    <row r="57" spans="1:9" x14ac:dyDescent="0.3">
      <c r="A57">
        <v>84632.405644706581</v>
      </c>
      <c r="B57">
        <v>-491.67443475718858</v>
      </c>
      <c r="C57">
        <v>85183.819741385247</v>
      </c>
      <c r="D57">
        <v>-418.82706421803834</v>
      </c>
      <c r="E57">
        <v>-6.8467443475718863E-3</v>
      </c>
      <c r="F57">
        <v>73886.405644706581</v>
      </c>
      <c r="G57">
        <v>-684.67443475718858</v>
      </c>
      <c r="H57">
        <v>76431.810530601724</v>
      </c>
      <c r="I57">
        <v>-523.30906672508274</v>
      </c>
    </row>
    <row r="58" spans="1:9" x14ac:dyDescent="0.3">
      <c r="A58">
        <v>84134.731209949387</v>
      </c>
      <c r="B58">
        <v>57.594355753145202</v>
      </c>
      <c r="C58">
        <v>84758.992677167204</v>
      </c>
      <c r="D58">
        <v>48.816395775269967</v>
      </c>
      <c r="E58">
        <v>-1.3540564424685481E-3</v>
      </c>
      <c r="F58">
        <v>73189.731209949387</v>
      </c>
      <c r="G58">
        <v>-135.40564424685482</v>
      </c>
      <c r="H58">
        <v>75896.501463876644</v>
      </c>
      <c r="I58">
        <v>-102.76814676798575</v>
      </c>
    </row>
    <row r="59" spans="1:9" x14ac:dyDescent="0.3">
      <c r="A59">
        <v>84186.325565702529</v>
      </c>
      <c r="B59">
        <v>1121.1247296323049</v>
      </c>
      <c r="C59">
        <v>84801.809072942473</v>
      </c>
      <c r="D59">
        <v>950.73405269232978</v>
      </c>
      <c r="E59">
        <v>9.2812472963230506E-3</v>
      </c>
      <c r="F59">
        <v>73042.325565702529</v>
      </c>
      <c r="G59">
        <v>928.12472963230505</v>
      </c>
      <c r="H59">
        <v>75781.733317108665</v>
      </c>
      <c r="I59">
        <v>703.34900746008918</v>
      </c>
    </row>
    <row r="60" spans="1:9" x14ac:dyDescent="0.3">
      <c r="A60">
        <v>85301.450295334827</v>
      </c>
      <c r="B60">
        <v>1500.5702879954304</v>
      </c>
      <c r="C60">
        <v>85746.543125634809</v>
      </c>
      <c r="D60">
        <v>1286.6871491264642</v>
      </c>
      <c r="E60">
        <v>1.3075702879954304E-2</v>
      </c>
      <c r="F60">
        <v>73958.450295334827</v>
      </c>
      <c r="G60">
        <v>1307.5702879954304</v>
      </c>
      <c r="H60">
        <v>76473.08232456875</v>
      </c>
      <c r="I60">
        <v>999.93930279034612</v>
      </c>
    </row>
    <row r="61" spans="1:9" x14ac:dyDescent="0.3">
      <c r="A61">
        <v>86796.020583330261</v>
      </c>
      <c r="B61">
        <v>-175.8520667149746</v>
      </c>
      <c r="C61">
        <v>87027.23027476127</v>
      </c>
      <c r="D61">
        <v>-153.03918304296775</v>
      </c>
      <c r="E61">
        <v>-3.6885206671497459E-3</v>
      </c>
      <c r="F61">
        <v>75254.020583330261</v>
      </c>
      <c r="G61">
        <v>-368.85206671497457</v>
      </c>
      <c r="H61">
        <v>77461.021627359092</v>
      </c>
      <c r="I61">
        <v>-285.71657917104744</v>
      </c>
    </row>
    <row r="62" spans="1:9" x14ac:dyDescent="0.3">
      <c r="A62">
        <v>86614.168516615289</v>
      </c>
      <c r="B62">
        <v>469.18090326277797</v>
      </c>
      <c r="C62">
        <v>86868.191091718298</v>
      </c>
      <c r="D62">
        <v>407.56896361215996</v>
      </c>
      <c r="E62">
        <v>2.7618090326277794E-3</v>
      </c>
      <c r="F62">
        <v>74873.168516615289</v>
      </c>
      <c r="G62">
        <v>276.18090326277792</v>
      </c>
      <c r="H62">
        <v>77163.305048188049</v>
      </c>
      <c r="I62">
        <v>213.11031286949847</v>
      </c>
    </row>
    <row r="63" spans="1:9" x14ac:dyDescent="0.3">
      <c r="A63">
        <v>87077.349419878068</v>
      </c>
      <c r="B63">
        <v>-14.081284213127441</v>
      </c>
      <c r="C63">
        <v>87269.760055330451</v>
      </c>
      <c r="D63">
        <v>-12.288702945505445</v>
      </c>
      <c r="E63">
        <v>-2.0708128421312744E-3</v>
      </c>
      <c r="F63">
        <v>75137.349419878068</v>
      </c>
      <c r="G63">
        <v>-207.08128421312745</v>
      </c>
      <c r="H63">
        <v>77364.415361057545</v>
      </c>
      <c r="I63">
        <v>-160.20722485365599</v>
      </c>
    </row>
    <row r="64" spans="1:9" x14ac:dyDescent="0.3">
      <c r="A64">
        <v>87057.268135664941</v>
      </c>
      <c r="B64">
        <v>-1611.0552940969078</v>
      </c>
      <c r="C64">
        <v>87251.47135238495</v>
      </c>
      <c r="D64">
        <v>-1405.6694484000445</v>
      </c>
      <c r="E64">
        <v>-1.8040552940969078E-2</v>
      </c>
      <c r="F64">
        <v>74918.268135664941</v>
      </c>
      <c r="G64">
        <v>-1804.0552940969078</v>
      </c>
      <c r="H64">
        <v>77192.208136203888</v>
      </c>
      <c r="I64">
        <v>-1392.5901175114902</v>
      </c>
    </row>
    <row r="65" spans="1:9" x14ac:dyDescent="0.3">
      <c r="A65">
        <v>85440.212841568034</v>
      </c>
      <c r="B65">
        <v>274.10174936276582</v>
      </c>
      <c r="C65">
        <v>85839.801903984902</v>
      </c>
      <c r="D65">
        <v>235.2883986683554</v>
      </c>
      <c r="E65">
        <v>8.1101749362765831E-4</v>
      </c>
      <c r="F65">
        <v>73102.212841568034</v>
      </c>
      <c r="G65">
        <v>81.10174936276583</v>
      </c>
      <c r="H65">
        <v>75787.618018692403</v>
      </c>
      <c r="I65">
        <v>61.465084013530266</v>
      </c>
    </row>
    <row r="66" spans="1:9" x14ac:dyDescent="0.3">
      <c r="A66">
        <v>85708.314590930793</v>
      </c>
      <c r="B66">
        <v>134.16270276864697</v>
      </c>
      <c r="C66">
        <v>86069.090302653261</v>
      </c>
      <c r="D66">
        <v>115.47261779842704</v>
      </c>
      <c r="E66">
        <v>-5.8837297231353045E-4</v>
      </c>
      <c r="F66">
        <v>73171.314590930793</v>
      </c>
      <c r="G66">
        <v>-58.837297231353048</v>
      </c>
      <c r="H66">
        <v>75837.083102705932</v>
      </c>
      <c r="I66">
        <v>-44.620489996727308</v>
      </c>
    </row>
    <row r="67" spans="1:9" x14ac:dyDescent="0.3">
      <c r="A67">
        <v>85836.477293699441</v>
      </c>
      <c r="B67">
        <v>-529.93336481451854</v>
      </c>
      <c r="C67">
        <v>86178.562920451688</v>
      </c>
      <c r="D67">
        <v>-456.68895823314671</v>
      </c>
      <c r="E67">
        <v>-7.2293336481451861E-3</v>
      </c>
      <c r="F67">
        <v>73100.477293699441</v>
      </c>
      <c r="G67">
        <v>-722.93336481451865</v>
      </c>
      <c r="H67">
        <v>75780.462612709205</v>
      </c>
      <c r="I67">
        <v>-547.84224823806687</v>
      </c>
    </row>
    <row r="68" spans="1:9" x14ac:dyDescent="0.3">
      <c r="A68">
        <v>85300.543928884916</v>
      </c>
      <c r="B68">
        <v>3153.1451826948687</v>
      </c>
      <c r="C68">
        <v>85715.873962218539</v>
      </c>
      <c r="D68">
        <v>2702.7459506444989</v>
      </c>
      <c r="E68">
        <v>2.9601451826948684E-2</v>
      </c>
      <c r="F68">
        <v>72365.543928884916</v>
      </c>
      <c r="G68">
        <v>2960.1451826948683</v>
      </c>
      <c r="H68">
        <v>75220.620364471135</v>
      </c>
      <c r="I68">
        <v>2226.6395701120873</v>
      </c>
    </row>
    <row r="69" spans="1:9" x14ac:dyDescent="0.3">
      <c r="A69">
        <v>88447.689111579792</v>
      </c>
      <c r="B69">
        <v>77.826395254307556</v>
      </c>
      <c r="C69">
        <v>88412.61991286304</v>
      </c>
      <c r="D69">
        <v>68.808355028073422</v>
      </c>
      <c r="E69">
        <v>-1.1517360474569245E-3</v>
      </c>
      <c r="F69">
        <v>75313.689111579777</v>
      </c>
      <c r="G69">
        <v>-115.17360474569244</v>
      </c>
      <c r="H69">
        <v>77435.259934583228</v>
      </c>
      <c r="I69">
        <v>-89.184980210856423</v>
      </c>
    </row>
    <row r="70" spans="1:9" x14ac:dyDescent="0.3">
      <c r="A70">
        <v>88519.515506834097</v>
      </c>
      <c r="B70">
        <v>-981.73036539269447</v>
      </c>
      <c r="C70">
        <v>88475.428267891111</v>
      </c>
      <c r="D70">
        <v>-868.59014521711867</v>
      </c>
      <c r="E70">
        <v>-1.1747303653926944E-2</v>
      </c>
      <c r="F70">
        <v>75186.515506834083</v>
      </c>
      <c r="G70">
        <v>-1174.7303653926945</v>
      </c>
      <c r="H70">
        <v>77334.074954372365</v>
      </c>
      <c r="I70">
        <v>-908.46686128455872</v>
      </c>
    </row>
    <row r="71" spans="1:9" x14ac:dyDescent="0.3">
      <c r="A71">
        <v>87531.785141441404</v>
      </c>
      <c r="B71">
        <v>-396.88114638945359</v>
      </c>
      <c r="C71">
        <v>87600.838122673988</v>
      </c>
      <c r="D71">
        <v>-347.67121058803798</v>
      </c>
      <c r="E71">
        <v>-5.898811463894536E-3</v>
      </c>
      <c r="F71">
        <v>73999.785141441389</v>
      </c>
      <c r="G71">
        <v>-589.88114638945365</v>
      </c>
      <c r="H71">
        <v>76413.608093087809</v>
      </c>
      <c r="I71">
        <v>-450.74946741705065</v>
      </c>
    </row>
    <row r="72" spans="1:9" x14ac:dyDescent="0.3">
      <c r="A72">
        <v>87128.903995051951</v>
      </c>
      <c r="B72">
        <v>2218.8122828368214</v>
      </c>
      <c r="C72">
        <v>87247.166912085944</v>
      </c>
      <c r="D72">
        <v>1935.8508558725061</v>
      </c>
      <c r="E72">
        <v>2.0258122828368214E-2</v>
      </c>
      <c r="F72">
        <v>73397.903995051936</v>
      </c>
      <c r="G72">
        <v>2025.8122828368214</v>
      </c>
      <c r="H72">
        <v>75950.858625670764</v>
      </c>
      <c r="I72">
        <v>1538.6218229588678</v>
      </c>
    </row>
    <row r="73" spans="1:9" x14ac:dyDescent="0.3">
      <c r="A73">
        <v>89341.716277888772</v>
      </c>
      <c r="B73">
        <v>-277.02761564600735</v>
      </c>
      <c r="C73">
        <v>89177.017767958445</v>
      </c>
      <c r="D73">
        <v>-247.0449660267916</v>
      </c>
      <c r="E73">
        <v>-4.7002761564600738E-3</v>
      </c>
      <c r="F73">
        <v>75411.716277888758</v>
      </c>
      <c r="G73">
        <v>-470.0276156460074</v>
      </c>
      <c r="H73">
        <v>77477.480448629634</v>
      </c>
      <c r="I73">
        <v>-364.16555401529541</v>
      </c>
    </row>
    <row r="74" spans="1:9" x14ac:dyDescent="0.3">
      <c r="A74">
        <v>89058.68866224277</v>
      </c>
      <c r="B74">
        <v>-429.31774685770603</v>
      </c>
      <c r="C74">
        <v>88923.972801931654</v>
      </c>
      <c r="D74">
        <v>-381.76639644961233</v>
      </c>
      <c r="E74">
        <v>-6.2231774685770607E-3</v>
      </c>
      <c r="F74">
        <v>74929.688662242756</v>
      </c>
      <c r="G74">
        <v>-622.31774685770608</v>
      </c>
      <c r="H74">
        <v>77101.314894614334</v>
      </c>
      <c r="I74">
        <v>-479.81516564982883</v>
      </c>
    </row>
    <row r="75" spans="1:9" x14ac:dyDescent="0.3">
      <c r="A75">
        <v>88623.370915385065</v>
      </c>
      <c r="B75">
        <v>-1068.8489714687696</v>
      </c>
      <c r="C75">
        <v>88536.206405482037</v>
      </c>
      <c r="D75">
        <v>-946.31833154246169</v>
      </c>
      <c r="E75">
        <v>-1.2618489714687696E-2</v>
      </c>
      <c r="F75">
        <v>74295.37091538505</v>
      </c>
      <c r="G75">
        <v>-1261.8489714687696</v>
      </c>
      <c r="H75">
        <v>76609.499728964511</v>
      </c>
      <c r="I75">
        <v>-966.69618437730855</v>
      </c>
    </row>
    <row r="76" spans="1:9" x14ac:dyDescent="0.3">
      <c r="A76">
        <v>87548.52194391629</v>
      </c>
      <c r="B76">
        <v>895.62159987405403</v>
      </c>
      <c r="C76">
        <v>87583.888073939568</v>
      </c>
      <c r="D76">
        <v>784.42021959971828</v>
      </c>
      <c r="E76">
        <v>7.0262159987405396E-3</v>
      </c>
      <c r="F76">
        <v>73021.521943916276</v>
      </c>
      <c r="G76">
        <v>702.62159987405391</v>
      </c>
      <c r="H76">
        <v>75630.803544587208</v>
      </c>
      <c r="I76">
        <v>531.3983618625814</v>
      </c>
    </row>
    <row r="77" spans="1:9" x14ac:dyDescent="0.3">
      <c r="A77">
        <v>88438.143543790342</v>
      </c>
      <c r="B77">
        <v>327.82861750990583</v>
      </c>
      <c r="C77">
        <v>88362.308293539289</v>
      </c>
      <c r="D77">
        <v>289.67693367855071</v>
      </c>
      <c r="E77">
        <v>1.3482861750990581E-3</v>
      </c>
      <c r="F77">
        <v>73712.143543790327</v>
      </c>
      <c r="G77">
        <v>134.8286175099058</v>
      </c>
      <c r="H77">
        <v>76150.201906449787</v>
      </c>
      <c r="I77">
        <v>102.67226446146819</v>
      </c>
    </row>
    <row r="78" spans="1:9" x14ac:dyDescent="0.3">
      <c r="A78">
        <v>88759.972161300248</v>
      </c>
      <c r="B78">
        <v>322.97700544144601</v>
      </c>
      <c r="C78">
        <v>88645.98522721784</v>
      </c>
      <c r="D78">
        <v>286.30614853093482</v>
      </c>
      <c r="E78">
        <v>1.2997700544144601E-3</v>
      </c>
      <c r="F78">
        <v>73834.972161300233</v>
      </c>
      <c r="G78">
        <v>129.97700544144601</v>
      </c>
      <c r="H78">
        <v>76240.874170911251</v>
      </c>
      <c r="I78">
        <v>99.095605169731328</v>
      </c>
    </row>
    <row r="79" spans="1:9" x14ac:dyDescent="0.3">
      <c r="A79">
        <v>89076.949166741688</v>
      </c>
      <c r="B79">
        <v>60.287963685373398</v>
      </c>
      <c r="C79">
        <v>88926.291375748769</v>
      </c>
      <c r="D79">
        <v>53.611850251360757</v>
      </c>
      <c r="E79">
        <v>-1.3271203631462661E-3</v>
      </c>
      <c r="F79">
        <v>73952.949166741673</v>
      </c>
      <c r="G79">
        <v>-132.7120363146266</v>
      </c>
      <c r="H79">
        <v>76327.969776080979</v>
      </c>
      <c r="I79">
        <v>-101.29640296744981</v>
      </c>
    </row>
    <row r="80" spans="1:9" x14ac:dyDescent="0.3">
      <c r="A80">
        <v>89131.237130427064</v>
      </c>
      <c r="B80">
        <v>1222.874740385291</v>
      </c>
      <c r="C80">
        <v>88973.903226000126</v>
      </c>
      <c r="D80">
        <v>1088.0393880856093</v>
      </c>
      <c r="E80">
        <v>1.0298747403852912E-2</v>
      </c>
      <c r="F80">
        <v>73808.237130427049</v>
      </c>
      <c r="G80">
        <v>1029.8747403852913</v>
      </c>
      <c r="H80">
        <v>76214.673373113532</v>
      </c>
      <c r="I80">
        <v>784.9156695368506</v>
      </c>
    </row>
    <row r="81" spans="1:9" x14ac:dyDescent="0.3">
      <c r="A81">
        <v>90348.111870812354</v>
      </c>
      <c r="B81">
        <v>389.50527771219532</v>
      </c>
      <c r="C81">
        <v>90055.942614085739</v>
      </c>
      <c r="D81">
        <v>350.77264937532988</v>
      </c>
      <c r="E81">
        <v>1.9650527771219528E-3</v>
      </c>
      <c r="F81">
        <v>74826.111870812339</v>
      </c>
      <c r="G81">
        <v>196.50527771219529</v>
      </c>
      <c r="H81">
        <v>76987.589042650376</v>
      </c>
      <c r="I81">
        <v>151.28467565218375</v>
      </c>
    </row>
    <row r="82" spans="1:9" x14ac:dyDescent="0.3">
      <c r="A82">
        <v>90731.617148524543</v>
      </c>
      <c r="B82">
        <v>-2887.830580605902</v>
      </c>
      <c r="C82">
        <v>90400.715263461068</v>
      </c>
      <c r="D82">
        <v>-2610.6195004646961</v>
      </c>
      <c r="E82">
        <v>-3.0808305806059023E-2</v>
      </c>
      <c r="F82">
        <v>75010.617148524529</v>
      </c>
      <c r="G82">
        <v>-3080.8305806059025</v>
      </c>
      <c r="H82">
        <v>77126.873718302566</v>
      </c>
      <c r="I82">
        <v>-2376.1483113787622</v>
      </c>
    </row>
    <row r="83" spans="1:9" x14ac:dyDescent="0.3">
      <c r="A83">
        <v>87837.786567918636</v>
      </c>
      <c r="B83">
        <v>-1145.3773491755319</v>
      </c>
      <c r="C83">
        <v>87784.095762996367</v>
      </c>
      <c r="D83">
        <v>-1005.4591490479182</v>
      </c>
      <c r="E83">
        <v>-1.3383773491755319E-2</v>
      </c>
      <c r="F83">
        <v>71917.786567918622</v>
      </c>
      <c r="G83">
        <v>-1338.3773491755319</v>
      </c>
      <c r="H83">
        <v>74738.725406923797</v>
      </c>
      <c r="I83">
        <v>-1000.2861719087665</v>
      </c>
    </row>
    <row r="84" spans="1:9" x14ac:dyDescent="0.3">
      <c r="A84">
        <v>86686.409218743109</v>
      </c>
      <c r="B84">
        <v>378.24442415547963</v>
      </c>
      <c r="C84">
        <v>86772.636613948445</v>
      </c>
      <c r="D84">
        <v>328.21265968495618</v>
      </c>
      <c r="E84">
        <v>1.8524442415547963E-3</v>
      </c>
      <c r="F84">
        <v>70567.409218743094</v>
      </c>
      <c r="G84">
        <v>185.24442415547963</v>
      </c>
      <c r="H84">
        <v>73726.43923501503</v>
      </c>
      <c r="I84">
        <v>136.57411781124318</v>
      </c>
    </row>
    <row r="85" spans="1:9" x14ac:dyDescent="0.3">
      <c r="A85">
        <v>87058.653642898586</v>
      </c>
      <c r="B85">
        <v>790.78981553650374</v>
      </c>
      <c r="C85">
        <v>87094.849273633401</v>
      </c>
      <c r="D85">
        <v>688.73719791276153</v>
      </c>
      <c r="E85">
        <v>5.9778981553650365E-3</v>
      </c>
      <c r="F85">
        <v>70740.653642898571</v>
      </c>
      <c r="G85">
        <v>597.78981553650362</v>
      </c>
      <c r="H85">
        <v>73851.013352826267</v>
      </c>
      <c r="I85">
        <v>441.4738364936988</v>
      </c>
    </row>
    <row r="86" spans="1:9" x14ac:dyDescent="0.3">
      <c r="A86">
        <v>87843.443458435097</v>
      </c>
      <c r="B86">
        <v>837.40632127728679</v>
      </c>
      <c r="C86">
        <v>87777.586471546165</v>
      </c>
      <c r="D86">
        <v>735.05505777736414</v>
      </c>
      <c r="E86">
        <v>6.4440632127728678E-3</v>
      </c>
      <c r="F86">
        <v>71326.443458435067</v>
      </c>
      <c r="G86">
        <v>644.40632127728679</v>
      </c>
      <c r="H86">
        <v>74280.48718931996</v>
      </c>
      <c r="I86">
        <v>478.668154923543</v>
      </c>
    </row>
    <row r="87" spans="1:9" x14ac:dyDescent="0.3">
      <c r="A87">
        <v>88674.849779712385</v>
      </c>
      <c r="B87">
        <v>264.39051458228005</v>
      </c>
      <c r="C87">
        <v>88506.641529323533</v>
      </c>
      <c r="D87">
        <v>234.00316497887243</v>
      </c>
      <c r="E87">
        <v>7.1390514582280015E-4</v>
      </c>
      <c r="F87">
        <v>71958.849779712356</v>
      </c>
      <c r="G87">
        <v>71.390514582280019</v>
      </c>
      <c r="H87">
        <v>74747.155344243496</v>
      </c>
      <c r="I87">
        <v>53.362378835871652</v>
      </c>
    </row>
    <row r="88" spans="1:9" x14ac:dyDescent="0.3">
      <c r="A88">
        <v>88933.240294294665</v>
      </c>
      <c r="B88">
        <v>-1707.400919999337</v>
      </c>
      <c r="C88">
        <v>88734.644694302406</v>
      </c>
      <c r="D88">
        <v>-1515.0561398686621</v>
      </c>
      <c r="E88">
        <v>-1.9004009199993371E-2</v>
      </c>
      <c r="F88">
        <v>72018.240294294636</v>
      </c>
      <c r="G88">
        <v>-1900.4009199993372</v>
      </c>
      <c r="H88">
        <v>74788.517723079363</v>
      </c>
      <c r="I88">
        <v>-1421.2816788632674</v>
      </c>
    </row>
    <row r="89" spans="1:9" x14ac:dyDescent="0.3">
      <c r="A89">
        <v>87219.839374295334</v>
      </c>
      <c r="B89">
        <v>-466.06137818703513</v>
      </c>
      <c r="C89">
        <v>87213.588554433751</v>
      </c>
      <c r="D89">
        <v>-406.46885278316427</v>
      </c>
      <c r="E89">
        <v>-6.5906137818703518E-3</v>
      </c>
      <c r="F89">
        <v>70105.839374295305</v>
      </c>
      <c r="G89">
        <v>-659.06137818703519</v>
      </c>
      <c r="H89">
        <v>73355.236044216101</v>
      </c>
      <c r="I89">
        <v>-483.4560296453634</v>
      </c>
    </row>
    <row r="90" spans="1:9" x14ac:dyDescent="0.3">
      <c r="A90">
        <v>86747.7779961083</v>
      </c>
      <c r="B90">
        <v>279.36136692166951</v>
      </c>
      <c r="C90">
        <v>86801.11970165059</v>
      </c>
      <c r="D90">
        <v>242.48879450184569</v>
      </c>
      <c r="E90">
        <v>8.6361366921669535E-4</v>
      </c>
      <c r="F90">
        <v>69434.777996108271</v>
      </c>
      <c r="G90">
        <v>86.361366921669529</v>
      </c>
      <c r="H90">
        <v>72859.780014570744</v>
      </c>
      <c r="I90">
        <v>62.922701956704692</v>
      </c>
    </row>
    <row r="91" spans="1:9" x14ac:dyDescent="0.3">
      <c r="A91">
        <v>87021.139363029972</v>
      </c>
      <c r="B91">
        <v>-1069.7697001083986</v>
      </c>
      <c r="C91">
        <v>87037.608496152432</v>
      </c>
      <c r="D91">
        <v>-931.10196339081199</v>
      </c>
      <c r="E91">
        <v>-1.2627697001083986E-2</v>
      </c>
      <c r="F91">
        <v>69509.139363029943</v>
      </c>
      <c r="G91">
        <v>-1262.7697001083986</v>
      </c>
      <c r="H91">
        <v>72910.702716527449</v>
      </c>
      <c r="I91">
        <v>-920.69426204041963</v>
      </c>
    </row>
    <row r="92" spans="1:9" x14ac:dyDescent="0.3">
      <c r="A92">
        <v>85945.36966292157</v>
      </c>
      <c r="B92">
        <v>-40.30502845535009</v>
      </c>
      <c r="C92">
        <v>86100.506532761618</v>
      </c>
      <c r="D92">
        <v>-34.702833658230134</v>
      </c>
      <c r="E92">
        <v>-2.3330502845535011E-3</v>
      </c>
      <c r="F92">
        <v>68234.369662921541</v>
      </c>
      <c r="G92">
        <v>-233.30502845535011</v>
      </c>
      <c r="H92">
        <v>71978.008454487033</v>
      </c>
      <c r="I92">
        <v>-167.92831310633528</v>
      </c>
    </row>
    <row r="93" spans="1:9" x14ac:dyDescent="0.3">
      <c r="A93">
        <v>85899.064634466224</v>
      </c>
      <c r="B93">
        <v>-417.35823517089636</v>
      </c>
      <c r="C93">
        <v>86059.803699103388</v>
      </c>
      <c r="D93">
        <v>-359.17767791011568</v>
      </c>
      <c r="E93">
        <v>-6.1035823517089638E-3</v>
      </c>
      <c r="F93">
        <v>67989.064634466195</v>
      </c>
      <c r="G93">
        <v>-610.35823517089636</v>
      </c>
      <c r="H93">
        <v>71798.080141380691</v>
      </c>
      <c r="I93">
        <v>-438.22549483751703</v>
      </c>
    </row>
    <row r="94" spans="1:9" x14ac:dyDescent="0.3">
      <c r="A94">
        <v>85475.706399295334</v>
      </c>
      <c r="B94">
        <v>142.36717789425927</v>
      </c>
      <c r="C94">
        <v>85694.626021193268</v>
      </c>
      <c r="D94">
        <v>122.00102067341243</v>
      </c>
      <c r="E94">
        <v>-5.063282210574073E-4</v>
      </c>
      <c r="F94">
        <v>67366.706399295304</v>
      </c>
      <c r="G94">
        <v>-50.632822105740729</v>
      </c>
      <c r="H94">
        <v>71347.854646543172</v>
      </c>
      <c r="I94">
        <v>-36.125432319446674</v>
      </c>
    </row>
    <row r="95" spans="1:9" x14ac:dyDescent="0.3">
      <c r="A95">
        <v>85612.0735771896</v>
      </c>
      <c r="B95">
        <v>569.38238947045386</v>
      </c>
      <c r="C95">
        <v>85810.627041866683</v>
      </c>
      <c r="D95">
        <v>488.59059867055993</v>
      </c>
      <c r="E95">
        <v>3.7638238947045382E-3</v>
      </c>
      <c r="F95">
        <v>67304.073577189571</v>
      </c>
      <c r="G95">
        <v>376.3823894704538</v>
      </c>
      <c r="H95">
        <v>71299.729214223727</v>
      </c>
      <c r="I95">
        <v>268.35962450245847</v>
      </c>
    </row>
    <row r="96" spans="1:9" x14ac:dyDescent="0.3">
      <c r="A96">
        <v>86175.455966660054</v>
      </c>
      <c r="B96">
        <v>619.9141410905371</v>
      </c>
      <c r="C96">
        <v>86293.217640537245</v>
      </c>
      <c r="D96">
        <v>534.94385895572429</v>
      </c>
      <c r="E96">
        <v>4.2691414109053702E-3</v>
      </c>
      <c r="F96">
        <v>67668.455966660025</v>
      </c>
      <c r="G96">
        <v>426.91414109053704</v>
      </c>
      <c r="H96">
        <v>71556.08883872618</v>
      </c>
      <c r="I96">
        <v>305.48306206382949</v>
      </c>
    </row>
    <row r="97" spans="1:9" x14ac:dyDescent="0.3">
      <c r="A97">
        <v>86789.370107750598</v>
      </c>
      <c r="B97">
        <v>1255.6025302775186</v>
      </c>
      <c r="C97">
        <v>86822.16149949297</v>
      </c>
      <c r="D97">
        <v>1090.1412566292672</v>
      </c>
      <c r="E97">
        <v>1.0626025302775186E-2</v>
      </c>
      <c r="F97">
        <v>68083.370107750568</v>
      </c>
      <c r="G97">
        <v>1062.6025302775186</v>
      </c>
      <c r="H97">
        <v>71849.571900790004</v>
      </c>
      <c r="I97">
        <v>763.47536901135959</v>
      </c>
    </row>
    <row r="98" spans="1:9" x14ac:dyDescent="0.3">
      <c r="A98">
        <v>88038.972638028121</v>
      </c>
      <c r="B98">
        <v>433.82236945890514</v>
      </c>
      <c r="C98">
        <v>87906.302756122241</v>
      </c>
      <c r="D98">
        <v>381.35720552032836</v>
      </c>
      <c r="E98">
        <v>2.4082236945890513E-3</v>
      </c>
      <c r="F98">
        <v>69133.972638028092</v>
      </c>
      <c r="G98">
        <v>240.82236945890514</v>
      </c>
      <c r="H98">
        <v>72601.047269801362</v>
      </c>
      <c r="I98">
        <v>174.8395622871154</v>
      </c>
    </row>
    <row r="99" spans="1:9" x14ac:dyDescent="0.3">
      <c r="A99">
        <v>88466.795007487031</v>
      </c>
      <c r="B99">
        <v>934.79968578162527</v>
      </c>
      <c r="C99">
        <v>88281.659961642566</v>
      </c>
      <c r="D99">
        <v>825.25667992423757</v>
      </c>
      <c r="E99">
        <v>7.4179968578162525E-3</v>
      </c>
      <c r="F99">
        <v>69362.795007487002</v>
      </c>
      <c r="G99">
        <v>741.79968578162527</v>
      </c>
      <c r="H99">
        <v>72763.886832088479</v>
      </c>
      <c r="I99">
        <v>539.76228388292975</v>
      </c>
    </row>
    <row r="100" spans="1:9" x14ac:dyDescent="0.3">
      <c r="A100">
        <v>89395.594693268664</v>
      </c>
      <c r="B100">
        <v>-1467.0499640658668</v>
      </c>
      <c r="C100">
        <v>89100.916641566801</v>
      </c>
      <c r="D100">
        <v>-1307.1549655724637</v>
      </c>
      <c r="E100">
        <v>-1.660049964065867E-2</v>
      </c>
      <c r="F100">
        <v>70092.594693268635</v>
      </c>
      <c r="G100">
        <v>-1660.049964065867</v>
      </c>
      <c r="H100">
        <v>73291.649115971406</v>
      </c>
      <c r="I100">
        <v>-1216.6779948129647</v>
      </c>
    </row>
    <row r="101" spans="1:9" x14ac:dyDescent="0.3">
      <c r="A101">
        <v>87922.544729202797</v>
      </c>
      <c r="B101">
        <v>-190.8032818164364</v>
      </c>
      <c r="C101">
        <v>87787.761675994334</v>
      </c>
      <c r="D101">
        <v>-167.50193031098902</v>
      </c>
      <c r="E101">
        <v>-3.8380328181643643E-3</v>
      </c>
      <c r="F101">
        <v>68420.544729202767</v>
      </c>
      <c r="G101">
        <v>-383.80328181643642</v>
      </c>
      <c r="H101">
        <v>72062.971121158436</v>
      </c>
      <c r="I101">
        <v>-276.5800481374369</v>
      </c>
    </row>
    <row r="102" spans="1:9" x14ac:dyDescent="0.3">
      <c r="A102">
        <v>87725.741447386361</v>
      </c>
      <c r="B102">
        <v>769.69444058051931</v>
      </c>
      <c r="C102">
        <v>87614.259745683346</v>
      </c>
      <c r="D102">
        <v>674.36208641830058</v>
      </c>
      <c r="E102">
        <v>5.7669444058051928E-3</v>
      </c>
      <c r="F102">
        <v>68024.741447386332</v>
      </c>
      <c r="G102">
        <v>576.69444058051931</v>
      </c>
      <c r="H102">
        <v>71774.391073021005</v>
      </c>
      <c r="I102">
        <v>413.91892307863264</v>
      </c>
    </row>
    <row r="103" spans="1:9" x14ac:dyDescent="0.3">
      <c r="A103">
        <v>88489.435887966887</v>
      </c>
      <c r="B103">
        <v>2738.0346035714851</v>
      </c>
      <c r="C103">
        <v>88282.621832101649</v>
      </c>
      <c r="D103">
        <v>2417.2087347030979</v>
      </c>
      <c r="E103">
        <v>2.545034603571485E-2</v>
      </c>
      <c r="F103">
        <v>68589.435887966858</v>
      </c>
      <c r="G103">
        <v>2545.0346035714851</v>
      </c>
      <c r="H103">
        <v>72176.309996099633</v>
      </c>
      <c r="I103">
        <v>1836.9120649817603</v>
      </c>
    </row>
    <row r="104" spans="1:9" x14ac:dyDescent="0.3">
      <c r="A104">
        <v>91221.470491538377</v>
      </c>
      <c r="B104">
        <v>-1281.4399809274082</v>
      </c>
      <c r="C104">
        <v>90693.830566804754</v>
      </c>
      <c r="D104">
        <v>-1162.1870051175988</v>
      </c>
      <c r="E104">
        <v>-1.4744399809274082E-2</v>
      </c>
      <c r="F104">
        <v>71122.470491538348</v>
      </c>
      <c r="G104">
        <v>-1474.4399809274082</v>
      </c>
      <c r="H104">
        <v>74001.222061081397</v>
      </c>
      <c r="I104">
        <v>-1091.1036044434575</v>
      </c>
    </row>
    <row r="105" spans="1:9" x14ac:dyDescent="0.3">
      <c r="A105">
        <v>89934.030510610974</v>
      </c>
      <c r="B105">
        <v>-1053.4077741493732</v>
      </c>
      <c r="C105">
        <v>89525.64356168716</v>
      </c>
      <c r="D105">
        <v>-943.07008913607035</v>
      </c>
      <c r="E105">
        <v>-1.2464077741493731E-2</v>
      </c>
      <c r="F105">
        <v>69636.030510610944</v>
      </c>
      <c r="G105">
        <v>-1246.4077741493732</v>
      </c>
      <c r="H105">
        <v>72898.118456637938</v>
      </c>
      <c r="I105">
        <v>-908.60781565215427</v>
      </c>
    </row>
    <row r="106" spans="1:9" x14ac:dyDescent="0.3">
      <c r="A106">
        <v>88874.622736461606</v>
      </c>
      <c r="B106">
        <v>1996.0753050837038</v>
      </c>
      <c r="C106">
        <v>88576.573472551085</v>
      </c>
      <c r="D106">
        <v>1768.0551091749151</v>
      </c>
      <c r="E106">
        <v>1.8030753050837036E-2</v>
      </c>
      <c r="F106">
        <v>68377.622736461577</v>
      </c>
      <c r="G106">
        <v>1803.0753050837036</v>
      </c>
      <c r="H106">
        <v>71977.510640985784</v>
      </c>
      <c r="I106">
        <v>1297.8087195816097</v>
      </c>
    </row>
    <row r="107" spans="1:9" x14ac:dyDescent="0.3">
      <c r="A107">
        <v>90864.698041545314</v>
      </c>
      <c r="B107">
        <v>357.55426895861945</v>
      </c>
      <c r="C107">
        <v>90338.628581726007</v>
      </c>
      <c r="D107">
        <v>323.00962301263291</v>
      </c>
      <c r="E107">
        <v>1.6455426895861946E-3</v>
      </c>
      <c r="F107">
        <v>70168.698041545285</v>
      </c>
      <c r="G107">
        <v>164.55426895861947</v>
      </c>
      <c r="H107">
        <v>73263.319360567388</v>
      </c>
      <c r="I107">
        <v>120.55791958860038</v>
      </c>
    </row>
    <row r="108" spans="1:9" x14ac:dyDescent="0.3">
      <c r="A108">
        <v>91216.252310503929</v>
      </c>
      <c r="B108">
        <v>231.20180188244032</v>
      </c>
      <c r="C108">
        <v>90655.638204738643</v>
      </c>
      <c r="D108">
        <v>209.59746903738173</v>
      </c>
      <c r="E108">
        <v>3.8201801882440322E-4</v>
      </c>
      <c r="F108">
        <v>70321.2523105039</v>
      </c>
      <c r="G108">
        <v>38.201801882440321</v>
      </c>
      <c r="H108">
        <v>73371.877280155983</v>
      </c>
      <c r="I108">
        <v>28.02937919599243</v>
      </c>
    </row>
    <row r="109" spans="1:9" x14ac:dyDescent="0.3">
      <c r="A109">
        <v>91441.454112386375</v>
      </c>
      <c r="B109">
        <v>-509.90741154896642</v>
      </c>
      <c r="C109">
        <v>90859.235673776027</v>
      </c>
      <c r="D109">
        <v>-463.29797677732643</v>
      </c>
      <c r="E109">
        <v>-7.0290741154896644E-3</v>
      </c>
      <c r="F109">
        <v>70347.454112386346</v>
      </c>
      <c r="G109">
        <v>-702.90741154896648</v>
      </c>
      <c r="H109">
        <v>73387.906659351982</v>
      </c>
      <c r="I109">
        <v>-515.84903508922264</v>
      </c>
    </row>
    <row r="110" spans="1:9" x14ac:dyDescent="0.3">
      <c r="A110">
        <v>90925.546700837411</v>
      </c>
      <c r="B110">
        <v>-2462.2668536361093</v>
      </c>
      <c r="C110">
        <v>90389.937696998706</v>
      </c>
      <c r="D110">
        <v>-2225.6414749355295</v>
      </c>
      <c r="E110">
        <v>-2.6552668536361092E-2</v>
      </c>
      <c r="F110">
        <v>69632.546700837382</v>
      </c>
      <c r="G110">
        <v>-2655.2668536361093</v>
      </c>
      <c r="H110">
        <v>72860.057624262758</v>
      </c>
      <c r="I110">
        <v>-1934.6289596372178</v>
      </c>
    </row>
    <row r="111" spans="1:9" x14ac:dyDescent="0.3">
      <c r="A111">
        <v>88457.279847201295</v>
      </c>
      <c r="B111">
        <v>381.1904872139184</v>
      </c>
      <c r="C111">
        <v>88158.296222063174</v>
      </c>
      <c r="D111">
        <v>336.05103888837203</v>
      </c>
      <c r="E111">
        <v>1.8819048721391842E-3</v>
      </c>
      <c r="F111">
        <v>66965.279847201266</v>
      </c>
      <c r="G111">
        <v>188.19048721391843</v>
      </c>
      <c r="H111">
        <v>70913.428664625535</v>
      </c>
      <c r="I111">
        <v>133.45232690405328</v>
      </c>
    </row>
    <row r="112" spans="1:9" x14ac:dyDescent="0.3">
      <c r="A112">
        <v>88832.470334415208</v>
      </c>
      <c r="B112">
        <v>649.73056197075095</v>
      </c>
      <c r="C112">
        <v>88488.347260951545</v>
      </c>
      <c r="D112">
        <v>574.93583593721007</v>
      </c>
      <c r="E112">
        <v>4.5673056197075091E-3</v>
      </c>
      <c r="F112">
        <v>67141.470334415179</v>
      </c>
      <c r="G112">
        <v>456.7305619707509</v>
      </c>
      <c r="H112">
        <v>71034.880991529586</v>
      </c>
      <c r="I112">
        <v>324.4380111478672</v>
      </c>
    </row>
    <row r="113" spans="1:9" x14ac:dyDescent="0.3">
      <c r="A113">
        <v>89476.200896385955</v>
      </c>
      <c r="B113">
        <v>1058.064123253042</v>
      </c>
      <c r="C113">
        <v>89057.283096888757</v>
      </c>
      <c r="D113">
        <v>942.28316159207566</v>
      </c>
      <c r="E113">
        <v>8.6506412325304208E-3</v>
      </c>
      <c r="F113">
        <v>67586.200896385926</v>
      </c>
      <c r="G113">
        <v>865.06412325304211</v>
      </c>
      <c r="H113">
        <v>71347.319002677454</v>
      </c>
      <c r="I113">
        <v>617.20005959506284</v>
      </c>
    </row>
    <row r="114" spans="1:9" x14ac:dyDescent="0.3">
      <c r="A114">
        <v>90528.265019639002</v>
      </c>
      <c r="B114">
        <v>-20.933640360056575</v>
      </c>
      <c r="C114">
        <v>89993.566258480831</v>
      </c>
      <c r="D114">
        <v>-18.8389295077396</v>
      </c>
      <c r="E114">
        <v>-2.1393364036005657E-3</v>
      </c>
      <c r="F114">
        <v>68439.265019638973</v>
      </c>
      <c r="G114">
        <v>-213.93364036005656</v>
      </c>
      <c r="H114">
        <v>71952.51906227252</v>
      </c>
      <c r="I114">
        <v>-153.93064336068323</v>
      </c>
    </row>
    <row r="115" spans="1:9" x14ac:dyDescent="0.3">
      <c r="A115">
        <v>90501.331379278941</v>
      </c>
      <c r="B115">
        <v>891.36156975353504</v>
      </c>
      <c r="C115">
        <v>89968.727328973095</v>
      </c>
      <c r="D115">
        <v>801.94666020681223</v>
      </c>
      <c r="E115">
        <v>6.9836156975353501E-3</v>
      </c>
      <c r="F115">
        <v>68213.331379278912</v>
      </c>
      <c r="G115">
        <v>698.36156975353504</v>
      </c>
      <c r="H115">
        <v>71786.588418911837</v>
      </c>
      <c r="I115">
        <v>501.32994575482206</v>
      </c>
    </row>
    <row r="116" spans="1:9" x14ac:dyDescent="0.3">
      <c r="A116">
        <v>91386.692949032469</v>
      </c>
      <c r="B116">
        <v>3184.647302904566</v>
      </c>
      <c r="C116">
        <v>90764.673989179908</v>
      </c>
      <c r="D116">
        <v>2890.5347421865404</v>
      </c>
      <c r="E116">
        <v>2.9916473029045661E-2</v>
      </c>
      <c r="F116">
        <v>68899.69294903244</v>
      </c>
      <c r="G116">
        <v>2991.647302904566</v>
      </c>
      <c r="H116">
        <v>72275.918364666664</v>
      </c>
      <c r="I116">
        <v>2162.2405624060561</v>
      </c>
    </row>
    <row r="117" spans="1:9" x14ac:dyDescent="0.3">
      <c r="A117">
        <v>94565.340251937028</v>
      </c>
      <c r="B117">
        <v>2524.3685521166858</v>
      </c>
      <c r="C117">
        <v>93649.208731366452</v>
      </c>
      <c r="D117">
        <v>2364.0511745207282</v>
      </c>
      <c r="E117">
        <v>2.3313685521166857E-2</v>
      </c>
      <c r="F117">
        <v>71879.340251936999</v>
      </c>
      <c r="G117">
        <v>2331.3685521166858</v>
      </c>
      <c r="H117">
        <v>74426.158927072727</v>
      </c>
      <c r="I117">
        <v>1735.1480637741588</v>
      </c>
    </row>
    <row r="118" spans="1:9" x14ac:dyDescent="0.3">
      <c r="A118">
        <v>97083.70880405372</v>
      </c>
      <c r="B118">
        <v>347.76970572199252</v>
      </c>
      <c r="C118">
        <v>96007.259905887186</v>
      </c>
      <c r="D118">
        <v>333.88416524645243</v>
      </c>
      <c r="E118">
        <v>1.5476970572199254E-3</v>
      </c>
      <c r="F118">
        <v>74198.708804053691</v>
      </c>
      <c r="G118">
        <v>154.76970572199255</v>
      </c>
      <c r="H118">
        <v>76149.30699084689</v>
      </c>
      <c r="I118">
        <v>117.85605833907043</v>
      </c>
    </row>
    <row r="119" spans="1:9" x14ac:dyDescent="0.3">
      <c r="A119">
        <v>97425.478509775712</v>
      </c>
      <c r="B119">
        <v>-780.92461474385675</v>
      </c>
      <c r="C119">
        <v>96335.144071133633</v>
      </c>
      <c r="D119">
        <v>-752.3048527004396</v>
      </c>
      <c r="E119">
        <v>-9.7392461474385666E-3</v>
      </c>
      <c r="F119">
        <v>74341.478509775683</v>
      </c>
      <c r="G119">
        <v>-973.92461474385664</v>
      </c>
      <c r="H119">
        <v>76255.163049185954</v>
      </c>
      <c r="I119">
        <v>-742.66780294908403</v>
      </c>
    </row>
    <row r="120" spans="1:9" x14ac:dyDescent="0.3">
      <c r="A120">
        <v>96638.553895031859</v>
      </c>
      <c r="B120">
        <v>-1705.5749389796651</v>
      </c>
      <c r="C120">
        <v>95576.83921843319</v>
      </c>
      <c r="D120">
        <v>-1630.1346171784846</v>
      </c>
      <c r="E120">
        <v>-1.8985749389796653E-2</v>
      </c>
      <c r="F120">
        <v>73355.55389503183</v>
      </c>
      <c r="G120">
        <v>-1898.5749389796654</v>
      </c>
      <c r="H120">
        <v>75500.495246236867</v>
      </c>
      <c r="I120">
        <v>-1433.4334815505867</v>
      </c>
    </row>
    <row r="121" spans="1:9" x14ac:dyDescent="0.3">
      <c r="A121">
        <v>94926.978956052189</v>
      </c>
      <c r="B121">
        <v>-167.42155851533022</v>
      </c>
      <c r="C121">
        <v>93940.704601254707</v>
      </c>
      <c r="D121">
        <v>-157.27699172370313</v>
      </c>
      <c r="E121">
        <v>-3.6042155851533021E-3</v>
      </c>
      <c r="F121">
        <v>71444.97895605216</v>
      </c>
      <c r="G121">
        <v>-360.42155851533022</v>
      </c>
      <c r="H121">
        <v>74055.061764686281</v>
      </c>
      <c r="I121">
        <v>-266.91040777177267</v>
      </c>
    </row>
    <row r="122" spans="1:9" x14ac:dyDescent="0.3">
      <c r="A122">
        <v>94753.557397536861</v>
      </c>
      <c r="B122">
        <v>1502.3291344007869</v>
      </c>
      <c r="C122">
        <v>93777.427609531005</v>
      </c>
      <c r="D122">
        <v>1408.8456164695917</v>
      </c>
      <c r="E122">
        <v>1.3093291344007869E-2</v>
      </c>
      <c r="F122">
        <v>71072.557397536832</v>
      </c>
      <c r="G122">
        <v>1309.3291344007869</v>
      </c>
      <c r="H122">
        <v>73776.151356914503</v>
      </c>
      <c r="I122">
        <v>965.97264395570301</v>
      </c>
    </row>
    <row r="123" spans="1:9" x14ac:dyDescent="0.3">
      <c r="A123">
        <v>96249.886531937649</v>
      </c>
      <c r="B123">
        <v>-746.69557101135638</v>
      </c>
      <c r="C123">
        <v>95180.273226000601</v>
      </c>
      <c r="D123">
        <v>-710.70688465505441</v>
      </c>
      <c r="E123">
        <v>-9.3969557101135637E-3</v>
      </c>
      <c r="F123">
        <v>72369.88653193762</v>
      </c>
      <c r="G123">
        <v>-939.69557101135638</v>
      </c>
      <c r="H123">
        <v>74730.124000870201</v>
      </c>
      <c r="I123">
        <v>-702.23566544747189</v>
      </c>
    </row>
    <row r="124" spans="1:9" x14ac:dyDescent="0.3">
      <c r="A124">
        <v>95497.190960926295</v>
      </c>
      <c r="B124">
        <v>-424.53958383160699</v>
      </c>
      <c r="C124">
        <v>94463.566341345548</v>
      </c>
      <c r="D124">
        <v>-401.03523141804237</v>
      </c>
      <c r="E124">
        <v>-6.1753958383160704E-3</v>
      </c>
      <c r="F124">
        <v>71418.190960926266</v>
      </c>
      <c r="G124">
        <v>-617.53958383160705</v>
      </c>
      <c r="H124">
        <v>74015.888335422729</v>
      </c>
      <c r="I124">
        <v>-457.0774087958365</v>
      </c>
    </row>
    <row r="125" spans="1:9" x14ac:dyDescent="0.3">
      <c r="A125">
        <v>95066.651377094691</v>
      </c>
      <c r="B125">
        <v>77.66062307715012</v>
      </c>
      <c r="C125">
        <v>94056.531109927499</v>
      </c>
      <c r="D125">
        <v>73.044888104723242</v>
      </c>
      <c r="E125">
        <v>-1.153393769228499E-3</v>
      </c>
      <c r="F125">
        <v>70788.651377094662</v>
      </c>
      <c r="G125">
        <v>-115.33937692284989</v>
      </c>
      <c r="H125">
        <v>73546.810926626888</v>
      </c>
      <c r="I125">
        <v>-84.828433469397936</v>
      </c>
    </row>
    <row r="126" spans="1:9" x14ac:dyDescent="0.3">
      <c r="A126">
        <v>95138.312000171834</v>
      </c>
      <c r="B126">
        <v>729.77573828733091</v>
      </c>
      <c r="C126">
        <v>94123.575998032218</v>
      </c>
      <c r="D126">
        <v>686.89102164207657</v>
      </c>
      <c r="E126">
        <v>5.3677573828733085E-3</v>
      </c>
      <c r="F126">
        <v>70661.312000171805</v>
      </c>
      <c r="G126">
        <v>536.7757382873308</v>
      </c>
      <c r="H126">
        <v>73449.982493157484</v>
      </c>
      <c r="I126">
        <v>394.26168579956135</v>
      </c>
    </row>
    <row r="127" spans="1:9" x14ac:dyDescent="0.3">
      <c r="A127">
        <v>95862.087738459159</v>
      </c>
      <c r="B127">
        <v>228.55626170428573</v>
      </c>
      <c r="C127">
        <v>94804.467019674295</v>
      </c>
      <c r="D127">
        <v>216.68154574884005</v>
      </c>
      <c r="E127">
        <v>3.5556261704285737E-4</v>
      </c>
      <c r="F127">
        <v>71186.087738459129</v>
      </c>
      <c r="G127">
        <v>35.556261704285738</v>
      </c>
      <c r="H127">
        <v>73832.244178957044</v>
      </c>
      <c r="I127">
        <v>26.251985962417237</v>
      </c>
    </row>
    <row r="128" spans="1:9" x14ac:dyDescent="0.3">
      <c r="A128">
        <v>96084.644000163447</v>
      </c>
      <c r="B128">
        <v>913.05126215909843</v>
      </c>
      <c r="C128">
        <v>95015.148565423136</v>
      </c>
      <c r="D128">
        <v>867.53701321893845</v>
      </c>
      <c r="E128">
        <v>7.2005126215909836E-3</v>
      </c>
      <c r="F128">
        <v>71209.644000163418</v>
      </c>
      <c r="G128">
        <v>720.05126215909831</v>
      </c>
      <c r="H128">
        <v>73846.496164919459</v>
      </c>
      <c r="I128">
        <v>531.73262769577275</v>
      </c>
    </row>
    <row r="129" spans="1:9" x14ac:dyDescent="0.3">
      <c r="A129">
        <v>96991.695262322552</v>
      </c>
      <c r="B129">
        <v>-1133.5348506401103</v>
      </c>
      <c r="C129">
        <v>95876.685578642078</v>
      </c>
      <c r="D129">
        <v>-1086.7956446725486</v>
      </c>
      <c r="E129">
        <v>-1.3265348506401103E-2</v>
      </c>
      <c r="F129">
        <v>71917.695262322522</v>
      </c>
      <c r="G129">
        <v>-1326.5348506401103</v>
      </c>
      <c r="H129">
        <v>74366.228792615235</v>
      </c>
      <c r="I129">
        <v>-986.49394204080124</v>
      </c>
    </row>
    <row r="130" spans="1:9" x14ac:dyDescent="0.3">
      <c r="A130">
        <v>95852.160411682446</v>
      </c>
      <c r="B130">
        <v>846.90936893489254</v>
      </c>
      <c r="C130">
        <v>94783.889933969534</v>
      </c>
      <c r="D130">
        <v>802.7336440917245</v>
      </c>
      <c r="E130">
        <v>6.5390936893489253E-3</v>
      </c>
      <c r="F130">
        <v>70579.160411682416</v>
      </c>
      <c r="G130">
        <v>653.90936893489254</v>
      </c>
      <c r="H130">
        <v>73367.73485057443</v>
      </c>
      <c r="I130">
        <v>479.7584919632165</v>
      </c>
    </row>
    <row r="131" spans="1:9" x14ac:dyDescent="0.3">
      <c r="A131">
        <v>96693.069780617341</v>
      </c>
      <c r="B131">
        <v>-842.608500784341</v>
      </c>
      <c r="C131">
        <v>95580.623578061262</v>
      </c>
      <c r="D131">
        <v>-805.37045937142636</v>
      </c>
      <c r="E131">
        <v>-1.0356085007843409E-2</v>
      </c>
      <c r="F131">
        <v>71221.069780617312</v>
      </c>
      <c r="G131">
        <v>-1035.608500784341</v>
      </c>
      <c r="H131">
        <v>73835.493342537651</v>
      </c>
      <c r="I131">
        <v>-764.64664565137605</v>
      </c>
    </row>
    <row r="132" spans="1:9" x14ac:dyDescent="0.3">
      <c r="A132">
        <v>95844.461279833005</v>
      </c>
      <c r="B132">
        <v>-407.75027560898951</v>
      </c>
      <c r="C132">
        <v>94769.253118689841</v>
      </c>
      <c r="D132">
        <v>-386.42189078403868</v>
      </c>
      <c r="E132">
        <v>-6.0075027560898952E-3</v>
      </c>
      <c r="F132">
        <v>70173.461279832976</v>
      </c>
      <c r="G132">
        <v>-600.75027560898957</v>
      </c>
      <c r="H132">
        <v>73058.846696886278</v>
      </c>
      <c r="I132">
        <v>-438.90122288829343</v>
      </c>
    </row>
    <row r="133" spans="1:9" x14ac:dyDescent="0.3">
      <c r="A133">
        <v>95430.711004224009</v>
      </c>
      <c r="B133">
        <v>237.6531748978868</v>
      </c>
      <c r="C133">
        <v>94376.831227905801</v>
      </c>
      <c r="D133">
        <v>224.28953578113843</v>
      </c>
      <c r="E133">
        <v>4.4653174897886787E-4</v>
      </c>
      <c r="F133">
        <v>69560.71100422398</v>
      </c>
      <c r="G133">
        <v>44.653174897886785</v>
      </c>
      <c r="H133">
        <v>72607.945473997985</v>
      </c>
      <c r="I133">
        <v>32.421752882266595</v>
      </c>
    </row>
    <row r="134" spans="1:9" x14ac:dyDescent="0.3">
      <c r="A134">
        <v>95662.364179121898</v>
      </c>
      <c r="B134">
        <v>-918.82261128208279</v>
      </c>
      <c r="C134">
        <v>94595.120763686937</v>
      </c>
      <c r="D134">
        <v>-869.16135874634801</v>
      </c>
      <c r="E134">
        <v>-1.1118226112820827E-2</v>
      </c>
      <c r="F134">
        <v>69593.364179121869</v>
      </c>
      <c r="G134">
        <v>-1111.8226112820828</v>
      </c>
      <c r="H134">
        <v>72628.367226880247</v>
      </c>
      <c r="I134">
        <v>-807.4986090334404</v>
      </c>
    </row>
    <row r="135" spans="1:9" x14ac:dyDescent="0.3">
      <c r="A135">
        <v>94737.541567839813</v>
      </c>
      <c r="B135">
        <v>653.00251708018175</v>
      </c>
      <c r="C135">
        <v>93719.959404940586</v>
      </c>
      <c r="D135">
        <v>611.99369392078654</v>
      </c>
      <c r="E135">
        <v>4.6000251708018169E-3</v>
      </c>
      <c r="F135">
        <v>68469.541567839784</v>
      </c>
      <c r="G135">
        <v>460.00251708018169</v>
      </c>
      <c r="H135">
        <v>71808.868617846805</v>
      </c>
      <c r="I135">
        <v>330.32260312889599</v>
      </c>
    </row>
    <row r="136" spans="1:9" x14ac:dyDescent="0.3">
      <c r="A136">
        <v>95384.544084919995</v>
      </c>
      <c r="B136">
        <v>15.908137735550875</v>
      </c>
      <c r="C136">
        <v>94325.95309886137</v>
      </c>
      <c r="D136">
        <v>15.005502539337986</v>
      </c>
      <c r="E136">
        <v>-1.7709186226444913E-3</v>
      </c>
      <c r="F136">
        <v>68917.544084919966</v>
      </c>
      <c r="G136">
        <v>-177.09186226444913</v>
      </c>
      <c r="H136">
        <v>72127.191220975699</v>
      </c>
      <c r="I136">
        <v>-127.73138613226614</v>
      </c>
    </row>
    <row r="137" spans="1:9" x14ac:dyDescent="0.3">
      <c r="A137">
        <v>95394.452222655542</v>
      </c>
      <c r="B137">
        <v>-3992.7719551861233</v>
      </c>
      <c r="C137">
        <v>94334.958601400707</v>
      </c>
      <c r="D137">
        <v>-3766.5797709731669</v>
      </c>
      <c r="E137">
        <v>-4.1857719551861232E-2</v>
      </c>
      <c r="F137">
        <v>68728.452222655513</v>
      </c>
      <c r="G137">
        <v>-4185.7719551861228</v>
      </c>
      <c r="H137">
        <v>71987.459834843437</v>
      </c>
      <c r="I137">
        <v>-3013.2309050177514</v>
      </c>
    </row>
    <row r="138" spans="1:9" x14ac:dyDescent="0.3">
      <c r="A138">
        <v>91395.680267469419</v>
      </c>
      <c r="B138">
        <v>1814.0589569161004</v>
      </c>
      <c r="C138">
        <v>90562.378830427537</v>
      </c>
      <c r="D138">
        <v>1642.8549447696612</v>
      </c>
      <c r="E138">
        <v>1.6210589569161004E-2</v>
      </c>
      <c r="F138">
        <v>64530.68026746939</v>
      </c>
      <c r="G138">
        <v>1621.0589569161004</v>
      </c>
      <c r="H138">
        <v>68962.22892982568</v>
      </c>
      <c r="I138">
        <v>1117.9183889559254</v>
      </c>
    </row>
    <row r="139" spans="1:9" x14ac:dyDescent="0.3">
      <c r="A139">
        <v>93203.739224385514</v>
      </c>
      <c r="B139">
        <v>1914.3491354324201</v>
      </c>
      <c r="C139">
        <v>92199.233775197194</v>
      </c>
      <c r="D139">
        <v>1765.0152346508032</v>
      </c>
      <c r="E139">
        <v>1.7213491354324199E-2</v>
      </c>
      <c r="F139">
        <v>66139.739224385485</v>
      </c>
      <c r="G139">
        <v>1721.3491354324199</v>
      </c>
      <c r="H139">
        <v>70068.147318781601</v>
      </c>
      <c r="I139">
        <v>1206.1174480853615</v>
      </c>
    </row>
    <row r="140" spans="1:9" x14ac:dyDescent="0.3">
      <c r="A140">
        <v>95112.088359817935</v>
      </c>
      <c r="B140">
        <v>1585.0288512478255</v>
      </c>
      <c r="C140">
        <v>93958.24900984799</v>
      </c>
      <c r="D140">
        <v>1489.265354933365</v>
      </c>
      <c r="E140">
        <v>1.3920288512478255E-2</v>
      </c>
      <c r="F140">
        <v>67849.088359817906</v>
      </c>
      <c r="G140">
        <v>1392.0288512478255</v>
      </c>
      <c r="H140">
        <v>71262.264766866967</v>
      </c>
      <c r="I140">
        <v>991.99128560740212</v>
      </c>
    </row>
    <row r="141" spans="1:9" x14ac:dyDescent="0.3">
      <c r="A141">
        <v>96691.117211065764</v>
      </c>
      <c r="B141">
        <v>198.05129094746647</v>
      </c>
      <c r="C141">
        <v>95441.514364781353</v>
      </c>
      <c r="D141">
        <v>189.02315129926112</v>
      </c>
      <c r="E141">
        <v>5.0512909474664585E-5</v>
      </c>
      <c r="F141">
        <v>69229.117211065735</v>
      </c>
      <c r="G141">
        <v>5.0512909474664589</v>
      </c>
      <c r="H141">
        <v>72242.256052474375</v>
      </c>
      <c r="I141">
        <v>3.649166540224178</v>
      </c>
    </row>
    <row r="142" spans="1:9" x14ac:dyDescent="0.3">
      <c r="A142">
        <v>96883.168502013228</v>
      </c>
      <c r="B142">
        <v>-1041.051707008023</v>
      </c>
      <c r="C142">
        <v>95624.537516080614</v>
      </c>
      <c r="D142">
        <v>-995.50088012968456</v>
      </c>
      <c r="E142">
        <v>-1.2340517070080229E-2</v>
      </c>
      <c r="F142">
        <v>69222.168502013199</v>
      </c>
      <c r="G142">
        <v>-1234.051707008023</v>
      </c>
      <c r="H142">
        <v>72233.905219014603</v>
      </c>
      <c r="I142">
        <v>-891.40374039380697</v>
      </c>
    </row>
    <row r="143" spans="1:9" x14ac:dyDescent="0.3">
      <c r="A143">
        <v>95836.116795005204</v>
      </c>
      <c r="B143">
        <v>1038.1585497994013</v>
      </c>
      <c r="C143">
        <v>94623.036635950935</v>
      </c>
      <c r="D143">
        <v>982.33714491594446</v>
      </c>
      <c r="E143">
        <v>8.4515854979940134E-3</v>
      </c>
      <c r="F143">
        <v>67976.116795005175</v>
      </c>
      <c r="G143">
        <v>845.15854979940138</v>
      </c>
      <c r="H143">
        <v>71330.50147862079</v>
      </c>
      <c r="I143">
        <v>602.85583186135204</v>
      </c>
    </row>
    <row r="144" spans="1:9" x14ac:dyDescent="0.3">
      <c r="A144">
        <v>96868.275344804599</v>
      </c>
      <c r="B144">
        <v>2845.5165119285466</v>
      </c>
      <c r="C144">
        <v>95599.373780866881</v>
      </c>
      <c r="D144">
        <v>2720.2959662348571</v>
      </c>
      <c r="E144">
        <v>2.6525165119285467E-2</v>
      </c>
      <c r="F144">
        <v>68809.27534480457</v>
      </c>
      <c r="G144">
        <v>2652.5165119285466</v>
      </c>
      <c r="H144">
        <v>71921.357310482141</v>
      </c>
      <c r="I144">
        <v>1907.7258782636677</v>
      </c>
    </row>
    <row r="145" spans="1:9" x14ac:dyDescent="0.3">
      <c r="A145">
        <v>99707.791856733151</v>
      </c>
      <c r="B145">
        <v>-1401.1058996298545</v>
      </c>
      <c r="C145">
        <v>98313.66974710174</v>
      </c>
      <c r="D145">
        <v>-1377.478626969254</v>
      </c>
      <c r="E145">
        <v>-1.5941058996298545E-2</v>
      </c>
      <c r="F145">
        <v>71449.791856733122</v>
      </c>
      <c r="G145">
        <v>-1594.1058996298545</v>
      </c>
      <c r="H145">
        <v>73817.083188745804</v>
      </c>
      <c r="I145">
        <v>-1176.7224780464744</v>
      </c>
    </row>
    <row r="146" spans="1:9" x14ac:dyDescent="0.3">
      <c r="A146">
        <v>98300.685957103298</v>
      </c>
      <c r="B146">
        <v>313.04709059078567</v>
      </c>
      <c r="C146">
        <v>96930.191120132484</v>
      </c>
      <c r="D146">
        <v>303.43714320566284</v>
      </c>
      <c r="E146">
        <v>1.2004709059078567E-3</v>
      </c>
      <c r="F146">
        <v>69843.685957103269</v>
      </c>
      <c r="G146">
        <v>120.04709059078567</v>
      </c>
      <c r="H146">
        <v>72628.36071069933</v>
      </c>
      <c r="I146">
        <v>87.188233976975809</v>
      </c>
    </row>
    <row r="147" spans="1:9" x14ac:dyDescent="0.3">
      <c r="A147">
        <v>98607.733047694084</v>
      </c>
      <c r="B147">
        <v>383.45617856822184</v>
      </c>
      <c r="C147">
        <v>97227.628263338149</v>
      </c>
      <c r="D147">
        <v>372.82534785111284</v>
      </c>
      <c r="E147">
        <v>1.9045617856822182E-3</v>
      </c>
      <c r="F147">
        <v>69951.733047694055</v>
      </c>
      <c r="G147">
        <v>190.45617856822182</v>
      </c>
      <c r="H147">
        <v>72703.548944676309</v>
      </c>
      <c r="I147">
        <v>138.46840100350727</v>
      </c>
    </row>
    <row r="148" spans="1:9" x14ac:dyDescent="0.3">
      <c r="A148">
        <v>98985.189226262301</v>
      </c>
      <c r="B148">
        <v>1737.0694827793509</v>
      </c>
      <c r="C148">
        <v>97594.453611189267</v>
      </c>
      <c r="D148">
        <v>1695.283470565219</v>
      </c>
      <c r="E148">
        <v>1.544069482779351E-2</v>
      </c>
      <c r="F148">
        <v>70130.189226262271</v>
      </c>
      <c r="G148">
        <v>1544.0694827793511</v>
      </c>
      <c r="H148">
        <v>72830.017345679822</v>
      </c>
      <c r="I148">
        <v>1124.54607213755</v>
      </c>
    </row>
    <row r="149" spans="1:9" x14ac:dyDescent="0.3">
      <c r="A149">
        <v>100716.25870904165</v>
      </c>
      <c r="B149">
        <v>-200.89559563242935</v>
      </c>
      <c r="C149">
        <v>99283.737081754487</v>
      </c>
      <c r="D149">
        <v>-199.45665497652578</v>
      </c>
      <c r="E149">
        <v>-3.9389559563242933E-3</v>
      </c>
      <c r="F149">
        <v>71662.25870904162</v>
      </c>
      <c r="G149">
        <v>-393.89559563242932</v>
      </c>
      <c r="H149">
        <v>73942.563417817379</v>
      </c>
      <c r="I149">
        <v>-291.25650060049855</v>
      </c>
    </row>
    <row r="150" spans="1:9" x14ac:dyDescent="0.3">
      <c r="A150">
        <v>100509.36311340921</v>
      </c>
      <c r="B150">
        <v>1248.6444149897525</v>
      </c>
      <c r="C150">
        <v>99078.280426777957</v>
      </c>
      <c r="D150">
        <v>1237.1354150168479</v>
      </c>
      <c r="E150">
        <v>1.0556444149897525E-2</v>
      </c>
      <c r="F150">
        <v>71256.363113409185</v>
      </c>
      <c r="G150">
        <v>1055.6444149897525</v>
      </c>
      <c r="H150">
        <v>73639.306917216876</v>
      </c>
      <c r="I150">
        <v>777.36923070876242</v>
      </c>
    </row>
    <row r="151" spans="1:9" x14ac:dyDescent="0.3">
      <c r="A151">
        <v>101752.00752839897</v>
      </c>
      <c r="B151">
        <v>-370.92213675472635</v>
      </c>
      <c r="C151">
        <v>100309.41584179481</v>
      </c>
      <c r="D151">
        <v>-372.06982860656927</v>
      </c>
      <c r="E151">
        <v>-5.6392213675472633E-3</v>
      </c>
      <c r="F151">
        <v>72300.007528398943</v>
      </c>
      <c r="G151">
        <v>-563.92213675472635</v>
      </c>
      <c r="H151">
        <v>74404.676147925638</v>
      </c>
      <c r="I151">
        <v>-419.58443957881644</v>
      </c>
    </row>
    <row r="152" spans="1:9" x14ac:dyDescent="0.3">
      <c r="A152">
        <v>101375.08539164424</v>
      </c>
      <c r="B152">
        <v>305.69354222392053</v>
      </c>
      <c r="C152">
        <v>99931.346013188231</v>
      </c>
      <c r="D152">
        <v>305.48367141975768</v>
      </c>
      <c r="E152">
        <v>1.1269354222392051E-3</v>
      </c>
      <c r="F152">
        <v>71724.085391644214</v>
      </c>
      <c r="G152">
        <v>112.69354222392052</v>
      </c>
      <c r="H152">
        <v>73973.091708346823</v>
      </c>
      <c r="I152">
        <v>83.362897338685272</v>
      </c>
    </row>
    <row r="153" spans="1:9" x14ac:dyDescent="0.3">
      <c r="A153">
        <v>101674.77893386816</v>
      </c>
      <c r="B153">
        <v>1300.0336875631483</v>
      </c>
      <c r="C153">
        <v>100230.82968460799</v>
      </c>
      <c r="D153">
        <v>1303.034551223948</v>
      </c>
      <c r="E153">
        <v>1.1070336875631484E-2</v>
      </c>
      <c r="F153">
        <v>71824.778933868132</v>
      </c>
      <c r="G153">
        <v>1107.0336875631483</v>
      </c>
      <c r="H153">
        <v>74044.454605685503</v>
      </c>
      <c r="I153">
        <v>819.69705625734173</v>
      </c>
    </row>
    <row r="154" spans="1:9" x14ac:dyDescent="0.3">
      <c r="A154">
        <v>102968.81262143131</v>
      </c>
      <c r="B154">
        <v>956.79106994999779</v>
      </c>
      <c r="C154">
        <v>101527.86423583193</v>
      </c>
      <c r="D154">
        <v>971.40953851939753</v>
      </c>
      <c r="E154">
        <v>7.6379106994999774E-3</v>
      </c>
      <c r="F154">
        <v>72919.81262143128</v>
      </c>
      <c r="G154">
        <v>763.79106994999779</v>
      </c>
      <c r="H154">
        <v>74852.151661942844</v>
      </c>
      <c r="I154">
        <v>571.71405005934821</v>
      </c>
    </row>
    <row r="155" spans="1:9" x14ac:dyDescent="0.3">
      <c r="A155">
        <v>103919.6036913813</v>
      </c>
      <c r="B155">
        <v>279.51280449720133</v>
      </c>
      <c r="C155">
        <v>102493.27377435133</v>
      </c>
      <c r="D155">
        <v>286.48182394768395</v>
      </c>
      <c r="E155">
        <v>8.6512804497201347E-4</v>
      </c>
      <c r="F155">
        <v>73671.603691381271</v>
      </c>
      <c r="G155">
        <v>86.512804497201344</v>
      </c>
      <c r="H155">
        <v>75411.865712002196</v>
      </c>
      <c r="I155">
        <v>65.240919951116481</v>
      </c>
    </row>
    <row r="156" spans="1:9" x14ac:dyDescent="0.3">
      <c r="A156">
        <v>104193.11649587851</v>
      </c>
      <c r="B156">
        <v>-808.93562739179413</v>
      </c>
      <c r="C156">
        <v>102773.75559829902</v>
      </c>
      <c r="D156">
        <v>-831.37352464320929</v>
      </c>
      <c r="E156">
        <v>-1.0019356273917941E-2</v>
      </c>
      <c r="F156">
        <v>73746.116495878479</v>
      </c>
      <c r="G156">
        <v>-1001.935627391794</v>
      </c>
      <c r="H156">
        <v>75465.106631953313</v>
      </c>
      <c r="I156">
        <v>-756.11178959474785</v>
      </c>
    </row>
    <row r="157" spans="1:9" x14ac:dyDescent="0.3">
      <c r="A157">
        <v>103378.18086848671</v>
      </c>
      <c r="B157">
        <v>325.10759513267834</v>
      </c>
      <c r="C157">
        <v>101936.38207365581</v>
      </c>
      <c r="D157">
        <v>331.40292032492101</v>
      </c>
      <c r="E157">
        <v>1.3210759513267833E-3</v>
      </c>
      <c r="F157">
        <v>72732.180868486685</v>
      </c>
      <c r="G157">
        <v>132.10759513267834</v>
      </c>
      <c r="H157">
        <v>74696.994842358559</v>
      </c>
      <c r="I157">
        <v>98.680403522620665</v>
      </c>
    </row>
    <row r="158" spans="1:9" x14ac:dyDescent="0.3">
      <c r="A158">
        <v>103697.28846361939</v>
      </c>
      <c r="B158">
        <v>158.92801495792799</v>
      </c>
      <c r="C158">
        <v>102261.78499398073</v>
      </c>
      <c r="D158">
        <v>162.52262495147787</v>
      </c>
      <c r="E158">
        <v>-3.4071985042072013E-4</v>
      </c>
      <c r="F158">
        <v>72852.288463619363</v>
      </c>
      <c r="G158">
        <v>-34.071985042072015</v>
      </c>
      <c r="H158">
        <v>74783.675245881182</v>
      </c>
      <c r="I158">
        <v>-25.480282643688348</v>
      </c>
    </row>
    <row r="159" spans="1:9" x14ac:dyDescent="0.3">
      <c r="A159">
        <v>103850.21647857732</v>
      </c>
      <c r="B159">
        <v>1225.2151141040051</v>
      </c>
      <c r="C159">
        <v>102418.30761893222</v>
      </c>
      <c r="D159">
        <v>1254.8445845566914</v>
      </c>
      <c r="E159">
        <v>1.0322151141040053E-2</v>
      </c>
      <c r="F159">
        <v>72806.216478577291</v>
      </c>
      <c r="G159">
        <v>1032.2151141040054</v>
      </c>
      <c r="H159">
        <v>74746.194963237489</v>
      </c>
      <c r="I159">
        <v>771.54152162818411</v>
      </c>
    </row>
    <row r="160" spans="1:9" x14ac:dyDescent="0.3">
      <c r="A160">
        <v>105069.43159268133</v>
      </c>
      <c r="B160">
        <v>693.29601831828234</v>
      </c>
      <c r="C160">
        <v>103667.15220348891</v>
      </c>
      <c r="D160">
        <v>718.72023853074211</v>
      </c>
      <c r="E160">
        <v>5.0029601831828229E-3</v>
      </c>
      <c r="F160">
        <v>73826.4315926813</v>
      </c>
      <c r="G160">
        <v>500.29601831828228</v>
      </c>
      <c r="H160">
        <v>75505.736484865673</v>
      </c>
      <c r="I160">
        <v>377.75219323567751</v>
      </c>
    </row>
    <row r="161" spans="1:9" x14ac:dyDescent="0.3">
      <c r="A161">
        <v>105756.72761099962</v>
      </c>
      <c r="B161">
        <v>1267.8338288266946</v>
      </c>
      <c r="C161">
        <v>104379.87244201965</v>
      </c>
      <c r="D161">
        <v>1323.3633333060775</v>
      </c>
      <c r="E161">
        <v>1.0748338288266946E-2</v>
      </c>
      <c r="F161">
        <v>74314.727610999587</v>
      </c>
      <c r="G161">
        <v>1074.8338288266946</v>
      </c>
      <c r="H161">
        <v>75871.488678101348</v>
      </c>
      <c r="I161">
        <v>815.4924267466489</v>
      </c>
    </row>
    <row r="162" spans="1:9" x14ac:dyDescent="0.3">
      <c r="A162">
        <v>107018.56143982631</v>
      </c>
      <c r="B162">
        <v>935.5700986266063</v>
      </c>
      <c r="C162">
        <v>105697.23577532572</v>
      </c>
      <c r="D162">
        <v>988.87173298881146</v>
      </c>
      <c r="E162">
        <v>7.4257009862660631E-3</v>
      </c>
      <c r="F162">
        <v>75377.561439826284</v>
      </c>
      <c r="G162">
        <v>742.5700986266063</v>
      </c>
      <c r="H162">
        <v>76674.981104848004</v>
      </c>
      <c r="I162">
        <v>569.36548281220155</v>
      </c>
    </row>
    <row r="163" spans="1:9" x14ac:dyDescent="0.3">
      <c r="A163">
        <v>107948.13153845292</v>
      </c>
      <c r="B163">
        <v>-986.61355319838594</v>
      </c>
      <c r="C163">
        <v>106680.10750831454</v>
      </c>
      <c r="D163">
        <v>-1052.5203992436402</v>
      </c>
      <c r="E163">
        <v>-1.1796135531983859E-2</v>
      </c>
      <c r="F163">
        <v>76108.131538452886</v>
      </c>
      <c r="G163">
        <v>-1179.6135531983859</v>
      </c>
      <c r="H163">
        <v>77232.346587660199</v>
      </c>
      <c r="I163">
        <v>-911.04322780119082</v>
      </c>
    </row>
    <row r="164" spans="1:9" x14ac:dyDescent="0.3">
      <c r="A164">
        <v>106955.51798525453</v>
      </c>
      <c r="B164">
        <v>3853.9553752535467</v>
      </c>
      <c r="C164">
        <v>105621.5871090709</v>
      </c>
      <c r="D164">
        <v>4070.6088338181453</v>
      </c>
      <c r="E164">
        <v>3.6609553752535468E-2</v>
      </c>
      <c r="F164">
        <v>74916.517985254497</v>
      </c>
      <c r="G164">
        <v>3660.9553752535467</v>
      </c>
      <c r="H164">
        <v>76309.303359859012</v>
      </c>
      <c r="I164">
        <v>2793.6495431712938</v>
      </c>
    </row>
    <row r="165" spans="1:9" x14ac:dyDescent="0.3">
      <c r="A165">
        <v>110803.47336050807</v>
      </c>
      <c r="B165">
        <v>-463.49581609479952</v>
      </c>
      <c r="C165">
        <v>109686.19594288904</v>
      </c>
      <c r="D165">
        <v>-508.39092902883442</v>
      </c>
      <c r="E165">
        <v>-6.5649581609479955E-3</v>
      </c>
      <c r="F165">
        <v>78565.47336050804</v>
      </c>
      <c r="G165">
        <v>-656.49581609479958</v>
      </c>
      <c r="H165">
        <v>79090.952903030309</v>
      </c>
      <c r="I165">
        <v>-519.22879671790236</v>
      </c>
    </row>
    <row r="166" spans="1:9" x14ac:dyDescent="0.3">
      <c r="A166">
        <v>110333.97754441327</v>
      </c>
      <c r="B166">
        <v>516.11317624650758</v>
      </c>
      <c r="C166">
        <v>109171.80501386021</v>
      </c>
      <c r="D166">
        <v>563.45007042267798</v>
      </c>
      <c r="E166">
        <v>3.2311317624650754E-3</v>
      </c>
      <c r="F166">
        <v>77896.977544413239</v>
      </c>
      <c r="G166">
        <v>323.11317624650752</v>
      </c>
      <c r="H166">
        <v>78559.724106312409</v>
      </c>
      <c r="I166">
        <v>253.83681981039928</v>
      </c>
    </row>
    <row r="167" spans="1:9" x14ac:dyDescent="0.3">
      <c r="A167">
        <v>110844.09072065978</v>
      </c>
      <c r="B167">
        <v>-1960.9060845534002</v>
      </c>
      <c r="C167">
        <v>109729.25508428289</v>
      </c>
      <c r="D167">
        <v>-2151.6876394828246</v>
      </c>
      <c r="E167">
        <v>-2.1539060845534003E-2</v>
      </c>
      <c r="F167">
        <v>78208.090720659748</v>
      </c>
      <c r="G167">
        <v>-2153.9060845534004</v>
      </c>
      <c r="H167">
        <v>78801.560926122809</v>
      </c>
      <c r="I167">
        <v>-1697.3116155108139</v>
      </c>
    </row>
    <row r="168" spans="1:9" x14ac:dyDescent="0.3">
      <c r="A168">
        <v>108877.18463610638</v>
      </c>
      <c r="B168">
        <v>-57.819299473539374</v>
      </c>
      <c r="C168">
        <v>107571.56744480006</v>
      </c>
      <c r="D168">
        <v>-62.197126729289337</v>
      </c>
      <c r="E168">
        <v>-2.5081929947353937E-3</v>
      </c>
      <c r="F168">
        <v>76042.184636106351</v>
      </c>
      <c r="G168">
        <v>-250.81929947353936</v>
      </c>
      <c r="H168">
        <v>77092.249310611995</v>
      </c>
      <c r="I168">
        <v>-193.36223966927147</v>
      </c>
    </row>
    <row r="169" spans="1:9" x14ac:dyDescent="0.3">
      <c r="A169">
        <v>108813.36533663284</v>
      </c>
      <c r="B169">
        <v>388.86272841888706</v>
      </c>
      <c r="C169">
        <v>107503.37031807078</v>
      </c>
      <c r="D169">
        <v>418.04053896110997</v>
      </c>
      <c r="E169">
        <v>1.9586272841888705E-3</v>
      </c>
      <c r="F169">
        <v>75779.365336632807</v>
      </c>
      <c r="G169">
        <v>195.86272841888706</v>
      </c>
      <c r="H169">
        <v>76886.887070942728</v>
      </c>
      <c r="I169">
        <v>150.59275481349692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2E5-F4FA-4A74-8A23-1A912CCAB4F4}">
  <sheetPr>
    <tabColor rgb="FFFFFF00"/>
  </sheetPr>
  <dimension ref="A1:I169"/>
  <sheetViews>
    <sheetView workbookViewId="0">
      <selection activeCell="I167" sqref="I167"/>
    </sheetView>
  </sheetViews>
  <sheetFormatPr baseColWidth="10" defaultRowHeight="14.4" x14ac:dyDescent="0.3"/>
  <sheetData>
    <row r="1" spans="1:9" x14ac:dyDescent="0.3">
      <c r="A1" t="s">
        <v>9</v>
      </c>
      <c r="C1" t="s">
        <v>10</v>
      </c>
      <c r="F1" t="s">
        <v>9</v>
      </c>
      <c r="H1" t="s">
        <v>10</v>
      </c>
    </row>
    <row r="2" spans="1:9" x14ac:dyDescent="0.3">
      <c r="A2" t="s">
        <v>12</v>
      </c>
      <c r="B2" t="s">
        <v>13</v>
      </c>
      <c r="C2" t="s">
        <v>12</v>
      </c>
      <c r="D2" t="s">
        <v>13</v>
      </c>
      <c r="F2" t="s">
        <v>12</v>
      </c>
      <c r="G2" t="s">
        <v>13</v>
      </c>
      <c r="H2" t="s">
        <v>12</v>
      </c>
      <c r="I2" t="s">
        <v>13</v>
      </c>
    </row>
    <row r="3" spans="1:9" x14ac:dyDescent="0.3">
      <c r="A3">
        <v>100000</v>
      </c>
      <c r="B3">
        <v>1407.0599851888487</v>
      </c>
      <c r="C3">
        <v>100000</v>
      </c>
      <c r="D3">
        <v>1407.0599851888487</v>
      </c>
      <c r="E3">
        <v>1.2140599851888489E-2</v>
      </c>
      <c r="F3">
        <v>100000</v>
      </c>
      <c r="G3">
        <v>1214.0599851888489</v>
      </c>
      <c r="H3">
        <v>100000</v>
      </c>
      <c r="I3">
        <v>1214.0599851888489</v>
      </c>
    </row>
    <row r="4" spans="1:9" x14ac:dyDescent="0.3">
      <c r="A4">
        <v>101401.05998518885</v>
      </c>
      <c r="B4">
        <v>-1532.7400146179964</v>
      </c>
      <c r="C4">
        <v>101401.05998518885</v>
      </c>
      <c r="D4">
        <v>-1554.2146216397869</v>
      </c>
      <c r="E4">
        <v>-1.7257400146179963E-2</v>
      </c>
      <c r="F4">
        <v>101202.05998518885</v>
      </c>
      <c r="G4">
        <v>-1725.7400146179964</v>
      </c>
      <c r="H4">
        <v>101202.05998518885</v>
      </c>
      <c r="I4">
        <v>-1746.4844447821115</v>
      </c>
    </row>
    <row r="5" spans="1:9" x14ac:dyDescent="0.3">
      <c r="A5">
        <v>99862.319970570854</v>
      </c>
      <c r="B5">
        <v>-2113.327169462415</v>
      </c>
      <c r="C5">
        <v>99840.845363549073</v>
      </c>
      <c r="D5">
        <v>-2109.9637112888381</v>
      </c>
      <c r="E5">
        <v>-2.306327169462415E-2</v>
      </c>
      <c r="F5">
        <v>99464.319970570854</v>
      </c>
      <c r="G5">
        <v>-2306.327169462415</v>
      </c>
      <c r="H5">
        <v>99443.575540406746</v>
      </c>
      <c r="I5">
        <v>-2293.4942009732813</v>
      </c>
    </row>
    <row r="6" spans="1:9" x14ac:dyDescent="0.3">
      <c r="A6">
        <v>97742.992801108441</v>
      </c>
      <c r="B6">
        <v>739.24731182795949</v>
      </c>
      <c r="C6">
        <v>97724.881652260228</v>
      </c>
      <c r="D6">
        <v>722.42856060138854</v>
      </c>
      <c r="E6">
        <v>5.4624731182795951E-3</v>
      </c>
      <c r="F6">
        <v>97145.992801108441</v>
      </c>
      <c r="G6">
        <v>546.24731182795949</v>
      </c>
      <c r="H6">
        <v>97138.081339433469</v>
      </c>
      <c r="I6">
        <v>530.61415807791207</v>
      </c>
    </row>
    <row r="7" spans="1:9" x14ac:dyDescent="0.3">
      <c r="A7">
        <v>98476.240112936401</v>
      </c>
      <c r="B7">
        <v>99.162626707798282</v>
      </c>
      <c r="C7">
        <v>98441.310212861616</v>
      </c>
      <c r="D7">
        <v>97.616988972645672</v>
      </c>
      <c r="E7">
        <v>-9.3837373292201729E-4</v>
      </c>
      <c r="F7">
        <v>97680.240112936401</v>
      </c>
      <c r="G7">
        <v>-93.837373292201733</v>
      </c>
      <c r="H7">
        <v>97656.695497511377</v>
      </c>
      <c r="I7">
        <v>-91.638477898828512</v>
      </c>
    </row>
    <row r="8" spans="1:9" x14ac:dyDescent="0.3">
      <c r="A8">
        <v>98569.402739644196</v>
      </c>
      <c r="B8">
        <v>454.25618293137728</v>
      </c>
      <c r="C8">
        <v>98532.92720183426</v>
      </c>
      <c r="D8">
        <v>447.59191403760502</v>
      </c>
      <c r="E8">
        <v>2.6125618293137724E-3</v>
      </c>
      <c r="F8">
        <v>97574.402739644196</v>
      </c>
      <c r="G8">
        <v>261.25618293137723</v>
      </c>
      <c r="H8">
        <v>97553.057019612548</v>
      </c>
      <c r="I8">
        <v>254.86339310230971</v>
      </c>
    </row>
    <row r="9" spans="1:9" x14ac:dyDescent="0.3">
      <c r="A9">
        <v>99017.658922575574</v>
      </c>
      <c r="B9">
        <v>1748.70466321244</v>
      </c>
      <c r="C9">
        <v>98974.519115871866</v>
      </c>
      <c r="D9">
        <v>1730.7720311713392</v>
      </c>
      <c r="E9">
        <v>1.5557046632124401E-2</v>
      </c>
      <c r="F9">
        <v>97823.658922575574</v>
      </c>
      <c r="G9">
        <v>1555.7046632124402</v>
      </c>
      <c r="H9">
        <v>97795.920412714855</v>
      </c>
      <c r="I9">
        <v>1521.4156942921315</v>
      </c>
    </row>
    <row r="10" spans="1:9" x14ac:dyDescent="0.3">
      <c r="A10">
        <v>100760.36358578801</v>
      </c>
      <c r="B10">
        <v>1254.3509635792445</v>
      </c>
      <c r="C10">
        <v>100699.2911470432</v>
      </c>
      <c r="D10">
        <v>1263.1225288204053</v>
      </c>
      <c r="E10">
        <v>1.0613509635792445E-2</v>
      </c>
      <c r="F10">
        <v>99367.363585788014</v>
      </c>
      <c r="G10">
        <v>1061.3509635792445</v>
      </c>
      <c r="H10">
        <v>99305.33610700698</v>
      </c>
      <c r="I10">
        <v>1053.978141657326</v>
      </c>
    </row>
    <row r="11" spans="1:9" x14ac:dyDescent="0.3">
      <c r="A11">
        <v>102008.71454936726</v>
      </c>
      <c r="B11">
        <v>898.48775652247082</v>
      </c>
      <c r="C11">
        <v>101956.4136758636</v>
      </c>
      <c r="D11">
        <v>916.06589386703649</v>
      </c>
      <c r="E11">
        <v>7.0548775652247075E-3</v>
      </c>
      <c r="F11">
        <v>100416.71454936726</v>
      </c>
      <c r="G11">
        <v>705.4877565224707</v>
      </c>
      <c r="H11">
        <v>100347.3142486643</v>
      </c>
      <c r="I11">
        <v>707.93801602345548</v>
      </c>
    </row>
    <row r="12" spans="1:9" x14ac:dyDescent="0.3">
      <c r="A12">
        <v>102901.20230588973</v>
      </c>
      <c r="B12">
        <v>1018.8861578538313</v>
      </c>
      <c r="C12">
        <v>102866.47956973064</v>
      </c>
      <c r="D12">
        <v>1048.0923214075249</v>
      </c>
      <c r="E12">
        <v>8.2588615785383138E-3</v>
      </c>
      <c r="F12">
        <v>101110.20230588973</v>
      </c>
      <c r="G12">
        <v>825.88615785383138</v>
      </c>
      <c r="H12">
        <v>101043.25226468776</v>
      </c>
      <c r="I12">
        <v>834.50223389938424</v>
      </c>
    </row>
    <row r="13" spans="1:9" x14ac:dyDescent="0.3">
      <c r="A13">
        <v>103914.08846374357</v>
      </c>
      <c r="B13">
        <v>-2453.0487300405421</v>
      </c>
      <c r="C13">
        <v>103908.57189113817</v>
      </c>
      <c r="D13">
        <v>-2548.9279031788287</v>
      </c>
      <c r="E13">
        <v>-2.6460487300405424E-2</v>
      </c>
      <c r="F13">
        <v>101924.08846374357</v>
      </c>
      <c r="G13">
        <v>-2646.0487300405425</v>
      </c>
      <c r="H13">
        <v>101865.75449858715</v>
      </c>
      <c r="I13">
        <v>-2695.417503256082</v>
      </c>
    </row>
    <row r="14" spans="1:9" x14ac:dyDescent="0.3">
      <c r="A14">
        <v>101455.03973370303</v>
      </c>
      <c r="B14">
        <v>-1070.7734311676084</v>
      </c>
      <c r="C14">
        <v>101353.64398795934</v>
      </c>
      <c r="D14">
        <v>-1085.2678913432746</v>
      </c>
      <c r="E14">
        <v>-1.2637734311676084E-2</v>
      </c>
      <c r="F14">
        <v>99266.03973370303</v>
      </c>
      <c r="G14">
        <v>-1263.7734311676084</v>
      </c>
      <c r="H14">
        <v>99158.336995331061</v>
      </c>
      <c r="I14">
        <v>-1253.1367177346353</v>
      </c>
    </row>
    <row r="15" spans="1:9" x14ac:dyDescent="0.3">
      <c r="A15">
        <v>100378.26630253543</v>
      </c>
      <c r="B15">
        <v>2204.8182514684631</v>
      </c>
      <c r="C15">
        <v>100262.37609661606</v>
      </c>
      <c r="D15">
        <v>2210.6031675341446</v>
      </c>
      <c r="E15">
        <v>2.011818251468463E-2</v>
      </c>
      <c r="F15">
        <v>97990.266302535427</v>
      </c>
      <c r="G15">
        <v>2011.8182514684629</v>
      </c>
      <c r="H15">
        <v>97893.200277596421</v>
      </c>
      <c r="I15">
        <v>1969.433270131261</v>
      </c>
    </row>
    <row r="16" spans="1:9" x14ac:dyDescent="0.3">
      <c r="A16">
        <v>102577.08455400389</v>
      </c>
      <c r="B16">
        <v>-670.30526905597321</v>
      </c>
      <c r="C16">
        <v>102466.97926415021</v>
      </c>
      <c r="D16">
        <v>-686.84156105009038</v>
      </c>
      <c r="E16">
        <v>-8.6330526905597314E-3</v>
      </c>
      <c r="F16">
        <v>99990.084554003886</v>
      </c>
      <c r="G16">
        <v>-863.3052690559731</v>
      </c>
      <c r="H16">
        <v>99850.633547727688</v>
      </c>
      <c r="I16">
        <v>-862.01578060330428</v>
      </c>
    </row>
    <row r="17" spans="1:9" x14ac:dyDescent="0.3">
      <c r="A17">
        <v>101900.77928494792</v>
      </c>
      <c r="B17">
        <v>374.49330233132224</v>
      </c>
      <c r="C17">
        <v>101774.13770310012</v>
      </c>
      <c r="D17">
        <v>381.13732920356699</v>
      </c>
      <c r="E17">
        <v>1.8149330233132226E-3</v>
      </c>
      <c r="F17">
        <v>99114.779284947916</v>
      </c>
      <c r="G17">
        <v>181.49330233132227</v>
      </c>
      <c r="H17">
        <v>98976.617767124379</v>
      </c>
      <c r="I17">
        <v>179.63593212140427</v>
      </c>
    </row>
    <row r="18" spans="1:9" x14ac:dyDescent="0.3">
      <c r="A18">
        <v>102269.27258727924</v>
      </c>
      <c r="B18">
        <v>2839.3795667222194</v>
      </c>
      <c r="C18">
        <v>102149.27503230369</v>
      </c>
      <c r="D18">
        <v>2900.4056428221129</v>
      </c>
      <c r="E18">
        <v>2.6463795667222192E-2</v>
      </c>
      <c r="F18">
        <v>99284.272587279236</v>
      </c>
      <c r="G18">
        <v>2646.3795667222194</v>
      </c>
      <c r="H18">
        <v>99144.25369924579</v>
      </c>
      <c r="I18">
        <v>2623.7332714760787</v>
      </c>
    </row>
    <row r="19" spans="1:9" x14ac:dyDescent="0.3">
      <c r="A19">
        <v>105102.65215400145</v>
      </c>
      <c r="B19">
        <v>-1688.8360558299589</v>
      </c>
      <c r="C19">
        <v>105043.6806751258</v>
      </c>
      <c r="D19">
        <v>-1774.0155536124112</v>
      </c>
      <c r="E19">
        <v>-1.881836055829959E-2</v>
      </c>
      <c r="F19">
        <v>101918.65215400145</v>
      </c>
      <c r="G19">
        <v>-1881.8360558299589</v>
      </c>
      <c r="H19">
        <v>101755.98697072187</v>
      </c>
      <c r="I19">
        <v>-1914.8808517806794</v>
      </c>
    </row>
    <row r="20" spans="1:9" x14ac:dyDescent="0.3">
      <c r="A20">
        <v>103407.81609817149</v>
      </c>
      <c r="B20">
        <v>209.04102430101176</v>
      </c>
      <c r="C20">
        <v>103263.66512151339</v>
      </c>
      <c r="D20">
        <v>215.86342330077821</v>
      </c>
      <c r="E20">
        <v>1.6041024301011761E-4</v>
      </c>
      <c r="F20">
        <v>100024.81609817149</v>
      </c>
      <c r="G20">
        <v>16.04102430101176</v>
      </c>
      <c r="H20">
        <v>99829.106118941199</v>
      </c>
      <c r="I20">
        <v>16.013611172022177</v>
      </c>
    </row>
    <row r="21" spans="1:9" x14ac:dyDescent="0.3">
      <c r="A21">
        <v>103610.8571224725</v>
      </c>
      <c r="B21">
        <v>593.56898704381717</v>
      </c>
      <c r="C21">
        <v>103473.52854481417</v>
      </c>
      <c r="D21">
        <v>614.18677524194845</v>
      </c>
      <c r="E21">
        <v>4.005689870438171E-3</v>
      </c>
      <c r="F21">
        <v>100028.8571224725</v>
      </c>
      <c r="G21">
        <v>400.56898704381712</v>
      </c>
      <c r="H21">
        <v>99833.11973011322</v>
      </c>
      <c r="I21">
        <v>399.90051643715566</v>
      </c>
    </row>
    <row r="22" spans="1:9" x14ac:dyDescent="0.3">
      <c r="A22">
        <v>104198.42610951632</v>
      </c>
      <c r="B22">
        <v>-1746.8593480581308</v>
      </c>
      <c r="C22">
        <v>104081.71532005612</v>
      </c>
      <c r="D22">
        <v>-1818.1611736876519</v>
      </c>
      <c r="E22">
        <v>-1.939859348058131E-2</v>
      </c>
      <c r="F22">
        <v>100417.42610951632</v>
      </c>
      <c r="G22">
        <v>-1939.859348058131</v>
      </c>
      <c r="H22">
        <v>100221.02024655038</v>
      </c>
      <c r="I22">
        <v>-1944.1468299719397</v>
      </c>
    </row>
    <row r="23" spans="1:9" x14ac:dyDescent="0.3">
      <c r="A23">
        <v>102445.56676145819</v>
      </c>
      <c r="B23">
        <v>1956.6313666162357</v>
      </c>
      <c r="C23">
        <v>102257.55414636846</v>
      </c>
      <c r="D23">
        <v>2000.8033791624264</v>
      </c>
      <c r="E23">
        <v>1.7636313666162355E-2</v>
      </c>
      <c r="F23">
        <v>98465.566761458191</v>
      </c>
      <c r="G23">
        <v>1763.6313666162355</v>
      </c>
      <c r="H23">
        <v>98264.873416578441</v>
      </c>
      <c r="I23">
        <v>1733.0301299405162</v>
      </c>
    </row>
    <row r="24" spans="1:9" x14ac:dyDescent="0.3">
      <c r="A24">
        <v>104396.19812807442</v>
      </c>
      <c r="B24">
        <v>-2106.6846725185605</v>
      </c>
      <c r="C24">
        <v>104252.3575255309</v>
      </c>
      <c r="D24">
        <v>-2196.2684367296097</v>
      </c>
      <c r="E24">
        <v>-2.2996846725185607E-2</v>
      </c>
      <c r="F24">
        <v>100217.19812807442</v>
      </c>
      <c r="G24">
        <v>-2299.6846725185605</v>
      </c>
      <c r="H24">
        <v>99985.903546518952</v>
      </c>
      <c r="I24">
        <v>-2299.3604985384882</v>
      </c>
    </row>
    <row r="25" spans="1:9" x14ac:dyDescent="0.3">
      <c r="A25">
        <v>102283.51345555586</v>
      </c>
      <c r="B25">
        <v>466.13760690345163</v>
      </c>
      <c r="C25">
        <v>102050.08908880129</v>
      </c>
      <c r="D25">
        <v>475.69384312137873</v>
      </c>
      <c r="E25">
        <v>2.7313760690345157E-3</v>
      </c>
      <c r="F25">
        <v>97905.513455555862</v>
      </c>
      <c r="G25">
        <v>273.13760690345157</v>
      </c>
      <c r="H25">
        <v>97674.543047980464</v>
      </c>
      <c r="I25">
        <v>266.78590943513547</v>
      </c>
    </row>
    <row r="26" spans="1:9" x14ac:dyDescent="0.3">
      <c r="A26">
        <v>102743.65106245931</v>
      </c>
      <c r="B26">
        <v>48.678855852172042</v>
      </c>
      <c r="C26">
        <v>102519.78293192267</v>
      </c>
      <c r="D26">
        <v>49.905457353390318</v>
      </c>
      <c r="E26">
        <v>-1.4432114414782795E-3</v>
      </c>
      <c r="F26">
        <v>98166.651062459307</v>
      </c>
      <c r="G26">
        <v>-144.32114414782797</v>
      </c>
      <c r="H26">
        <v>97929.328957415593</v>
      </c>
      <c r="I26">
        <v>-141.33272800763237</v>
      </c>
    </row>
    <row r="27" spans="1:9" x14ac:dyDescent="0.3">
      <c r="A27">
        <v>102786.32991831147</v>
      </c>
      <c r="B27">
        <v>-2733.415233415235</v>
      </c>
      <c r="C27">
        <v>102563.68838927607</v>
      </c>
      <c r="D27">
        <v>-2803.4914823850045</v>
      </c>
      <c r="E27">
        <v>-2.926415233415235E-2</v>
      </c>
      <c r="F27">
        <v>98010.329918311472</v>
      </c>
      <c r="G27">
        <v>-2926.415233415235</v>
      </c>
      <c r="H27">
        <v>97775.99622940796</v>
      </c>
      <c r="I27">
        <v>-2861.3316482809005</v>
      </c>
    </row>
    <row r="28" spans="1:9" x14ac:dyDescent="0.3">
      <c r="A28">
        <v>100046.91468489624</v>
      </c>
      <c r="B28">
        <v>-2249.0430578194487</v>
      </c>
      <c r="C28">
        <v>99754.196906891069</v>
      </c>
      <c r="D28">
        <v>-2243.5148404179768</v>
      </c>
      <c r="E28">
        <v>-2.4420430578194489E-2</v>
      </c>
      <c r="F28">
        <v>95071.914684896241</v>
      </c>
      <c r="G28">
        <v>-2442.0430578194487</v>
      </c>
      <c r="H28">
        <v>94902.664581127057</v>
      </c>
      <c r="I28">
        <v>-2317.56393208909</v>
      </c>
    </row>
    <row r="29" spans="1:9" x14ac:dyDescent="0.3">
      <c r="A29">
        <v>97791.871627076791</v>
      </c>
      <c r="B29">
        <v>-3744.3405871184441</v>
      </c>
      <c r="C29">
        <v>97504.682066473091</v>
      </c>
      <c r="D29">
        <v>-3650.9073849557512</v>
      </c>
      <c r="E29">
        <v>-3.9373405871184444E-2</v>
      </c>
      <c r="F29">
        <v>92617.871627076791</v>
      </c>
      <c r="G29">
        <v>-3937.3405871184445</v>
      </c>
      <c r="H29">
        <v>92573.100649037966</v>
      </c>
      <c r="I29">
        <v>-3644.9182646085801</v>
      </c>
    </row>
    <row r="30" spans="1:9" x14ac:dyDescent="0.3">
      <c r="A30">
        <v>94041.531039958354</v>
      </c>
      <c r="B30">
        <v>-462.02604146780578</v>
      </c>
      <c r="C30">
        <v>93847.774681517345</v>
      </c>
      <c r="D30">
        <v>-433.60115836664028</v>
      </c>
      <c r="E30">
        <v>-6.550260414678058E-3</v>
      </c>
      <c r="F30">
        <v>88668.53103995834</v>
      </c>
      <c r="G30">
        <v>-655.02604146780584</v>
      </c>
      <c r="H30">
        <v>88916.182384429383</v>
      </c>
      <c r="I30">
        <v>-582.42414969702224</v>
      </c>
    </row>
    <row r="31" spans="1:9" x14ac:dyDescent="0.3">
      <c r="A31">
        <v>93573.504998490549</v>
      </c>
      <c r="B31">
        <v>-1431.6954189484854</v>
      </c>
      <c r="C31">
        <v>93408.173523150705</v>
      </c>
      <c r="D31">
        <v>-1337.3205412544007</v>
      </c>
      <c r="E31">
        <v>-1.6246954189484856E-2</v>
      </c>
      <c r="F31">
        <v>88001.504998490534</v>
      </c>
      <c r="G31">
        <v>-1624.6954189484857</v>
      </c>
      <c r="H31">
        <v>88321.758234732362</v>
      </c>
      <c r="I31">
        <v>-1434.9595599744534</v>
      </c>
    </row>
    <row r="32" spans="1:9" x14ac:dyDescent="0.3">
      <c r="A32">
        <v>92135.809579542067</v>
      </c>
      <c r="B32">
        <v>-95.433856996032489</v>
      </c>
      <c r="C32">
        <v>92064.8529818963</v>
      </c>
      <c r="D32">
        <v>-87.861040138350475</v>
      </c>
      <c r="E32">
        <v>-2.8843385699603248E-3</v>
      </c>
      <c r="F32">
        <v>86364.809579542052</v>
      </c>
      <c r="G32">
        <v>-288.43385699603249</v>
      </c>
      <c r="H32">
        <v>86874.798674757913</v>
      </c>
      <c r="I32">
        <v>-250.57633257514235</v>
      </c>
    </row>
    <row r="33" spans="1:9" x14ac:dyDescent="0.3">
      <c r="A33">
        <v>92034.375722546029</v>
      </c>
      <c r="B33">
        <v>228.82869474624539</v>
      </c>
      <c r="C33">
        <v>91970.991941757951</v>
      </c>
      <c r="D33">
        <v>210.45602040549926</v>
      </c>
      <c r="E33">
        <v>3.5828694746245396E-4</v>
      </c>
      <c r="F33">
        <v>86064.375722546014</v>
      </c>
      <c r="G33">
        <v>35.828694746245397</v>
      </c>
      <c r="H33">
        <v>86612.222342182766</v>
      </c>
      <c r="I33">
        <v>31.032028755920017</v>
      </c>
    </row>
    <row r="34" spans="1:9" x14ac:dyDescent="0.3">
      <c r="A34">
        <v>92257.204417292276</v>
      </c>
      <c r="B34">
        <v>694.97045902137404</v>
      </c>
      <c r="C34">
        <v>92175.447962163453</v>
      </c>
      <c r="D34">
        <v>640.59213380765516</v>
      </c>
      <c r="E34">
        <v>5.0197045902137406E-3</v>
      </c>
      <c r="F34">
        <v>86088.204417292261</v>
      </c>
      <c r="G34">
        <v>501.97045902137404</v>
      </c>
      <c r="H34">
        <v>86631.254370938681</v>
      </c>
      <c r="I34">
        <v>434.86330522177508</v>
      </c>
    </row>
    <row r="35" spans="1:9" x14ac:dyDescent="0.3">
      <c r="A35">
        <v>92946.174876313657</v>
      </c>
      <c r="B35">
        <v>553.05044899217717</v>
      </c>
      <c r="C35">
        <v>92810.040095971111</v>
      </c>
      <c r="D35">
        <v>513.28634346058789</v>
      </c>
      <c r="E35">
        <v>3.6005044899217716E-3</v>
      </c>
      <c r="F35">
        <v>86578.174876313642</v>
      </c>
      <c r="G35">
        <v>360.05044899217717</v>
      </c>
      <c r="H35">
        <v>87054.117676160458</v>
      </c>
      <c r="I35">
        <v>313.438741559194</v>
      </c>
    </row>
    <row r="36" spans="1:9" x14ac:dyDescent="0.3">
      <c r="A36">
        <v>93493.22532530583</v>
      </c>
      <c r="B36">
        <v>666.15575075163326</v>
      </c>
      <c r="C36">
        <v>93317.326439431694</v>
      </c>
      <c r="D36">
        <v>621.63873652394852</v>
      </c>
      <c r="E36">
        <v>4.7315575075163319E-3</v>
      </c>
      <c r="F36">
        <v>86926.225325305815</v>
      </c>
      <c r="G36">
        <v>473.15575075163321</v>
      </c>
      <c r="H36">
        <v>87355.55641771965</v>
      </c>
      <c r="I36">
        <v>413.32783879152788</v>
      </c>
    </row>
    <row r="37" spans="1:9" x14ac:dyDescent="0.3">
      <c r="A37">
        <v>94153.381076057456</v>
      </c>
      <c r="B37">
        <v>925.14221601086331</v>
      </c>
      <c r="C37">
        <v>93932.965175955644</v>
      </c>
      <c r="D37">
        <v>869.01351559354862</v>
      </c>
      <c r="E37">
        <v>7.3214221601086331E-3</v>
      </c>
      <c r="F37">
        <v>87387.381076057442</v>
      </c>
      <c r="G37">
        <v>732.14221601086331</v>
      </c>
      <c r="H37">
        <v>87756.884256511185</v>
      </c>
      <c r="I37">
        <v>642.50519709770947</v>
      </c>
    </row>
    <row r="38" spans="1:9" x14ac:dyDescent="0.3">
      <c r="A38">
        <v>95072.523292068319</v>
      </c>
      <c r="B38">
        <v>-299.39533882550393</v>
      </c>
      <c r="C38">
        <v>94795.978691549186</v>
      </c>
      <c r="D38">
        <v>-283.81474159651623</v>
      </c>
      <c r="E38">
        <v>-4.9239533882550392E-3</v>
      </c>
      <c r="F38">
        <v>88107.523292068305</v>
      </c>
      <c r="G38">
        <v>-492.39533882550393</v>
      </c>
      <c r="H38">
        <v>88387.389453608892</v>
      </c>
      <c r="I38">
        <v>-435.21538577911525</v>
      </c>
    </row>
    <row r="39" spans="1:9" x14ac:dyDescent="0.3">
      <c r="A39">
        <v>94767.127953242816</v>
      </c>
      <c r="B39">
        <v>200.19619226842306</v>
      </c>
      <c r="C39">
        <v>94506.163949952665</v>
      </c>
      <c r="D39">
        <v>189.19774168675838</v>
      </c>
      <c r="E39">
        <v>7.1961922684230612E-5</v>
      </c>
      <c r="F39">
        <v>87603.127953242802</v>
      </c>
      <c r="G39">
        <v>7.1961922684230615</v>
      </c>
      <c r="H39">
        <v>87940.174067829779</v>
      </c>
      <c r="I39">
        <v>6.3283440071069483</v>
      </c>
    </row>
    <row r="40" spans="1:9" x14ac:dyDescent="0.3">
      <c r="A40">
        <v>94961.324145511244</v>
      </c>
      <c r="B40">
        <v>-1024.8699127475629</v>
      </c>
      <c r="C40">
        <v>94689.361691639424</v>
      </c>
      <c r="D40">
        <v>-970.44277855032919</v>
      </c>
      <c r="E40">
        <v>-1.2178699127475628E-2</v>
      </c>
      <c r="F40">
        <v>87598.324145511229</v>
      </c>
      <c r="G40">
        <v>-1217.8699127475629</v>
      </c>
      <c r="H40">
        <v>87934.502411836889</v>
      </c>
      <c r="I40">
        <v>-1070.9278477980415</v>
      </c>
    </row>
    <row r="41" spans="1:9" x14ac:dyDescent="0.3">
      <c r="A41">
        <v>93930.454232763674</v>
      </c>
      <c r="B41">
        <v>-216.97639377197069</v>
      </c>
      <c r="C41">
        <v>93712.918913089088</v>
      </c>
      <c r="D41">
        <v>-203.33491195607178</v>
      </c>
      <c r="E41">
        <v>-4.0997639377197068E-3</v>
      </c>
      <c r="F41">
        <v>86368.454232763674</v>
      </c>
      <c r="G41">
        <v>-409.97639377197066</v>
      </c>
      <c r="H41">
        <v>86851.574564038849</v>
      </c>
      <c r="I41">
        <v>-356.07095333182065</v>
      </c>
    </row>
    <row r="42" spans="1:9" x14ac:dyDescent="0.3">
      <c r="A42">
        <v>93707.477838991705</v>
      </c>
      <c r="B42">
        <v>-1841.1509185828734</v>
      </c>
      <c r="C42">
        <v>93503.584001133015</v>
      </c>
      <c r="D42">
        <v>-1721.5420957447691</v>
      </c>
      <c r="E42">
        <v>-2.0341509185828735E-2</v>
      </c>
      <c r="F42">
        <v>85946.477838991705</v>
      </c>
      <c r="G42">
        <v>-2034.1509185828736</v>
      </c>
      <c r="H42">
        <v>86483.503610707034</v>
      </c>
      <c r="I42">
        <v>-1759.2049831198497</v>
      </c>
    </row>
    <row r="43" spans="1:9" x14ac:dyDescent="0.3">
      <c r="A43">
        <v>91860.326920408828</v>
      </c>
      <c r="B43">
        <v>1852.1523917718171</v>
      </c>
      <c r="C43">
        <v>91776.041905388251</v>
      </c>
      <c r="D43">
        <v>1699.8321552241537</v>
      </c>
      <c r="E43">
        <v>1.6591523917718169E-2</v>
      </c>
      <c r="F43">
        <v>83900.326920408828</v>
      </c>
      <c r="G43">
        <v>1659.1523917718168</v>
      </c>
      <c r="H43">
        <v>84712.298627587181</v>
      </c>
      <c r="I43">
        <v>1405.5061288044967</v>
      </c>
    </row>
    <row r="44" spans="1:9" x14ac:dyDescent="0.3">
      <c r="A44">
        <v>93706.479312180643</v>
      </c>
      <c r="B44">
        <v>1238.7766832497573</v>
      </c>
      <c r="C44">
        <v>93469.874060612405</v>
      </c>
      <c r="D44">
        <v>1157.8830057257796</v>
      </c>
      <c r="E44">
        <v>1.0457766832497573E-2</v>
      </c>
      <c r="F44">
        <v>85547.479312180643</v>
      </c>
      <c r="G44">
        <v>1045.7766832497573</v>
      </c>
      <c r="H44">
        <v>86105.804756391677</v>
      </c>
      <c r="I44">
        <v>900.47442906690469</v>
      </c>
    </row>
    <row r="45" spans="1:9" x14ac:dyDescent="0.3">
      <c r="A45">
        <v>94939.255995430402</v>
      </c>
      <c r="B45">
        <v>183.28588698669049</v>
      </c>
      <c r="C45">
        <v>94621.757066338178</v>
      </c>
      <c r="D45">
        <v>173.42832672142941</v>
      </c>
      <c r="E45">
        <v>-9.7141130133095079E-5</v>
      </c>
      <c r="F45">
        <v>86581.255995430402</v>
      </c>
      <c r="G45">
        <v>-9.7141130133095075</v>
      </c>
      <c r="H45">
        <v>86994.279185458581</v>
      </c>
      <c r="I45">
        <v>-8.4507225951894362</v>
      </c>
    </row>
    <row r="46" spans="1:9" x14ac:dyDescent="0.3">
      <c r="A46">
        <v>95116.541882417092</v>
      </c>
      <c r="B46">
        <v>-763.12040127252283</v>
      </c>
      <c r="C46">
        <v>94789.185393059612</v>
      </c>
      <c r="D46">
        <v>-723.35561193447211</v>
      </c>
      <c r="E46">
        <v>-9.5612040127252274E-3</v>
      </c>
      <c r="F46">
        <v>86559.541882417092</v>
      </c>
      <c r="G46">
        <v>-956.12040127252271</v>
      </c>
      <c r="H46">
        <v>86973.828462863385</v>
      </c>
      <c r="I46">
        <v>-831.57451770120497</v>
      </c>
    </row>
    <row r="47" spans="1:9" x14ac:dyDescent="0.3">
      <c r="A47">
        <v>94347.421481144571</v>
      </c>
      <c r="B47">
        <v>125.93962769097296</v>
      </c>
      <c r="C47">
        <v>94059.82978112514</v>
      </c>
      <c r="D47">
        <v>118.45859943311191</v>
      </c>
      <c r="E47">
        <v>-6.7060372309027047E-4</v>
      </c>
      <c r="F47">
        <v>85591.421481144571</v>
      </c>
      <c r="G47">
        <v>-67.060372309027045</v>
      </c>
      <c r="H47">
        <v>86130.253945162185</v>
      </c>
      <c r="I47">
        <v>-57.759268966336215</v>
      </c>
    </row>
    <row r="48" spans="1:9" x14ac:dyDescent="0.3">
      <c r="A48">
        <v>94467.361108835539</v>
      </c>
      <c r="B48">
        <v>-1416.4029226741686</v>
      </c>
      <c r="C48">
        <v>94172.288380558253</v>
      </c>
      <c r="D48">
        <v>-1333.8590449713736</v>
      </c>
      <c r="E48">
        <v>-1.6094029226741687E-2</v>
      </c>
      <c r="F48">
        <v>85512.361108835539</v>
      </c>
      <c r="G48">
        <v>-1609.4029226741686</v>
      </c>
      <c r="H48">
        <v>86060.494676195842</v>
      </c>
      <c r="I48">
        <v>-1385.0601165865432</v>
      </c>
    </row>
    <row r="49" spans="1:9" x14ac:dyDescent="0.3">
      <c r="A49">
        <v>93044.95818616137</v>
      </c>
      <c r="B49">
        <v>-955.94678562893557</v>
      </c>
      <c r="C49">
        <v>92832.429335586887</v>
      </c>
      <c r="D49">
        <v>-887.42862425479586</v>
      </c>
      <c r="E49">
        <v>-1.1489467856289355E-2</v>
      </c>
      <c r="F49">
        <v>83890.95818616137</v>
      </c>
      <c r="G49">
        <v>-1148.9467856289355</v>
      </c>
      <c r="H49">
        <v>84663.434559609304</v>
      </c>
      <c r="I49">
        <v>-972.73780997568838</v>
      </c>
    </row>
    <row r="50" spans="1:9" x14ac:dyDescent="0.3">
      <c r="A50">
        <v>92083.011400532429</v>
      </c>
      <c r="B50">
        <v>-2622.5930939728887</v>
      </c>
      <c r="C50">
        <v>91939.00071133209</v>
      </c>
      <c r="D50">
        <v>-2411.1858833230804</v>
      </c>
      <c r="E50">
        <v>-2.8155930939728888E-2</v>
      </c>
      <c r="F50">
        <v>82730.011400532429</v>
      </c>
      <c r="G50">
        <v>-2815.5930939728887</v>
      </c>
      <c r="H50">
        <v>83678.696749633615</v>
      </c>
      <c r="I50">
        <v>-2356.0516068092002</v>
      </c>
    </row>
    <row r="51" spans="1:9" x14ac:dyDescent="0.3">
      <c r="A51">
        <v>89454.418306559543</v>
      </c>
      <c r="B51">
        <v>1387.4294609846265</v>
      </c>
      <c r="C51">
        <v>89521.81482800901</v>
      </c>
      <c r="D51">
        <v>1242.0520329319008</v>
      </c>
      <c r="E51">
        <v>1.1944294609846267E-2</v>
      </c>
      <c r="F51">
        <v>79902.418306559543</v>
      </c>
      <c r="G51">
        <v>1194.4294609846268</v>
      </c>
      <c r="H51">
        <v>81310.645142824418</v>
      </c>
      <c r="I51">
        <v>971.19830050256019</v>
      </c>
    </row>
    <row r="52" spans="1:9" x14ac:dyDescent="0.3">
      <c r="A52">
        <v>90835.847767544168</v>
      </c>
      <c r="B52">
        <v>2065.5270655270688</v>
      </c>
      <c r="C52">
        <v>90757.866860940907</v>
      </c>
      <c r="D52">
        <v>1874.6283041077568</v>
      </c>
      <c r="E52">
        <v>1.8725270655270687E-2</v>
      </c>
      <c r="F52">
        <v>81084.847767544168</v>
      </c>
      <c r="G52">
        <v>1872.5270655270688</v>
      </c>
      <c r="H52">
        <v>82269.843443326972</v>
      </c>
      <c r="I52">
        <v>1540.525085243044</v>
      </c>
    </row>
    <row r="53" spans="1:9" x14ac:dyDescent="0.3">
      <c r="A53">
        <v>92895.374833071241</v>
      </c>
      <c r="B53">
        <v>-4160.6913729337975</v>
      </c>
      <c r="C53">
        <v>92626.495165048662</v>
      </c>
      <c r="D53">
        <v>-3853.9025933831208</v>
      </c>
      <c r="E53">
        <v>-4.3536913729337975E-2</v>
      </c>
      <c r="F53">
        <v>82945.374833071241</v>
      </c>
      <c r="G53">
        <v>-4353.6913729337975</v>
      </c>
      <c r="H53">
        <v>83798.368528570019</v>
      </c>
      <c r="I53">
        <v>-3648.3223412876232</v>
      </c>
    </row>
    <row r="54" spans="1:9" x14ac:dyDescent="0.3">
      <c r="A54">
        <v>88728.683460137443</v>
      </c>
      <c r="B54">
        <v>418.74090182054186</v>
      </c>
      <c r="C54">
        <v>88766.592571665547</v>
      </c>
      <c r="D54">
        <v>371.70203024995845</v>
      </c>
      <c r="E54">
        <v>2.2574090182054182E-3</v>
      </c>
      <c r="F54">
        <v>78579.683460137443</v>
      </c>
      <c r="G54">
        <v>225.74090182054184</v>
      </c>
      <c r="H54">
        <v>80138.046187282394</v>
      </c>
      <c r="I54">
        <v>180.90434816453362</v>
      </c>
    </row>
    <row r="55" spans="1:9" x14ac:dyDescent="0.3">
      <c r="A55">
        <v>89141.424361957979</v>
      </c>
      <c r="B55">
        <v>-1832.8432522143996</v>
      </c>
      <c r="C55">
        <v>89132.294601915506</v>
      </c>
      <c r="D55">
        <v>-1633.6552471550681</v>
      </c>
      <c r="E55">
        <v>-2.0258432522143998E-2</v>
      </c>
      <c r="F55">
        <v>78793.424361957979</v>
      </c>
      <c r="G55">
        <v>-2025.8432522143999</v>
      </c>
      <c r="H55">
        <v>80306.950535446929</v>
      </c>
      <c r="I55">
        <v>-1626.8929384815074</v>
      </c>
    </row>
    <row r="56" spans="1:9" x14ac:dyDescent="0.3">
      <c r="A56">
        <v>87302.58110974358</v>
      </c>
      <c r="B56">
        <v>-436.75274335316504</v>
      </c>
      <c r="C56">
        <v>87492.639354760438</v>
      </c>
      <c r="D56">
        <v>-382.12650261400711</v>
      </c>
      <c r="E56">
        <v>-6.2975274335316505E-3</v>
      </c>
      <c r="F56">
        <v>76755.58110974358</v>
      </c>
      <c r="G56">
        <v>-629.7527433531651</v>
      </c>
      <c r="H56">
        <v>78668.057596965416</v>
      </c>
      <c r="I56">
        <v>-495.41425085953767</v>
      </c>
    </row>
    <row r="57" spans="1:9" x14ac:dyDescent="0.3">
      <c r="A57">
        <v>86859.828366390415</v>
      </c>
      <c r="B57">
        <v>-491.67443475718858</v>
      </c>
      <c r="C57">
        <v>87104.512852146436</v>
      </c>
      <c r="D57">
        <v>-428.27062121379367</v>
      </c>
      <c r="E57">
        <v>-6.8467443475718863E-3</v>
      </c>
      <c r="F57">
        <v>76113.828366390415</v>
      </c>
      <c r="G57">
        <v>-684.67443475718858</v>
      </c>
      <c r="H57">
        <v>78160.643346105877</v>
      </c>
      <c r="I57">
        <v>-535.14594303253261</v>
      </c>
    </row>
    <row r="58" spans="1:9" x14ac:dyDescent="0.3">
      <c r="A58">
        <v>86362.15393163322</v>
      </c>
      <c r="B58">
        <v>57.594355753145202</v>
      </c>
      <c r="C58">
        <v>86670.242230932636</v>
      </c>
      <c r="D58">
        <v>49.917167642596027</v>
      </c>
      <c r="E58">
        <v>-1.3540564424685481E-3</v>
      </c>
      <c r="F58">
        <v>75417.15393163322</v>
      </c>
      <c r="G58">
        <v>-135.40564424685482</v>
      </c>
      <c r="H58">
        <v>77613.497403073343</v>
      </c>
      <c r="I58">
        <v>-105.09305618114739</v>
      </c>
    </row>
    <row r="59" spans="1:9" x14ac:dyDescent="0.3">
      <c r="A59">
        <v>86413.748287386363</v>
      </c>
      <c r="B59">
        <v>1121.1247296323049</v>
      </c>
      <c r="C59">
        <v>86714.159398575226</v>
      </c>
      <c r="D59">
        <v>972.17388511020249</v>
      </c>
      <c r="E59">
        <v>9.2812472963230506E-3</v>
      </c>
      <c r="F59">
        <v>75269.748287386363</v>
      </c>
      <c r="G59">
        <v>928.12472963230505</v>
      </c>
      <c r="H59">
        <v>77496.404346892203</v>
      </c>
      <c r="I59">
        <v>719.26329331935119</v>
      </c>
    </row>
    <row r="60" spans="1:9" x14ac:dyDescent="0.3">
      <c r="A60">
        <v>87528.873017018661</v>
      </c>
      <c r="B60">
        <v>1500.5702879954304</v>
      </c>
      <c r="C60">
        <v>87680.333283685424</v>
      </c>
      <c r="D60">
        <v>1315.7050296703515</v>
      </c>
      <c r="E60">
        <v>1.3075702879954304E-2</v>
      </c>
      <c r="F60">
        <v>76185.873017018661</v>
      </c>
      <c r="G60">
        <v>1307.5702879954304</v>
      </c>
      <c r="H60">
        <v>78203.667640211555</v>
      </c>
      <c r="I60">
        <v>1022.5679221861034</v>
      </c>
    </row>
    <row r="61" spans="1:9" x14ac:dyDescent="0.3">
      <c r="A61">
        <v>89023.443305014094</v>
      </c>
      <c r="B61">
        <v>-175.8520667149746</v>
      </c>
      <c r="C61">
        <v>88990.038313355777</v>
      </c>
      <c r="D61">
        <v>-156.49082154448385</v>
      </c>
      <c r="E61">
        <v>-3.6885206671497459E-3</v>
      </c>
      <c r="F61">
        <v>77481.443305014094</v>
      </c>
      <c r="G61">
        <v>-368.85206671497457</v>
      </c>
      <c r="H61">
        <v>79214.235562397662</v>
      </c>
      <c r="I61">
        <v>-292.18334500437214</v>
      </c>
    </row>
    <row r="62" spans="1:9" x14ac:dyDescent="0.3">
      <c r="A62">
        <v>88841.591238299123</v>
      </c>
      <c r="B62">
        <v>-469.18090326277797</v>
      </c>
      <c r="C62">
        <v>88827.547491811289</v>
      </c>
      <c r="D62">
        <v>-416.76188966825327</v>
      </c>
      <c r="E62">
        <v>-6.62180903262778E-3</v>
      </c>
      <c r="F62">
        <v>77100.591238299123</v>
      </c>
      <c r="G62">
        <v>-662.18090326277797</v>
      </c>
      <c r="H62">
        <v>78910.052217393284</v>
      </c>
      <c r="I62">
        <v>-522.52729653826464</v>
      </c>
    </row>
    <row r="63" spans="1:9" x14ac:dyDescent="0.3">
      <c r="A63">
        <v>88366.410335036344</v>
      </c>
      <c r="B63">
        <v>-14.081284213127441</v>
      </c>
      <c r="C63">
        <v>88404.785602143034</v>
      </c>
      <c r="D63">
        <v>-12.448529118643728</v>
      </c>
      <c r="E63">
        <v>-2.0708128421312744E-3</v>
      </c>
      <c r="F63">
        <v>76426.410335036344</v>
      </c>
      <c r="G63">
        <v>-207.08128421312745</v>
      </c>
      <c r="H63">
        <v>78375.524920855023</v>
      </c>
      <c r="I63">
        <v>-162.30104351488632</v>
      </c>
    </row>
    <row r="64" spans="1:9" x14ac:dyDescent="0.3">
      <c r="A64">
        <v>88346.329050823217</v>
      </c>
      <c r="B64">
        <v>-1611.0552940969078</v>
      </c>
      <c r="C64">
        <v>88386.337073024391</v>
      </c>
      <c r="D64">
        <v>-1423.9527626732972</v>
      </c>
      <c r="E64">
        <v>-1.8040552940969078E-2</v>
      </c>
      <c r="F64">
        <v>76207.329050823217</v>
      </c>
      <c r="G64">
        <v>-1804.0552940969078</v>
      </c>
      <c r="H64">
        <v>78201.223877340133</v>
      </c>
      <c r="I64">
        <v>-1410.7933194077298</v>
      </c>
    </row>
    <row r="65" spans="1:9" x14ac:dyDescent="0.3">
      <c r="A65">
        <v>86729.27375672631</v>
      </c>
      <c r="B65">
        <v>274.10174936276582</v>
      </c>
      <c r="C65">
        <v>86956.384310351088</v>
      </c>
      <c r="D65">
        <v>238.34897057728199</v>
      </c>
      <c r="E65">
        <v>8.1101749362765831E-4</v>
      </c>
      <c r="F65">
        <v>74391.27375672631</v>
      </c>
      <c r="G65">
        <v>81.10174936276583</v>
      </c>
      <c r="H65">
        <v>76778.430557932399</v>
      </c>
      <c r="I65">
        <v>62.268650315759544</v>
      </c>
    </row>
    <row r="66" spans="1:9" x14ac:dyDescent="0.3">
      <c r="A66">
        <v>86997.375506089069</v>
      </c>
      <c r="B66">
        <v>134.16270276864697</v>
      </c>
      <c r="C66">
        <v>87188.733280928369</v>
      </c>
      <c r="D66">
        <v>116.9747610794403</v>
      </c>
      <c r="E66">
        <v>-5.8837297231353045E-4</v>
      </c>
      <c r="F66">
        <v>74460.375506089069</v>
      </c>
      <c r="G66">
        <v>-58.837297231353048</v>
      </c>
      <c r="H66">
        <v>76828.699208248159</v>
      </c>
      <c r="I66">
        <v>-45.203930112139155</v>
      </c>
    </row>
    <row r="67" spans="1:9" x14ac:dyDescent="0.3">
      <c r="A67">
        <v>87125.538208857717</v>
      </c>
      <c r="B67">
        <v>-529.93336481451854</v>
      </c>
      <c r="C67">
        <v>87299.708042007813</v>
      </c>
      <c r="D67">
        <v>-462.63028030026288</v>
      </c>
      <c r="E67">
        <v>-7.2293336481451861E-3</v>
      </c>
      <c r="F67">
        <v>74389.538208857717</v>
      </c>
      <c r="G67">
        <v>-722.93336481451865</v>
      </c>
      <c r="H67">
        <v>76771.495278136019</v>
      </c>
      <c r="I67">
        <v>-555.00675403264802</v>
      </c>
    </row>
    <row r="68" spans="1:9" x14ac:dyDescent="0.3">
      <c r="A68">
        <v>86589.604844043191</v>
      </c>
      <c r="B68">
        <v>3153.1451826948687</v>
      </c>
      <c r="C68">
        <v>86831.077761707551</v>
      </c>
      <c r="D68">
        <v>2737.9099455253167</v>
      </c>
      <c r="E68">
        <v>2.9601451826948684E-2</v>
      </c>
      <c r="F68">
        <v>73654.604844043191</v>
      </c>
      <c r="G68">
        <v>2960.1451826948683</v>
      </c>
      <c r="H68">
        <v>76204.488524103377</v>
      </c>
      <c r="I68">
        <v>2255.7634960435098</v>
      </c>
    </row>
    <row r="69" spans="1:9" x14ac:dyDescent="0.3">
      <c r="A69">
        <v>89736.750026738067</v>
      </c>
      <c r="B69">
        <v>77.826395254307556</v>
      </c>
      <c r="C69">
        <v>89562.987707232867</v>
      </c>
      <c r="D69">
        <v>69.703644814597951</v>
      </c>
      <c r="E69">
        <v>-1.1517360474569245E-3</v>
      </c>
      <c r="F69">
        <v>76602.750026738053</v>
      </c>
      <c r="G69">
        <v>-115.17360474569244</v>
      </c>
      <c r="H69">
        <v>78448.252020146887</v>
      </c>
      <c r="I69">
        <v>-90.351679711588659</v>
      </c>
    </row>
    <row r="70" spans="1:9" x14ac:dyDescent="0.3">
      <c r="A70">
        <v>89808.576421992373</v>
      </c>
      <c r="B70">
        <v>-981.73036539269447</v>
      </c>
      <c r="C70">
        <v>89626.691352047463</v>
      </c>
      <c r="D70">
        <v>-879.89244449983812</v>
      </c>
      <c r="E70">
        <v>-1.1747303653926944E-2</v>
      </c>
      <c r="F70">
        <v>76475.576421992359</v>
      </c>
      <c r="G70">
        <v>-1174.7303653926945</v>
      </c>
      <c r="H70">
        <v>78345.900340435299</v>
      </c>
      <c r="I70">
        <v>-920.35308133939179</v>
      </c>
    </row>
    <row r="71" spans="1:9" x14ac:dyDescent="0.3">
      <c r="A71">
        <v>88820.846056599679</v>
      </c>
      <c r="B71">
        <v>-396.88114638945359</v>
      </c>
      <c r="C71">
        <v>88740.798907547622</v>
      </c>
      <c r="D71">
        <v>-352.19550001943469</v>
      </c>
      <c r="E71">
        <v>-5.898811463894536E-3</v>
      </c>
      <c r="F71">
        <v>75288.846056599665</v>
      </c>
      <c r="G71">
        <v>-589.88114638945365</v>
      </c>
      <c r="H71">
        <v>77413.547259095911</v>
      </c>
      <c r="I71">
        <v>-456.64792003269639</v>
      </c>
    </row>
    <row r="72" spans="1:9" x14ac:dyDescent="0.3">
      <c r="A72">
        <v>88417.964910210227</v>
      </c>
      <c r="B72">
        <v>2218.8122828368214</v>
      </c>
      <c r="C72">
        <v>88382.603407528193</v>
      </c>
      <c r="D72">
        <v>1961.0440602971908</v>
      </c>
      <c r="E72">
        <v>2.0258122828368214E-2</v>
      </c>
      <c r="F72">
        <v>74686.964910210212</v>
      </c>
      <c r="G72">
        <v>2025.8122828368214</v>
      </c>
      <c r="H72">
        <v>76944.899339063209</v>
      </c>
      <c r="I72">
        <v>1558.7592218271707</v>
      </c>
    </row>
    <row r="73" spans="1:9" x14ac:dyDescent="0.3">
      <c r="A73">
        <v>90630.777193047048</v>
      </c>
      <c r="B73">
        <v>-277.02761564600735</v>
      </c>
      <c r="C73">
        <v>90337.647467825387</v>
      </c>
      <c r="D73">
        <v>-250.2602308108124</v>
      </c>
      <c r="E73">
        <v>-4.7002761564600738E-3</v>
      </c>
      <c r="F73">
        <v>76700.777193047034</v>
      </c>
      <c r="G73">
        <v>-470.0276156460074</v>
      </c>
      <c r="H73">
        <v>78491.658560890384</v>
      </c>
      <c r="I73">
        <v>-368.93247121475832</v>
      </c>
    </row>
    <row r="74" spans="1:9" x14ac:dyDescent="0.3">
      <c r="A74">
        <v>90347.749577401046</v>
      </c>
      <c r="B74">
        <v>-429.31774685770603</v>
      </c>
      <c r="C74">
        <v>90081.387237014569</v>
      </c>
      <c r="D74">
        <v>-386.73538202411612</v>
      </c>
      <c r="E74">
        <v>-6.2231774685770607E-3</v>
      </c>
      <c r="F74">
        <v>76218.749577401031</v>
      </c>
      <c r="G74">
        <v>-622.31774685770608</v>
      </c>
      <c r="H74">
        <v>78110.72608967562</v>
      </c>
      <c r="I74">
        <v>-486.09691065546372</v>
      </c>
    </row>
    <row r="75" spans="1:9" x14ac:dyDescent="0.3">
      <c r="A75">
        <v>89912.431830543341</v>
      </c>
      <c r="B75">
        <v>-1068.8489714687696</v>
      </c>
      <c r="C75">
        <v>89688.651854990458</v>
      </c>
      <c r="D75">
        <v>-958.63623287627115</v>
      </c>
      <c r="E75">
        <v>-1.2618489714687696E-2</v>
      </c>
      <c r="F75">
        <v>75584.431830543326</v>
      </c>
      <c r="G75">
        <v>-1261.8489714687696</v>
      </c>
      <c r="H75">
        <v>77612.62917902015</v>
      </c>
      <c r="I75">
        <v>-979.35416302533599</v>
      </c>
    </row>
    <row r="76" spans="1:9" x14ac:dyDescent="0.3">
      <c r="A76">
        <v>88837.582859074566</v>
      </c>
      <c r="B76">
        <v>895.62159987405403</v>
      </c>
      <c r="C76">
        <v>88724.015622114181</v>
      </c>
      <c r="D76">
        <v>794.6314481872846</v>
      </c>
      <c r="E76">
        <v>7.0262159987405396E-3</v>
      </c>
      <c r="F76">
        <v>74310.582859074551</v>
      </c>
      <c r="G76">
        <v>702.62159987405391</v>
      </c>
      <c r="H76">
        <v>76621.275015994819</v>
      </c>
      <c r="I76">
        <v>538.35762836128163</v>
      </c>
    </row>
    <row r="77" spans="1:9" x14ac:dyDescent="0.3">
      <c r="A77">
        <v>89727.204458948618</v>
      </c>
      <c r="B77">
        <v>327.82861750990583</v>
      </c>
      <c r="C77">
        <v>89512.647070301464</v>
      </c>
      <c r="D77">
        <v>293.44807338709052</v>
      </c>
      <c r="E77">
        <v>1.3482861750990581E-3</v>
      </c>
      <c r="F77">
        <v>75001.204458948603</v>
      </c>
      <c r="G77">
        <v>134.8286175099058</v>
      </c>
      <c r="H77">
        <v>77147.632644356097</v>
      </c>
      <c r="I77">
        <v>104.01708653600612</v>
      </c>
    </row>
    <row r="78" spans="1:9" x14ac:dyDescent="0.3">
      <c r="A78">
        <v>90049.033076458523</v>
      </c>
      <c r="B78">
        <v>322.97700544144601</v>
      </c>
      <c r="C78">
        <v>89800.095143688552</v>
      </c>
      <c r="D78">
        <v>290.03365817865466</v>
      </c>
      <c r="E78">
        <v>1.2997700544144601E-3</v>
      </c>
      <c r="F78">
        <v>75124.033076458509</v>
      </c>
      <c r="G78">
        <v>129.97700544144601</v>
      </c>
      <c r="H78">
        <v>77239.64973089211</v>
      </c>
      <c r="I78">
        <v>100.39378373367548</v>
      </c>
    </row>
    <row r="79" spans="1:9" x14ac:dyDescent="0.3">
      <c r="A79">
        <v>90366.010081899964</v>
      </c>
      <c r="B79">
        <v>60.287963685373398</v>
      </c>
      <c r="C79">
        <v>90084.128801867206</v>
      </c>
      <c r="D79">
        <v>54.309886858354702</v>
      </c>
      <c r="E79">
        <v>-1.3271203631462661E-3</v>
      </c>
      <c r="F79">
        <v>75242.010081899949</v>
      </c>
      <c r="G79">
        <v>-132.7120363146266</v>
      </c>
      <c r="H79">
        <v>77328.043514625781</v>
      </c>
      <c r="I79">
        <v>-102.62362119052044</v>
      </c>
    </row>
    <row r="80" spans="1:9" x14ac:dyDescent="0.3">
      <c r="A80">
        <v>90420.298045585339</v>
      </c>
      <c r="B80">
        <v>1222.874740385291</v>
      </c>
      <c r="C80">
        <v>90132.438688725553</v>
      </c>
      <c r="D80">
        <v>1102.2068256176842</v>
      </c>
      <c r="E80">
        <v>1.0298747403852912E-2</v>
      </c>
      <c r="F80">
        <v>75097.298045585325</v>
      </c>
      <c r="G80">
        <v>1029.8747403852913</v>
      </c>
      <c r="H80">
        <v>77213.419893435261</v>
      </c>
      <c r="I80">
        <v>795.20150767012115</v>
      </c>
    </row>
    <row r="81" spans="1:9" x14ac:dyDescent="0.3">
      <c r="A81">
        <v>91637.17278597063</v>
      </c>
      <c r="B81">
        <v>389.50527771219532</v>
      </c>
      <c r="C81">
        <v>91228.645514343239</v>
      </c>
      <c r="D81">
        <v>355.34038906371683</v>
      </c>
      <c r="E81">
        <v>1.9650527771219528E-3</v>
      </c>
      <c r="F81">
        <v>76115.172785970615</v>
      </c>
      <c r="G81">
        <v>196.50527771219529</v>
      </c>
      <c r="H81">
        <v>77996.621401105382</v>
      </c>
      <c r="I81">
        <v>153.26747749037168</v>
      </c>
    </row>
    <row r="82" spans="1:9" x14ac:dyDescent="0.3">
      <c r="A82">
        <v>92020.678063682819</v>
      </c>
      <c r="B82">
        <v>-2887.830580605902</v>
      </c>
      <c r="C82">
        <v>91577.985903406952</v>
      </c>
      <c r="D82">
        <v>-2644.6170820215484</v>
      </c>
      <c r="E82">
        <v>-3.0808305806059023E-2</v>
      </c>
      <c r="F82">
        <v>76299.678063682804</v>
      </c>
      <c r="G82">
        <v>-3080.8305806059025</v>
      </c>
      <c r="H82">
        <v>78137.888878595753</v>
      </c>
      <c r="I82">
        <v>-2407.2959756116361</v>
      </c>
    </row>
    <row r="83" spans="1:9" x14ac:dyDescent="0.3">
      <c r="A83">
        <v>89126.847483076912</v>
      </c>
      <c r="B83">
        <v>-1145.3773491755319</v>
      </c>
      <c r="C83">
        <v>88927.368821385404</v>
      </c>
      <c r="D83">
        <v>-1018.5539396979326</v>
      </c>
      <c r="E83">
        <v>-1.3383773491755319E-2</v>
      </c>
      <c r="F83">
        <v>73206.847483076897</v>
      </c>
      <c r="G83">
        <v>-1338.3773491755319</v>
      </c>
      <c r="H83">
        <v>75718.592902984121</v>
      </c>
      <c r="I83">
        <v>-1013.4004965279713</v>
      </c>
    </row>
    <row r="84" spans="1:9" x14ac:dyDescent="0.3">
      <c r="A84">
        <v>87975.470133901385</v>
      </c>
      <c r="B84">
        <v>378.24442415547963</v>
      </c>
      <c r="C84">
        <v>87902.814881687475</v>
      </c>
      <c r="D84">
        <v>332.48749596569604</v>
      </c>
      <c r="E84">
        <v>1.8524442415547963E-3</v>
      </c>
      <c r="F84">
        <v>71856.47013390137</v>
      </c>
      <c r="G84">
        <v>185.24442415547963</v>
      </c>
      <c r="H84">
        <v>74693.192406456146</v>
      </c>
      <c r="I84">
        <v>138.36497415668413</v>
      </c>
    </row>
    <row r="85" spans="1:9" x14ac:dyDescent="0.3">
      <c r="A85">
        <v>88347.714558056861</v>
      </c>
      <c r="B85">
        <v>790.78981553650374</v>
      </c>
      <c r="C85">
        <v>88229.302377653177</v>
      </c>
      <c r="D85">
        <v>697.70833752138765</v>
      </c>
      <c r="E85">
        <v>5.9778981553650365E-3</v>
      </c>
      <c r="F85">
        <v>72029.714558056847</v>
      </c>
      <c r="G85">
        <v>597.78981553650362</v>
      </c>
      <c r="H85">
        <v>74819.557380612823</v>
      </c>
      <c r="I85">
        <v>447.2636940507939</v>
      </c>
    </row>
    <row r="86" spans="1:9" x14ac:dyDescent="0.3">
      <c r="A86">
        <v>89132.504373593372</v>
      </c>
      <c r="B86">
        <v>837.40632127728679</v>
      </c>
      <c r="C86">
        <v>88921.010715174561</v>
      </c>
      <c r="D86">
        <v>744.63016467252532</v>
      </c>
      <c r="E86">
        <v>6.4440632127728678E-3</v>
      </c>
      <c r="F86">
        <v>72615.504373593343</v>
      </c>
      <c r="G86">
        <v>644.40632127728679</v>
      </c>
      <c r="H86">
        <v>75254.821074663618</v>
      </c>
      <c r="I86">
        <v>484.94682407104415</v>
      </c>
    </row>
    <row r="87" spans="1:9" x14ac:dyDescent="0.3">
      <c r="A87">
        <v>89963.910694870661</v>
      </c>
      <c r="B87">
        <v>264.39051458228005</v>
      </c>
      <c r="C87">
        <v>89659.64087984708</v>
      </c>
      <c r="D87">
        <v>237.051585894852</v>
      </c>
      <c r="E87">
        <v>7.1390514582280015E-4</v>
      </c>
      <c r="F87">
        <v>73247.910694870632</v>
      </c>
      <c r="G87">
        <v>71.390514582280019</v>
      </c>
      <c r="H87">
        <v>75727.767898734659</v>
      </c>
      <c r="I87">
        <v>54.062443184581333</v>
      </c>
    </row>
    <row r="88" spans="1:9" x14ac:dyDescent="0.3">
      <c r="A88">
        <v>90222.30120945294</v>
      </c>
      <c r="B88">
        <v>-1707.400919999337</v>
      </c>
      <c r="C88">
        <v>89890.692465741929</v>
      </c>
      <c r="D88">
        <v>-1534.7945101538523</v>
      </c>
      <c r="E88">
        <v>-1.9004009199993371E-2</v>
      </c>
      <c r="F88">
        <v>73307.301209452911</v>
      </c>
      <c r="G88">
        <v>-1900.4009199993372</v>
      </c>
      <c r="H88">
        <v>75769.830341919238</v>
      </c>
      <c r="I88">
        <v>-1439.9305528997702</v>
      </c>
    </row>
    <row r="89" spans="1:9" x14ac:dyDescent="0.3">
      <c r="A89">
        <v>88508.90028945361</v>
      </c>
      <c r="B89">
        <v>-466.06137818703513</v>
      </c>
      <c r="C89">
        <v>88349.89795558808</v>
      </c>
      <c r="D89">
        <v>-411.764752038653</v>
      </c>
      <c r="E89">
        <v>-6.5906137818703518E-3</v>
      </c>
      <c r="F89">
        <v>71394.900289453581</v>
      </c>
      <c r="G89">
        <v>-659.06137818703519</v>
      </c>
      <c r="H89">
        <v>74317.899789019473</v>
      </c>
      <c r="I89">
        <v>-489.80057458917145</v>
      </c>
    </row>
    <row r="90" spans="1:9" x14ac:dyDescent="0.3">
      <c r="A90">
        <v>88036.838911266575</v>
      </c>
      <c r="B90">
        <v>279.36136692166951</v>
      </c>
      <c r="C90">
        <v>87932.133203549427</v>
      </c>
      <c r="D90">
        <v>245.64840928081892</v>
      </c>
      <c r="E90">
        <v>8.6361366921669535E-4</v>
      </c>
      <c r="F90">
        <v>70723.838911266546</v>
      </c>
      <c r="G90">
        <v>86.361366921669529</v>
      </c>
      <c r="H90">
        <v>73816.099214430302</v>
      </c>
      <c r="I90">
        <v>63.748592289837774</v>
      </c>
    </row>
    <row r="91" spans="1:9" x14ac:dyDescent="0.3">
      <c r="A91">
        <v>88310.200278188247</v>
      </c>
      <c r="B91">
        <v>-1069.7697001083986</v>
      </c>
      <c r="C91">
        <v>88171.781612830251</v>
      </c>
      <c r="D91">
        <v>-943.2350037398063</v>
      </c>
      <c r="E91">
        <v>-1.2627697001083986E-2</v>
      </c>
      <c r="F91">
        <v>70798.200278188218</v>
      </c>
      <c r="G91">
        <v>-1262.7697001083986</v>
      </c>
      <c r="H91">
        <v>73867.847806720136</v>
      </c>
      <c r="I91">
        <v>-932.78080022544816</v>
      </c>
    </row>
    <row r="92" spans="1:9" x14ac:dyDescent="0.3">
      <c r="A92">
        <v>87234.430578079846</v>
      </c>
      <c r="B92">
        <v>-40.30502845535009</v>
      </c>
      <c r="C92">
        <v>87222.546609090452</v>
      </c>
      <c r="D92">
        <v>-35.155072230274904</v>
      </c>
      <c r="E92">
        <v>-2.3330502845535011E-3</v>
      </c>
      <c r="F92">
        <v>69523.430578079817</v>
      </c>
      <c r="G92">
        <v>-233.30502845535011</v>
      </c>
      <c r="H92">
        <v>72923.06700649469</v>
      </c>
      <c r="I92">
        <v>-170.13318223001647</v>
      </c>
    </row>
    <row r="93" spans="1:9" x14ac:dyDescent="0.3">
      <c r="A93">
        <v>87188.125549624499</v>
      </c>
      <c r="B93">
        <v>-417.35823517089636</v>
      </c>
      <c r="C93">
        <v>87181.391536860174</v>
      </c>
      <c r="D93">
        <v>-363.85871711566881</v>
      </c>
      <c r="E93">
        <v>-6.1035823517089638E-3</v>
      </c>
      <c r="F93">
        <v>69278.12554962447</v>
      </c>
      <c r="G93">
        <v>-610.35823517089636</v>
      </c>
      <c r="H93">
        <v>72740.933824264677</v>
      </c>
      <c r="I93">
        <v>-443.98027993661151</v>
      </c>
    </row>
    <row r="94" spans="1:9" x14ac:dyDescent="0.3">
      <c r="A94">
        <v>86764.767314453609</v>
      </c>
      <c r="B94">
        <v>-142.36717789425927</v>
      </c>
      <c r="C94">
        <v>86811.532819744505</v>
      </c>
      <c r="D94">
        <v>-123.59112936221894</v>
      </c>
      <c r="E94">
        <v>-3.3536717789425926E-3</v>
      </c>
      <c r="F94">
        <v>68655.76731445358</v>
      </c>
      <c r="G94">
        <v>-335.36717789425927</v>
      </c>
      <c r="H94">
        <v>72284.953544328062</v>
      </c>
      <c r="I94">
        <v>-242.42000874378937</v>
      </c>
    </row>
    <row r="95" spans="1:9" x14ac:dyDescent="0.3">
      <c r="A95">
        <v>86616.400136559343</v>
      </c>
      <c r="B95">
        <v>569.38238947045386</v>
      </c>
      <c r="C95">
        <v>86681.941690382286</v>
      </c>
      <c r="D95">
        <v>493.55171083608417</v>
      </c>
      <c r="E95">
        <v>3.7638238947045382E-3</v>
      </c>
      <c r="F95">
        <v>68308.400136559314</v>
      </c>
      <c r="G95">
        <v>376.3823894704538</v>
      </c>
      <c r="H95">
        <v>72030.533535584269</v>
      </c>
      <c r="I95">
        <v>271.11024326954862</v>
      </c>
    </row>
    <row r="96" spans="1:9" x14ac:dyDescent="0.3">
      <c r="A96">
        <v>87179.782526029798</v>
      </c>
      <c r="B96">
        <v>619.9141410905371</v>
      </c>
      <c r="C96">
        <v>87169.493401218366</v>
      </c>
      <c r="D96">
        <v>540.37601631113523</v>
      </c>
      <c r="E96">
        <v>4.2691414109053702E-3</v>
      </c>
      <c r="F96">
        <v>68672.782526029769</v>
      </c>
      <c r="G96">
        <v>426.91414109053704</v>
      </c>
      <c r="H96">
        <v>72289.643778853817</v>
      </c>
      <c r="I96">
        <v>308.6147118359026</v>
      </c>
    </row>
    <row r="97" spans="1:9" x14ac:dyDescent="0.3">
      <c r="A97">
        <v>87793.696667120341</v>
      </c>
      <c r="B97">
        <v>1255.6025302775186</v>
      </c>
      <c r="C97">
        <v>87703.869417529495</v>
      </c>
      <c r="D97">
        <v>1101.2120035577911</v>
      </c>
      <c r="E97">
        <v>1.0626025302775186E-2</v>
      </c>
      <c r="F97">
        <v>69087.696667120312</v>
      </c>
      <c r="G97">
        <v>1062.6025302775186</v>
      </c>
      <c r="H97">
        <v>72586.258490689725</v>
      </c>
      <c r="I97">
        <v>771.3034193558492</v>
      </c>
    </row>
    <row r="98" spans="1:9" x14ac:dyDescent="0.3">
      <c r="A98">
        <v>89043.299197397864</v>
      </c>
      <c r="B98">
        <v>433.82236945890514</v>
      </c>
      <c r="C98">
        <v>88799.081421087292</v>
      </c>
      <c r="D98">
        <v>385.23027907870335</v>
      </c>
      <c r="E98">
        <v>2.4082236945890513E-3</v>
      </c>
      <c r="F98">
        <v>70138.299197397835</v>
      </c>
      <c r="G98">
        <v>240.82236945890514</v>
      </c>
      <c r="H98">
        <v>73345.561910045581</v>
      </c>
      <c r="I98">
        <v>176.63252008471997</v>
      </c>
    </row>
    <row r="99" spans="1:9" x14ac:dyDescent="0.3">
      <c r="A99">
        <v>89471.121566856775</v>
      </c>
      <c r="B99">
        <v>934.79968578162527</v>
      </c>
      <c r="C99">
        <v>89178.311700165999</v>
      </c>
      <c r="D99">
        <v>833.63857755851018</v>
      </c>
      <c r="E99">
        <v>7.4179968578162525E-3</v>
      </c>
      <c r="F99">
        <v>70367.121566856746</v>
      </c>
      <c r="G99">
        <v>741.79968578162527</v>
      </c>
      <c r="H99">
        <v>73510.194430130301</v>
      </c>
      <c r="I99">
        <v>545.29839130016842</v>
      </c>
    </row>
    <row r="100" spans="1:9" x14ac:dyDescent="0.3">
      <c r="A100">
        <v>90399.921252638407</v>
      </c>
      <c r="B100">
        <v>-1467.0499640658668</v>
      </c>
      <c r="C100">
        <v>90005.950277724507</v>
      </c>
      <c r="D100">
        <v>-1320.4322612064993</v>
      </c>
      <c r="E100">
        <v>-1.660049964065867E-2</v>
      </c>
      <c r="F100">
        <v>71096.921252638378</v>
      </c>
      <c r="G100">
        <v>-1660.049964065867</v>
      </c>
      <c r="H100">
        <v>74043.492821430467</v>
      </c>
      <c r="I100">
        <v>-1229.1589759752692</v>
      </c>
    </row>
    <row r="101" spans="1:9" x14ac:dyDescent="0.3">
      <c r="A101">
        <v>88926.87128857254</v>
      </c>
      <c r="B101">
        <v>-190.8032818164364</v>
      </c>
      <c r="C101">
        <v>88679.518016518006</v>
      </c>
      <c r="D101">
        <v>-169.20343067451435</v>
      </c>
      <c r="E101">
        <v>-3.8380328181643643E-3</v>
      </c>
      <c r="F101">
        <v>69424.871288572511</v>
      </c>
      <c r="G101">
        <v>-383.80328181643642</v>
      </c>
      <c r="H101">
        <v>72802.333845455199</v>
      </c>
      <c r="I101">
        <v>-279.41774653781528</v>
      </c>
    </row>
    <row r="102" spans="1:9" x14ac:dyDescent="0.3">
      <c r="A102">
        <v>88730.068006756104</v>
      </c>
      <c r="B102">
        <v>769.69444058051931</v>
      </c>
      <c r="C102">
        <v>88504.314585843487</v>
      </c>
      <c r="D102">
        <v>681.21278904113103</v>
      </c>
      <c r="E102">
        <v>5.7669444058051928E-3</v>
      </c>
      <c r="F102">
        <v>69029.068006756075</v>
      </c>
      <c r="G102">
        <v>576.69444058051931</v>
      </c>
      <c r="H102">
        <v>72510.916098917383</v>
      </c>
      <c r="I102">
        <v>418.16642195646131</v>
      </c>
    </row>
    <row r="103" spans="1:9" x14ac:dyDescent="0.3">
      <c r="A103">
        <v>89493.76244733663</v>
      </c>
      <c r="B103">
        <v>2738.0346035714851</v>
      </c>
      <c r="C103">
        <v>89179.527374884623</v>
      </c>
      <c r="D103">
        <v>2441.7663188258462</v>
      </c>
      <c r="E103">
        <v>2.545034603571485E-2</v>
      </c>
      <c r="F103">
        <v>69593.762447336601</v>
      </c>
      <c r="G103">
        <v>2545.0346035714851</v>
      </c>
      <c r="H103">
        <v>72917.082520873839</v>
      </c>
      <c r="I103">
        <v>1855.7649820710142</v>
      </c>
    </row>
    <row r="104" spans="1:9" x14ac:dyDescent="0.3">
      <c r="A104">
        <v>92225.797050908121</v>
      </c>
      <c r="B104">
        <v>-1281.4399809274082</v>
      </c>
      <c r="C104">
        <v>91615.293693710468</v>
      </c>
      <c r="D104">
        <v>-1173.9950020352724</v>
      </c>
      <c r="E104">
        <v>-1.4744399809274082E-2</v>
      </c>
      <c r="F104">
        <v>72126.797050908091</v>
      </c>
      <c r="G104">
        <v>-1474.4399809274082</v>
      </c>
      <c r="H104">
        <v>74760.84750294486</v>
      </c>
      <c r="I104">
        <v>-1102.3038256635889</v>
      </c>
    </row>
    <row r="105" spans="1:9" x14ac:dyDescent="0.3">
      <c r="A105">
        <v>90938.357069980717</v>
      </c>
      <c r="B105">
        <v>-1053.4077741493732</v>
      </c>
      <c r="C105">
        <v>90435.298691675198</v>
      </c>
      <c r="D105">
        <v>-952.65246699331294</v>
      </c>
      <c r="E105">
        <v>-1.2464077741493731E-2</v>
      </c>
      <c r="F105">
        <v>70640.357069980688</v>
      </c>
      <c r="G105">
        <v>-1246.4077741493732</v>
      </c>
      <c r="H105">
        <v>73646.543677281268</v>
      </c>
      <c r="I105">
        <v>-917.93624578594734</v>
      </c>
    </row>
    <row r="106" spans="1:9" x14ac:dyDescent="0.3">
      <c r="A106">
        <v>89878.949295831349</v>
      </c>
      <c r="B106">
        <v>1996.0753050837038</v>
      </c>
      <c r="C106">
        <v>89476.646224681885</v>
      </c>
      <c r="D106">
        <v>1786.0212391079851</v>
      </c>
      <c r="E106">
        <v>1.8030753050837036E-2</v>
      </c>
      <c r="F106">
        <v>69381.94929583132</v>
      </c>
      <c r="G106">
        <v>1803.0753050837036</v>
      </c>
      <c r="H106">
        <v>72716.607431495315</v>
      </c>
      <c r="I106">
        <v>1311.1351912919533</v>
      </c>
    </row>
    <row r="107" spans="1:9" x14ac:dyDescent="0.3">
      <c r="A107">
        <v>91869.024600915058</v>
      </c>
      <c r="B107">
        <v>357.55426895861945</v>
      </c>
      <c r="C107">
        <v>91256.667463789869</v>
      </c>
      <c r="D107">
        <v>326.2921102261522</v>
      </c>
      <c r="E107">
        <v>1.6455426895861946E-3</v>
      </c>
      <c r="F107">
        <v>71173.024600915029</v>
      </c>
      <c r="G107">
        <v>164.55426895861947</v>
      </c>
      <c r="H107">
        <v>74015.742622787264</v>
      </c>
      <c r="I107">
        <v>121.79606418722089</v>
      </c>
    </row>
    <row r="108" spans="1:9" x14ac:dyDescent="0.3">
      <c r="A108">
        <v>92220.578869873672</v>
      </c>
      <c r="B108">
        <v>231.20180188244032</v>
      </c>
      <c r="C108">
        <v>91576.959574016015</v>
      </c>
      <c r="D108">
        <v>211.72758064427899</v>
      </c>
      <c r="E108">
        <v>3.8201801882440322E-4</v>
      </c>
      <c r="F108">
        <v>71325.578869873643</v>
      </c>
      <c r="G108">
        <v>38.201801882440321</v>
      </c>
      <c r="H108">
        <v>74125.538686974483</v>
      </c>
      <c r="I108">
        <v>28.317291433489647</v>
      </c>
    </row>
    <row r="109" spans="1:9" x14ac:dyDescent="0.3">
      <c r="A109">
        <v>92445.780671756118</v>
      </c>
      <c r="B109">
        <v>-509.90741154896642</v>
      </c>
      <c r="C109">
        <v>91782.687154660292</v>
      </c>
      <c r="D109">
        <v>-468.00672432041398</v>
      </c>
      <c r="E109">
        <v>-7.0290741154896644E-3</v>
      </c>
      <c r="F109">
        <v>71351.780671756089</v>
      </c>
      <c r="G109">
        <v>-702.90741154896648</v>
      </c>
      <c r="H109">
        <v>74141.85597840797</v>
      </c>
      <c r="I109">
        <v>-521.14860073219006</v>
      </c>
    </row>
    <row r="110" spans="1:9" x14ac:dyDescent="0.3">
      <c r="A110">
        <v>91929.873260207154</v>
      </c>
      <c r="B110">
        <v>-2462.2668536361093</v>
      </c>
      <c r="C110">
        <v>91308.680430339882</v>
      </c>
      <c r="D110">
        <v>-2248.2633727287794</v>
      </c>
      <c r="E110">
        <v>-2.6552668536361092E-2</v>
      </c>
      <c r="F110">
        <v>70636.873260207125</v>
      </c>
      <c r="G110">
        <v>-2655.2668536361093</v>
      </c>
      <c r="H110">
        <v>73608.707377675775</v>
      </c>
      <c r="I110">
        <v>-1954.5076083894221</v>
      </c>
    </row>
    <row r="111" spans="1:9" x14ac:dyDescent="0.3">
      <c r="A111">
        <v>89461.606406571038</v>
      </c>
      <c r="B111">
        <v>381.1904872139184</v>
      </c>
      <c r="C111">
        <v>89054.417057611106</v>
      </c>
      <c r="D111">
        <v>339.46696626742266</v>
      </c>
      <c r="E111">
        <v>1.8819048721391842E-3</v>
      </c>
      <c r="F111">
        <v>67969.606406571009</v>
      </c>
      <c r="G111">
        <v>188.19048721391843</v>
      </c>
      <c r="H111">
        <v>71642.199769286352</v>
      </c>
      <c r="I111">
        <v>134.82380479658872</v>
      </c>
    </row>
    <row r="112" spans="1:9" x14ac:dyDescent="0.3">
      <c r="A112">
        <v>89836.796893784951</v>
      </c>
      <c r="B112">
        <v>649.73056197075095</v>
      </c>
      <c r="C112">
        <v>89387.884023878534</v>
      </c>
      <c r="D112">
        <v>580.78040120210915</v>
      </c>
      <c r="E112">
        <v>4.5673056197075091E-3</v>
      </c>
      <c r="F112">
        <v>68145.796893784922</v>
      </c>
      <c r="G112">
        <v>456.7305619707509</v>
      </c>
      <c r="H112">
        <v>71765.023574082938</v>
      </c>
      <c r="I112">
        <v>327.77279546835086</v>
      </c>
    </row>
    <row r="113" spans="1:9" x14ac:dyDescent="0.3">
      <c r="A113">
        <v>90480.527455755699</v>
      </c>
      <c r="B113">
        <v>1058.064123253042</v>
      </c>
      <c r="C113">
        <v>89962.664425080642</v>
      </c>
      <c r="D113">
        <v>951.86267660430588</v>
      </c>
      <c r="E113">
        <v>8.6506412325304208E-3</v>
      </c>
      <c r="F113">
        <v>68590.52745575567</v>
      </c>
      <c r="G113">
        <v>865.06412325304211</v>
      </c>
      <c r="H113">
        <v>72080.796369551288</v>
      </c>
      <c r="I113">
        <v>623.5451091480694</v>
      </c>
    </row>
    <row r="114" spans="1:9" x14ac:dyDescent="0.3">
      <c r="A114">
        <v>91532.591579008746</v>
      </c>
      <c r="B114">
        <v>20.933640360056575</v>
      </c>
      <c r="C114">
        <v>90908.527101684944</v>
      </c>
      <c r="D114">
        <v>19.030464120091288</v>
      </c>
      <c r="E114">
        <v>-1.7206635963994343E-3</v>
      </c>
      <c r="F114">
        <v>69443.591579008717</v>
      </c>
      <c r="G114">
        <v>-172.06635963994341</v>
      </c>
      <c r="H114">
        <v>72692.341478699353</v>
      </c>
      <c r="I114">
        <v>-125.0790657194346</v>
      </c>
    </row>
    <row r="115" spans="1:9" x14ac:dyDescent="0.3">
      <c r="A115">
        <v>91547.525219368807</v>
      </c>
      <c r="B115">
        <v>-891.36156975353504</v>
      </c>
      <c r="C115">
        <v>90921.557565805037</v>
      </c>
      <c r="D115">
        <v>-810.43982276292377</v>
      </c>
      <c r="E115">
        <v>-1.084361569753535E-2</v>
      </c>
      <c r="F115">
        <v>69259.525219368777</v>
      </c>
      <c r="G115">
        <v>-1084.3615697535349</v>
      </c>
      <c r="H115">
        <v>72555.262412979922</v>
      </c>
      <c r="I115">
        <v>-786.76138244018568</v>
      </c>
    </row>
    <row r="116" spans="1:9" x14ac:dyDescent="0.3">
      <c r="A116">
        <v>90650.163649615279</v>
      </c>
      <c r="B116">
        <v>3184.647302904566</v>
      </c>
      <c r="C116">
        <v>90105.117743042108</v>
      </c>
      <c r="D116">
        <v>2869.5302019827741</v>
      </c>
      <c r="E116">
        <v>2.9916473029045661E-2</v>
      </c>
      <c r="F116">
        <v>68163.16364961525</v>
      </c>
      <c r="G116">
        <v>2991.647302904566</v>
      </c>
      <c r="H116">
        <v>71756.50103053973</v>
      </c>
      <c r="I116">
        <v>2146.7014277388289</v>
      </c>
    </row>
    <row r="117" spans="1:9" x14ac:dyDescent="0.3">
      <c r="A117">
        <v>93828.810952519838</v>
      </c>
      <c r="B117">
        <v>2524.3685521166858</v>
      </c>
      <c r="C117">
        <v>92968.647945024888</v>
      </c>
      <c r="D117">
        <v>2346.8713120522839</v>
      </c>
      <c r="E117">
        <v>2.3313685521166857E-2</v>
      </c>
      <c r="F117">
        <v>71142.810952519809</v>
      </c>
      <c r="G117">
        <v>2331.3685521166858</v>
      </c>
      <c r="H117">
        <v>73891.202458278553</v>
      </c>
      <c r="I117">
        <v>1722.6762568931777</v>
      </c>
    </row>
    <row r="118" spans="1:9" x14ac:dyDescent="0.3">
      <c r="A118">
        <v>96347.17950463653</v>
      </c>
      <c r="B118">
        <v>347.76970572199252</v>
      </c>
      <c r="C118">
        <v>95309.519257077176</v>
      </c>
      <c r="D118">
        <v>331.45763464538311</v>
      </c>
      <c r="E118">
        <v>1.5476970572199254E-3</v>
      </c>
      <c r="F118">
        <v>73462.1795046365</v>
      </c>
      <c r="G118">
        <v>154.76970572199255</v>
      </c>
      <c r="H118">
        <v>75601.878715171726</v>
      </c>
      <c r="I118">
        <v>117.008805207769</v>
      </c>
    </row>
    <row r="119" spans="1:9" x14ac:dyDescent="0.3">
      <c r="A119">
        <v>96688.949210358522</v>
      </c>
      <c r="B119">
        <v>-780.92461474385675</v>
      </c>
      <c r="C119">
        <v>95634.976891722559</v>
      </c>
      <c r="D119">
        <v>-746.83707485206082</v>
      </c>
      <c r="E119">
        <v>-9.7392461474385666E-3</v>
      </c>
      <c r="F119">
        <v>73604.949210358493</v>
      </c>
      <c r="G119">
        <v>-973.92461474385664</v>
      </c>
      <c r="H119">
        <v>75706.887520379489</v>
      </c>
      <c r="I119">
        <v>-737.32801261742088</v>
      </c>
    </row>
    <row r="120" spans="1:9" x14ac:dyDescent="0.3">
      <c r="A120">
        <v>95902.024595614668</v>
      </c>
      <c r="B120">
        <v>-1705.5749389796651</v>
      </c>
      <c r="C120">
        <v>94882.139816870505</v>
      </c>
      <c r="D120">
        <v>-1618.2859982841896</v>
      </c>
      <c r="E120">
        <v>-1.8985749389796653E-2</v>
      </c>
      <c r="F120">
        <v>72619.024595614639</v>
      </c>
      <c r="G120">
        <v>-1898.5749389796654</v>
      </c>
      <c r="H120">
        <v>74957.559507762067</v>
      </c>
      <c r="I120">
        <v>-1423.12543968514</v>
      </c>
    </row>
    <row r="121" spans="1:9" x14ac:dyDescent="0.3">
      <c r="A121">
        <v>94190.449656634999</v>
      </c>
      <c r="B121">
        <v>-167.42155851533022</v>
      </c>
      <c r="C121">
        <v>93257.853818586314</v>
      </c>
      <c r="D121">
        <v>-156.13375230102559</v>
      </c>
      <c r="E121">
        <v>-3.6042155851533021E-3</v>
      </c>
      <c r="F121">
        <v>70708.44965663497</v>
      </c>
      <c r="G121">
        <v>-360.42155851533022</v>
      </c>
      <c r="H121">
        <v>73522.434068076924</v>
      </c>
      <c r="I121">
        <v>-264.99070272656894</v>
      </c>
    </row>
    <row r="122" spans="1:9" x14ac:dyDescent="0.3">
      <c r="A122">
        <v>94017.02809811967</v>
      </c>
      <c r="B122">
        <v>1502.3291344007869</v>
      </c>
      <c r="C122">
        <v>93095.720066285285</v>
      </c>
      <c r="D122">
        <v>1398.6041254360034</v>
      </c>
      <c r="E122">
        <v>1.3093291344007869E-2</v>
      </c>
      <c r="F122">
        <v>70336.028098119641</v>
      </c>
      <c r="G122">
        <v>1309.3291344007869</v>
      </c>
      <c r="H122">
        <v>73245.443365350351</v>
      </c>
      <c r="I122">
        <v>959.0239296035603</v>
      </c>
    </row>
    <row r="123" spans="1:9" x14ac:dyDescent="0.3">
      <c r="A123">
        <v>95513.357232520459</v>
      </c>
      <c r="B123">
        <v>-746.69557101135638</v>
      </c>
      <c r="C123">
        <v>94488.324191721287</v>
      </c>
      <c r="D123">
        <v>-705.54013186243492</v>
      </c>
      <c r="E123">
        <v>-9.3969557101135637E-3</v>
      </c>
      <c r="F123">
        <v>71633.35723252043</v>
      </c>
      <c r="G123">
        <v>-939.69557101135638</v>
      </c>
      <c r="H123">
        <v>74192.467294953909</v>
      </c>
      <c r="I123">
        <v>-697.18332919473096</v>
      </c>
    </row>
    <row r="124" spans="1:9" x14ac:dyDescent="0.3">
      <c r="A124">
        <v>94760.661661509104</v>
      </c>
      <c r="B124">
        <v>-424.53958383160699</v>
      </c>
      <c r="C124">
        <v>93776.784059858852</v>
      </c>
      <c r="D124">
        <v>-398.11956877838958</v>
      </c>
      <c r="E124">
        <v>-6.1753958383160704E-3</v>
      </c>
      <c r="F124">
        <v>70681.661661509075</v>
      </c>
      <c r="G124">
        <v>-617.53958383160705</v>
      </c>
      <c r="H124">
        <v>73483.283965759183</v>
      </c>
      <c r="I124">
        <v>-453.78836598794726</v>
      </c>
    </row>
    <row r="125" spans="1:9" x14ac:dyDescent="0.3">
      <c r="A125">
        <v>94330.122077677501</v>
      </c>
      <c r="B125">
        <v>77.66062307715012</v>
      </c>
      <c r="C125">
        <v>93372.664491080461</v>
      </c>
      <c r="D125">
        <v>72.51379302750999</v>
      </c>
      <c r="E125">
        <v>-1.153393769228499E-3</v>
      </c>
      <c r="F125">
        <v>70052.122077677472</v>
      </c>
      <c r="G125">
        <v>-115.33937692284989</v>
      </c>
      <c r="H125">
        <v>73017.495599771239</v>
      </c>
      <c r="I125">
        <v>-84.217924469445492</v>
      </c>
    </row>
    <row r="126" spans="1:9" x14ac:dyDescent="0.3">
      <c r="A126">
        <v>94401.782700754644</v>
      </c>
      <c r="B126">
        <v>-729.77573828733091</v>
      </c>
      <c r="C126">
        <v>93439.178284107969</v>
      </c>
      <c r="D126">
        <v>-681.89645317246425</v>
      </c>
      <c r="E126">
        <v>-9.2277573828733091E-3</v>
      </c>
      <c r="F126">
        <v>69924.782700754615</v>
      </c>
      <c r="G126">
        <v>-922.77573828733091</v>
      </c>
      <c r="H126">
        <v>72921.277675301797</v>
      </c>
      <c r="I126">
        <v>-672.89985843682075</v>
      </c>
    </row>
    <row r="127" spans="1:9" x14ac:dyDescent="0.3">
      <c r="A127">
        <v>93666.00696246732</v>
      </c>
      <c r="B127">
        <v>228.55626170428573</v>
      </c>
      <c r="C127">
        <v>92751.281830935506</v>
      </c>
      <c r="D127">
        <v>211.98886243559258</v>
      </c>
      <c r="E127">
        <v>3.5556261704285737E-4</v>
      </c>
      <c r="F127">
        <v>68990.006962467291</v>
      </c>
      <c r="G127">
        <v>35.556261704285738</v>
      </c>
      <c r="H127">
        <v>72236.377816864973</v>
      </c>
      <c r="I127">
        <v>25.684555542261119</v>
      </c>
    </row>
    <row r="128" spans="1:9" x14ac:dyDescent="0.3">
      <c r="A128">
        <v>93888.563224171608</v>
      </c>
      <c r="B128">
        <v>913.05126215909843</v>
      </c>
      <c r="C128">
        <v>92957.270693371102</v>
      </c>
      <c r="D128">
        <v>848.7475333344745</v>
      </c>
      <c r="E128">
        <v>7.2005126215909836E-3</v>
      </c>
      <c r="F128">
        <v>69013.563224171579</v>
      </c>
      <c r="G128">
        <v>720.05126215909831</v>
      </c>
      <c r="H128">
        <v>72250.062372407236</v>
      </c>
      <c r="I128">
        <v>520.23748602325406</v>
      </c>
    </row>
    <row r="129" spans="1:9" x14ac:dyDescent="0.3">
      <c r="A129">
        <v>94795.614486330713</v>
      </c>
      <c r="B129">
        <v>-1133.5348506401103</v>
      </c>
      <c r="C129">
        <v>93800.018226705579</v>
      </c>
      <c r="D129">
        <v>-1063.2558965064834</v>
      </c>
      <c r="E129">
        <v>-1.3265348506401103E-2</v>
      </c>
      <c r="F129">
        <v>69721.614486330684</v>
      </c>
      <c r="G129">
        <v>-1326.5348506401103</v>
      </c>
      <c r="H129">
        <v>72758.299858430488</v>
      </c>
      <c r="I129">
        <v>-965.1642043553145</v>
      </c>
    </row>
    <row r="130" spans="1:9" x14ac:dyDescent="0.3">
      <c r="A130">
        <v>93656.079635690607</v>
      </c>
      <c r="B130">
        <v>846.90936893489254</v>
      </c>
      <c r="C130">
        <v>92730.762330199097</v>
      </c>
      <c r="D130">
        <v>785.34551405920422</v>
      </c>
      <c r="E130">
        <v>6.5390936893489253E-3</v>
      </c>
      <c r="F130">
        <v>68383.079635690578</v>
      </c>
      <c r="G130">
        <v>653.90936893489254</v>
      </c>
      <c r="H130">
        <v>71781.135654075173</v>
      </c>
      <c r="I130">
        <v>469.38357116986208</v>
      </c>
    </row>
    <row r="131" spans="1:9" x14ac:dyDescent="0.3">
      <c r="A131">
        <v>94496.989004625502</v>
      </c>
      <c r="B131">
        <v>-842.608500784341</v>
      </c>
      <c r="C131">
        <v>93510.107844258295</v>
      </c>
      <c r="D131">
        <v>-787.92411778832525</v>
      </c>
      <c r="E131">
        <v>-1.0356085007843409E-2</v>
      </c>
      <c r="F131">
        <v>69024.989004625473</v>
      </c>
      <c r="G131">
        <v>-1035.608500784341</v>
      </c>
      <c r="H131">
        <v>72238.519225245036</v>
      </c>
      <c r="I131">
        <v>-748.108245937368</v>
      </c>
    </row>
    <row r="132" spans="1:9" x14ac:dyDescent="0.3">
      <c r="A132">
        <v>93648.380503841167</v>
      </c>
      <c r="B132">
        <v>-407.75027560898951</v>
      </c>
      <c r="C132">
        <v>92716.183726469972</v>
      </c>
      <c r="D132">
        <v>-378.05049467881838</v>
      </c>
      <c r="E132">
        <v>-6.0075027560898952E-3</v>
      </c>
      <c r="F132">
        <v>67977.380503841137</v>
      </c>
      <c r="G132">
        <v>-600.75027560898957</v>
      </c>
      <c r="H132">
        <v>71478.410979307664</v>
      </c>
      <c r="I132">
        <v>-429.40675095911701</v>
      </c>
    </row>
    <row r="133" spans="1:9" x14ac:dyDescent="0.3">
      <c r="A133">
        <v>93234.63022823217</v>
      </c>
      <c r="B133">
        <v>237.6531748978868</v>
      </c>
      <c r="C133">
        <v>92332.133231791158</v>
      </c>
      <c r="D133">
        <v>219.43024607629849</v>
      </c>
      <c r="E133">
        <v>4.4653174897886787E-4</v>
      </c>
      <c r="F133">
        <v>67364.630228232141</v>
      </c>
      <c r="G133">
        <v>44.653174897886785</v>
      </c>
      <c r="H133">
        <v>71037.004228348553</v>
      </c>
      <c r="I133">
        <v>31.720277740303711</v>
      </c>
    </row>
    <row r="134" spans="1:9" x14ac:dyDescent="0.3">
      <c r="A134">
        <v>93466.283403130059</v>
      </c>
      <c r="B134">
        <v>-918.82261128208279</v>
      </c>
      <c r="C134">
        <v>92545.563477867458</v>
      </c>
      <c r="D134">
        <v>-850.3295629730593</v>
      </c>
      <c r="E134">
        <v>-1.1118226112820827E-2</v>
      </c>
      <c r="F134">
        <v>67397.28340313003</v>
      </c>
      <c r="G134">
        <v>-1111.8226112820828</v>
      </c>
      <c r="H134">
        <v>71056.724506088853</v>
      </c>
      <c r="I134">
        <v>-790.02472989511273</v>
      </c>
    </row>
    <row r="135" spans="1:9" x14ac:dyDescent="0.3">
      <c r="A135">
        <v>92541.460791847974</v>
      </c>
      <c r="B135">
        <v>653.00251708018175</v>
      </c>
      <c r="C135">
        <v>91689.233914894401</v>
      </c>
      <c r="D135">
        <v>598.73300535579608</v>
      </c>
      <c r="E135">
        <v>4.6000251708018169E-3</v>
      </c>
      <c r="F135">
        <v>66273.460791847945</v>
      </c>
      <c r="G135">
        <v>460.00251708018169</v>
      </c>
      <c r="H135">
        <v>70254.699776193738</v>
      </c>
      <c r="I135">
        <v>323.17338733761596</v>
      </c>
    </row>
    <row r="136" spans="1:9" x14ac:dyDescent="0.3">
      <c r="A136">
        <v>93188.463308928156</v>
      </c>
      <c r="B136">
        <v>15.908137735550875</v>
      </c>
      <c r="C136">
        <v>92281.966920250197</v>
      </c>
      <c r="D136">
        <v>14.680342402748899</v>
      </c>
      <c r="E136">
        <v>-1.7709186226444913E-3</v>
      </c>
      <c r="F136">
        <v>66721.463308928127</v>
      </c>
      <c r="G136">
        <v>-177.09186226444913</v>
      </c>
      <c r="H136">
        <v>70565.87316353136</v>
      </c>
      <c r="I136">
        <v>-124.96641890846684</v>
      </c>
    </row>
    <row r="137" spans="1:9" x14ac:dyDescent="0.3">
      <c r="A137">
        <v>93198.371446663703</v>
      </c>
      <c r="B137">
        <v>-3992.7719551861233</v>
      </c>
      <c r="C137">
        <v>92290.647262652943</v>
      </c>
      <c r="D137">
        <v>-3684.955081162956</v>
      </c>
      <c r="E137">
        <v>-4.1857719551861232E-2</v>
      </c>
      <c r="F137">
        <v>66532.371446663674</v>
      </c>
      <c r="G137">
        <v>-4185.7719551861228</v>
      </c>
      <c r="H137">
        <v>70428.906744622887</v>
      </c>
      <c r="I137">
        <v>-2947.993426860613</v>
      </c>
    </row>
    <row r="138" spans="1:9" x14ac:dyDescent="0.3">
      <c r="A138">
        <v>89199.59949147758</v>
      </c>
      <c r="B138">
        <v>1814.0589569161004</v>
      </c>
      <c r="C138">
        <v>88599.692181489983</v>
      </c>
      <c r="D138">
        <v>1607.250651818413</v>
      </c>
      <c r="E138">
        <v>1.6210589569161004E-2</v>
      </c>
      <c r="F138">
        <v>62334.599491477551</v>
      </c>
      <c r="G138">
        <v>1621.0589569161004</v>
      </c>
      <c r="H138">
        <v>67468.913317762272</v>
      </c>
      <c r="I138">
        <v>1093.7108624715449</v>
      </c>
    </row>
    <row r="139" spans="1:9" x14ac:dyDescent="0.3">
      <c r="A139">
        <v>91007.658448393675</v>
      </c>
      <c r="B139">
        <v>1914.3491354324201</v>
      </c>
      <c r="C139">
        <v>90200.942833308392</v>
      </c>
      <c r="D139">
        <v>1726.7609692813307</v>
      </c>
      <c r="E139">
        <v>1.7213491354324199E-2</v>
      </c>
      <c r="F139">
        <v>63943.658448393653</v>
      </c>
      <c r="G139">
        <v>1721.3491354324199</v>
      </c>
      <c r="H139">
        <v>68550.624180233819</v>
      </c>
      <c r="I139">
        <v>1179.9955766599824</v>
      </c>
    </row>
    <row r="140" spans="1:9" x14ac:dyDescent="0.3">
      <c r="A140">
        <v>92916.007583826096</v>
      </c>
      <c r="B140">
        <v>1585.0288512478255</v>
      </c>
      <c r="C140">
        <v>91921.70380258972</v>
      </c>
      <c r="D140">
        <v>1456.9855258296166</v>
      </c>
      <c r="E140">
        <v>1.3920288512478255E-2</v>
      </c>
      <c r="F140">
        <v>65653.007583826067</v>
      </c>
      <c r="G140">
        <v>1392.0288512478255</v>
      </c>
      <c r="H140">
        <v>69718.619756893808</v>
      </c>
      <c r="I140">
        <v>970.50330170772838</v>
      </c>
    </row>
    <row r="141" spans="1:9" x14ac:dyDescent="0.3">
      <c r="A141">
        <v>94495.036435073926</v>
      </c>
      <c r="B141">
        <v>198.05129094746647</v>
      </c>
      <c r="C141">
        <v>93372.689328419336</v>
      </c>
      <c r="D141">
        <v>184.92581660730175</v>
      </c>
      <c r="E141">
        <v>5.0512909474664585E-5</v>
      </c>
      <c r="F141">
        <v>67033.036435073896</v>
      </c>
      <c r="G141">
        <v>5.0512909474664589</v>
      </c>
      <c r="H141">
        <v>70677.12305860153</v>
      </c>
      <c r="I141">
        <v>3.5701071189888682</v>
      </c>
    </row>
    <row r="142" spans="1:9" x14ac:dyDescent="0.3">
      <c r="A142">
        <v>94687.087726021389</v>
      </c>
      <c r="B142">
        <v>-1041.051707008023</v>
      </c>
      <c r="C142">
        <v>93551.615145026633</v>
      </c>
      <c r="D142">
        <v>-973.92068640087587</v>
      </c>
      <c r="E142">
        <v>-1.2340517070080229E-2</v>
      </c>
      <c r="F142">
        <v>67026.08772602136</v>
      </c>
      <c r="G142">
        <v>-1234.051707008023</v>
      </c>
      <c r="H142">
        <v>70668.693165720513</v>
      </c>
      <c r="I142">
        <v>-872.08821433183596</v>
      </c>
    </row>
    <row r="143" spans="1:9" x14ac:dyDescent="0.3">
      <c r="A143">
        <v>93640.036019013365</v>
      </c>
      <c r="B143">
        <v>1038.1585497994013</v>
      </c>
      <c r="C143">
        <v>92571.69445862576</v>
      </c>
      <c r="D143">
        <v>961.04096071640186</v>
      </c>
      <c r="E143">
        <v>8.4515854979940134E-3</v>
      </c>
      <c r="F143">
        <v>65780.036019013336</v>
      </c>
      <c r="G143">
        <v>845.15854979940138</v>
      </c>
      <c r="H143">
        <v>69784.604951388683</v>
      </c>
      <c r="I143">
        <v>589.79055519039787</v>
      </c>
    </row>
    <row r="144" spans="1:9" x14ac:dyDescent="0.3">
      <c r="A144">
        <v>94672.19456881276</v>
      </c>
      <c r="B144">
        <v>2845.5165119285466</v>
      </c>
      <c r="C144">
        <v>93526.735419342163</v>
      </c>
      <c r="D144">
        <v>2661.3186994251059</v>
      </c>
      <c r="E144">
        <v>2.6525165119285467E-2</v>
      </c>
      <c r="F144">
        <v>66613.194568812731</v>
      </c>
      <c r="G144">
        <v>2652.5165119285466</v>
      </c>
      <c r="H144">
        <v>70362.39550657908</v>
      </c>
      <c r="I144">
        <v>1866.3741590004799</v>
      </c>
    </row>
    <row r="145" spans="1:9" x14ac:dyDescent="0.3">
      <c r="A145">
        <v>97511.711080741312</v>
      </c>
      <c r="B145">
        <v>-1401.1058996298545</v>
      </c>
      <c r="C145">
        <v>96182.054118767264</v>
      </c>
      <c r="D145">
        <v>-1347.6124346432275</v>
      </c>
      <c r="E145">
        <v>-1.5941058996298545E-2</v>
      </c>
      <c r="F145">
        <v>69253.711080741283</v>
      </c>
      <c r="G145">
        <v>-1594.1058996298545</v>
      </c>
      <c r="H145">
        <v>72216.769665579559</v>
      </c>
      <c r="I145">
        <v>-1151.211785761107</v>
      </c>
    </row>
    <row r="146" spans="1:9" x14ac:dyDescent="0.3">
      <c r="A146">
        <v>96104.605181111459</v>
      </c>
      <c r="B146">
        <v>-313.04709059078567</v>
      </c>
      <c r="C146">
        <v>94828.441684124031</v>
      </c>
      <c r="D146">
        <v>-296.8576777447301</v>
      </c>
      <c r="E146">
        <v>-5.0604709059078566E-3</v>
      </c>
      <c r="F146">
        <v>67647.60518111143</v>
      </c>
      <c r="G146">
        <v>-506.04709059078567</v>
      </c>
      <c r="H146">
        <v>71053.557879818458</v>
      </c>
      <c r="I146">
        <v>-359.56446241206123</v>
      </c>
    </row>
    <row r="147" spans="1:9" x14ac:dyDescent="0.3">
      <c r="A147">
        <v>95785.558090520673</v>
      </c>
      <c r="B147">
        <v>383.45617856822184</v>
      </c>
      <c r="C147">
        <v>94525.5840063793</v>
      </c>
      <c r="D147">
        <v>362.46419220015633</v>
      </c>
      <c r="E147">
        <v>1.9045617856822182E-3</v>
      </c>
      <c r="F147">
        <v>67129.558090520644</v>
      </c>
      <c r="G147">
        <v>190.45617856822182</v>
      </c>
      <c r="H147">
        <v>70681.993417406396</v>
      </c>
      <c r="I147">
        <v>134.61822359863433</v>
      </c>
    </row>
    <row r="148" spans="1:9" x14ac:dyDescent="0.3">
      <c r="A148">
        <v>96163.01426908889</v>
      </c>
      <c r="B148">
        <v>1737.0694827793509</v>
      </c>
      <c r="C148">
        <v>94882.048198579461</v>
      </c>
      <c r="D148">
        <v>1648.1671038935187</v>
      </c>
      <c r="E148">
        <v>1.544069482779351E-2</v>
      </c>
      <c r="F148">
        <v>67308.014269088861</v>
      </c>
      <c r="G148">
        <v>1544.0694827793511</v>
      </c>
      <c r="H148">
        <v>70804.611641005031</v>
      </c>
      <c r="I148">
        <v>1093.2724007491945</v>
      </c>
    </row>
    <row r="149" spans="1:9" x14ac:dyDescent="0.3">
      <c r="A149">
        <v>97894.083751868238</v>
      </c>
      <c r="B149">
        <v>-200.89559563242935</v>
      </c>
      <c r="C149">
        <v>96524.215302472978</v>
      </c>
      <c r="D149">
        <v>-193.9128972614316</v>
      </c>
      <c r="E149">
        <v>-3.9389559563242933E-3</v>
      </c>
      <c r="F149">
        <v>68840.083751868209</v>
      </c>
      <c r="G149">
        <v>-393.89559563242932</v>
      </c>
      <c r="H149">
        <v>71885.884041754223</v>
      </c>
      <c r="I149">
        <v>-283.15533112190525</v>
      </c>
    </row>
    <row r="150" spans="1:9" x14ac:dyDescent="0.3">
      <c r="A150">
        <v>97687.188156235803</v>
      </c>
      <c r="B150">
        <v>1248.6444149897525</v>
      </c>
      <c r="C150">
        <v>96324.302405211551</v>
      </c>
      <c r="D150">
        <v>1202.7480222605138</v>
      </c>
      <c r="E150">
        <v>1.0556444149897525E-2</v>
      </c>
      <c r="F150">
        <v>68434.188156235774</v>
      </c>
      <c r="G150">
        <v>1055.6444149897525</v>
      </c>
      <c r="H150">
        <v>71590.72871063232</v>
      </c>
      <c r="I150">
        <v>755.74352928425537</v>
      </c>
    </row>
    <row r="151" spans="1:9" x14ac:dyDescent="0.3">
      <c r="A151">
        <v>98929.832571225561</v>
      </c>
      <c r="B151">
        <v>-370.92213675472635</v>
      </c>
      <c r="C151">
        <v>97521.050427472059</v>
      </c>
      <c r="D151">
        <v>-361.72716403123354</v>
      </c>
      <c r="E151">
        <v>-5.6392213675472633E-3</v>
      </c>
      <c r="F151">
        <v>69477.832571225532</v>
      </c>
      <c r="G151">
        <v>-563.92213675472635</v>
      </c>
      <c r="H151">
        <v>72334.472239916577</v>
      </c>
      <c r="I151">
        <v>-407.91010146559194</v>
      </c>
    </row>
    <row r="152" spans="1:9" x14ac:dyDescent="0.3">
      <c r="A152">
        <v>98552.910434470832</v>
      </c>
      <c r="B152">
        <v>305.69354222392053</v>
      </c>
      <c r="C152">
        <v>97153.32326344082</v>
      </c>
      <c r="D152">
        <v>296.99143527226846</v>
      </c>
      <c r="E152">
        <v>1.1269354222392051E-3</v>
      </c>
      <c r="F152">
        <v>68901.910434470803</v>
      </c>
      <c r="G152">
        <v>112.69354222392052</v>
      </c>
      <c r="H152">
        <v>71914.562138450987</v>
      </c>
      <c r="I152">
        <v>81.043067448642816</v>
      </c>
    </row>
    <row r="153" spans="1:9" x14ac:dyDescent="0.3">
      <c r="A153">
        <v>98852.603976694751</v>
      </c>
      <c r="B153">
        <v>1300.0336875631483</v>
      </c>
      <c r="C153">
        <v>97444.314698713089</v>
      </c>
      <c r="D153">
        <v>1266.8089176983187</v>
      </c>
      <c r="E153">
        <v>1.1070336875631484E-2</v>
      </c>
      <c r="F153">
        <v>69002.603976694721</v>
      </c>
      <c r="G153">
        <v>1107.0336875631483</v>
      </c>
      <c r="H153">
        <v>71983.605205899628</v>
      </c>
      <c r="I153">
        <v>796.88275915176916</v>
      </c>
    </row>
    <row r="154" spans="1:9" x14ac:dyDescent="0.3">
      <c r="A154">
        <v>100146.6376642579</v>
      </c>
      <c r="B154">
        <v>956.79106994999779</v>
      </c>
      <c r="C154">
        <v>98705.123616411409</v>
      </c>
      <c r="D154">
        <v>944.4018083449306</v>
      </c>
      <c r="E154">
        <v>7.6379106994999774E-3</v>
      </c>
      <c r="F154">
        <v>70097.637664257869</v>
      </c>
      <c r="G154">
        <v>763.79106994999779</v>
      </c>
      <c r="H154">
        <v>72768.48796505139</v>
      </c>
      <c r="I154">
        <v>555.79921281470138</v>
      </c>
    </row>
    <row r="155" spans="1:9" x14ac:dyDescent="0.3">
      <c r="A155">
        <v>101097.42873420789</v>
      </c>
      <c r="B155">
        <v>279.51280449720133</v>
      </c>
      <c r="C155">
        <v>99643.525424756343</v>
      </c>
      <c r="D155">
        <v>278.51641241461834</v>
      </c>
      <c r="E155">
        <v>8.6512804497201347E-4</v>
      </c>
      <c r="F155">
        <v>70849.428734207861</v>
      </c>
      <c r="G155">
        <v>86.512804497201344</v>
      </c>
      <c r="H155">
        <v>73312.287177866092</v>
      </c>
      <c r="I155">
        <v>63.424515678614107</v>
      </c>
    </row>
    <row r="156" spans="1:9" x14ac:dyDescent="0.3">
      <c r="A156">
        <v>101370.9415387051</v>
      </c>
      <c r="B156">
        <v>808.93562739179413</v>
      </c>
      <c r="C156">
        <v>99916.041837170967</v>
      </c>
      <c r="D156">
        <v>808.25645990056648</v>
      </c>
      <c r="E156">
        <v>6.1593562739179408E-3</v>
      </c>
      <c r="F156">
        <v>70923.941538705069</v>
      </c>
      <c r="G156">
        <v>615.93562739179413</v>
      </c>
      <c r="H156">
        <v>73363.711693544712</v>
      </c>
      <c r="I156">
        <v>451.87323789754163</v>
      </c>
    </row>
    <row r="157" spans="1:9" x14ac:dyDescent="0.3">
      <c r="A157">
        <v>102173.87716609689</v>
      </c>
      <c r="B157">
        <v>325.10759513267834</v>
      </c>
      <c r="C157">
        <v>100718.29829707154</v>
      </c>
      <c r="D157">
        <v>327.4428374521666</v>
      </c>
      <c r="E157">
        <v>1.3210759513267833E-3</v>
      </c>
      <c r="F157">
        <v>71527.877166096863</v>
      </c>
      <c r="G157">
        <v>132.10759513267834</v>
      </c>
      <c r="H157">
        <v>73803.584931442252</v>
      </c>
      <c r="I157">
        <v>97.50014117463212</v>
      </c>
    </row>
    <row r="158" spans="1:9" x14ac:dyDescent="0.3">
      <c r="A158">
        <v>102492.98476122957</v>
      </c>
      <c r="B158">
        <v>-158.92801495792799</v>
      </c>
      <c r="C158">
        <v>101039.74113452371</v>
      </c>
      <c r="D158">
        <v>-160.58045490372757</v>
      </c>
      <c r="E158">
        <v>-3.51928014957928E-3</v>
      </c>
      <c r="F158">
        <v>71647.984761229542</v>
      </c>
      <c r="G158">
        <v>-351.92801495792799</v>
      </c>
      <c r="H158">
        <v>73889.085072616886</v>
      </c>
      <c r="I158">
        <v>-260.03639036663532</v>
      </c>
    </row>
    <row r="159" spans="1:9" x14ac:dyDescent="0.3">
      <c r="A159">
        <v>102328.05674627164</v>
      </c>
      <c r="B159">
        <v>1225.2151141040051</v>
      </c>
      <c r="C159">
        <v>100873.16067961998</v>
      </c>
      <c r="D159">
        <v>1235.9132107211224</v>
      </c>
      <c r="E159">
        <v>1.0322151141040053E-2</v>
      </c>
      <c r="F159">
        <v>71284.056746271614</v>
      </c>
      <c r="G159">
        <v>1032.2151141040054</v>
      </c>
      <c r="H159">
        <v>73617.048682250257</v>
      </c>
      <c r="I159">
        <v>759.88630305549066</v>
      </c>
    </row>
    <row r="160" spans="1:9" x14ac:dyDescent="0.3">
      <c r="A160">
        <v>103547.27186037565</v>
      </c>
      <c r="B160">
        <v>693.29601831828234</v>
      </c>
      <c r="C160">
        <v>102103.0738903411</v>
      </c>
      <c r="D160">
        <v>707.87654586230849</v>
      </c>
      <c r="E160">
        <v>5.0029601831828229E-3</v>
      </c>
      <c r="F160">
        <v>72304.271860375622</v>
      </c>
      <c r="G160">
        <v>500.29601831828228</v>
      </c>
      <c r="H160">
        <v>74364.93498530575</v>
      </c>
      <c r="I160">
        <v>372.04480875646396</v>
      </c>
    </row>
    <row r="161" spans="1:9" x14ac:dyDescent="0.3">
      <c r="A161">
        <v>104234.56787869394</v>
      </c>
      <c r="B161">
        <v>1267.8338288266946</v>
      </c>
      <c r="C161">
        <v>102804.95043620341</v>
      </c>
      <c r="D161">
        <v>1303.3959393387033</v>
      </c>
      <c r="E161">
        <v>1.0748338288266946E-2</v>
      </c>
      <c r="F161">
        <v>72792.56787869391</v>
      </c>
      <c r="G161">
        <v>1074.8338288266946</v>
      </c>
      <c r="H161">
        <v>74724.979794062208</v>
      </c>
      <c r="I161">
        <v>803.1693614104928</v>
      </c>
    </row>
    <row r="162" spans="1:9" x14ac:dyDescent="0.3">
      <c r="A162">
        <v>105496.40170752064</v>
      </c>
      <c r="B162">
        <v>935.5700986266063</v>
      </c>
      <c r="C162">
        <v>104102.34637554211</v>
      </c>
      <c r="D162">
        <v>973.95042465827066</v>
      </c>
      <c r="E162">
        <v>7.4257009862660631E-3</v>
      </c>
      <c r="F162">
        <v>73855.401707520607</v>
      </c>
      <c r="G162">
        <v>742.5700986266063</v>
      </c>
      <c r="H162">
        <v>75516.149155472696</v>
      </c>
      <c r="I162">
        <v>560.76034326280876</v>
      </c>
    </row>
    <row r="163" spans="1:9" x14ac:dyDescent="0.3">
      <c r="A163">
        <v>106425.97180614724</v>
      </c>
      <c r="B163">
        <v>-986.61355319838594</v>
      </c>
      <c r="C163">
        <v>105070.29680020038</v>
      </c>
      <c r="D163">
        <v>-1036.6377886165469</v>
      </c>
      <c r="E163">
        <v>-1.1796135531983859E-2</v>
      </c>
      <c r="F163">
        <v>74585.971806147209</v>
      </c>
      <c r="G163">
        <v>-1179.6135531983859</v>
      </c>
      <c r="H163">
        <v>76064.909498735506</v>
      </c>
      <c r="I163">
        <v>-897.27198167517042</v>
      </c>
    </row>
    <row r="164" spans="1:9" x14ac:dyDescent="0.3">
      <c r="A164">
        <v>105433.35825294885</v>
      </c>
      <c r="B164">
        <v>3853.9553752535467</v>
      </c>
      <c r="C164">
        <v>104027.65901158383</v>
      </c>
      <c r="D164">
        <v>4009.179556227366</v>
      </c>
      <c r="E164">
        <v>3.6609553752535468E-2</v>
      </c>
      <c r="F164">
        <v>73394.358252948819</v>
      </c>
      <c r="G164">
        <v>3660.9553752535467</v>
      </c>
      <c r="H164">
        <v>75155.637517060342</v>
      </c>
      <c r="I164">
        <v>2751.414351486892</v>
      </c>
    </row>
    <row r="165" spans="1:9" x14ac:dyDescent="0.3">
      <c r="A165">
        <v>109281.31362820239</v>
      </c>
      <c r="B165">
        <v>-463.49581609479952</v>
      </c>
      <c r="C165">
        <v>108030.8385678112</v>
      </c>
      <c r="D165">
        <v>-500.7184168539319</v>
      </c>
      <c r="E165">
        <v>-6.5649581609479955E-3</v>
      </c>
      <c r="F165">
        <v>77043.313628202362</v>
      </c>
      <c r="G165">
        <v>-656.49581609479958</v>
      </c>
      <c r="H165">
        <v>77895.051868547234</v>
      </c>
      <c r="I165">
        <v>-511.37775646188658</v>
      </c>
    </row>
    <row r="166" spans="1:9" x14ac:dyDescent="0.3">
      <c r="A166">
        <v>108811.81781210759</v>
      </c>
      <c r="B166">
        <v>516.11317624650758</v>
      </c>
      <c r="C166">
        <v>107524.12015095726</v>
      </c>
      <c r="D166">
        <v>554.94615174221656</v>
      </c>
      <c r="E166">
        <v>3.2311317624650754E-3</v>
      </c>
      <c r="F166">
        <v>76374.817812107562</v>
      </c>
      <c r="G166">
        <v>323.11317624650752</v>
      </c>
      <c r="H166">
        <v>77371.674112085355</v>
      </c>
      <c r="I166">
        <v>249.99807373865579</v>
      </c>
    </row>
    <row r="167" spans="1:9" x14ac:dyDescent="0.3">
      <c r="A167">
        <v>109321.9309883541</v>
      </c>
      <c r="B167">
        <v>-1960.9060845534002</v>
      </c>
      <c r="C167">
        <v>108073.06630269947</v>
      </c>
      <c r="D167">
        <v>-2119.2113328930645</v>
      </c>
      <c r="E167">
        <v>-2.1539060845534003E-2</v>
      </c>
      <c r="F167">
        <v>76685.93098835407</v>
      </c>
      <c r="G167">
        <v>-2153.9060845534004</v>
      </c>
      <c r="H167">
        <v>77609.672185824005</v>
      </c>
      <c r="I167">
        <v>-1671.6394514124111</v>
      </c>
    </row>
    <row r="168" spans="1:9" x14ac:dyDescent="0.3">
      <c r="A168">
        <v>107355.0249038007</v>
      </c>
      <c r="B168">
        <v>-57.819299473539374</v>
      </c>
      <c r="C168">
        <v>105947.85496980642</v>
      </c>
      <c r="D168">
        <v>-61.258307550783535</v>
      </c>
      <c r="E168">
        <v>-2.5081929947353937E-3</v>
      </c>
      <c r="F168">
        <v>74520.024903800673</v>
      </c>
      <c r="G168">
        <v>-250.81929947353936</v>
      </c>
      <c r="H168">
        <v>75926.032734411594</v>
      </c>
      <c r="I168">
        <v>-190.43714342250135</v>
      </c>
    </row>
    <row r="169" spans="1:9" x14ac:dyDescent="0.3">
      <c r="A169">
        <v>107291.20560432716</v>
      </c>
      <c r="B169">
        <v>388.86272841888706</v>
      </c>
      <c r="C169">
        <v>105880.59666225563</v>
      </c>
      <c r="D169">
        <v>411.73017704704426</v>
      </c>
      <c r="E169">
        <v>1.9586272841888705E-3</v>
      </c>
      <c r="F169">
        <v>74257.20560432713</v>
      </c>
      <c r="G169">
        <v>195.86272841888706</v>
      </c>
      <c r="H169">
        <v>75723.595590989091</v>
      </c>
      <c r="I169">
        <v>148.3143003813953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0AC30-A057-4F2C-9C26-A805C0A96268}">
  <dimension ref="A1:G168"/>
  <sheetViews>
    <sheetView topLeftCell="C1" workbookViewId="0">
      <selection activeCell="H18" sqref="H18"/>
    </sheetView>
  </sheetViews>
  <sheetFormatPr baseColWidth="10" defaultRowHeight="14.4" x14ac:dyDescent="0.3"/>
  <sheetData>
    <row r="1" spans="1:7" x14ac:dyDescent="0.3">
      <c r="A1" t="s">
        <v>334</v>
      </c>
      <c r="B1" t="s">
        <v>213</v>
      </c>
      <c r="C1" t="s">
        <v>222</v>
      </c>
      <c r="D1" t="s">
        <v>215</v>
      </c>
      <c r="E1" t="s">
        <v>223</v>
      </c>
      <c r="F1" t="s">
        <v>220</v>
      </c>
    </row>
    <row r="2" spans="1:7" x14ac:dyDescent="0.3">
      <c r="A2">
        <v>239.64</v>
      </c>
      <c r="B2">
        <v>243.20765326974151</v>
      </c>
      <c r="C2">
        <v>255.13353449914109</v>
      </c>
      <c r="D2">
        <v>241.57391961259989</v>
      </c>
      <c r="E2">
        <v>247.28</v>
      </c>
      <c r="F2">
        <v>247.28</v>
      </c>
      <c r="G2" t="s">
        <v>14</v>
      </c>
    </row>
    <row r="3" spans="1:7" x14ac:dyDescent="0.3">
      <c r="A3">
        <v>229.02500000000001</v>
      </c>
      <c r="B3">
        <v>232.7791777282807</v>
      </c>
      <c r="C3">
        <v>201.03795640095399</v>
      </c>
      <c r="D3">
        <v>236.17930765466571</v>
      </c>
      <c r="E3">
        <v>229.15</v>
      </c>
      <c r="F3">
        <v>229.15</v>
      </c>
      <c r="G3" t="s">
        <v>15</v>
      </c>
    </row>
    <row r="4" spans="1:7" x14ac:dyDescent="0.3">
      <c r="A4">
        <v>222.33</v>
      </c>
      <c r="B4">
        <v>227.62562923509481</v>
      </c>
      <c r="C4">
        <v>196.5546084439049</v>
      </c>
      <c r="D4">
        <v>232.75017380301639</v>
      </c>
      <c r="E4">
        <v>224.6</v>
      </c>
      <c r="F4">
        <v>225.45500000000001</v>
      </c>
      <c r="G4" t="s">
        <v>16</v>
      </c>
    </row>
    <row r="5" spans="1:7" x14ac:dyDescent="0.3">
      <c r="A5">
        <v>224.85</v>
      </c>
      <c r="B5">
        <v>223.69674884955671</v>
      </c>
      <c r="C5">
        <v>191.61367038584859</v>
      </c>
      <c r="D5">
        <v>230.56422083798151</v>
      </c>
      <c r="E5">
        <v>225.66</v>
      </c>
      <c r="F5">
        <v>225.66</v>
      </c>
      <c r="G5" t="s">
        <v>17</v>
      </c>
    </row>
    <row r="6" spans="1:7" x14ac:dyDescent="0.3">
      <c r="A6">
        <v>227.125</v>
      </c>
      <c r="B6">
        <v>227.04760857430529</v>
      </c>
      <c r="C6">
        <v>216.49120444335091</v>
      </c>
      <c r="D6">
        <v>229.87673796421581</v>
      </c>
      <c r="E6">
        <v>224.6</v>
      </c>
      <c r="F6">
        <v>225.45500000000001</v>
      </c>
      <c r="G6" t="s">
        <v>18</v>
      </c>
    </row>
    <row r="7" spans="1:7" x14ac:dyDescent="0.3">
      <c r="A7">
        <v>228.88</v>
      </c>
      <c r="B7">
        <v>227.9962337550981</v>
      </c>
      <c r="C7">
        <v>223.27161411286201</v>
      </c>
      <c r="D7">
        <v>229.79958433500539</v>
      </c>
      <c r="E7">
        <v>224.6</v>
      </c>
      <c r="F7">
        <v>224.6</v>
      </c>
      <c r="G7" t="s">
        <v>19</v>
      </c>
    </row>
    <row r="8" spans="1:7" x14ac:dyDescent="0.3">
      <c r="A8">
        <v>235.65</v>
      </c>
      <c r="B8">
        <v>231.82924937615181</v>
      </c>
      <c r="C8">
        <v>238.8494483523948</v>
      </c>
      <c r="D8">
        <v>231.75080569084031</v>
      </c>
      <c r="E8">
        <v>229.89500000000001</v>
      </c>
      <c r="F8">
        <v>229.89500000000001</v>
      </c>
      <c r="G8" t="s">
        <v>20</v>
      </c>
    </row>
    <row r="9" spans="1:7" x14ac:dyDescent="0.3">
      <c r="A9">
        <v>238.535</v>
      </c>
      <c r="B9">
        <v>235.66255644454529</v>
      </c>
      <c r="C9">
        <v>242.87448745802899</v>
      </c>
      <c r="D9">
        <v>234.55873862710479</v>
      </c>
      <c r="E9">
        <v>237.47499999999999</v>
      </c>
      <c r="F9">
        <v>237.47499999999999</v>
      </c>
      <c r="G9" t="s">
        <v>21</v>
      </c>
    </row>
    <row r="10" spans="1:7" x14ac:dyDescent="0.3">
      <c r="A10">
        <v>239.19499999999999</v>
      </c>
      <c r="B10">
        <v>237.2958738448844</v>
      </c>
      <c r="C10">
        <v>245.08544796881961</v>
      </c>
      <c r="D10">
        <v>235.8482882786482</v>
      </c>
      <c r="E10">
        <v>237.47499999999999</v>
      </c>
      <c r="F10">
        <v>237.5</v>
      </c>
      <c r="G10" t="s">
        <v>22</v>
      </c>
    </row>
    <row r="11" spans="1:7" x14ac:dyDescent="0.3">
      <c r="A11">
        <v>240.43</v>
      </c>
      <c r="B11">
        <v>238.5173472755489</v>
      </c>
      <c r="C11">
        <v>247.76944348642681</v>
      </c>
      <c r="D11">
        <v>237.25849333321679</v>
      </c>
      <c r="E11">
        <v>237.47499999999999</v>
      </c>
      <c r="F11">
        <v>237.5</v>
      </c>
      <c r="G11" t="s">
        <v>23</v>
      </c>
    </row>
    <row r="12" spans="1:7" x14ac:dyDescent="0.3">
      <c r="A12">
        <v>235.81</v>
      </c>
      <c r="B12">
        <v>242.0841832423221</v>
      </c>
      <c r="C12">
        <v>250.95189201826571</v>
      </c>
      <c r="D12">
        <v>240.3333127860229</v>
      </c>
      <c r="E12">
        <v>242.18</v>
      </c>
      <c r="F12">
        <v>242.18</v>
      </c>
      <c r="G12" t="s">
        <v>24</v>
      </c>
    </row>
    <row r="13" spans="1:7" x14ac:dyDescent="0.3">
      <c r="A13">
        <v>231.9</v>
      </c>
      <c r="B13">
        <v>235.25474834392639</v>
      </c>
      <c r="C13">
        <v>243.57988960649359</v>
      </c>
      <c r="D13">
        <v>234.54381140234091</v>
      </c>
      <c r="E13">
        <v>228.9</v>
      </c>
      <c r="F13">
        <v>229.89500000000001</v>
      </c>
      <c r="G13" t="s">
        <v>25</v>
      </c>
    </row>
    <row r="14" spans="1:7" x14ac:dyDescent="0.3">
      <c r="A14">
        <v>240.12</v>
      </c>
      <c r="B14">
        <v>235.69028480232001</v>
      </c>
      <c r="C14">
        <v>244.27874271472501</v>
      </c>
      <c r="D14">
        <v>235.05781116150089</v>
      </c>
      <c r="E14">
        <v>228.9</v>
      </c>
      <c r="F14">
        <v>229.89500000000001</v>
      </c>
      <c r="G14" t="s">
        <v>26</v>
      </c>
    </row>
    <row r="15" spans="1:7" x14ac:dyDescent="0.3">
      <c r="A15">
        <v>242.55</v>
      </c>
      <c r="B15">
        <v>241.36503043437719</v>
      </c>
      <c r="C15">
        <v>249.49910721887051</v>
      </c>
      <c r="D15">
        <v>239.85188181610789</v>
      </c>
      <c r="E15">
        <v>236.02500000000001</v>
      </c>
      <c r="F15">
        <v>236.02500000000001</v>
      </c>
      <c r="G15" t="s">
        <v>27</v>
      </c>
    </row>
    <row r="16" spans="1:7" x14ac:dyDescent="0.3">
      <c r="A16">
        <v>242.08500000000001</v>
      </c>
      <c r="B16">
        <v>243.18034621271491</v>
      </c>
      <c r="C16">
        <v>249.78593998917151</v>
      </c>
      <c r="D16">
        <v>241.35153786070961</v>
      </c>
      <c r="E16">
        <v>247.04499999999999</v>
      </c>
      <c r="F16">
        <v>247.31</v>
      </c>
      <c r="G16" t="s">
        <v>28</v>
      </c>
    </row>
    <row r="17" spans="1:7" x14ac:dyDescent="0.3">
      <c r="A17">
        <v>240.67500000000001</v>
      </c>
      <c r="B17">
        <v>235.08172826088551</v>
      </c>
      <c r="C17">
        <v>243.51686238103079</v>
      </c>
      <c r="D17">
        <v>235.1790072814315</v>
      </c>
      <c r="E17">
        <v>228.26499999999999</v>
      </c>
      <c r="F17">
        <v>228.26499999999999</v>
      </c>
      <c r="G17" t="s">
        <v>29</v>
      </c>
    </row>
    <row r="18" spans="1:7" x14ac:dyDescent="0.3">
      <c r="A18">
        <v>248.07499999999999</v>
      </c>
      <c r="B18">
        <v>244.5303169244736</v>
      </c>
      <c r="C18">
        <v>248.70067158414579</v>
      </c>
      <c r="D18">
        <v>244.05629814071551</v>
      </c>
      <c r="E18">
        <v>241.70500000000001</v>
      </c>
      <c r="F18">
        <v>245.10499999999999</v>
      </c>
      <c r="G18" t="s">
        <v>30</v>
      </c>
    </row>
    <row r="19" spans="1:7" x14ac:dyDescent="0.3">
      <c r="A19">
        <v>248.23500000000001</v>
      </c>
      <c r="B19">
        <v>249.35434716202329</v>
      </c>
      <c r="C19">
        <v>247.75835349469909</v>
      </c>
      <c r="D19">
        <v>248.57932598248041</v>
      </c>
      <c r="E19">
        <v>244.54</v>
      </c>
      <c r="F19">
        <v>246.76499999999999</v>
      </c>
      <c r="G19" t="s">
        <v>31</v>
      </c>
    </row>
    <row r="20" spans="1:7" x14ac:dyDescent="0.3">
      <c r="A20">
        <v>242.83500000000001</v>
      </c>
      <c r="B20">
        <v>245.12687420109691</v>
      </c>
      <c r="C20">
        <v>251.11748856453349</v>
      </c>
      <c r="D20">
        <v>244.6696305953935</v>
      </c>
      <c r="E20">
        <v>241.70500000000001</v>
      </c>
      <c r="F20">
        <v>245.10499999999999</v>
      </c>
      <c r="G20" t="s">
        <v>32</v>
      </c>
    </row>
    <row r="21" spans="1:7" x14ac:dyDescent="0.3">
      <c r="A21">
        <v>247.83500000000001</v>
      </c>
      <c r="B21">
        <v>244.47790424166681</v>
      </c>
      <c r="C21">
        <v>251.68523642937251</v>
      </c>
      <c r="D21">
        <v>244.09829440233739</v>
      </c>
      <c r="E21">
        <v>241.70500000000001</v>
      </c>
      <c r="F21">
        <v>245.10499999999999</v>
      </c>
      <c r="G21" t="s">
        <v>33</v>
      </c>
    </row>
    <row r="22" spans="1:7" x14ac:dyDescent="0.3">
      <c r="A22">
        <v>252.72499999999999</v>
      </c>
      <c r="B22">
        <v>248.44986209229401</v>
      </c>
      <c r="C22">
        <v>254.88542678461801</v>
      </c>
      <c r="D22">
        <v>247.24142309397951</v>
      </c>
      <c r="E22">
        <v>250.75</v>
      </c>
      <c r="F22">
        <v>249.93</v>
      </c>
      <c r="G22" t="s">
        <v>34</v>
      </c>
    </row>
    <row r="23" spans="1:7" x14ac:dyDescent="0.3">
      <c r="A23">
        <v>264.63499999999999</v>
      </c>
      <c r="B23">
        <v>259.06442841722651</v>
      </c>
      <c r="C23">
        <v>261.16692296911123</v>
      </c>
      <c r="D23">
        <v>255.7232087907237</v>
      </c>
      <c r="E23">
        <v>257.17</v>
      </c>
      <c r="F23">
        <v>259.54500000000002</v>
      </c>
      <c r="G23" t="s">
        <v>35</v>
      </c>
    </row>
    <row r="24" spans="1:7" x14ac:dyDescent="0.3">
      <c r="A24">
        <v>258.37</v>
      </c>
      <c r="B24">
        <v>259.75553755818629</v>
      </c>
      <c r="C24">
        <v>262.16586167682919</v>
      </c>
      <c r="D24">
        <v>256.47418737583808</v>
      </c>
      <c r="E24">
        <v>257.17</v>
      </c>
      <c r="F24">
        <v>259.54500000000002</v>
      </c>
      <c r="G24" t="s">
        <v>36</v>
      </c>
    </row>
    <row r="25" spans="1:7" x14ac:dyDescent="0.3">
      <c r="A25">
        <v>256.91000000000003</v>
      </c>
      <c r="B25">
        <v>257.25528524776081</v>
      </c>
      <c r="C25">
        <v>261.10056875600787</v>
      </c>
      <c r="D25">
        <v>254.87396836220881</v>
      </c>
      <c r="E25">
        <v>257.17</v>
      </c>
      <c r="F25">
        <v>259.54500000000002</v>
      </c>
      <c r="G25" t="s">
        <v>37</v>
      </c>
    </row>
    <row r="26" spans="1:7" x14ac:dyDescent="0.3">
      <c r="A26">
        <v>267.60000000000002</v>
      </c>
      <c r="B26">
        <v>260.62768257931299</v>
      </c>
      <c r="C26">
        <v>263.06867163237291</v>
      </c>
      <c r="D26">
        <v>257.77459047909201</v>
      </c>
      <c r="E26">
        <v>259.54500000000002</v>
      </c>
      <c r="F26">
        <v>259.54500000000002</v>
      </c>
      <c r="G26" t="s">
        <v>38</v>
      </c>
    </row>
    <row r="27" spans="1:7" x14ac:dyDescent="0.3">
      <c r="A27">
        <v>266.86500000000001</v>
      </c>
      <c r="B27">
        <v>272.73765410530751</v>
      </c>
      <c r="C27">
        <v>270.12644558248138</v>
      </c>
      <c r="D27">
        <v>266.52308749111131</v>
      </c>
      <c r="E27">
        <v>277.61</v>
      </c>
      <c r="F27">
        <v>280.62</v>
      </c>
      <c r="G27" t="s">
        <v>39</v>
      </c>
    </row>
    <row r="28" spans="1:7" x14ac:dyDescent="0.3">
      <c r="A28">
        <v>263.625</v>
      </c>
      <c r="B28">
        <v>273.93662953430157</v>
      </c>
      <c r="C28">
        <v>272.051583424689</v>
      </c>
      <c r="D28">
        <v>267.9160106296265</v>
      </c>
      <c r="E28">
        <v>277.61</v>
      </c>
      <c r="F28">
        <v>280.62</v>
      </c>
      <c r="G28" t="s">
        <v>40</v>
      </c>
    </row>
    <row r="29" spans="1:7" x14ac:dyDescent="0.3">
      <c r="A29">
        <v>263.10000000000002</v>
      </c>
      <c r="B29">
        <v>262.51639541121631</v>
      </c>
      <c r="C29">
        <v>263.43466804066912</v>
      </c>
      <c r="D29">
        <v>260.83204510283622</v>
      </c>
      <c r="E29">
        <v>256.98500000000001</v>
      </c>
      <c r="F29">
        <v>256.51</v>
      </c>
      <c r="G29" t="s">
        <v>41</v>
      </c>
    </row>
    <row r="30" spans="1:7" x14ac:dyDescent="0.3">
      <c r="A30">
        <v>271.34500000000003</v>
      </c>
      <c r="B30">
        <v>267.41225427174948</v>
      </c>
      <c r="C30">
        <v>267.08479737083979</v>
      </c>
      <c r="D30">
        <v>264.77038883341243</v>
      </c>
      <c r="E30">
        <v>256.98500000000001</v>
      </c>
      <c r="F30">
        <v>256.51</v>
      </c>
      <c r="G30" t="s">
        <v>42</v>
      </c>
    </row>
    <row r="31" spans="1:7" x14ac:dyDescent="0.3">
      <c r="A31">
        <v>272.18</v>
      </c>
      <c r="B31">
        <v>272.26696281392958</v>
      </c>
      <c r="C31">
        <v>273.1353059317309</v>
      </c>
      <c r="D31">
        <v>268.88593075926963</v>
      </c>
      <c r="E31">
        <v>276.33999999999997</v>
      </c>
      <c r="F31">
        <v>276.33999999999997</v>
      </c>
      <c r="G31" t="s">
        <v>43</v>
      </c>
    </row>
    <row r="32" spans="1:7" x14ac:dyDescent="0.3">
      <c r="A32">
        <v>269.375</v>
      </c>
      <c r="B32">
        <v>268.63552554272758</v>
      </c>
      <c r="C32">
        <v>269.64934674004462</v>
      </c>
      <c r="D32">
        <v>266.82860081147652</v>
      </c>
      <c r="E32">
        <v>276.33999999999997</v>
      </c>
      <c r="F32">
        <v>276.33999999999997</v>
      </c>
      <c r="G32" t="s">
        <v>44</v>
      </c>
    </row>
    <row r="33" spans="1:7" x14ac:dyDescent="0.3">
      <c r="A33">
        <v>262.20499999999998</v>
      </c>
      <c r="B33">
        <v>263.94440225934568</v>
      </c>
      <c r="C33">
        <v>265.40006779692862</v>
      </c>
      <c r="D33">
        <v>263.68131191593068</v>
      </c>
      <c r="E33">
        <v>253.75</v>
      </c>
      <c r="F33">
        <v>253.75</v>
      </c>
      <c r="G33" t="s">
        <v>45</v>
      </c>
    </row>
    <row r="34" spans="1:7" x14ac:dyDescent="0.3">
      <c r="A34">
        <v>258.03500000000003</v>
      </c>
      <c r="B34">
        <v>259.63363043440307</v>
      </c>
      <c r="C34">
        <v>265.15343090392292</v>
      </c>
      <c r="D34">
        <v>260.85713487128919</v>
      </c>
      <c r="E34">
        <v>258.815</v>
      </c>
      <c r="F34">
        <v>258.815</v>
      </c>
      <c r="G34" t="s">
        <v>46</v>
      </c>
    </row>
    <row r="35" spans="1:7" x14ac:dyDescent="0.3">
      <c r="A35">
        <v>252.75</v>
      </c>
      <c r="B35">
        <v>254.77062456569189</v>
      </c>
      <c r="C35">
        <v>263.47450473358589</v>
      </c>
      <c r="D35">
        <v>256.95150830023027</v>
      </c>
      <c r="E35">
        <v>252.565</v>
      </c>
      <c r="F35">
        <v>257.22500000000002</v>
      </c>
      <c r="G35" t="s">
        <v>47</v>
      </c>
    </row>
    <row r="36" spans="1:7" x14ac:dyDescent="0.3">
      <c r="A36">
        <v>251.66499999999999</v>
      </c>
      <c r="B36">
        <v>254.14636245997721</v>
      </c>
      <c r="C36">
        <v>263.54375418167831</v>
      </c>
      <c r="D36">
        <v>255.92145317797201</v>
      </c>
      <c r="E36">
        <v>252.71</v>
      </c>
      <c r="F36">
        <v>252.42</v>
      </c>
      <c r="G36" t="s">
        <v>48</v>
      </c>
    </row>
    <row r="37" spans="1:7" x14ac:dyDescent="0.3">
      <c r="A37">
        <v>254.75</v>
      </c>
      <c r="B37">
        <v>255.17560024234041</v>
      </c>
      <c r="C37">
        <v>260.34798126494252</v>
      </c>
      <c r="D37">
        <v>256.01230929217428</v>
      </c>
      <c r="E37">
        <v>258.815</v>
      </c>
      <c r="F37">
        <v>258.815</v>
      </c>
      <c r="G37" t="s">
        <v>49</v>
      </c>
    </row>
    <row r="38" spans="1:7" x14ac:dyDescent="0.3">
      <c r="A38">
        <v>249.255</v>
      </c>
      <c r="B38">
        <v>249.82682159095529</v>
      </c>
      <c r="C38">
        <v>256.58728233916969</v>
      </c>
      <c r="D38">
        <v>251.21993908109661</v>
      </c>
      <c r="E38">
        <v>246.52</v>
      </c>
      <c r="F38">
        <v>244.54</v>
      </c>
      <c r="G38" t="s">
        <v>50</v>
      </c>
    </row>
    <row r="39" spans="1:7" x14ac:dyDescent="0.3">
      <c r="A39">
        <v>250.125</v>
      </c>
      <c r="B39">
        <v>252.72282260023329</v>
      </c>
      <c r="C39">
        <v>263.07732870540559</v>
      </c>
      <c r="D39">
        <v>253.33193717968311</v>
      </c>
      <c r="E39">
        <v>254.03</v>
      </c>
      <c r="F39">
        <v>252.42</v>
      </c>
      <c r="G39" t="s">
        <v>51</v>
      </c>
    </row>
    <row r="40" spans="1:7" x14ac:dyDescent="0.3">
      <c r="A40">
        <v>249.41499999999999</v>
      </c>
      <c r="B40">
        <v>249.11955409309559</v>
      </c>
      <c r="C40">
        <v>258.33784384413451</v>
      </c>
      <c r="D40">
        <v>249.69280890326741</v>
      </c>
      <c r="E40">
        <v>246.52</v>
      </c>
      <c r="F40">
        <v>246.52</v>
      </c>
      <c r="G40" t="s">
        <v>52</v>
      </c>
    </row>
    <row r="41" spans="1:7" x14ac:dyDescent="0.3">
      <c r="A41">
        <v>246.31</v>
      </c>
      <c r="B41">
        <v>250.578878897301</v>
      </c>
      <c r="C41">
        <v>244.9333795133341</v>
      </c>
      <c r="D41">
        <v>250.49592434214071</v>
      </c>
      <c r="E41">
        <v>252.93</v>
      </c>
      <c r="F41">
        <v>247.24</v>
      </c>
      <c r="G41" t="s">
        <v>53</v>
      </c>
    </row>
    <row r="42" spans="1:7" x14ac:dyDescent="0.3">
      <c r="A42">
        <v>251.035</v>
      </c>
      <c r="B42">
        <v>246.42307821295421</v>
      </c>
      <c r="C42">
        <v>238.38842085664481</v>
      </c>
      <c r="D42">
        <v>246.9974040297912</v>
      </c>
      <c r="E42">
        <v>249.685</v>
      </c>
      <c r="F42">
        <v>245.16</v>
      </c>
      <c r="G42" t="s">
        <v>54</v>
      </c>
    </row>
    <row r="43" spans="1:7" x14ac:dyDescent="0.3">
      <c r="A43">
        <v>255.39</v>
      </c>
      <c r="B43">
        <v>252.2290055427118</v>
      </c>
      <c r="C43">
        <v>262.16772772340329</v>
      </c>
      <c r="D43">
        <v>251.6011360727521</v>
      </c>
      <c r="E43">
        <v>253.67500000000001</v>
      </c>
      <c r="F43">
        <v>252.42</v>
      </c>
      <c r="G43" t="s">
        <v>55</v>
      </c>
    </row>
    <row r="44" spans="1:7" x14ac:dyDescent="0.3">
      <c r="A44">
        <v>256.89999999999998</v>
      </c>
      <c r="B44">
        <v>256.09724589502252</v>
      </c>
      <c r="C44">
        <v>261.79026256964642</v>
      </c>
      <c r="D44">
        <v>254.90905741921469</v>
      </c>
      <c r="E44">
        <v>257.52499999999998</v>
      </c>
      <c r="F44">
        <v>257.52499999999998</v>
      </c>
      <c r="G44" t="s">
        <v>56</v>
      </c>
    </row>
    <row r="45" spans="1:7" x14ac:dyDescent="0.3">
      <c r="A45">
        <v>254.23</v>
      </c>
      <c r="B45">
        <v>255.76402173237099</v>
      </c>
      <c r="C45">
        <v>253.44133338268489</v>
      </c>
      <c r="D45">
        <v>254.30410466799231</v>
      </c>
      <c r="E45">
        <v>259.08</v>
      </c>
      <c r="F45">
        <v>258.86</v>
      </c>
      <c r="G45" t="s">
        <v>57</v>
      </c>
    </row>
    <row r="46" spans="1:7" x14ac:dyDescent="0.3">
      <c r="A46">
        <v>253.77</v>
      </c>
      <c r="B46">
        <v>253.89752353911339</v>
      </c>
      <c r="C46">
        <v>254.74926798422939</v>
      </c>
      <c r="D46">
        <v>252.80771651149021</v>
      </c>
      <c r="E46">
        <v>253.67500000000001</v>
      </c>
      <c r="F46">
        <v>252.42</v>
      </c>
      <c r="G46" t="s">
        <v>58</v>
      </c>
    </row>
    <row r="47" spans="1:7" x14ac:dyDescent="0.3">
      <c r="A47">
        <v>252.30500000000001</v>
      </c>
      <c r="B47">
        <v>255.72401178961431</v>
      </c>
      <c r="C47">
        <v>263.33256448354962</v>
      </c>
      <c r="D47">
        <v>254.94035994092201</v>
      </c>
      <c r="E47">
        <v>259.08</v>
      </c>
      <c r="F47">
        <v>258.86</v>
      </c>
      <c r="G47" t="s">
        <v>59</v>
      </c>
    </row>
    <row r="48" spans="1:7" x14ac:dyDescent="0.3">
      <c r="A48">
        <v>248.66</v>
      </c>
      <c r="B48">
        <v>251.18469777335</v>
      </c>
      <c r="C48">
        <v>262.11135202159949</v>
      </c>
      <c r="D48">
        <v>250.90377129678609</v>
      </c>
      <c r="E48">
        <v>253.67500000000001</v>
      </c>
      <c r="F48">
        <v>247.24</v>
      </c>
      <c r="G48" t="s">
        <v>60</v>
      </c>
    </row>
    <row r="49" spans="1:7" x14ac:dyDescent="0.3">
      <c r="A49">
        <v>253.95500000000001</v>
      </c>
      <c r="B49">
        <v>247.84600887500309</v>
      </c>
      <c r="C49">
        <v>262.87483029226632</v>
      </c>
      <c r="D49">
        <v>247.85541858889599</v>
      </c>
      <c r="E49">
        <v>245.16</v>
      </c>
      <c r="F49">
        <v>245.16</v>
      </c>
      <c r="G49" t="s">
        <v>61</v>
      </c>
    </row>
    <row r="50" spans="1:7" x14ac:dyDescent="0.3">
      <c r="A50">
        <v>260.51499999999999</v>
      </c>
      <c r="B50">
        <v>256.83801625392368</v>
      </c>
      <c r="C50">
        <v>271.50341321181611</v>
      </c>
      <c r="D50">
        <v>256.92904377253348</v>
      </c>
      <c r="E50">
        <v>257.82499999999999</v>
      </c>
      <c r="F50">
        <v>257.82499999999999</v>
      </c>
      <c r="G50" t="s">
        <v>62</v>
      </c>
    </row>
    <row r="51" spans="1:7" x14ac:dyDescent="0.3">
      <c r="A51">
        <v>265.10500000000002</v>
      </c>
      <c r="B51">
        <v>259.53355082431727</v>
      </c>
      <c r="C51">
        <v>272.32903383027531</v>
      </c>
      <c r="D51">
        <v>259.54081151231588</v>
      </c>
      <c r="E51">
        <v>262.58999999999997</v>
      </c>
      <c r="F51">
        <v>262.58999999999997</v>
      </c>
      <c r="G51" t="s">
        <v>63</v>
      </c>
    </row>
    <row r="52" spans="1:7" x14ac:dyDescent="0.3">
      <c r="A52">
        <v>276.005</v>
      </c>
      <c r="B52">
        <v>264.97751678218242</v>
      </c>
      <c r="C52">
        <v>273.18838656081363</v>
      </c>
      <c r="D52">
        <v>264.75492657069401</v>
      </c>
      <c r="E52">
        <v>256.98500000000001</v>
      </c>
      <c r="F52">
        <v>256.51</v>
      </c>
      <c r="G52" t="s">
        <v>64</v>
      </c>
    </row>
    <row r="53" spans="1:7" x14ac:dyDescent="0.3">
      <c r="A53">
        <v>279.38</v>
      </c>
      <c r="B53">
        <v>277.68267506606048</v>
      </c>
      <c r="C53">
        <v>275.56600046659469</v>
      </c>
      <c r="D53">
        <v>274.95615391838209</v>
      </c>
      <c r="E53">
        <v>277.565</v>
      </c>
      <c r="F53">
        <v>280.62</v>
      </c>
      <c r="G53" t="s">
        <v>65</v>
      </c>
    </row>
    <row r="54" spans="1:7" x14ac:dyDescent="0.3">
      <c r="A54">
        <v>272.08499999999998</v>
      </c>
      <c r="B54">
        <v>277.44399922234248</v>
      </c>
      <c r="C54">
        <v>275.60106008623302</v>
      </c>
      <c r="D54">
        <v>274.70382899539652</v>
      </c>
      <c r="E54">
        <v>277.61</v>
      </c>
      <c r="F54">
        <v>280.62</v>
      </c>
      <c r="G54" t="s">
        <v>66</v>
      </c>
    </row>
    <row r="55" spans="1:7" x14ac:dyDescent="0.3">
      <c r="A55">
        <v>273.55500000000001</v>
      </c>
      <c r="B55">
        <v>275.32274229751738</v>
      </c>
      <c r="C55">
        <v>275.88485903272039</v>
      </c>
      <c r="D55">
        <v>273.62039658999771</v>
      </c>
      <c r="E55">
        <v>277.61</v>
      </c>
      <c r="F55">
        <v>280.62</v>
      </c>
      <c r="G55" t="s">
        <v>67</v>
      </c>
    </row>
    <row r="56" spans="1:7" x14ac:dyDescent="0.3">
      <c r="A56">
        <v>272.20999999999998</v>
      </c>
      <c r="B56">
        <v>274.5530731041049</v>
      </c>
      <c r="C56">
        <v>275.92465930366768</v>
      </c>
      <c r="D56">
        <v>273.44154930621448</v>
      </c>
      <c r="E56">
        <v>277.61</v>
      </c>
      <c r="F56">
        <v>277.61</v>
      </c>
      <c r="G56" t="s">
        <v>68</v>
      </c>
    </row>
    <row r="57" spans="1:7" x14ac:dyDescent="0.3">
      <c r="A57">
        <v>277.64499999999998</v>
      </c>
      <c r="B57">
        <v>278.49163560931788</v>
      </c>
      <c r="C57">
        <v>277.45051185407152</v>
      </c>
      <c r="D57">
        <v>276.6415469580794</v>
      </c>
      <c r="E57">
        <v>277.61</v>
      </c>
      <c r="F57">
        <v>277.68</v>
      </c>
      <c r="G57" t="s">
        <v>69</v>
      </c>
    </row>
    <row r="58" spans="1:7" x14ac:dyDescent="0.3">
      <c r="A58">
        <v>280.51</v>
      </c>
      <c r="B58">
        <v>278.0844653599363</v>
      </c>
      <c r="C58">
        <v>277.51469609266462</v>
      </c>
      <c r="D58">
        <v>276.72730226267339</v>
      </c>
      <c r="E58">
        <v>277.68</v>
      </c>
      <c r="F58">
        <v>277.68</v>
      </c>
      <c r="G58" t="s">
        <v>70</v>
      </c>
    </row>
    <row r="59" spans="1:7" x14ac:dyDescent="0.3">
      <c r="A59">
        <v>276.35000000000002</v>
      </c>
      <c r="B59">
        <v>281.02219579323111</v>
      </c>
      <c r="C59">
        <v>278.9164801040032</v>
      </c>
      <c r="D59">
        <v>279.3187500719435</v>
      </c>
      <c r="E59">
        <v>280.01</v>
      </c>
      <c r="F59">
        <v>280.01</v>
      </c>
      <c r="G59" t="s">
        <v>71</v>
      </c>
    </row>
    <row r="60" spans="1:7" x14ac:dyDescent="0.3">
      <c r="A60">
        <v>275.31500000000011</v>
      </c>
      <c r="B60">
        <v>276.49120798784958</v>
      </c>
      <c r="C60">
        <v>277.64888111617881</v>
      </c>
      <c r="D60">
        <v>276.46604249654428</v>
      </c>
      <c r="E60">
        <v>277.87</v>
      </c>
      <c r="F60">
        <v>277.87</v>
      </c>
      <c r="G60" t="s">
        <v>72</v>
      </c>
    </row>
    <row r="61" spans="1:7" x14ac:dyDescent="0.3">
      <c r="A61">
        <v>280.52</v>
      </c>
      <c r="B61">
        <v>279.42125489417822</v>
      </c>
      <c r="C61">
        <v>278.68310106587239</v>
      </c>
      <c r="D61">
        <v>279.06530339962558</v>
      </c>
      <c r="E61">
        <v>277.11</v>
      </c>
      <c r="F61">
        <v>277.11</v>
      </c>
      <c r="G61" t="s">
        <v>73</v>
      </c>
    </row>
    <row r="62" spans="1:7" x14ac:dyDescent="0.3">
      <c r="A62">
        <v>284.10500000000002</v>
      </c>
      <c r="B62">
        <v>284.16344091669538</v>
      </c>
      <c r="C62">
        <v>282.01543360735963</v>
      </c>
      <c r="D62">
        <v>283.03532522016911</v>
      </c>
      <c r="E62">
        <v>280.38</v>
      </c>
      <c r="F62">
        <v>282.85500000000002</v>
      </c>
      <c r="G62" t="s">
        <v>74</v>
      </c>
    </row>
    <row r="63" spans="1:7" x14ac:dyDescent="0.3">
      <c r="A63">
        <v>288.23500000000001</v>
      </c>
      <c r="B63">
        <v>284.1372038587657</v>
      </c>
      <c r="C63">
        <v>283.94498813005242</v>
      </c>
      <c r="D63">
        <v>283.60712366598892</v>
      </c>
      <c r="E63">
        <v>282.85500000000002</v>
      </c>
      <c r="F63">
        <v>280.38</v>
      </c>
      <c r="G63" t="s">
        <v>75</v>
      </c>
    </row>
    <row r="64" spans="1:7" x14ac:dyDescent="0.3">
      <c r="A64">
        <v>287.17500000000001</v>
      </c>
      <c r="B64">
        <v>286.60248422891988</v>
      </c>
      <c r="C64">
        <v>284.45029942351522</v>
      </c>
      <c r="D64">
        <v>285.48846375808921</v>
      </c>
      <c r="E64">
        <v>282.85500000000002</v>
      </c>
      <c r="F64">
        <v>286.495</v>
      </c>
      <c r="G64" t="s">
        <v>76</v>
      </c>
    </row>
    <row r="65" spans="1:7" x14ac:dyDescent="0.3">
      <c r="A65">
        <v>287.35000000000002</v>
      </c>
      <c r="B65">
        <v>287.28094833610328</v>
      </c>
      <c r="C65">
        <v>284.80256068510948</v>
      </c>
      <c r="D65">
        <v>286.24287748765869</v>
      </c>
      <c r="E65">
        <v>286.185</v>
      </c>
      <c r="F65">
        <v>286.495</v>
      </c>
      <c r="G65" t="s">
        <v>77</v>
      </c>
    </row>
    <row r="66" spans="1:7" x14ac:dyDescent="0.3">
      <c r="A66">
        <v>284.37</v>
      </c>
      <c r="B66">
        <v>286.24043161528391</v>
      </c>
      <c r="C66">
        <v>283.1227020896124</v>
      </c>
      <c r="D66">
        <v>285.67358396864933</v>
      </c>
      <c r="E66">
        <v>286.185</v>
      </c>
      <c r="F66">
        <v>286.495</v>
      </c>
      <c r="G66" t="s">
        <v>78</v>
      </c>
    </row>
    <row r="67" spans="1:7" x14ac:dyDescent="0.3">
      <c r="A67">
        <v>291.48500000000001</v>
      </c>
      <c r="B67">
        <v>282.44952739443983</v>
      </c>
      <c r="C67">
        <v>278.11441027600682</v>
      </c>
      <c r="D67">
        <v>281.71295033410848</v>
      </c>
      <c r="E67">
        <v>286.185</v>
      </c>
      <c r="F67">
        <v>286.495</v>
      </c>
      <c r="G67" t="s">
        <v>79</v>
      </c>
    </row>
    <row r="68" spans="1:7" x14ac:dyDescent="0.3">
      <c r="A68">
        <v>289.33</v>
      </c>
      <c r="B68">
        <v>288.67462351276089</v>
      </c>
      <c r="C68">
        <v>281.19114518577061</v>
      </c>
      <c r="D68">
        <v>287.36590491236262</v>
      </c>
      <c r="E68">
        <v>291.33999999999997</v>
      </c>
      <c r="F68">
        <v>291.33999999999997</v>
      </c>
      <c r="G68" t="s">
        <v>80</v>
      </c>
    </row>
    <row r="69" spans="1:7" x14ac:dyDescent="0.3">
      <c r="A69">
        <v>282.91500000000002</v>
      </c>
      <c r="B69">
        <v>285.59603480787251</v>
      </c>
      <c r="C69">
        <v>280.45576811969198</v>
      </c>
      <c r="D69">
        <v>285.42757516364321</v>
      </c>
      <c r="E69">
        <v>286.185</v>
      </c>
      <c r="F69">
        <v>286.495</v>
      </c>
      <c r="G69" t="s">
        <v>81</v>
      </c>
    </row>
    <row r="70" spans="1:7" x14ac:dyDescent="0.3">
      <c r="A70">
        <v>283.58999999999997</v>
      </c>
      <c r="B70">
        <v>284.68946421560702</v>
      </c>
      <c r="C70">
        <v>280.33972798658112</v>
      </c>
      <c r="D70">
        <v>285.09871021558638</v>
      </c>
      <c r="E70">
        <v>286.495</v>
      </c>
      <c r="F70">
        <v>286.495</v>
      </c>
      <c r="G70" t="s">
        <v>82</v>
      </c>
    </row>
    <row r="71" spans="1:7" x14ac:dyDescent="0.3">
      <c r="A71">
        <v>289.77499999999998</v>
      </c>
      <c r="B71">
        <v>283.2254275400789</v>
      </c>
      <c r="C71">
        <v>279.14514879463508</v>
      </c>
      <c r="D71">
        <v>283.60817852841569</v>
      </c>
      <c r="E71">
        <v>286.495</v>
      </c>
      <c r="F71">
        <v>286.495</v>
      </c>
      <c r="G71" t="s">
        <v>83</v>
      </c>
    </row>
    <row r="72" spans="1:7" x14ac:dyDescent="0.3">
      <c r="A72">
        <v>286.17999999999989</v>
      </c>
      <c r="B72">
        <v>286.52424321202278</v>
      </c>
      <c r="C72">
        <v>280.07030151430882</v>
      </c>
      <c r="D72">
        <v>286.75354457246948</v>
      </c>
      <c r="E72">
        <v>286.495</v>
      </c>
      <c r="F72">
        <v>286.495</v>
      </c>
      <c r="G72" t="s">
        <v>84</v>
      </c>
    </row>
    <row r="73" spans="1:7" x14ac:dyDescent="0.3">
      <c r="A73">
        <v>288.75</v>
      </c>
      <c r="B73">
        <v>289.32466308452717</v>
      </c>
      <c r="C73">
        <v>280.46542149385488</v>
      </c>
      <c r="D73">
        <v>288.96078241555779</v>
      </c>
      <c r="E73">
        <v>286.245</v>
      </c>
      <c r="F73">
        <v>286.245</v>
      </c>
      <c r="G73" t="s">
        <v>85</v>
      </c>
    </row>
    <row r="74" spans="1:7" x14ac:dyDescent="0.3">
      <c r="A74">
        <v>288.32</v>
      </c>
      <c r="B74">
        <v>291.16329098220848</v>
      </c>
      <c r="C74">
        <v>282.92787086129272</v>
      </c>
      <c r="D74">
        <v>291.28282311027112</v>
      </c>
      <c r="E74">
        <v>286.10500000000002</v>
      </c>
      <c r="F74">
        <v>286.245</v>
      </c>
      <c r="G74" t="s">
        <v>86</v>
      </c>
    </row>
    <row r="75" spans="1:7" x14ac:dyDescent="0.3">
      <c r="A75">
        <v>288.39499999999998</v>
      </c>
      <c r="B75">
        <v>285.54403615526059</v>
      </c>
      <c r="C75">
        <v>279.84228909646032</v>
      </c>
      <c r="D75">
        <v>286.25258736380329</v>
      </c>
      <c r="E75">
        <v>286.38</v>
      </c>
      <c r="F75">
        <v>289.52999999999997</v>
      </c>
      <c r="G75" t="s">
        <v>87</v>
      </c>
    </row>
    <row r="76" spans="1:7" x14ac:dyDescent="0.3">
      <c r="A76">
        <v>286.14499999999998</v>
      </c>
      <c r="B76">
        <v>284.63964009329948</v>
      </c>
      <c r="C76">
        <v>279.34966679444778</v>
      </c>
      <c r="D76">
        <v>284.98975833468847</v>
      </c>
      <c r="E76">
        <v>289.52999999999997</v>
      </c>
      <c r="F76">
        <v>289.52999999999997</v>
      </c>
      <c r="G76" t="s">
        <v>88</v>
      </c>
    </row>
    <row r="77" spans="1:7" x14ac:dyDescent="0.3">
      <c r="A77">
        <v>285.77</v>
      </c>
      <c r="B77">
        <v>284.3298266897425</v>
      </c>
      <c r="C77">
        <v>279.22624156365902</v>
      </c>
      <c r="D77">
        <v>284.84980916147191</v>
      </c>
      <c r="E77">
        <v>289.52999999999997</v>
      </c>
      <c r="F77">
        <v>289.52999999999997</v>
      </c>
      <c r="G77" t="s">
        <v>89</v>
      </c>
    </row>
    <row r="78" spans="1:7" x14ac:dyDescent="0.3">
      <c r="A78">
        <v>281.81</v>
      </c>
      <c r="B78">
        <v>281.38944149850272</v>
      </c>
      <c r="C78">
        <v>278.78625405981933</v>
      </c>
      <c r="D78">
        <v>281.69431038549101</v>
      </c>
      <c r="E78">
        <v>281.35000000000002</v>
      </c>
      <c r="F78">
        <v>275.815</v>
      </c>
      <c r="G78" t="s">
        <v>90</v>
      </c>
    </row>
    <row r="79" spans="1:7" x14ac:dyDescent="0.3">
      <c r="A79">
        <v>275.84500000000003</v>
      </c>
      <c r="B79">
        <v>278.76534539487898</v>
      </c>
      <c r="C79">
        <v>278.15801901657221</v>
      </c>
      <c r="D79">
        <v>279.06578501879568</v>
      </c>
      <c r="E79">
        <v>281.35000000000002</v>
      </c>
      <c r="F79">
        <v>275.815</v>
      </c>
      <c r="G79" t="s">
        <v>91</v>
      </c>
    </row>
    <row r="80" spans="1:7" x14ac:dyDescent="0.3">
      <c r="A80">
        <v>295.375</v>
      </c>
      <c r="B80">
        <v>295.47237428197218</v>
      </c>
      <c r="C80">
        <v>279.74698943276871</v>
      </c>
      <c r="D80">
        <v>294.50034957284089</v>
      </c>
      <c r="E80">
        <v>294.45499999999998</v>
      </c>
      <c r="F80">
        <v>294.45499999999998</v>
      </c>
      <c r="G80" t="s">
        <v>92</v>
      </c>
    </row>
    <row r="81" spans="1:7" x14ac:dyDescent="0.3">
      <c r="A81">
        <v>304.62</v>
      </c>
      <c r="B81">
        <v>295.66456059262202</v>
      </c>
      <c r="C81">
        <v>280.43633476269872</v>
      </c>
      <c r="D81">
        <v>294.74701887495979</v>
      </c>
      <c r="E81">
        <v>293.08499999999998</v>
      </c>
      <c r="F81">
        <v>293.08499999999998</v>
      </c>
      <c r="G81" t="s">
        <v>93</v>
      </c>
    </row>
    <row r="82" spans="1:7" x14ac:dyDescent="0.3">
      <c r="A82">
        <v>307.31</v>
      </c>
      <c r="B82">
        <v>303.07460395789928</v>
      </c>
      <c r="C82">
        <v>282.10154212146409</v>
      </c>
      <c r="D82">
        <v>300.03767419308298</v>
      </c>
      <c r="E82">
        <v>303.55500000000001</v>
      </c>
      <c r="F82">
        <v>303.55500000000001</v>
      </c>
      <c r="G82" t="s">
        <v>94</v>
      </c>
    </row>
    <row r="83" spans="1:7" x14ac:dyDescent="0.3">
      <c r="A83">
        <v>305.52</v>
      </c>
      <c r="B83">
        <v>306.35062176406961</v>
      </c>
      <c r="C83">
        <v>285.67789805273588</v>
      </c>
      <c r="D83">
        <v>302.55321921863373</v>
      </c>
      <c r="E83">
        <v>304.3</v>
      </c>
      <c r="F83">
        <v>302.13499999999999</v>
      </c>
      <c r="G83" t="s">
        <v>95</v>
      </c>
    </row>
    <row r="84" spans="1:7" x14ac:dyDescent="0.3">
      <c r="A84">
        <v>305.48500000000001</v>
      </c>
      <c r="B84">
        <v>307.87927859662369</v>
      </c>
      <c r="C84">
        <v>288.42433816760013</v>
      </c>
      <c r="D84">
        <v>303.80717071249097</v>
      </c>
      <c r="E84">
        <v>304.3</v>
      </c>
      <c r="F84">
        <v>302.13499999999999</v>
      </c>
      <c r="G84" t="s">
        <v>96</v>
      </c>
    </row>
    <row r="85" spans="1:7" x14ac:dyDescent="0.3">
      <c r="A85">
        <v>304.33</v>
      </c>
      <c r="B85">
        <v>307.18232762222692</v>
      </c>
      <c r="C85">
        <v>289.58110821489299</v>
      </c>
      <c r="D85">
        <v>303.7278447280155</v>
      </c>
      <c r="E85">
        <v>304.3</v>
      </c>
      <c r="F85">
        <v>302.13499999999999</v>
      </c>
      <c r="G85" t="s">
        <v>97</v>
      </c>
    </row>
    <row r="86" spans="1:7" x14ac:dyDescent="0.3">
      <c r="A86">
        <v>305.55500000000001</v>
      </c>
      <c r="B86">
        <v>306.60030215109248</v>
      </c>
      <c r="C86">
        <v>288.876070488518</v>
      </c>
      <c r="D86">
        <v>303.57768810312632</v>
      </c>
      <c r="E86">
        <v>304.3</v>
      </c>
      <c r="F86">
        <v>302.13499999999999</v>
      </c>
      <c r="G86" t="s">
        <v>98</v>
      </c>
    </row>
    <row r="87" spans="1:7" x14ac:dyDescent="0.3">
      <c r="A87">
        <v>310.64999999999998</v>
      </c>
      <c r="B87">
        <v>305.55009556736911</v>
      </c>
      <c r="C87">
        <v>287.81871800301042</v>
      </c>
      <c r="D87">
        <v>303.02051256884812</v>
      </c>
      <c r="E87">
        <v>303.55500000000001</v>
      </c>
      <c r="F87">
        <v>303.55500000000001</v>
      </c>
      <c r="G87" t="s">
        <v>99</v>
      </c>
    </row>
    <row r="88" spans="1:7" x14ac:dyDescent="0.3">
      <c r="A88">
        <v>308.60000000000002</v>
      </c>
      <c r="B88">
        <v>309.74374223223981</v>
      </c>
      <c r="C88">
        <v>290.49071101426222</v>
      </c>
      <c r="D88">
        <v>306.47339236324422</v>
      </c>
      <c r="E88">
        <v>323.5</v>
      </c>
      <c r="F88">
        <v>323.5</v>
      </c>
      <c r="G88" t="s">
        <v>100</v>
      </c>
    </row>
    <row r="89" spans="1:7" x14ac:dyDescent="0.3">
      <c r="A89">
        <v>306.98500000000001</v>
      </c>
      <c r="B89">
        <v>307.95147575120791</v>
      </c>
      <c r="C89">
        <v>293.19849597477588</v>
      </c>
      <c r="D89">
        <v>306.56334905017411</v>
      </c>
      <c r="E89">
        <v>302.13499999999999</v>
      </c>
      <c r="F89">
        <v>302.13499999999999</v>
      </c>
      <c r="G89" t="s">
        <v>101</v>
      </c>
    </row>
    <row r="90" spans="1:7" x14ac:dyDescent="0.3">
      <c r="A90">
        <v>312.25</v>
      </c>
      <c r="B90">
        <v>308.9578810778512</v>
      </c>
      <c r="C90">
        <v>295.16125869398502</v>
      </c>
      <c r="D90">
        <v>307.99275871155578</v>
      </c>
      <c r="E90">
        <v>302.69499999999999</v>
      </c>
      <c r="F90">
        <v>308.33499999999998</v>
      </c>
      <c r="G90" t="s">
        <v>102</v>
      </c>
    </row>
    <row r="91" spans="1:7" x14ac:dyDescent="0.3">
      <c r="A91">
        <v>310.01</v>
      </c>
      <c r="B91">
        <v>310.08705179744999</v>
      </c>
      <c r="C91">
        <v>297.09126625019968</v>
      </c>
      <c r="D91">
        <v>309.4405692533374</v>
      </c>
      <c r="E91">
        <v>323.5</v>
      </c>
      <c r="F91">
        <v>323.5</v>
      </c>
      <c r="G91" t="s">
        <v>103</v>
      </c>
    </row>
    <row r="92" spans="1:7" x14ac:dyDescent="0.3">
      <c r="A92">
        <v>308.99</v>
      </c>
      <c r="B92">
        <v>310.50664848943802</v>
      </c>
      <c r="C92">
        <v>303.31821991582899</v>
      </c>
      <c r="D92">
        <v>310.74325406609211</v>
      </c>
      <c r="E92">
        <v>323.5</v>
      </c>
      <c r="F92">
        <v>323.5</v>
      </c>
      <c r="G92" t="s">
        <v>104</v>
      </c>
    </row>
    <row r="93" spans="1:7" x14ac:dyDescent="0.3">
      <c r="A93">
        <v>309.5</v>
      </c>
      <c r="B93">
        <v>309.64563672397031</v>
      </c>
      <c r="C93">
        <v>307.34615353717402</v>
      </c>
      <c r="D93">
        <v>310.88458428623198</v>
      </c>
      <c r="E93">
        <v>309.26499999999999</v>
      </c>
      <c r="F93">
        <v>309.26499999999999</v>
      </c>
      <c r="G93" t="s">
        <v>105</v>
      </c>
    </row>
    <row r="94" spans="1:7" x14ac:dyDescent="0.3">
      <c r="A94">
        <v>311.75</v>
      </c>
      <c r="B94">
        <v>310.2135104099716</v>
      </c>
      <c r="C94">
        <v>296.50751528941282</v>
      </c>
      <c r="D94">
        <v>310.95898282479811</v>
      </c>
      <c r="E94">
        <v>323.5</v>
      </c>
      <c r="F94">
        <v>323.5</v>
      </c>
      <c r="G94" t="s">
        <v>106</v>
      </c>
    </row>
    <row r="95" spans="1:7" x14ac:dyDescent="0.3">
      <c r="A95">
        <v>314.07499999999999</v>
      </c>
      <c r="B95">
        <v>312.46192709247589</v>
      </c>
      <c r="C95">
        <v>300.89463049915349</v>
      </c>
      <c r="D95">
        <v>313.27511143947692</v>
      </c>
      <c r="E95">
        <v>323.5</v>
      </c>
      <c r="F95">
        <v>323.5</v>
      </c>
      <c r="G95" t="s">
        <v>107</v>
      </c>
    </row>
    <row r="96" spans="1:7" x14ac:dyDescent="0.3">
      <c r="A96">
        <v>318.54000000000002</v>
      </c>
      <c r="B96">
        <v>314.61663333749738</v>
      </c>
      <c r="C96">
        <v>297.472269802499</v>
      </c>
      <c r="D96">
        <v>314.78443611277868</v>
      </c>
      <c r="E96">
        <v>323.5</v>
      </c>
      <c r="F96">
        <v>323.5</v>
      </c>
      <c r="G96" t="s">
        <v>108</v>
      </c>
    </row>
    <row r="97" spans="1:7" x14ac:dyDescent="0.3">
      <c r="A97">
        <v>318.32499999999999</v>
      </c>
      <c r="B97">
        <v>316.87139674562371</v>
      </c>
      <c r="C97">
        <v>298.77471099748902</v>
      </c>
      <c r="D97">
        <v>316.89072845702759</v>
      </c>
      <c r="E97">
        <v>323.5</v>
      </c>
      <c r="F97">
        <v>323.5</v>
      </c>
      <c r="G97" t="s">
        <v>109</v>
      </c>
    </row>
    <row r="98" spans="1:7" x14ac:dyDescent="0.3">
      <c r="A98">
        <v>321.22500000000002</v>
      </c>
      <c r="B98">
        <v>318.18223157264691</v>
      </c>
      <c r="C98">
        <v>300.31785161068552</v>
      </c>
      <c r="D98">
        <v>318.5145937097642</v>
      </c>
      <c r="E98">
        <v>323.5</v>
      </c>
      <c r="F98">
        <v>323.5</v>
      </c>
      <c r="G98" t="s">
        <v>110</v>
      </c>
    </row>
    <row r="99" spans="1:7" x14ac:dyDescent="0.3">
      <c r="A99">
        <v>315.33499999999998</v>
      </c>
      <c r="B99">
        <v>320.13788150752708</v>
      </c>
      <c r="C99">
        <v>308.11261444613382</v>
      </c>
      <c r="D99">
        <v>321.07169930660069</v>
      </c>
      <c r="E99">
        <v>323.5</v>
      </c>
      <c r="F99">
        <v>323.5</v>
      </c>
      <c r="G99" t="s">
        <v>111</v>
      </c>
    </row>
    <row r="100" spans="1:7" x14ac:dyDescent="0.3">
      <c r="A100">
        <v>313.86</v>
      </c>
      <c r="B100">
        <v>314.50488365979982</v>
      </c>
      <c r="C100">
        <v>294.76181802889272</v>
      </c>
      <c r="D100">
        <v>316.11172317278078</v>
      </c>
      <c r="E100">
        <v>323.5</v>
      </c>
      <c r="F100">
        <v>323.5</v>
      </c>
      <c r="G100" t="s">
        <v>112</v>
      </c>
    </row>
    <row r="101" spans="1:7" x14ac:dyDescent="0.3">
      <c r="A101">
        <v>325.995</v>
      </c>
      <c r="B101">
        <v>323.11094220998871</v>
      </c>
      <c r="C101">
        <v>307.10879023883422</v>
      </c>
      <c r="D101">
        <v>324.17756676826178</v>
      </c>
      <c r="E101">
        <v>324.16500000000002</v>
      </c>
      <c r="F101">
        <v>331.59500000000003</v>
      </c>
      <c r="G101" t="s">
        <v>113</v>
      </c>
    </row>
    <row r="102" spans="1:7" x14ac:dyDescent="0.3">
      <c r="A102">
        <v>332.82499999999999</v>
      </c>
      <c r="B102">
        <v>323.45648341163218</v>
      </c>
      <c r="C102">
        <v>305.72895073560107</v>
      </c>
      <c r="D102">
        <v>324.89195107543162</v>
      </c>
      <c r="E102">
        <v>324.16500000000002</v>
      </c>
      <c r="F102">
        <v>331.59500000000003</v>
      </c>
      <c r="G102" t="s">
        <v>114</v>
      </c>
    </row>
    <row r="103" spans="1:7" x14ac:dyDescent="0.3">
      <c r="A103">
        <v>331.26</v>
      </c>
      <c r="B103">
        <v>334.64257346755772</v>
      </c>
      <c r="C103">
        <v>333.77853292441381</v>
      </c>
      <c r="D103">
        <v>331.55177488765719</v>
      </c>
      <c r="E103">
        <v>337.005</v>
      </c>
      <c r="F103">
        <v>337.005</v>
      </c>
      <c r="G103" t="s">
        <v>115</v>
      </c>
    </row>
    <row r="104" spans="1:7" x14ac:dyDescent="0.3">
      <c r="A104">
        <v>328.755</v>
      </c>
      <c r="B104">
        <v>331.57275696594968</v>
      </c>
      <c r="C104">
        <v>323.62709865669382</v>
      </c>
      <c r="D104">
        <v>331.14062888152739</v>
      </c>
      <c r="E104">
        <v>336.51</v>
      </c>
      <c r="F104">
        <v>329.36500000000001</v>
      </c>
      <c r="G104" t="s">
        <v>116</v>
      </c>
    </row>
    <row r="105" spans="1:7" x14ac:dyDescent="0.3">
      <c r="A105">
        <v>332.65</v>
      </c>
      <c r="B105">
        <v>325.53109568076519</v>
      </c>
      <c r="C105">
        <v>311.9388739866659</v>
      </c>
      <c r="D105">
        <v>327.82254100087448</v>
      </c>
      <c r="E105">
        <v>324.16500000000002</v>
      </c>
      <c r="F105">
        <v>331.59500000000003</v>
      </c>
      <c r="G105" t="s">
        <v>117</v>
      </c>
    </row>
    <row r="106" spans="1:7" x14ac:dyDescent="0.3">
      <c r="A106">
        <v>335.41</v>
      </c>
      <c r="B106">
        <v>333.06430673204108</v>
      </c>
      <c r="C106">
        <v>323.03260932306239</v>
      </c>
      <c r="D106">
        <v>332.97809105082518</v>
      </c>
      <c r="E106">
        <v>336.79</v>
      </c>
      <c r="F106">
        <v>329.36500000000001</v>
      </c>
      <c r="G106" t="s">
        <v>118</v>
      </c>
    </row>
    <row r="107" spans="1:7" x14ac:dyDescent="0.3">
      <c r="A107">
        <v>335.98</v>
      </c>
      <c r="B107">
        <v>334.216023892838</v>
      </c>
      <c r="C107">
        <v>328.83788107674178</v>
      </c>
      <c r="D107">
        <v>334.15087571883362</v>
      </c>
      <c r="E107">
        <v>339.23</v>
      </c>
      <c r="F107">
        <v>335.88499999999999</v>
      </c>
      <c r="G107" t="s">
        <v>119</v>
      </c>
    </row>
    <row r="108" spans="1:7" x14ac:dyDescent="0.3">
      <c r="A108">
        <v>333.64499999999998</v>
      </c>
      <c r="B108">
        <v>334.52586787246292</v>
      </c>
      <c r="C108">
        <v>331.09499885569238</v>
      </c>
      <c r="D108">
        <v>334.68944299144192</v>
      </c>
      <c r="E108">
        <v>339.23</v>
      </c>
      <c r="F108">
        <v>335.88499999999999</v>
      </c>
      <c r="G108" t="s">
        <v>120</v>
      </c>
    </row>
    <row r="109" spans="1:7" x14ac:dyDescent="0.3">
      <c r="A109">
        <v>323.44</v>
      </c>
      <c r="B109">
        <v>331.00136298092838</v>
      </c>
      <c r="C109">
        <v>324.32579984261457</v>
      </c>
      <c r="D109">
        <v>333.20976931893949</v>
      </c>
      <c r="E109">
        <v>336.79</v>
      </c>
      <c r="F109">
        <v>336.79</v>
      </c>
      <c r="G109" t="s">
        <v>121</v>
      </c>
    </row>
    <row r="110" spans="1:7" x14ac:dyDescent="0.3">
      <c r="A110">
        <v>325.22000000000003</v>
      </c>
      <c r="B110">
        <v>323.63125750174652</v>
      </c>
      <c r="C110">
        <v>315.75146498022468</v>
      </c>
      <c r="D110">
        <v>328.3270496403191</v>
      </c>
      <c r="E110">
        <v>324.16500000000002</v>
      </c>
      <c r="F110">
        <v>331.59500000000003</v>
      </c>
      <c r="G110" t="s">
        <v>122</v>
      </c>
    </row>
    <row r="111" spans="1:7" x14ac:dyDescent="0.3">
      <c r="A111">
        <v>326.86</v>
      </c>
      <c r="B111">
        <v>324.11264896101909</v>
      </c>
      <c r="C111">
        <v>314.47505041039949</v>
      </c>
      <c r="D111">
        <v>329.19421352304602</v>
      </c>
      <c r="E111">
        <v>324.16500000000002</v>
      </c>
      <c r="F111">
        <v>331.59500000000003</v>
      </c>
      <c r="G111" t="s">
        <v>123</v>
      </c>
    </row>
    <row r="112" spans="1:7" x14ac:dyDescent="0.3">
      <c r="A112">
        <v>331.90499999999997</v>
      </c>
      <c r="B112">
        <v>327.48188436846789</v>
      </c>
      <c r="C112">
        <v>316.0915958654648</v>
      </c>
      <c r="D112">
        <v>332.18598928600062</v>
      </c>
      <c r="E112">
        <v>333.27499999999998</v>
      </c>
      <c r="F112">
        <v>333.3</v>
      </c>
      <c r="G112" t="s">
        <v>124</v>
      </c>
    </row>
    <row r="113" spans="1:7" x14ac:dyDescent="0.3">
      <c r="A113">
        <v>334.32</v>
      </c>
      <c r="B113">
        <v>333.11579254031858</v>
      </c>
      <c r="C113">
        <v>321.99595427543198</v>
      </c>
      <c r="D113">
        <v>336.08888243614041</v>
      </c>
      <c r="E113">
        <v>333.27499999999998</v>
      </c>
      <c r="F113">
        <v>333.3</v>
      </c>
      <c r="G113" t="s">
        <v>125</v>
      </c>
    </row>
    <row r="114" spans="1:7" x14ac:dyDescent="0.3">
      <c r="A114">
        <v>337.3</v>
      </c>
      <c r="B114">
        <v>333.61006189554621</v>
      </c>
      <c r="C114">
        <v>325.37124372199742</v>
      </c>
      <c r="D114">
        <v>337.49347913324789</v>
      </c>
      <c r="E114">
        <v>333.27499999999998</v>
      </c>
      <c r="F114">
        <v>333.3</v>
      </c>
      <c r="G114" t="s">
        <v>126</v>
      </c>
    </row>
    <row r="115" spans="1:7" x14ac:dyDescent="0.3">
      <c r="A115">
        <v>348.14499999999998</v>
      </c>
      <c r="B115">
        <v>336.50429237877142</v>
      </c>
      <c r="C115">
        <v>328.37277342735979</v>
      </c>
      <c r="D115">
        <v>338.3151405151466</v>
      </c>
      <c r="E115">
        <v>341.44500000000011</v>
      </c>
      <c r="F115">
        <v>339.23</v>
      </c>
      <c r="G115" t="s">
        <v>127</v>
      </c>
    </row>
    <row r="116" spans="1:7" x14ac:dyDescent="0.3">
      <c r="A116">
        <v>342.505</v>
      </c>
      <c r="B116">
        <v>349.89979122181808</v>
      </c>
      <c r="C116">
        <v>353.49762027747499</v>
      </c>
      <c r="D116">
        <v>341.97275880097641</v>
      </c>
      <c r="E116">
        <v>339.21499999999997</v>
      </c>
      <c r="F116">
        <v>341.14</v>
      </c>
      <c r="G116" t="s">
        <v>128</v>
      </c>
    </row>
    <row r="117" spans="1:7" x14ac:dyDescent="0.3">
      <c r="A117">
        <v>338.125</v>
      </c>
      <c r="B117">
        <v>338.58516257155782</v>
      </c>
      <c r="C117">
        <v>340.99735559649321</v>
      </c>
      <c r="D117">
        <v>335.63878239817871</v>
      </c>
      <c r="E117">
        <v>325.08</v>
      </c>
      <c r="F117">
        <v>336.26</v>
      </c>
      <c r="G117" t="s">
        <v>129</v>
      </c>
    </row>
    <row r="118" spans="1:7" x14ac:dyDescent="0.3">
      <c r="A118">
        <v>333.51499999999999</v>
      </c>
      <c r="B118">
        <v>335.68107697397397</v>
      </c>
      <c r="C118">
        <v>337.08147374663048</v>
      </c>
      <c r="D118">
        <v>335.18238224805179</v>
      </c>
      <c r="E118">
        <v>325.08</v>
      </c>
      <c r="F118">
        <v>336.26</v>
      </c>
      <c r="G118" t="s">
        <v>130</v>
      </c>
    </row>
    <row r="119" spans="1:7" x14ac:dyDescent="0.3">
      <c r="A119">
        <v>339.6</v>
      </c>
      <c r="B119">
        <v>333.65462647790628</v>
      </c>
      <c r="C119">
        <v>332.06981450482851</v>
      </c>
      <c r="D119">
        <v>335.97920456983348</v>
      </c>
      <c r="E119">
        <v>323.15499999999997</v>
      </c>
      <c r="F119">
        <v>326.44</v>
      </c>
      <c r="G119" t="s">
        <v>131</v>
      </c>
    </row>
    <row r="120" spans="1:7" x14ac:dyDescent="0.3">
      <c r="A120">
        <v>335.04500000000002</v>
      </c>
      <c r="B120">
        <v>333.73460030306768</v>
      </c>
      <c r="C120">
        <v>335.17700707124078</v>
      </c>
      <c r="D120">
        <v>334.74897808097182</v>
      </c>
      <c r="E120">
        <v>323.15499999999997</v>
      </c>
      <c r="F120">
        <v>326.44</v>
      </c>
      <c r="G120" t="s">
        <v>132</v>
      </c>
    </row>
    <row r="121" spans="1:7" x14ac:dyDescent="0.3">
      <c r="A121">
        <v>328.8</v>
      </c>
      <c r="B121">
        <v>332.88502665758841</v>
      </c>
      <c r="C121">
        <v>334.58018011841313</v>
      </c>
      <c r="D121">
        <v>334.34736422178281</v>
      </c>
      <c r="E121">
        <v>323.15499999999997</v>
      </c>
      <c r="F121">
        <v>326.44</v>
      </c>
      <c r="G121" t="s">
        <v>133</v>
      </c>
    </row>
    <row r="122" spans="1:7" x14ac:dyDescent="0.3">
      <c r="A122">
        <v>334.61</v>
      </c>
      <c r="B122">
        <v>331.10195497881739</v>
      </c>
      <c r="C122">
        <v>332.7548409650903</v>
      </c>
      <c r="D122">
        <v>333.43304508010539</v>
      </c>
      <c r="E122">
        <v>323.15499999999997</v>
      </c>
      <c r="F122">
        <v>326.44</v>
      </c>
      <c r="G122" t="s">
        <v>134</v>
      </c>
    </row>
    <row r="123" spans="1:7" x14ac:dyDescent="0.3">
      <c r="A123">
        <v>335.9</v>
      </c>
      <c r="B123">
        <v>333.31663888178548</v>
      </c>
      <c r="C123">
        <v>331.42595793659791</v>
      </c>
      <c r="D123">
        <v>336.46356998884193</v>
      </c>
      <c r="E123">
        <v>323.15499999999997</v>
      </c>
      <c r="F123">
        <v>326.44</v>
      </c>
      <c r="G123" t="s">
        <v>135</v>
      </c>
    </row>
    <row r="124" spans="1:7" x14ac:dyDescent="0.3">
      <c r="A124">
        <v>335.05</v>
      </c>
      <c r="B124">
        <v>333.96499275963407</v>
      </c>
      <c r="C124">
        <v>333.23985195873598</v>
      </c>
      <c r="D124">
        <v>338.59411890103598</v>
      </c>
      <c r="E124">
        <v>343.32499999999999</v>
      </c>
      <c r="F124">
        <v>339.52499999999998</v>
      </c>
      <c r="G124" t="s">
        <v>136</v>
      </c>
    </row>
    <row r="125" spans="1:7" x14ac:dyDescent="0.3">
      <c r="A125">
        <v>340.24</v>
      </c>
      <c r="B125">
        <v>336.84457762801111</v>
      </c>
      <c r="C125">
        <v>338.97196151526208</v>
      </c>
      <c r="D125">
        <v>339.78411072437927</v>
      </c>
      <c r="E125">
        <v>339.52499999999998</v>
      </c>
      <c r="F125">
        <v>339.52499999999998</v>
      </c>
      <c r="G125" t="s">
        <v>137</v>
      </c>
    </row>
    <row r="126" spans="1:7" x14ac:dyDescent="0.3">
      <c r="A126">
        <v>338.31</v>
      </c>
      <c r="B126">
        <v>338.10325393952081</v>
      </c>
      <c r="C126">
        <v>340.85900952700251</v>
      </c>
      <c r="D126">
        <v>339.79609776521568</v>
      </c>
      <c r="E126">
        <v>339.71499999999997</v>
      </c>
      <c r="F126">
        <v>339.52499999999998</v>
      </c>
      <c r="G126" t="s">
        <v>138</v>
      </c>
    </row>
    <row r="127" spans="1:7" x14ac:dyDescent="0.3">
      <c r="A127">
        <v>338.2</v>
      </c>
      <c r="B127">
        <v>334.27558208385159</v>
      </c>
      <c r="C127">
        <v>335.74042173373653</v>
      </c>
      <c r="D127">
        <v>335.92988800452252</v>
      </c>
      <c r="E127">
        <v>329.75</v>
      </c>
      <c r="F127">
        <v>325.08</v>
      </c>
      <c r="G127" t="s">
        <v>139</v>
      </c>
    </row>
    <row r="128" spans="1:7" x14ac:dyDescent="0.3">
      <c r="A128">
        <v>341.26499999999999</v>
      </c>
      <c r="B128">
        <v>336.56229538387169</v>
      </c>
      <c r="C128">
        <v>338.41047441898752</v>
      </c>
      <c r="D128">
        <v>337.36880584108371</v>
      </c>
      <c r="E128">
        <v>339.71499999999997</v>
      </c>
      <c r="F128">
        <v>339.52499999999998</v>
      </c>
      <c r="G128" t="s">
        <v>140</v>
      </c>
    </row>
    <row r="129" spans="1:7" x14ac:dyDescent="0.3">
      <c r="A129">
        <v>337.18</v>
      </c>
      <c r="B129">
        <v>339.14826576121771</v>
      </c>
      <c r="C129">
        <v>342.22259859593692</v>
      </c>
      <c r="D129">
        <v>337.87402063920803</v>
      </c>
      <c r="E129">
        <v>325.08</v>
      </c>
      <c r="F129">
        <v>325.08</v>
      </c>
      <c r="G129" t="s">
        <v>141</v>
      </c>
    </row>
    <row r="130" spans="1:7" x14ac:dyDescent="0.3">
      <c r="A130">
        <v>331.85500000000002</v>
      </c>
      <c r="B130">
        <v>333.32841912686962</v>
      </c>
      <c r="C130">
        <v>361.37124183369269</v>
      </c>
      <c r="D130">
        <v>325.13980946825768</v>
      </c>
      <c r="E130">
        <v>334.89499999999998</v>
      </c>
      <c r="F130">
        <v>342.49</v>
      </c>
      <c r="G130" t="s">
        <v>142</v>
      </c>
    </row>
    <row r="131" spans="1:7" x14ac:dyDescent="0.3">
      <c r="A131">
        <v>332.435</v>
      </c>
      <c r="B131">
        <v>330.24350508822067</v>
      </c>
      <c r="C131">
        <v>341.27028078442481</v>
      </c>
      <c r="D131">
        <v>328.28772248701551</v>
      </c>
      <c r="E131">
        <v>328.78500000000003</v>
      </c>
      <c r="F131">
        <v>329.73</v>
      </c>
      <c r="G131" t="s">
        <v>143</v>
      </c>
    </row>
    <row r="132" spans="1:7" x14ac:dyDescent="0.3">
      <c r="A132">
        <v>337.42500000000001</v>
      </c>
      <c r="B132">
        <v>335.75662929469109</v>
      </c>
      <c r="C132">
        <v>338.21600831546789</v>
      </c>
      <c r="D132">
        <v>335.81273510813702</v>
      </c>
      <c r="E132">
        <v>325.08</v>
      </c>
      <c r="F132">
        <v>325.08</v>
      </c>
      <c r="G132" t="s">
        <v>144</v>
      </c>
    </row>
    <row r="133" spans="1:7" x14ac:dyDescent="0.3">
      <c r="A133">
        <v>342.685</v>
      </c>
      <c r="B133">
        <v>338.8235310325594</v>
      </c>
      <c r="C133">
        <v>344.87463175859028</v>
      </c>
      <c r="D133">
        <v>338.3950078060069</v>
      </c>
      <c r="E133">
        <v>339.71499999999997</v>
      </c>
      <c r="F133">
        <v>338.05</v>
      </c>
      <c r="G133" t="s">
        <v>145</v>
      </c>
    </row>
    <row r="134" spans="1:7" x14ac:dyDescent="0.3">
      <c r="A134">
        <v>345.35500000000002</v>
      </c>
      <c r="B134">
        <v>346.63613515301671</v>
      </c>
      <c r="C134">
        <v>364.13209016872003</v>
      </c>
      <c r="D134">
        <v>340.69411497959049</v>
      </c>
      <c r="E134">
        <v>339.71499999999997</v>
      </c>
      <c r="F134">
        <v>338.05</v>
      </c>
      <c r="G134" t="s">
        <v>146</v>
      </c>
    </row>
    <row r="135" spans="1:7" x14ac:dyDescent="0.3">
      <c r="A135">
        <v>345.68</v>
      </c>
      <c r="B135">
        <v>345.07605688916988</v>
      </c>
      <c r="C135">
        <v>360.76856274287491</v>
      </c>
      <c r="D135">
        <v>339.6308841119282</v>
      </c>
      <c r="E135">
        <v>338.05</v>
      </c>
      <c r="F135">
        <v>338.05</v>
      </c>
      <c r="G135" t="s">
        <v>147</v>
      </c>
    </row>
    <row r="136" spans="1:7" x14ac:dyDescent="0.3">
      <c r="A136">
        <v>359.685</v>
      </c>
      <c r="B136">
        <v>345.37776399275037</v>
      </c>
      <c r="C136">
        <v>366.77831451951482</v>
      </c>
      <c r="D136">
        <v>338.94774820235301</v>
      </c>
      <c r="E136">
        <v>338.05</v>
      </c>
      <c r="F136">
        <v>338.05</v>
      </c>
      <c r="G136" t="s">
        <v>148</v>
      </c>
    </row>
    <row r="137" spans="1:7" x14ac:dyDescent="0.3">
      <c r="A137">
        <v>355.06</v>
      </c>
      <c r="B137">
        <v>360.16479840239907</v>
      </c>
      <c r="C137">
        <v>409.84644820466428</v>
      </c>
      <c r="D137">
        <v>337.24802372613982</v>
      </c>
      <c r="E137">
        <v>338.05</v>
      </c>
      <c r="F137">
        <v>338.05</v>
      </c>
      <c r="G137" t="s">
        <v>149</v>
      </c>
    </row>
    <row r="138" spans="1:7" x14ac:dyDescent="0.3">
      <c r="A138">
        <v>346.875</v>
      </c>
      <c r="B138">
        <v>352.87356991270337</v>
      </c>
      <c r="C138">
        <v>382.29250929938229</v>
      </c>
      <c r="D138">
        <v>336.55406626843433</v>
      </c>
      <c r="E138">
        <v>338.05</v>
      </c>
      <c r="F138">
        <v>338.05</v>
      </c>
      <c r="G138" t="s">
        <v>150</v>
      </c>
    </row>
    <row r="139" spans="1:7" x14ac:dyDescent="0.3">
      <c r="A139">
        <v>343.67</v>
      </c>
      <c r="B139">
        <v>348.62146764594979</v>
      </c>
      <c r="C139">
        <v>372.43161799192347</v>
      </c>
      <c r="D139">
        <v>334.82512563032662</v>
      </c>
      <c r="E139">
        <v>338.05</v>
      </c>
      <c r="F139">
        <v>338.05</v>
      </c>
      <c r="G139" t="s">
        <v>151</v>
      </c>
    </row>
    <row r="140" spans="1:7" x14ac:dyDescent="0.3">
      <c r="A140">
        <v>345.185</v>
      </c>
      <c r="B140">
        <v>345.28805912209901</v>
      </c>
      <c r="C140">
        <v>367.56608306269311</v>
      </c>
      <c r="D140">
        <v>333.3174256315466</v>
      </c>
      <c r="E140">
        <v>338.05</v>
      </c>
      <c r="F140">
        <v>338.05</v>
      </c>
      <c r="G140" t="s">
        <v>152</v>
      </c>
    </row>
    <row r="141" spans="1:7" x14ac:dyDescent="0.3">
      <c r="A141">
        <v>350.86</v>
      </c>
      <c r="B141">
        <v>346.57321915492508</v>
      </c>
      <c r="C141">
        <v>373.08952389859968</v>
      </c>
      <c r="D141">
        <v>333.6393908259522</v>
      </c>
      <c r="E141">
        <v>338.05</v>
      </c>
      <c r="F141">
        <v>338.05</v>
      </c>
      <c r="G141" t="s">
        <v>153</v>
      </c>
    </row>
    <row r="142" spans="1:7" x14ac:dyDescent="0.3">
      <c r="A142">
        <v>337.92500000000001</v>
      </c>
      <c r="B142">
        <v>341.01947829813111</v>
      </c>
      <c r="C142">
        <v>362.35115195184079</v>
      </c>
      <c r="D142">
        <v>331.52009296081189</v>
      </c>
      <c r="E142">
        <v>336.26</v>
      </c>
      <c r="F142">
        <v>325.08</v>
      </c>
      <c r="G142" t="s">
        <v>154</v>
      </c>
    </row>
    <row r="143" spans="1:7" x14ac:dyDescent="0.3">
      <c r="A143">
        <v>330.67500000000001</v>
      </c>
      <c r="B143">
        <v>339.63758570960522</v>
      </c>
      <c r="C143">
        <v>361.04162937114131</v>
      </c>
      <c r="D143">
        <v>330.60778328806907</v>
      </c>
      <c r="E143">
        <v>336.26</v>
      </c>
      <c r="F143">
        <v>325.08</v>
      </c>
      <c r="G143" t="s">
        <v>155</v>
      </c>
    </row>
    <row r="144" spans="1:7" x14ac:dyDescent="0.3">
      <c r="A144">
        <v>338.34</v>
      </c>
      <c r="B144">
        <v>333.27754021822221</v>
      </c>
      <c r="C144">
        <v>351.77047421046211</v>
      </c>
      <c r="D144">
        <v>328.68238525075577</v>
      </c>
      <c r="E144">
        <v>316.83</v>
      </c>
      <c r="F144">
        <v>316.83</v>
      </c>
      <c r="G144" t="s">
        <v>156</v>
      </c>
    </row>
    <row r="145" spans="1:7" x14ac:dyDescent="0.3">
      <c r="A145">
        <v>335.95499999999998</v>
      </c>
      <c r="B145">
        <v>336.33366896175153</v>
      </c>
      <c r="C145">
        <v>359.36703742031278</v>
      </c>
      <c r="D145">
        <v>330.71010478379219</v>
      </c>
      <c r="E145">
        <v>338.05</v>
      </c>
      <c r="F145">
        <v>338.05</v>
      </c>
      <c r="G145" t="s">
        <v>157</v>
      </c>
    </row>
    <row r="146" spans="1:7" x14ac:dyDescent="0.3">
      <c r="A146">
        <v>336.39499999999998</v>
      </c>
      <c r="B146">
        <v>334.36710439976503</v>
      </c>
      <c r="C146">
        <v>355.27890289542643</v>
      </c>
      <c r="D146">
        <v>328.66816349029159</v>
      </c>
      <c r="E146">
        <v>336.26</v>
      </c>
      <c r="F146">
        <v>325.08</v>
      </c>
      <c r="G146" t="s">
        <v>306</v>
      </c>
    </row>
    <row r="147" spans="1:7" x14ac:dyDescent="0.3">
      <c r="A147">
        <v>327.52999999999997</v>
      </c>
      <c r="B147">
        <v>332.61316667289071</v>
      </c>
      <c r="C147">
        <v>353.05030308990717</v>
      </c>
      <c r="D147">
        <v>326.73020473137763</v>
      </c>
      <c r="E147">
        <v>316.83</v>
      </c>
      <c r="F147">
        <v>316.83</v>
      </c>
      <c r="G147" t="s">
        <v>307</v>
      </c>
    </row>
    <row r="148" spans="1:7" x14ac:dyDescent="0.3">
      <c r="A148">
        <v>326.69499999999999</v>
      </c>
      <c r="B148">
        <v>325.42917960641711</v>
      </c>
      <c r="C148">
        <v>348.83451516718662</v>
      </c>
      <c r="D148">
        <v>318.89800788650882</v>
      </c>
      <c r="E148">
        <v>316.83</v>
      </c>
      <c r="F148">
        <v>316.83</v>
      </c>
      <c r="G148" t="s">
        <v>308</v>
      </c>
    </row>
    <row r="149" spans="1:7" x14ac:dyDescent="0.3">
      <c r="A149">
        <v>327.815</v>
      </c>
      <c r="B149">
        <v>331.06695823260918</v>
      </c>
      <c r="C149">
        <v>351.75260074967218</v>
      </c>
      <c r="D149">
        <v>323.62977644220211</v>
      </c>
      <c r="E149">
        <v>316.83</v>
      </c>
      <c r="F149">
        <v>316.83</v>
      </c>
      <c r="G149" t="s">
        <v>309</v>
      </c>
    </row>
    <row r="150" spans="1:7" x14ac:dyDescent="0.3">
      <c r="A150">
        <v>330.13</v>
      </c>
      <c r="B150">
        <v>328.34367070100461</v>
      </c>
      <c r="C150">
        <v>347.92260292952608</v>
      </c>
      <c r="D150">
        <v>321.48812377315261</v>
      </c>
      <c r="E150">
        <v>316.83</v>
      </c>
      <c r="F150">
        <v>316.83</v>
      </c>
      <c r="G150" t="s">
        <v>310</v>
      </c>
    </row>
    <row r="151" spans="1:7" x14ac:dyDescent="0.3">
      <c r="A151">
        <v>326.125</v>
      </c>
      <c r="B151">
        <v>325.88149914246958</v>
      </c>
      <c r="C151">
        <v>362.37478906396552</v>
      </c>
      <c r="D151">
        <v>311.1952503283851</v>
      </c>
      <c r="E151">
        <v>316.83</v>
      </c>
      <c r="F151">
        <v>316.83</v>
      </c>
      <c r="G151" t="s">
        <v>311</v>
      </c>
    </row>
    <row r="152" spans="1:7" x14ac:dyDescent="0.3">
      <c r="A152">
        <v>322.28500000000003</v>
      </c>
      <c r="B152">
        <v>325.40501117710591</v>
      </c>
      <c r="C152">
        <v>354.50410496814209</v>
      </c>
      <c r="D152">
        <v>312.2265435985272</v>
      </c>
      <c r="E152">
        <v>316.83</v>
      </c>
      <c r="F152">
        <v>316.83</v>
      </c>
      <c r="G152" t="s">
        <v>312</v>
      </c>
    </row>
    <row r="153" spans="1:7" x14ac:dyDescent="0.3">
      <c r="A153">
        <v>322.97000000000003</v>
      </c>
      <c r="B153">
        <v>324.99791835363561</v>
      </c>
      <c r="C153">
        <v>349.69643954642947</v>
      </c>
      <c r="D153">
        <v>312.80673434958879</v>
      </c>
      <c r="E153">
        <v>316.83</v>
      </c>
      <c r="F153">
        <v>316.83</v>
      </c>
      <c r="G153" t="s">
        <v>313</v>
      </c>
    </row>
    <row r="154" spans="1:7" x14ac:dyDescent="0.3">
      <c r="A154">
        <v>321.09500000000003</v>
      </c>
      <c r="B154">
        <v>319.46807829029461</v>
      </c>
      <c r="C154">
        <v>340.98071274716727</v>
      </c>
      <c r="D154">
        <v>309.77111376768983</v>
      </c>
      <c r="E154">
        <v>320.25</v>
      </c>
      <c r="F154">
        <v>323.625</v>
      </c>
      <c r="G154" t="s">
        <v>314</v>
      </c>
    </row>
    <row r="155" spans="1:7" x14ac:dyDescent="0.3">
      <c r="A155">
        <v>324.01</v>
      </c>
      <c r="B155">
        <v>320.32432617015132</v>
      </c>
      <c r="C155">
        <v>340.73526645873937</v>
      </c>
      <c r="D155">
        <v>309.4246817846128</v>
      </c>
      <c r="E155">
        <v>323.625</v>
      </c>
      <c r="F155">
        <v>323.625</v>
      </c>
      <c r="G155" t="s">
        <v>315</v>
      </c>
    </row>
    <row r="156" spans="1:7" x14ac:dyDescent="0.3">
      <c r="A156">
        <v>321.92</v>
      </c>
      <c r="B156">
        <v>321.83550260194983</v>
      </c>
      <c r="C156">
        <v>338.03038944896679</v>
      </c>
      <c r="D156">
        <v>312.36579839402123</v>
      </c>
      <c r="E156">
        <v>316.83</v>
      </c>
      <c r="F156">
        <v>316.83</v>
      </c>
      <c r="G156" t="s">
        <v>316</v>
      </c>
    </row>
    <row r="157" spans="1:7" x14ac:dyDescent="0.3">
      <c r="A157">
        <v>320.39</v>
      </c>
      <c r="B157">
        <v>319.78258168044113</v>
      </c>
      <c r="C157">
        <v>334.7633118609412</v>
      </c>
      <c r="D157">
        <v>311.05214308826169</v>
      </c>
      <c r="E157">
        <v>318.315</v>
      </c>
      <c r="F157">
        <v>323.625</v>
      </c>
      <c r="G157" t="s">
        <v>317</v>
      </c>
    </row>
    <row r="158" spans="1:7" x14ac:dyDescent="0.3">
      <c r="A158">
        <v>316.83</v>
      </c>
      <c r="B158">
        <v>319.78897051615269</v>
      </c>
      <c r="C158">
        <v>333.09851381240111</v>
      </c>
      <c r="D158">
        <v>312.8396635586426</v>
      </c>
      <c r="E158">
        <v>318.315</v>
      </c>
      <c r="F158">
        <v>320.25</v>
      </c>
      <c r="G158" t="s">
        <v>318</v>
      </c>
    </row>
    <row r="159" spans="1:7" x14ac:dyDescent="0.3">
      <c r="A159">
        <v>316.62</v>
      </c>
      <c r="B159">
        <v>313.47680225955509</v>
      </c>
      <c r="C159">
        <v>326.84474412444831</v>
      </c>
      <c r="D159">
        <v>305.39627006407591</v>
      </c>
      <c r="E159">
        <v>305.05500000000001</v>
      </c>
      <c r="F159">
        <v>320.25</v>
      </c>
      <c r="G159" t="s">
        <v>319</v>
      </c>
    </row>
    <row r="160" spans="1:7" x14ac:dyDescent="0.3">
      <c r="A160">
        <v>321.89499999999998</v>
      </c>
      <c r="B160">
        <v>316.80246432430152</v>
      </c>
      <c r="C160">
        <v>327.78732492128017</v>
      </c>
      <c r="D160">
        <v>309.17463181549198</v>
      </c>
      <c r="E160">
        <v>305.05500000000001</v>
      </c>
      <c r="F160">
        <v>320.25</v>
      </c>
      <c r="G160" t="s">
        <v>320</v>
      </c>
    </row>
    <row r="161" spans="1:7" x14ac:dyDescent="0.3">
      <c r="A161">
        <v>322.42500000000001</v>
      </c>
      <c r="B161">
        <v>324.30648161854759</v>
      </c>
      <c r="C161">
        <v>338.91434544135473</v>
      </c>
      <c r="D161">
        <v>317.48045019999893</v>
      </c>
      <c r="E161">
        <v>316.83</v>
      </c>
      <c r="F161">
        <v>316.83</v>
      </c>
      <c r="G161" t="s">
        <v>321</v>
      </c>
    </row>
    <row r="162" spans="1:7" x14ac:dyDescent="0.3">
      <c r="A162">
        <v>327.02999999999997</v>
      </c>
      <c r="B162">
        <v>323.30487217683668</v>
      </c>
      <c r="C162">
        <v>340.78563067703692</v>
      </c>
      <c r="D162">
        <v>319.17020661923101</v>
      </c>
      <c r="E162">
        <v>316.83</v>
      </c>
      <c r="F162">
        <v>316.83</v>
      </c>
      <c r="G162" t="s">
        <v>322</v>
      </c>
    </row>
    <row r="163" spans="1:7" x14ac:dyDescent="0.3">
      <c r="A163">
        <v>319.95</v>
      </c>
      <c r="B163">
        <v>331.89942042788351</v>
      </c>
      <c r="C163">
        <v>349.7430938109344</v>
      </c>
      <c r="D163">
        <v>325.17924612926572</v>
      </c>
      <c r="E163">
        <v>316.83</v>
      </c>
      <c r="F163">
        <v>316.83</v>
      </c>
      <c r="G163" t="s">
        <v>323</v>
      </c>
    </row>
    <row r="164" spans="1:7" x14ac:dyDescent="0.3">
      <c r="A164">
        <v>322.95999999999998</v>
      </c>
      <c r="B164">
        <v>321.55076088759103</v>
      </c>
      <c r="C164">
        <v>329.55566551387949</v>
      </c>
      <c r="D164">
        <v>317.91894282433122</v>
      </c>
      <c r="E164">
        <v>318.315</v>
      </c>
      <c r="F164">
        <v>305.05500000000001</v>
      </c>
      <c r="G164" t="s">
        <v>324</v>
      </c>
    </row>
    <row r="165" spans="1:7" x14ac:dyDescent="0.3">
      <c r="A165">
        <v>323.83</v>
      </c>
      <c r="B165">
        <v>325.40889326151148</v>
      </c>
      <c r="C165">
        <v>336.35161479290781</v>
      </c>
      <c r="D165">
        <v>321.86481880850619</v>
      </c>
      <c r="E165">
        <v>316.83</v>
      </c>
      <c r="F165">
        <v>316.83</v>
      </c>
      <c r="G165" t="s">
        <v>325</v>
      </c>
    </row>
    <row r="166" spans="1:7" x14ac:dyDescent="0.3">
      <c r="A166">
        <v>328.36</v>
      </c>
      <c r="B166">
        <v>322.14948597477962</v>
      </c>
      <c r="C166">
        <v>329.67164774182288</v>
      </c>
      <c r="D166">
        <v>319.54474681609901</v>
      </c>
      <c r="E166">
        <v>318.315</v>
      </c>
      <c r="F166">
        <v>305.05500000000001</v>
      </c>
      <c r="G166" t="s">
        <v>326</v>
      </c>
    </row>
    <row r="167" spans="1:7" x14ac:dyDescent="0.3">
      <c r="A167">
        <v>328.8</v>
      </c>
      <c r="B167">
        <v>328.3010980578336</v>
      </c>
      <c r="C167">
        <v>339.24390627970331</v>
      </c>
      <c r="D167">
        <v>324.92306781844962</v>
      </c>
      <c r="E167">
        <v>316.83</v>
      </c>
      <c r="F167">
        <v>316.83</v>
      </c>
      <c r="G167" t="s">
        <v>327</v>
      </c>
    </row>
    <row r="168" spans="1:7" x14ac:dyDescent="0.3">
      <c r="A168">
        <v>327.88499999999999</v>
      </c>
      <c r="B168">
        <v>329.09898666186803</v>
      </c>
      <c r="C168">
        <v>345.39310685865581</v>
      </c>
      <c r="D168">
        <v>327.15631564226061</v>
      </c>
      <c r="E168">
        <v>316.83</v>
      </c>
      <c r="F168">
        <v>316.83</v>
      </c>
      <c r="G168" t="s">
        <v>328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218EE-B546-4E84-BF01-0FE00E3C6ACB}">
  <sheetPr codeName="Hoja6"/>
  <dimension ref="A1:G171"/>
  <sheetViews>
    <sheetView zoomScale="62" workbookViewId="0">
      <selection activeCell="D7" sqref="D7"/>
    </sheetView>
  </sheetViews>
  <sheetFormatPr baseColWidth="10" defaultRowHeight="14.4" x14ac:dyDescent="0.3"/>
  <sheetData>
    <row r="1" spans="1:7" x14ac:dyDescent="0.3">
      <c r="A1" t="s">
        <v>224</v>
      </c>
      <c r="C1" t="s">
        <v>220</v>
      </c>
      <c r="D1" t="s">
        <v>223</v>
      </c>
      <c r="E1" t="s">
        <v>215</v>
      </c>
      <c r="F1" t="s">
        <v>222</v>
      </c>
      <c r="G1" t="s">
        <v>213</v>
      </c>
    </row>
    <row r="2" spans="1:7" x14ac:dyDescent="0.3">
      <c r="C2" t="s">
        <v>9</v>
      </c>
      <c r="D2" t="s">
        <v>9</v>
      </c>
      <c r="E2" t="s">
        <v>9</v>
      </c>
      <c r="F2" t="s">
        <v>9</v>
      </c>
      <c r="G2" t="s">
        <v>9</v>
      </c>
    </row>
    <row r="3" spans="1:7" x14ac:dyDescent="0.3">
      <c r="C3" t="s">
        <v>12</v>
      </c>
      <c r="D3" t="s">
        <v>12</v>
      </c>
      <c r="E3" t="s">
        <v>12</v>
      </c>
      <c r="F3" t="s">
        <v>12</v>
      </c>
      <c r="G3" t="s">
        <v>12</v>
      </c>
    </row>
    <row r="4" spans="1:7" x14ac:dyDescent="0.3">
      <c r="A4">
        <v>100000</v>
      </c>
      <c r="B4" t="s">
        <v>14</v>
      </c>
      <c r="C4">
        <v>100000</v>
      </c>
      <c r="D4">
        <v>100000</v>
      </c>
      <c r="E4">
        <v>100000</v>
      </c>
      <c r="F4">
        <v>100000</v>
      </c>
      <c r="G4">
        <v>100000</v>
      </c>
    </row>
    <row r="5" spans="1:7" x14ac:dyDescent="0.3">
      <c r="A5">
        <v>100000</v>
      </c>
      <c r="B5" t="s">
        <v>15</v>
      </c>
      <c r="C5">
        <v>101401.05998518885</v>
      </c>
      <c r="D5">
        <v>101401.05998518885</v>
      </c>
      <c r="E5">
        <v>101401.05998518885</v>
      </c>
      <c r="F5">
        <v>98586.940014811145</v>
      </c>
      <c r="G5">
        <v>98586.940014811145</v>
      </c>
    </row>
    <row r="6" spans="1:7" x14ac:dyDescent="0.3">
      <c r="A6">
        <v>100000</v>
      </c>
      <c r="B6" t="s">
        <v>16</v>
      </c>
      <c r="C6">
        <v>99862.319970570854</v>
      </c>
      <c r="D6">
        <v>99862.319970570854</v>
      </c>
      <c r="E6">
        <v>99862.319970570854</v>
      </c>
      <c r="F6">
        <v>97048.200000193145</v>
      </c>
      <c r="G6">
        <v>97048.200000193145</v>
      </c>
    </row>
    <row r="7" spans="1:7" x14ac:dyDescent="0.3">
      <c r="A7">
        <v>100000</v>
      </c>
      <c r="B7" t="s">
        <v>17</v>
      </c>
      <c r="C7">
        <v>97742.992801108441</v>
      </c>
      <c r="D7">
        <v>97742.992801108441</v>
      </c>
      <c r="E7">
        <v>97742.992801108441</v>
      </c>
      <c r="F7">
        <v>94928.872830730732</v>
      </c>
      <c r="G7">
        <v>94928.872830730732</v>
      </c>
    </row>
    <row r="8" spans="1:7" x14ac:dyDescent="0.3">
      <c r="A8">
        <v>100000</v>
      </c>
      <c r="B8" t="s">
        <v>18</v>
      </c>
      <c r="C8">
        <v>98476.240112936401</v>
      </c>
      <c r="D8">
        <v>98476.240112936401</v>
      </c>
      <c r="E8">
        <v>98476.240112936401</v>
      </c>
      <c r="F8">
        <v>95662.120142558691</v>
      </c>
      <c r="G8">
        <v>95662.120142558691</v>
      </c>
    </row>
    <row r="9" spans="1:7" x14ac:dyDescent="0.3">
      <c r="A9">
        <v>100000</v>
      </c>
      <c r="B9" t="s">
        <v>19</v>
      </c>
      <c r="C9">
        <v>98569.402739644196</v>
      </c>
      <c r="D9">
        <v>98569.402739644196</v>
      </c>
      <c r="E9">
        <v>98569.402739644196</v>
      </c>
      <c r="F9">
        <v>95755.282769266487</v>
      </c>
      <c r="G9">
        <v>95755.282769266487</v>
      </c>
    </row>
    <row r="10" spans="1:7" x14ac:dyDescent="0.3">
      <c r="A10">
        <v>100000</v>
      </c>
      <c r="B10" t="s">
        <v>20</v>
      </c>
      <c r="C10">
        <v>99017.658922575574</v>
      </c>
      <c r="D10">
        <v>99017.658922575574</v>
      </c>
      <c r="E10">
        <v>99017.658922575574</v>
      </c>
      <c r="F10">
        <v>96203.538952197865</v>
      </c>
      <c r="G10">
        <v>96203.538952197865</v>
      </c>
    </row>
    <row r="11" spans="1:7" x14ac:dyDescent="0.3">
      <c r="A11">
        <v>100000</v>
      </c>
      <c r="B11" t="s">
        <v>21</v>
      </c>
      <c r="C11">
        <v>100760.36358578801</v>
      </c>
      <c r="D11">
        <v>100760.36358578801</v>
      </c>
      <c r="E11">
        <v>100760.36358578801</v>
      </c>
      <c r="F11">
        <v>97946.243615410305</v>
      </c>
      <c r="G11">
        <v>97946.243615410305</v>
      </c>
    </row>
    <row r="12" spans="1:7" x14ac:dyDescent="0.3">
      <c r="A12">
        <v>100000</v>
      </c>
      <c r="B12" t="s">
        <v>22</v>
      </c>
      <c r="C12">
        <v>102008.71454936726</v>
      </c>
      <c r="D12">
        <v>102008.71454936726</v>
      </c>
      <c r="E12">
        <v>99500.012622208771</v>
      </c>
      <c r="F12">
        <v>99194.594578989549</v>
      </c>
      <c r="G12">
        <v>99194.594578989549</v>
      </c>
    </row>
    <row r="13" spans="1:7" x14ac:dyDescent="0.3">
      <c r="A13">
        <v>100000</v>
      </c>
      <c r="B13" t="s">
        <v>23</v>
      </c>
      <c r="C13">
        <v>102901.20230588973</v>
      </c>
      <c r="D13">
        <v>102901.20230588973</v>
      </c>
      <c r="E13">
        <v>98595.524865686297</v>
      </c>
      <c r="F13">
        <v>100087.08233551202</v>
      </c>
      <c r="G13">
        <v>100087.08233551202</v>
      </c>
    </row>
    <row r="14" spans="1:7" x14ac:dyDescent="0.3">
      <c r="A14">
        <v>100000</v>
      </c>
      <c r="B14" t="s">
        <v>24</v>
      </c>
      <c r="C14">
        <v>103914.08846374357</v>
      </c>
      <c r="D14">
        <v>103914.08846374357</v>
      </c>
      <c r="E14">
        <v>97570.638707832462</v>
      </c>
      <c r="F14">
        <v>101099.96849336586</v>
      </c>
      <c r="G14">
        <v>101099.96849336586</v>
      </c>
    </row>
    <row r="15" spans="1:7" x14ac:dyDescent="0.3">
      <c r="A15">
        <v>100000</v>
      </c>
      <c r="B15" t="s">
        <v>25</v>
      </c>
      <c r="C15">
        <v>101455.03973370303</v>
      </c>
      <c r="D15">
        <v>101455.03973370303</v>
      </c>
      <c r="E15">
        <v>100017.687437873</v>
      </c>
      <c r="F15">
        <v>98640.919763325321</v>
      </c>
      <c r="G15">
        <v>98640.919763325321</v>
      </c>
    </row>
    <row r="16" spans="1:7" x14ac:dyDescent="0.3">
      <c r="A16">
        <v>100000</v>
      </c>
      <c r="B16" t="s">
        <v>26</v>
      </c>
      <c r="C16">
        <v>100378.26630253543</v>
      </c>
      <c r="D16">
        <v>100378.26630253543</v>
      </c>
      <c r="E16">
        <v>98940.914006705396</v>
      </c>
      <c r="F16">
        <v>97564.146332157718</v>
      </c>
      <c r="G16">
        <v>97564.146332157718</v>
      </c>
    </row>
    <row r="17" spans="1:7" x14ac:dyDescent="0.3">
      <c r="A17">
        <v>100000</v>
      </c>
      <c r="B17" t="s">
        <v>27</v>
      </c>
      <c r="C17">
        <v>102577.08455400389</v>
      </c>
      <c r="D17">
        <v>102577.08455400389</v>
      </c>
      <c r="E17">
        <v>101139.73225817386</v>
      </c>
      <c r="F17">
        <v>99762.964583626177</v>
      </c>
      <c r="G17">
        <v>99762.964583626177</v>
      </c>
    </row>
    <row r="18" spans="1:7" x14ac:dyDescent="0.3">
      <c r="A18">
        <v>100000</v>
      </c>
      <c r="B18" t="s">
        <v>28</v>
      </c>
      <c r="C18">
        <v>101900.77928494792</v>
      </c>
      <c r="D18">
        <v>101900.77928494792</v>
      </c>
      <c r="E18">
        <v>100463.42698911788</v>
      </c>
      <c r="F18">
        <v>100427.26985268215</v>
      </c>
      <c r="G18">
        <v>100427.26985268215</v>
      </c>
    </row>
    <row r="19" spans="1:7" x14ac:dyDescent="0.3">
      <c r="A19">
        <v>100000</v>
      </c>
      <c r="B19" t="s">
        <v>29</v>
      </c>
      <c r="C19">
        <v>102269.27258727924</v>
      </c>
      <c r="D19">
        <v>102269.27258727924</v>
      </c>
      <c r="E19">
        <v>100831.92029144921</v>
      </c>
      <c r="F19">
        <v>100046.77655035083</v>
      </c>
      <c r="G19">
        <v>100046.77655035083</v>
      </c>
    </row>
    <row r="20" spans="1:7" x14ac:dyDescent="0.3">
      <c r="A20">
        <v>100000</v>
      </c>
      <c r="B20" t="s">
        <v>30</v>
      </c>
      <c r="C20">
        <v>105102.65215400145</v>
      </c>
      <c r="D20">
        <v>105102.65215400145</v>
      </c>
      <c r="E20">
        <v>103665.29985817142</v>
      </c>
      <c r="F20">
        <v>102880.15611707304</v>
      </c>
      <c r="G20">
        <v>102880.15611707304</v>
      </c>
    </row>
    <row r="21" spans="1:7" x14ac:dyDescent="0.3">
      <c r="A21">
        <v>100000</v>
      </c>
      <c r="B21" t="s">
        <v>31</v>
      </c>
      <c r="C21">
        <v>103407.81609817149</v>
      </c>
      <c r="D21">
        <v>103407.81609817149</v>
      </c>
      <c r="E21">
        <v>105348.13591400138</v>
      </c>
      <c r="F21">
        <v>104562.992172903</v>
      </c>
      <c r="G21">
        <v>104562.992172903</v>
      </c>
    </row>
    <row r="22" spans="1:7" x14ac:dyDescent="0.3">
      <c r="A22">
        <v>100000</v>
      </c>
      <c r="B22" t="s">
        <v>32</v>
      </c>
      <c r="C22">
        <v>103610.8571224725</v>
      </c>
      <c r="D22">
        <v>103610.8571224725</v>
      </c>
      <c r="E22">
        <v>105133.09488970037</v>
      </c>
      <c r="F22">
        <v>104347.95114860199</v>
      </c>
      <c r="G22">
        <v>104347.95114860199</v>
      </c>
    </row>
    <row r="23" spans="1:7" x14ac:dyDescent="0.3">
      <c r="A23">
        <v>100000</v>
      </c>
      <c r="B23" t="s">
        <v>33</v>
      </c>
      <c r="C23">
        <v>104198.42610951632</v>
      </c>
      <c r="D23">
        <v>104198.42610951632</v>
      </c>
      <c r="E23">
        <v>104533.52590265655</v>
      </c>
      <c r="F23">
        <v>103748.38216155817</v>
      </c>
      <c r="G23">
        <v>103748.38216155817</v>
      </c>
    </row>
    <row r="24" spans="1:7" x14ac:dyDescent="0.3">
      <c r="A24">
        <v>100000</v>
      </c>
      <c r="B24" t="s">
        <v>34</v>
      </c>
      <c r="C24">
        <v>102445.56676145819</v>
      </c>
      <c r="D24">
        <v>102445.56676145819</v>
      </c>
      <c r="E24">
        <v>106274.38525071468</v>
      </c>
      <c r="F24">
        <v>105489.2415096163</v>
      </c>
      <c r="G24">
        <v>105489.2415096163</v>
      </c>
    </row>
    <row r="25" spans="1:7" x14ac:dyDescent="0.3">
      <c r="A25">
        <v>100000</v>
      </c>
      <c r="B25" t="s">
        <v>35</v>
      </c>
      <c r="C25">
        <v>104396.19812807442</v>
      </c>
      <c r="D25">
        <v>104396.19812807442</v>
      </c>
      <c r="E25">
        <v>108225.01661733091</v>
      </c>
      <c r="F25">
        <v>107439.87287623253</v>
      </c>
      <c r="G25">
        <v>107439.87287623253</v>
      </c>
    </row>
    <row r="26" spans="1:7" x14ac:dyDescent="0.3">
      <c r="A26">
        <v>100000</v>
      </c>
      <c r="B26" t="s">
        <v>36</v>
      </c>
      <c r="C26">
        <v>102283.51345555586</v>
      </c>
      <c r="D26">
        <v>102283.51345555586</v>
      </c>
      <c r="E26">
        <v>106112.33194481235</v>
      </c>
      <c r="F26">
        <v>109540.55754875109</v>
      </c>
      <c r="G26">
        <v>105327.18820371397</v>
      </c>
    </row>
    <row r="27" spans="1:7" x14ac:dyDescent="0.3">
      <c r="A27">
        <v>100000</v>
      </c>
      <c r="B27" t="s">
        <v>37</v>
      </c>
      <c r="C27">
        <v>102743.65106245931</v>
      </c>
      <c r="D27">
        <v>102743.65106245931</v>
      </c>
      <c r="E27">
        <v>106572.4695517158</v>
      </c>
      <c r="F27">
        <v>109068.41994184765</v>
      </c>
      <c r="G27">
        <v>104855.05059681053</v>
      </c>
    </row>
    <row r="28" spans="1:7" x14ac:dyDescent="0.3">
      <c r="A28">
        <v>100000</v>
      </c>
      <c r="B28" t="s">
        <v>38</v>
      </c>
      <c r="C28">
        <v>102786.32991831147</v>
      </c>
      <c r="D28">
        <v>102786.32991831147</v>
      </c>
      <c r="E28">
        <v>106517.79069586363</v>
      </c>
      <c r="F28">
        <v>109111.09879769981</v>
      </c>
      <c r="G28">
        <v>104897.72945266269</v>
      </c>
    </row>
    <row r="29" spans="1:7" x14ac:dyDescent="0.3">
      <c r="A29">
        <v>100000</v>
      </c>
      <c r="B29" t="s">
        <v>39</v>
      </c>
      <c r="C29">
        <v>100046.91468489624</v>
      </c>
      <c r="D29">
        <v>100046.91468489624</v>
      </c>
      <c r="E29">
        <v>103778.3754624484</v>
      </c>
      <c r="F29">
        <v>111838.51403111505</v>
      </c>
      <c r="G29">
        <v>107625.14468607793</v>
      </c>
    </row>
    <row r="30" spans="1:7" x14ac:dyDescent="0.3">
      <c r="A30">
        <v>100000</v>
      </c>
      <c r="B30" t="s">
        <v>40</v>
      </c>
      <c r="C30">
        <v>97791.871627076791</v>
      </c>
      <c r="D30">
        <v>97791.871627076791</v>
      </c>
      <c r="E30">
        <v>106021.41852026785</v>
      </c>
      <c r="F30">
        <v>114081.5570889345</v>
      </c>
      <c r="G30">
        <v>109868.18774389738</v>
      </c>
    </row>
    <row r="31" spans="1:7" x14ac:dyDescent="0.3">
      <c r="A31">
        <v>100000</v>
      </c>
      <c r="B31" t="s">
        <v>41</v>
      </c>
      <c r="C31">
        <v>94041.531039958354</v>
      </c>
      <c r="D31">
        <v>94041.531039958354</v>
      </c>
      <c r="E31">
        <v>109759.75910738629</v>
      </c>
      <c r="F31">
        <v>117819.89767605293</v>
      </c>
      <c r="G31">
        <v>106117.84715677894</v>
      </c>
    </row>
    <row r="32" spans="1:7" x14ac:dyDescent="0.3">
      <c r="A32">
        <v>100000</v>
      </c>
      <c r="B32" t="s">
        <v>42</v>
      </c>
      <c r="C32">
        <v>93573.504998490549</v>
      </c>
      <c r="D32">
        <v>93573.504998490549</v>
      </c>
      <c r="E32">
        <v>109291.73306591848</v>
      </c>
      <c r="F32">
        <v>118275.92371752074</v>
      </c>
      <c r="G32">
        <v>106573.87319824674</v>
      </c>
    </row>
    <row r="33" spans="1:7" x14ac:dyDescent="0.3">
      <c r="A33">
        <v>100000</v>
      </c>
      <c r="B33" t="s">
        <v>43</v>
      </c>
      <c r="C33">
        <v>92135.809579542067</v>
      </c>
      <c r="D33">
        <v>92135.809579542067</v>
      </c>
      <c r="E33">
        <v>107854.03764697</v>
      </c>
      <c r="F33">
        <v>116838.22829857226</v>
      </c>
      <c r="G33">
        <v>105136.17777929826</v>
      </c>
    </row>
    <row r="34" spans="1:7" x14ac:dyDescent="0.3">
      <c r="A34">
        <v>100000</v>
      </c>
      <c r="B34" t="s">
        <v>44</v>
      </c>
      <c r="C34">
        <v>92034.375722546029</v>
      </c>
      <c r="D34">
        <v>92034.375722546029</v>
      </c>
      <c r="E34">
        <v>107943.47150396604</v>
      </c>
      <c r="F34">
        <v>116927.66215556829</v>
      </c>
      <c r="G34">
        <v>105225.6116362943</v>
      </c>
    </row>
    <row r="35" spans="1:7" x14ac:dyDescent="0.3">
      <c r="A35">
        <v>100000</v>
      </c>
      <c r="B35" t="s">
        <v>45</v>
      </c>
      <c r="C35">
        <v>92257.204417292276</v>
      </c>
      <c r="D35">
        <v>92257.204417292276</v>
      </c>
      <c r="E35">
        <v>107708.64280921979</v>
      </c>
      <c r="F35">
        <v>116692.83346082205</v>
      </c>
      <c r="G35">
        <v>104990.78294154805</v>
      </c>
    </row>
    <row r="36" spans="1:7" x14ac:dyDescent="0.3">
      <c r="A36">
        <v>100000</v>
      </c>
      <c r="B36" t="s">
        <v>46</v>
      </c>
      <c r="C36">
        <v>92946.174876313657</v>
      </c>
      <c r="D36">
        <v>91556.233958270896</v>
      </c>
      <c r="E36">
        <v>108397.61326824117</v>
      </c>
      <c r="F36">
        <v>117381.80391984343</v>
      </c>
      <c r="G36">
        <v>105679.75340056943</v>
      </c>
    </row>
    <row r="37" spans="1:7" x14ac:dyDescent="0.3">
      <c r="A37">
        <v>100000</v>
      </c>
      <c r="B37" t="s">
        <v>47</v>
      </c>
      <c r="C37">
        <v>93493.22532530583</v>
      </c>
      <c r="D37">
        <v>92103.284407263069</v>
      </c>
      <c r="E37">
        <v>107838.562819249</v>
      </c>
      <c r="F37">
        <v>116822.75347085125</v>
      </c>
      <c r="G37">
        <v>105120.70295157726</v>
      </c>
    </row>
    <row r="38" spans="1:7" x14ac:dyDescent="0.3">
      <c r="A38">
        <v>100000</v>
      </c>
      <c r="B38" t="s">
        <v>48</v>
      </c>
      <c r="C38">
        <v>94153.381076057456</v>
      </c>
      <c r="D38">
        <v>92763.440158014695</v>
      </c>
      <c r="E38">
        <v>107166.40706849737</v>
      </c>
      <c r="F38">
        <v>116150.59772009963</v>
      </c>
      <c r="G38">
        <v>104448.54720082563</v>
      </c>
    </row>
    <row r="39" spans="1:7" x14ac:dyDescent="0.3">
      <c r="A39">
        <v>100000</v>
      </c>
      <c r="B39" t="s">
        <v>49</v>
      </c>
      <c r="C39">
        <v>95072.523292068319</v>
      </c>
      <c r="D39">
        <v>93682.582374025558</v>
      </c>
      <c r="E39">
        <v>106235.26485248651</v>
      </c>
      <c r="F39">
        <v>115219.45550408876</v>
      </c>
      <c r="G39">
        <v>103517.40498481477</v>
      </c>
    </row>
    <row r="40" spans="1:7" x14ac:dyDescent="0.3">
      <c r="A40">
        <v>100000</v>
      </c>
      <c r="B40" t="s">
        <v>50</v>
      </c>
      <c r="C40">
        <v>94767.127953242816</v>
      </c>
      <c r="D40">
        <v>93377.187035200055</v>
      </c>
      <c r="E40">
        <v>106528.66019131201</v>
      </c>
      <c r="F40">
        <v>114914.06016526326</v>
      </c>
      <c r="G40">
        <v>103810.80032364027</v>
      </c>
    </row>
    <row r="41" spans="1:7" x14ac:dyDescent="0.3">
      <c r="A41">
        <v>100000</v>
      </c>
      <c r="B41" t="s">
        <v>51</v>
      </c>
      <c r="C41">
        <v>94961.324145511244</v>
      </c>
      <c r="D41">
        <v>93571.383227468483</v>
      </c>
      <c r="E41">
        <v>106322.46399904358</v>
      </c>
      <c r="F41">
        <v>114707.86397299483</v>
      </c>
      <c r="G41">
        <v>103604.60413137185</v>
      </c>
    </row>
    <row r="42" spans="1:7" x14ac:dyDescent="0.3">
      <c r="A42">
        <v>100000</v>
      </c>
      <c r="B42" t="s">
        <v>52</v>
      </c>
      <c r="C42">
        <v>93930.454232763674</v>
      </c>
      <c r="D42">
        <v>92540.513314720913</v>
      </c>
      <c r="E42">
        <v>107341.33391179115</v>
      </c>
      <c r="F42">
        <v>113676.99406024726</v>
      </c>
      <c r="G42">
        <v>102573.73421862427</v>
      </c>
    </row>
    <row r="43" spans="1:7" x14ac:dyDescent="0.3">
      <c r="A43">
        <v>100000</v>
      </c>
      <c r="B43" t="s">
        <v>53</v>
      </c>
      <c r="C43">
        <v>93707.477838991705</v>
      </c>
      <c r="D43">
        <v>92317.536920948944</v>
      </c>
      <c r="E43">
        <v>107118.35751801918</v>
      </c>
      <c r="F43">
        <v>113887.97045401923</v>
      </c>
      <c r="G43">
        <v>102784.71061239624</v>
      </c>
    </row>
    <row r="44" spans="1:7" x14ac:dyDescent="0.3">
      <c r="A44">
        <v>100000</v>
      </c>
      <c r="B44" t="s">
        <v>54</v>
      </c>
      <c r="C44">
        <v>91860.326920408828</v>
      </c>
      <c r="D44">
        <v>90470.386002366067</v>
      </c>
      <c r="E44">
        <v>108953.50843660206</v>
      </c>
      <c r="F44">
        <v>112040.81953543636</v>
      </c>
      <c r="G44">
        <v>104619.86153097912</v>
      </c>
    </row>
    <row r="45" spans="1:7" x14ac:dyDescent="0.3">
      <c r="A45">
        <v>100000</v>
      </c>
      <c r="B45" t="s">
        <v>55</v>
      </c>
      <c r="C45">
        <v>93706.479312180643</v>
      </c>
      <c r="D45">
        <v>92316.538394137882</v>
      </c>
      <c r="E45">
        <v>107095.35604483025</v>
      </c>
      <c r="F45">
        <v>113886.97192720817</v>
      </c>
      <c r="G45">
        <v>106466.01392275094</v>
      </c>
    </row>
    <row r="46" spans="1:7" x14ac:dyDescent="0.3">
      <c r="A46">
        <v>100000</v>
      </c>
      <c r="B46" t="s">
        <v>56</v>
      </c>
      <c r="C46">
        <v>94939.255995430402</v>
      </c>
      <c r="D46">
        <v>93549.31507738764</v>
      </c>
      <c r="E46">
        <v>105850.57936158049</v>
      </c>
      <c r="F46">
        <v>115119.74861045793</v>
      </c>
      <c r="G46">
        <v>107698.79060600069</v>
      </c>
    </row>
    <row r="47" spans="1:7" x14ac:dyDescent="0.3">
      <c r="A47">
        <v>100000</v>
      </c>
      <c r="B47" t="s">
        <v>57</v>
      </c>
      <c r="C47">
        <v>95116.541882417092</v>
      </c>
      <c r="D47">
        <v>93726.600964374331</v>
      </c>
      <c r="E47">
        <v>105661.2934745938</v>
      </c>
      <c r="F47">
        <v>115297.03449744462</v>
      </c>
      <c r="G47">
        <v>107509.504719014</v>
      </c>
    </row>
    <row r="48" spans="1:7" x14ac:dyDescent="0.3">
      <c r="A48">
        <v>100000</v>
      </c>
      <c r="B48" t="s">
        <v>58</v>
      </c>
      <c r="C48">
        <v>94347.421481144571</v>
      </c>
      <c r="D48">
        <v>92957.48056310181</v>
      </c>
      <c r="E48">
        <v>106418.41387586632</v>
      </c>
      <c r="F48">
        <v>114527.9140961721</v>
      </c>
      <c r="G48">
        <v>108266.62512028652</v>
      </c>
    </row>
    <row r="49" spans="1:7" x14ac:dyDescent="0.3">
      <c r="A49">
        <v>100000</v>
      </c>
      <c r="B49" t="s">
        <v>59</v>
      </c>
      <c r="C49">
        <v>94467.361108835539</v>
      </c>
      <c r="D49">
        <v>93077.420190792778</v>
      </c>
      <c r="E49">
        <v>106538.35350355729</v>
      </c>
      <c r="F49">
        <v>114395.97446848113</v>
      </c>
      <c r="G49">
        <v>108386.56474797749</v>
      </c>
    </row>
    <row r="50" spans="1:7" x14ac:dyDescent="0.3">
      <c r="A50">
        <v>100000</v>
      </c>
      <c r="B50" t="s">
        <v>60</v>
      </c>
      <c r="C50">
        <v>93044.95818616137</v>
      </c>
      <c r="D50">
        <v>91655.017268118609</v>
      </c>
      <c r="E50">
        <v>107948.75642623146</v>
      </c>
      <c r="F50">
        <v>112973.57154580696</v>
      </c>
      <c r="G50">
        <v>109796.96767065166</v>
      </c>
    </row>
    <row r="51" spans="1:7" x14ac:dyDescent="0.3">
      <c r="A51">
        <v>100000</v>
      </c>
      <c r="B51" t="s">
        <v>61</v>
      </c>
      <c r="C51">
        <v>92083.011400532429</v>
      </c>
      <c r="D51">
        <v>90693.070482489667</v>
      </c>
      <c r="E51">
        <v>108898.7032118604</v>
      </c>
      <c r="F51">
        <v>112011.62476017802</v>
      </c>
      <c r="G51">
        <v>108835.02088502272</v>
      </c>
    </row>
    <row r="52" spans="1:7" x14ac:dyDescent="0.3">
      <c r="A52">
        <v>100000</v>
      </c>
      <c r="B52" t="s">
        <v>62</v>
      </c>
      <c r="C52">
        <v>89454.418306559543</v>
      </c>
      <c r="D52">
        <v>88064.477388516782</v>
      </c>
      <c r="E52">
        <v>106270.11011788751</v>
      </c>
      <c r="F52">
        <v>114628.21785415091</v>
      </c>
      <c r="G52">
        <v>111451.61397899561</v>
      </c>
    </row>
    <row r="53" spans="1:7" x14ac:dyDescent="0.3">
      <c r="A53">
        <v>100000</v>
      </c>
      <c r="B53" t="s">
        <v>63</v>
      </c>
      <c r="C53">
        <v>90835.847767544168</v>
      </c>
      <c r="D53">
        <v>89445.906849501407</v>
      </c>
      <c r="E53">
        <v>104876.68065690288</v>
      </c>
      <c r="F53">
        <v>116009.64731513553</v>
      </c>
      <c r="G53">
        <v>112833.04343998023</v>
      </c>
    </row>
    <row r="54" spans="1:7" x14ac:dyDescent="0.3">
      <c r="A54">
        <v>100000</v>
      </c>
      <c r="B54" t="s">
        <v>64</v>
      </c>
      <c r="C54">
        <v>92895.374833071241</v>
      </c>
      <c r="D54">
        <v>91505.43391502848</v>
      </c>
      <c r="E54">
        <v>102805.15359137581</v>
      </c>
      <c r="F54">
        <v>118069.1743806626</v>
      </c>
      <c r="G54">
        <v>110761.51637445316</v>
      </c>
    </row>
    <row r="55" spans="1:7" x14ac:dyDescent="0.3">
      <c r="A55">
        <v>100000</v>
      </c>
      <c r="B55" t="s">
        <v>65</v>
      </c>
      <c r="C55">
        <v>88728.683460137443</v>
      </c>
      <c r="D55">
        <v>87338.742542094682</v>
      </c>
      <c r="E55">
        <v>98638.462218442015</v>
      </c>
      <c r="F55">
        <v>113902.48300772881</v>
      </c>
      <c r="G55">
        <v>114916.20774738696</v>
      </c>
    </row>
    <row r="56" spans="1:7" x14ac:dyDescent="0.3">
      <c r="A56">
        <v>100000</v>
      </c>
      <c r="B56" t="s">
        <v>66</v>
      </c>
      <c r="C56">
        <v>89141.424361957979</v>
      </c>
      <c r="D56">
        <v>86914.001640274146</v>
      </c>
      <c r="E56">
        <v>98213.721316621479</v>
      </c>
      <c r="F56">
        <v>113477.74210590827</v>
      </c>
      <c r="G56">
        <v>114491.46684556642</v>
      </c>
    </row>
    <row r="57" spans="1:7" x14ac:dyDescent="0.3">
      <c r="A57">
        <v>100000</v>
      </c>
      <c r="B57" t="s">
        <v>67</v>
      </c>
      <c r="C57">
        <v>87302.58110974358</v>
      </c>
      <c r="D57">
        <v>85075.158388059746</v>
      </c>
      <c r="E57">
        <v>100040.56456883588</v>
      </c>
      <c r="F57">
        <v>115304.58535812267</v>
      </c>
      <c r="G57">
        <v>112652.62359335202</v>
      </c>
    </row>
    <row r="58" spans="1:7" x14ac:dyDescent="0.3">
      <c r="A58">
        <v>100000</v>
      </c>
      <c r="B58" t="s">
        <v>68</v>
      </c>
      <c r="C58">
        <v>86859.828366390415</v>
      </c>
      <c r="D58">
        <v>84632.405644706581</v>
      </c>
      <c r="E58">
        <v>100471.31731218904</v>
      </c>
      <c r="F58">
        <v>115735.33810147583</v>
      </c>
      <c r="G58">
        <v>112209.87084999886</v>
      </c>
    </row>
    <row r="59" spans="1:7" x14ac:dyDescent="0.3">
      <c r="A59">
        <v>100000</v>
      </c>
      <c r="B59" t="s">
        <v>69</v>
      </c>
      <c r="C59">
        <v>86362.15393163322</v>
      </c>
      <c r="D59">
        <v>84134.731209949387</v>
      </c>
      <c r="E59">
        <v>100956.99174694624</v>
      </c>
      <c r="F59">
        <v>116221.01253623303</v>
      </c>
      <c r="G59">
        <v>111712.19641524166</v>
      </c>
    </row>
    <row r="60" spans="1:7" x14ac:dyDescent="0.3">
      <c r="A60">
        <v>100000</v>
      </c>
      <c r="B60" t="s">
        <v>70</v>
      </c>
      <c r="C60">
        <v>86413.748287386363</v>
      </c>
      <c r="D60">
        <v>84186.325565702529</v>
      </c>
      <c r="E60">
        <v>101008.58610269938</v>
      </c>
      <c r="F60">
        <v>116272.60689198617</v>
      </c>
      <c r="G60">
        <v>111648.60205948852</v>
      </c>
    </row>
    <row r="61" spans="1:7" x14ac:dyDescent="0.3">
      <c r="A61">
        <v>100000</v>
      </c>
      <c r="B61" t="s">
        <v>71</v>
      </c>
      <c r="C61">
        <v>87528.873017018661</v>
      </c>
      <c r="D61">
        <v>85301.450295334827</v>
      </c>
      <c r="E61">
        <v>99881.461373067083</v>
      </c>
      <c r="F61">
        <v>115145.48216235387</v>
      </c>
      <c r="G61">
        <v>112763.72678912082</v>
      </c>
    </row>
    <row r="62" spans="1:7" x14ac:dyDescent="0.3">
      <c r="A62">
        <v>100000</v>
      </c>
      <c r="B62" t="s">
        <v>72</v>
      </c>
      <c r="C62">
        <v>89023.443305014094</v>
      </c>
      <c r="D62">
        <v>86796.020583330261</v>
      </c>
      <c r="E62">
        <v>101376.03166106252</v>
      </c>
      <c r="F62">
        <v>116640.05245034931</v>
      </c>
      <c r="G62">
        <v>111257.15650112538</v>
      </c>
    </row>
    <row r="63" spans="1:7" x14ac:dyDescent="0.3">
      <c r="A63">
        <v>100000</v>
      </c>
      <c r="B63" t="s">
        <v>73</v>
      </c>
      <c r="C63">
        <v>88841.591238299123</v>
      </c>
      <c r="D63">
        <v>86614.168516615289</v>
      </c>
      <c r="E63">
        <v>101545.88372777749</v>
      </c>
      <c r="F63">
        <v>116809.90451706428</v>
      </c>
      <c r="G63">
        <v>111075.30443441041</v>
      </c>
    </row>
    <row r="64" spans="1:7" x14ac:dyDescent="0.3">
      <c r="A64">
        <v>100000</v>
      </c>
      <c r="B64" t="s">
        <v>74</v>
      </c>
      <c r="C64">
        <v>88366.410335036344</v>
      </c>
      <c r="D64">
        <v>87077.349419878068</v>
      </c>
      <c r="E64">
        <v>101070.70282451471</v>
      </c>
      <c r="F64">
        <v>116334.7236138015</v>
      </c>
      <c r="G64">
        <v>111538.48533767319</v>
      </c>
    </row>
    <row r="65" spans="1:7" x14ac:dyDescent="0.3">
      <c r="A65">
        <v>100000</v>
      </c>
      <c r="B65" t="s">
        <v>75</v>
      </c>
      <c r="C65">
        <v>88346.329050823217</v>
      </c>
      <c r="D65">
        <v>87057.268135664941</v>
      </c>
      <c r="E65">
        <v>101050.62154030158</v>
      </c>
      <c r="F65">
        <v>116314.64232958837</v>
      </c>
      <c r="G65">
        <v>111546.56662188632</v>
      </c>
    </row>
    <row r="66" spans="1:7" x14ac:dyDescent="0.3">
      <c r="A66">
        <v>100000</v>
      </c>
      <c r="B66" t="s">
        <v>76</v>
      </c>
      <c r="C66">
        <v>86729.27375672631</v>
      </c>
      <c r="D66">
        <v>85440.212841568034</v>
      </c>
      <c r="E66">
        <v>99433.566246204675</v>
      </c>
      <c r="F66">
        <v>114697.58703549147</v>
      </c>
      <c r="G66">
        <v>113151.62191598323</v>
      </c>
    </row>
    <row r="67" spans="1:7" x14ac:dyDescent="0.3">
      <c r="A67">
        <v>100000</v>
      </c>
      <c r="B67" t="s">
        <v>77</v>
      </c>
      <c r="C67">
        <v>86997.375506089069</v>
      </c>
      <c r="D67">
        <v>85708.314590930793</v>
      </c>
      <c r="E67">
        <v>99153.464496841916</v>
      </c>
      <c r="F67">
        <v>114417.48528612871</v>
      </c>
      <c r="G67">
        <v>113419.72366534598</v>
      </c>
    </row>
    <row r="68" spans="1:7" x14ac:dyDescent="0.3">
      <c r="A68">
        <v>100000</v>
      </c>
      <c r="B68" t="s">
        <v>78</v>
      </c>
      <c r="C68">
        <v>87125.538208857717</v>
      </c>
      <c r="D68">
        <v>85836.477293699441</v>
      </c>
      <c r="E68">
        <v>99013.301794073268</v>
      </c>
      <c r="F68">
        <v>114277.32258336006</v>
      </c>
      <c r="G68">
        <v>113547.88636811463</v>
      </c>
    </row>
    <row r="69" spans="1:7" x14ac:dyDescent="0.3">
      <c r="A69">
        <v>100000</v>
      </c>
      <c r="B69" t="s">
        <v>79</v>
      </c>
      <c r="C69">
        <v>86589.604844043191</v>
      </c>
      <c r="D69">
        <v>85300.543928884916</v>
      </c>
      <c r="E69">
        <v>99537.235158887794</v>
      </c>
      <c r="F69">
        <v>114801.25594817458</v>
      </c>
      <c r="G69">
        <v>113011.95300330011</v>
      </c>
    </row>
    <row r="70" spans="1:7" x14ac:dyDescent="0.3">
      <c r="A70">
        <v>100000</v>
      </c>
      <c r="B70" t="s">
        <v>80</v>
      </c>
      <c r="C70">
        <v>89736.750026738067</v>
      </c>
      <c r="D70">
        <v>88447.689111579792</v>
      </c>
      <c r="E70">
        <v>96378.089976192918</v>
      </c>
      <c r="F70">
        <v>111642.11076547971</v>
      </c>
      <c r="G70">
        <v>116159.09818599498</v>
      </c>
    </row>
    <row r="71" spans="1:7" x14ac:dyDescent="0.3">
      <c r="A71">
        <v>100000</v>
      </c>
      <c r="B71" t="s">
        <v>81</v>
      </c>
      <c r="C71">
        <v>89808.576421992373</v>
      </c>
      <c r="D71">
        <v>88519.515506834097</v>
      </c>
      <c r="E71">
        <v>96294.263580938612</v>
      </c>
      <c r="F71">
        <v>111558.2843702254</v>
      </c>
      <c r="G71">
        <v>116075.27179074068</v>
      </c>
    </row>
    <row r="72" spans="1:7" x14ac:dyDescent="0.3">
      <c r="A72">
        <v>100000</v>
      </c>
      <c r="B72" t="s">
        <v>82</v>
      </c>
      <c r="C72">
        <v>88820.846056599679</v>
      </c>
      <c r="D72">
        <v>87531.785141441404</v>
      </c>
      <c r="E72">
        <v>97269.993946331306</v>
      </c>
      <c r="F72">
        <v>112534.0147356181</v>
      </c>
      <c r="G72">
        <v>115087.54142534798</v>
      </c>
    </row>
    <row r="73" spans="1:7" x14ac:dyDescent="0.3">
      <c r="A73">
        <v>100000</v>
      </c>
      <c r="B73" t="s">
        <v>83</v>
      </c>
      <c r="C73">
        <v>88417.964910210227</v>
      </c>
      <c r="D73">
        <v>87128.903995051951</v>
      </c>
      <c r="E73">
        <v>97660.875092720758</v>
      </c>
      <c r="F73">
        <v>112924.89588200755</v>
      </c>
      <c r="G73">
        <v>114684.66027895853</v>
      </c>
    </row>
    <row r="74" spans="1:7" x14ac:dyDescent="0.3">
      <c r="A74">
        <v>100000</v>
      </c>
      <c r="B74" t="s">
        <v>84</v>
      </c>
      <c r="C74">
        <v>90630.777193047048</v>
      </c>
      <c r="D74">
        <v>89341.716277888772</v>
      </c>
      <c r="E74">
        <v>95436.062809883937</v>
      </c>
      <c r="F74">
        <v>110700.08359917073</v>
      </c>
      <c r="G74">
        <v>112459.84799612171</v>
      </c>
    </row>
    <row r="75" spans="1:7" x14ac:dyDescent="0.3">
      <c r="A75">
        <v>100000</v>
      </c>
      <c r="B75" t="s">
        <v>85</v>
      </c>
      <c r="C75">
        <v>90347.749577401046</v>
      </c>
      <c r="D75">
        <v>89058.68866224277</v>
      </c>
      <c r="E75">
        <v>95707.090425529939</v>
      </c>
      <c r="F75">
        <v>110971.11121481673</v>
      </c>
      <c r="G75">
        <v>112730.87561176771</v>
      </c>
    </row>
    <row r="76" spans="1:7" x14ac:dyDescent="0.3">
      <c r="A76">
        <v>100000</v>
      </c>
      <c r="B76" t="s">
        <v>86</v>
      </c>
      <c r="C76">
        <v>89912.431830543341</v>
      </c>
      <c r="D76">
        <v>88623.370915385065</v>
      </c>
      <c r="E76">
        <v>96130.408172387644</v>
      </c>
      <c r="F76">
        <v>111394.42896167444</v>
      </c>
      <c r="G76">
        <v>113154.19335862542</v>
      </c>
    </row>
    <row r="77" spans="1:7" x14ac:dyDescent="0.3">
      <c r="A77">
        <v>100000</v>
      </c>
      <c r="B77" t="s">
        <v>87</v>
      </c>
      <c r="C77">
        <v>88837.582859074566</v>
      </c>
      <c r="D77">
        <v>87548.52194391629</v>
      </c>
      <c r="E77">
        <v>97193.257143856419</v>
      </c>
      <c r="F77">
        <v>112457.27793314321</v>
      </c>
      <c r="G77">
        <v>114217.04233009419</v>
      </c>
    </row>
    <row r="78" spans="1:7" x14ac:dyDescent="0.3">
      <c r="A78">
        <v>100000</v>
      </c>
      <c r="B78" t="s">
        <v>88</v>
      </c>
      <c r="C78">
        <v>89727.204458948618</v>
      </c>
      <c r="D78">
        <v>88438.143543790342</v>
      </c>
      <c r="E78">
        <v>96291.635543982367</v>
      </c>
      <c r="F78">
        <v>111555.65633326916</v>
      </c>
      <c r="G78">
        <v>113315.42073022014</v>
      </c>
    </row>
    <row r="79" spans="1:7" x14ac:dyDescent="0.3">
      <c r="A79">
        <v>100000</v>
      </c>
      <c r="B79" t="s">
        <v>89</v>
      </c>
      <c r="C79">
        <v>90049.033076458523</v>
      </c>
      <c r="D79">
        <v>88759.972161300248</v>
      </c>
      <c r="E79">
        <v>95957.806926472462</v>
      </c>
      <c r="F79">
        <v>111221.82771575925</v>
      </c>
      <c r="G79">
        <v>112981.59211271023</v>
      </c>
    </row>
    <row r="80" spans="1:7" x14ac:dyDescent="0.3">
      <c r="A80">
        <v>100000</v>
      </c>
      <c r="B80" t="s">
        <v>90</v>
      </c>
      <c r="C80">
        <v>90366.010081899964</v>
      </c>
      <c r="D80">
        <v>89076.949166741688</v>
      </c>
      <c r="E80">
        <v>95628.829921031022</v>
      </c>
      <c r="F80">
        <v>110892.85071031781</v>
      </c>
      <c r="G80">
        <v>112652.61510726879</v>
      </c>
    </row>
    <row r="81" spans="1:7" x14ac:dyDescent="0.3">
      <c r="A81">
        <v>100000</v>
      </c>
      <c r="B81" t="s">
        <v>91</v>
      </c>
      <c r="C81">
        <v>90420.298045585339</v>
      </c>
      <c r="D81">
        <v>89131.237130427064</v>
      </c>
      <c r="E81">
        <v>95683.117884716397</v>
      </c>
      <c r="F81">
        <v>110947.13867400319</v>
      </c>
      <c r="G81">
        <v>112706.90307095417</v>
      </c>
    </row>
    <row r="82" spans="1:7" x14ac:dyDescent="0.3">
      <c r="A82">
        <v>100000</v>
      </c>
      <c r="B82" t="s">
        <v>92</v>
      </c>
      <c r="C82">
        <v>91637.17278597063</v>
      </c>
      <c r="D82">
        <v>90348.111870812354</v>
      </c>
      <c r="E82">
        <v>96899.992625101688</v>
      </c>
      <c r="F82">
        <v>112164.01341438848</v>
      </c>
      <c r="G82">
        <v>113923.77781133946</v>
      </c>
    </row>
    <row r="83" spans="1:7" x14ac:dyDescent="0.3">
      <c r="A83">
        <v>100000</v>
      </c>
      <c r="B83" t="s">
        <v>93</v>
      </c>
      <c r="C83">
        <v>92020.678063682819</v>
      </c>
      <c r="D83">
        <v>90731.617148524543</v>
      </c>
      <c r="E83">
        <v>97283.497902813877</v>
      </c>
      <c r="F83">
        <v>112547.51869210067</v>
      </c>
      <c r="G83">
        <v>114307.28308905165</v>
      </c>
    </row>
    <row r="84" spans="1:7" x14ac:dyDescent="0.3">
      <c r="A84">
        <v>100000</v>
      </c>
      <c r="B84" t="s">
        <v>94</v>
      </c>
      <c r="C84">
        <v>89126.847483076912</v>
      </c>
      <c r="D84">
        <v>87837.786567918636</v>
      </c>
      <c r="E84">
        <v>94389.66732220797</v>
      </c>
      <c r="F84">
        <v>109653.68811149476</v>
      </c>
      <c r="G84">
        <v>111413.45250844574</v>
      </c>
    </row>
    <row r="85" spans="1:7" x14ac:dyDescent="0.3">
      <c r="A85">
        <v>100000</v>
      </c>
      <c r="B85" t="s">
        <v>95</v>
      </c>
      <c r="C85">
        <v>87975.470133901385</v>
      </c>
      <c r="D85">
        <v>86686.409218743109</v>
      </c>
      <c r="E85">
        <v>93238.289973032443</v>
      </c>
      <c r="F85">
        <v>108502.31076231923</v>
      </c>
      <c r="G85">
        <v>110262.07515927021</v>
      </c>
    </row>
    <row r="86" spans="1:7" x14ac:dyDescent="0.3">
      <c r="A86">
        <v>100000</v>
      </c>
      <c r="B86" t="s">
        <v>96</v>
      </c>
      <c r="C86">
        <v>88347.714558056861</v>
      </c>
      <c r="D86">
        <v>87058.653642898586</v>
      </c>
      <c r="E86">
        <v>93610.534397187919</v>
      </c>
      <c r="F86">
        <v>108874.55518647471</v>
      </c>
      <c r="G86">
        <v>110634.31958342569</v>
      </c>
    </row>
    <row r="87" spans="1:7" x14ac:dyDescent="0.3">
      <c r="A87">
        <v>100000</v>
      </c>
      <c r="B87" t="s">
        <v>97</v>
      </c>
      <c r="C87">
        <v>89132.504373593372</v>
      </c>
      <c r="D87">
        <v>87843.443458435097</v>
      </c>
      <c r="E87">
        <v>94395.32421272443</v>
      </c>
      <c r="F87">
        <v>109659.34500201122</v>
      </c>
      <c r="G87">
        <v>109837.52976788918</v>
      </c>
    </row>
    <row r="88" spans="1:7" x14ac:dyDescent="0.3">
      <c r="A88">
        <v>100000</v>
      </c>
      <c r="B88" t="s">
        <v>98</v>
      </c>
      <c r="C88">
        <v>89963.910694870661</v>
      </c>
      <c r="D88">
        <v>88674.849779712385</v>
      </c>
      <c r="E88">
        <v>95226.730534001719</v>
      </c>
      <c r="F88">
        <v>110490.75132328851</v>
      </c>
      <c r="G88">
        <v>108994.12344661189</v>
      </c>
    </row>
    <row r="89" spans="1:7" x14ac:dyDescent="0.3">
      <c r="A89">
        <v>100000</v>
      </c>
      <c r="B89" t="s">
        <v>99</v>
      </c>
      <c r="C89">
        <v>90222.30120945294</v>
      </c>
      <c r="D89">
        <v>88933.240294294665</v>
      </c>
      <c r="E89">
        <v>95485.121048583998</v>
      </c>
      <c r="F89">
        <v>110749.14183787079</v>
      </c>
      <c r="G89">
        <v>108723.73293202961</v>
      </c>
    </row>
    <row r="90" spans="1:7" x14ac:dyDescent="0.3">
      <c r="A90">
        <v>100000</v>
      </c>
      <c r="B90" t="s">
        <v>100</v>
      </c>
      <c r="C90">
        <v>88508.90028945361</v>
      </c>
      <c r="D90">
        <v>87219.839374295334</v>
      </c>
      <c r="E90">
        <v>93771.720128584668</v>
      </c>
      <c r="F90">
        <v>109035.74091787146</v>
      </c>
      <c r="G90">
        <v>110425.13385202894</v>
      </c>
    </row>
    <row r="91" spans="1:7" x14ac:dyDescent="0.3">
      <c r="A91">
        <v>100000</v>
      </c>
      <c r="B91" t="s">
        <v>101</v>
      </c>
      <c r="C91">
        <v>88036.838911266575</v>
      </c>
      <c r="D91">
        <v>86747.7779961083</v>
      </c>
      <c r="E91">
        <v>94231.781506771702</v>
      </c>
      <c r="F91">
        <v>109495.80229605849</v>
      </c>
      <c r="G91">
        <v>110885.19523021598</v>
      </c>
    </row>
    <row r="92" spans="1:7" x14ac:dyDescent="0.3">
      <c r="A92">
        <v>100000</v>
      </c>
      <c r="B92" t="s">
        <v>102</v>
      </c>
      <c r="C92">
        <v>88310.200278188247</v>
      </c>
      <c r="D92">
        <v>87021.139363029972</v>
      </c>
      <c r="E92">
        <v>94505.142873693374</v>
      </c>
      <c r="F92">
        <v>109769.16366298017</v>
      </c>
      <c r="G92">
        <v>110599.83386329431</v>
      </c>
    </row>
    <row r="93" spans="1:7" x14ac:dyDescent="0.3">
      <c r="A93">
        <v>100000</v>
      </c>
      <c r="B93" t="s">
        <v>103</v>
      </c>
      <c r="C93">
        <v>87234.430578079846</v>
      </c>
      <c r="D93">
        <v>85945.36966292157</v>
      </c>
      <c r="E93">
        <v>93429.373173584972</v>
      </c>
      <c r="F93">
        <v>108693.39396287176</v>
      </c>
      <c r="G93">
        <v>111663.60356340271</v>
      </c>
    </row>
    <row r="94" spans="1:7" x14ac:dyDescent="0.3">
      <c r="A94">
        <v>100000</v>
      </c>
      <c r="B94" t="s">
        <v>104</v>
      </c>
      <c r="C94">
        <v>87188.125549624499</v>
      </c>
      <c r="D94">
        <v>85899.064634466224</v>
      </c>
      <c r="E94">
        <v>93463.678202040319</v>
      </c>
      <c r="F94">
        <v>108727.69899132711</v>
      </c>
      <c r="G94">
        <v>111617.29853494736</v>
      </c>
    </row>
    <row r="95" spans="1:7" x14ac:dyDescent="0.3">
      <c r="A95">
        <v>100000</v>
      </c>
      <c r="B95" t="s">
        <v>105</v>
      </c>
      <c r="C95">
        <v>86764.767314453609</v>
      </c>
      <c r="D95">
        <v>85475.706399295334</v>
      </c>
      <c r="E95">
        <v>93875.036437211209</v>
      </c>
      <c r="F95">
        <v>109139.057226498</v>
      </c>
      <c r="G95">
        <v>111193.94029977647</v>
      </c>
    </row>
    <row r="96" spans="1:7" x14ac:dyDescent="0.3">
      <c r="A96">
        <v>100000</v>
      </c>
      <c r="B96" t="s">
        <v>106</v>
      </c>
      <c r="C96">
        <v>86616.400136559343</v>
      </c>
      <c r="D96">
        <v>85612.0735771896</v>
      </c>
      <c r="E96">
        <v>93726.669259316943</v>
      </c>
      <c r="F96">
        <v>108990.69004860373</v>
      </c>
      <c r="G96">
        <v>111330.30747767074</v>
      </c>
    </row>
    <row r="97" spans="1:7" x14ac:dyDescent="0.3">
      <c r="A97">
        <v>100000</v>
      </c>
      <c r="B97" t="s">
        <v>107</v>
      </c>
      <c r="C97">
        <v>87179.782526029798</v>
      </c>
      <c r="D97">
        <v>86175.455966660054</v>
      </c>
      <c r="E97">
        <v>93151.286869846488</v>
      </c>
      <c r="F97">
        <v>108415.30765913328</v>
      </c>
      <c r="G97">
        <v>111893.68986714119</v>
      </c>
    </row>
    <row r="98" spans="1:7" x14ac:dyDescent="0.3">
      <c r="A98">
        <v>100000</v>
      </c>
      <c r="B98" t="s">
        <v>108</v>
      </c>
      <c r="C98">
        <v>87793.696667120341</v>
      </c>
      <c r="D98">
        <v>86789.370107750598</v>
      </c>
      <c r="E98">
        <v>92525.372728755945</v>
      </c>
      <c r="F98">
        <v>107789.39351804274</v>
      </c>
      <c r="G98">
        <v>112507.60400823173</v>
      </c>
    </row>
    <row r="99" spans="1:7" x14ac:dyDescent="0.3">
      <c r="A99">
        <v>100000</v>
      </c>
      <c r="B99" t="s">
        <v>109</v>
      </c>
      <c r="C99">
        <v>89043.299197397864</v>
      </c>
      <c r="D99">
        <v>88038.972638028121</v>
      </c>
      <c r="E99">
        <v>91263.770198478422</v>
      </c>
      <c r="F99">
        <v>106527.79098776521</v>
      </c>
      <c r="G99">
        <v>113757.20653850926</v>
      </c>
    </row>
    <row r="100" spans="1:7" x14ac:dyDescent="0.3">
      <c r="A100">
        <v>100000</v>
      </c>
      <c r="B100" t="s">
        <v>110</v>
      </c>
      <c r="C100">
        <v>89471.121566856775</v>
      </c>
      <c r="D100">
        <v>88466.795007487031</v>
      </c>
      <c r="E100">
        <v>90823.947829019511</v>
      </c>
      <c r="F100">
        <v>106087.9686183063</v>
      </c>
      <c r="G100">
        <v>114185.02890796817</v>
      </c>
    </row>
    <row r="101" spans="1:7" x14ac:dyDescent="0.3">
      <c r="A101">
        <v>100000</v>
      </c>
      <c r="B101" t="s">
        <v>111</v>
      </c>
      <c r="C101">
        <v>90399.921252638407</v>
      </c>
      <c r="D101">
        <v>89395.594693268664</v>
      </c>
      <c r="E101">
        <v>89883.148143237879</v>
      </c>
      <c r="F101">
        <v>105147.16893252467</v>
      </c>
      <c r="G101">
        <v>115113.8285937498</v>
      </c>
    </row>
    <row r="102" spans="1:7" x14ac:dyDescent="0.3">
      <c r="A102">
        <v>100000</v>
      </c>
      <c r="B102" t="s">
        <v>112</v>
      </c>
      <c r="C102">
        <v>88926.87128857254</v>
      </c>
      <c r="D102">
        <v>87922.544729202797</v>
      </c>
      <c r="E102">
        <v>91344.198107303746</v>
      </c>
      <c r="F102">
        <v>106608.21889659054</v>
      </c>
      <c r="G102">
        <v>113640.77862968393</v>
      </c>
    </row>
    <row r="103" spans="1:7" x14ac:dyDescent="0.3">
      <c r="A103">
        <v>100000</v>
      </c>
      <c r="B103" t="s">
        <v>113</v>
      </c>
      <c r="C103">
        <v>88730.068006756104</v>
      </c>
      <c r="D103">
        <v>87725.741447386361</v>
      </c>
      <c r="E103">
        <v>91529.001389120182</v>
      </c>
      <c r="F103">
        <v>106793.02217840697</v>
      </c>
      <c r="G103">
        <v>113443.9753478675</v>
      </c>
    </row>
    <row r="104" spans="1:7" x14ac:dyDescent="0.3">
      <c r="A104">
        <v>100000</v>
      </c>
      <c r="B104" t="s">
        <v>114</v>
      </c>
      <c r="C104">
        <v>89493.76244733663</v>
      </c>
      <c r="D104">
        <v>88489.435887966887</v>
      </c>
      <c r="E104">
        <v>90753.306948539655</v>
      </c>
      <c r="F104">
        <v>106017.32773782645</v>
      </c>
      <c r="G104">
        <v>112668.28090728697</v>
      </c>
    </row>
    <row r="105" spans="1:7" x14ac:dyDescent="0.3">
      <c r="A105">
        <v>100000</v>
      </c>
      <c r="B105" t="s">
        <v>115</v>
      </c>
      <c r="C105">
        <v>92225.797050908121</v>
      </c>
      <c r="D105">
        <v>91221.470491538377</v>
      </c>
      <c r="E105">
        <v>88009.272344968165</v>
      </c>
      <c r="F105">
        <v>103273.29313425496</v>
      </c>
      <c r="G105">
        <v>109924.24630371548</v>
      </c>
    </row>
    <row r="106" spans="1:7" x14ac:dyDescent="0.3">
      <c r="A106">
        <v>100000</v>
      </c>
      <c r="B106" t="s">
        <v>116</v>
      </c>
      <c r="C106">
        <v>90938.357069980717</v>
      </c>
      <c r="D106">
        <v>89934.030510610974</v>
      </c>
      <c r="E106">
        <v>89284.712325895569</v>
      </c>
      <c r="F106">
        <v>104548.73311518236</v>
      </c>
      <c r="G106">
        <v>111199.68628464288</v>
      </c>
    </row>
    <row r="107" spans="1:7" x14ac:dyDescent="0.3">
      <c r="A107">
        <v>100000</v>
      </c>
      <c r="B107" t="s">
        <v>117</v>
      </c>
      <c r="C107">
        <v>89878.949295831349</v>
      </c>
      <c r="D107">
        <v>88874.622736461606</v>
      </c>
      <c r="E107">
        <v>90332.120100044936</v>
      </c>
      <c r="F107">
        <v>105596.14088933173</v>
      </c>
      <c r="G107">
        <v>112247.09405879225</v>
      </c>
    </row>
    <row r="108" spans="1:7" x14ac:dyDescent="0.3">
      <c r="A108">
        <v>100000</v>
      </c>
      <c r="B108" t="s">
        <v>118</v>
      </c>
      <c r="C108">
        <v>91869.024600915058</v>
      </c>
      <c r="D108">
        <v>90864.698041545314</v>
      </c>
      <c r="E108">
        <v>88330.044794961228</v>
      </c>
      <c r="F108">
        <v>103594.06558424802</v>
      </c>
      <c r="G108">
        <v>110245.01875370854</v>
      </c>
    </row>
    <row r="109" spans="1:7" x14ac:dyDescent="0.3">
      <c r="A109">
        <v>100000</v>
      </c>
      <c r="B109" t="s">
        <v>119</v>
      </c>
      <c r="C109">
        <v>92220.578869873672</v>
      </c>
      <c r="D109">
        <v>91216.252310503929</v>
      </c>
      <c r="E109">
        <v>87966.490526002613</v>
      </c>
      <c r="F109">
        <v>103230.5113152894</v>
      </c>
      <c r="G109">
        <v>109881.46448474993</v>
      </c>
    </row>
    <row r="110" spans="1:7" x14ac:dyDescent="0.3">
      <c r="A110">
        <v>100000</v>
      </c>
      <c r="B110" t="s">
        <v>120</v>
      </c>
      <c r="C110">
        <v>92445.780671756118</v>
      </c>
      <c r="D110">
        <v>91441.454112386375</v>
      </c>
      <c r="E110">
        <v>87729.288724120168</v>
      </c>
      <c r="F110">
        <v>102993.30951340696</v>
      </c>
      <c r="G110">
        <v>109644.26268286748</v>
      </c>
    </row>
    <row r="111" spans="1:7" x14ac:dyDescent="0.3">
      <c r="A111">
        <v>100000</v>
      </c>
      <c r="B111" t="s">
        <v>121</v>
      </c>
      <c r="C111">
        <v>91929.873260207154</v>
      </c>
      <c r="D111">
        <v>90925.546700837411</v>
      </c>
      <c r="E111">
        <v>88233.196135669132</v>
      </c>
      <c r="F111">
        <v>103497.21692495592</v>
      </c>
      <c r="G111">
        <v>110148.17009441645</v>
      </c>
    </row>
    <row r="112" spans="1:7" x14ac:dyDescent="0.3">
      <c r="A112">
        <v>100000</v>
      </c>
      <c r="B112" t="s">
        <v>122</v>
      </c>
      <c r="C112">
        <v>89461.606406571038</v>
      </c>
      <c r="D112">
        <v>88457.279847201295</v>
      </c>
      <c r="E112">
        <v>90689.462989305248</v>
      </c>
      <c r="F112">
        <v>105953.48377859204</v>
      </c>
      <c r="G112">
        <v>112604.43694805256</v>
      </c>
    </row>
    <row r="113" spans="1:7" x14ac:dyDescent="0.3">
      <c r="A113">
        <v>100000</v>
      </c>
      <c r="B113" t="s">
        <v>123</v>
      </c>
      <c r="C113">
        <v>89836.796893784951</v>
      </c>
      <c r="D113">
        <v>88832.470334415208</v>
      </c>
      <c r="E113">
        <v>91064.653476519161</v>
      </c>
      <c r="F113">
        <v>105566.29329137813</v>
      </c>
      <c r="G113">
        <v>112217.24646083865</v>
      </c>
    </row>
    <row r="114" spans="1:7" x14ac:dyDescent="0.3">
      <c r="A114">
        <v>100000</v>
      </c>
      <c r="B114" t="s">
        <v>124</v>
      </c>
      <c r="C114">
        <v>90480.527455755699</v>
      </c>
      <c r="D114">
        <v>89476.200896385955</v>
      </c>
      <c r="E114">
        <v>91708.384038489909</v>
      </c>
      <c r="F114">
        <v>104910.56272940738</v>
      </c>
      <c r="G114">
        <v>111561.5158988679</v>
      </c>
    </row>
    <row r="115" spans="1:7" x14ac:dyDescent="0.3">
      <c r="A115">
        <v>100000</v>
      </c>
      <c r="B115" t="s">
        <v>125</v>
      </c>
      <c r="C115">
        <v>91532.591579008746</v>
      </c>
      <c r="D115">
        <v>90528.265019639002</v>
      </c>
      <c r="E115">
        <v>92760.448161742956</v>
      </c>
      <c r="F115">
        <v>103846.49860615433</v>
      </c>
      <c r="G115">
        <v>110497.45177561486</v>
      </c>
    </row>
    <row r="116" spans="1:7" x14ac:dyDescent="0.3">
      <c r="A116">
        <v>100000</v>
      </c>
      <c r="B116" t="s">
        <v>126</v>
      </c>
      <c r="C116">
        <v>91547.525219368807</v>
      </c>
      <c r="D116">
        <v>90501.331379278941</v>
      </c>
      <c r="E116">
        <v>92775.381802103017</v>
      </c>
      <c r="F116">
        <v>103861.43224651439</v>
      </c>
      <c r="G116">
        <v>110512.38541597492</v>
      </c>
    </row>
    <row r="117" spans="1:7" x14ac:dyDescent="0.3">
      <c r="A117">
        <v>100000</v>
      </c>
      <c r="B117" t="s">
        <v>127</v>
      </c>
      <c r="C117">
        <v>90650.163649615279</v>
      </c>
      <c r="D117">
        <v>91386.692949032469</v>
      </c>
      <c r="E117">
        <v>93660.743371856544</v>
      </c>
      <c r="F117">
        <v>102964.07067676086</v>
      </c>
      <c r="G117">
        <v>109615.02384622139</v>
      </c>
    </row>
    <row r="118" spans="1:7" x14ac:dyDescent="0.3">
      <c r="A118">
        <v>100000</v>
      </c>
      <c r="B118" t="s">
        <v>128</v>
      </c>
      <c r="C118">
        <v>93828.810952519838</v>
      </c>
      <c r="D118">
        <v>94565.340251937028</v>
      </c>
      <c r="E118">
        <v>90470.096068951985</v>
      </c>
      <c r="F118">
        <v>99773.423373856305</v>
      </c>
      <c r="G118">
        <v>106424.37654331683</v>
      </c>
    </row>
    <row r="119" spans="1:7" x14ac:dyDescent="0.3">
      <c r="A119">
        <v>100000</v>
      </c>
      <c r="B119" t="s">
        <v>129</v>
      </c>
      <c r="C119">
        <v>96347.17950463653</v>
      </c>
      <c r="D119">
        <v>97083.70880405372</v>
      </c>
      <c r="E119">
        <v>92988.464621068677</v>
      </c>
      <c r="F119">
        <v>102291.791925973</v>
      </c>
      <c r="G119">
        <v>108942.74509543352</v>
      </c>
    </row>
    <row r="120" spans="1:7" x14ac:dyDescent="0.3">
      <c r="A120">
        <v>100000</v>
      </c>
      <c r="B120" t="s">
        <v>130</v>
      </c>
      <c r="C120">
        <v>96688.949210358522</v>
      </c>
      <c r="D120">
        <v>97425.478509775712</v>
      </c>
      <c r="E120">
        <v>93330.234326790669</v>
      </c>
      <c r="F120">
        <v>102633.56163169499</v>
      </c>
      <c r="G120">
        <v>109284.51480115551</v>
      </c>
    </row>
    <row r="121" spans="1:7" x14ac:dyDescent="0.3">
      <c r="A121">
        <v>100000</v>
      </c>
      <c r="B121" t="s">
        <v>131</v>
      </c>
      <c r="C121">
        <v>95902.024595614668</v>
      </c>
      <c r="D121">
        <v>96638.553895031859</v>
      </c>
      <c r="E121">
        <v>94105.158941534522</v>
      </c>
      <c r="F121">
        <v>103408.48624643884</v>
      </c>
      <c r="G121">
        <v>110059.43941589937</v>
      </c>
    </row>
    <row r="122" spans="1:7" x14ac:dyDescent="0.3">
      <c r="A122">
        <v>100000</v>
      </c>
      <c r="B122" t="s">
        <v>132</v>
      </c>
      <c r="C122">
        <v>94190.449656634999</v>
      </c>
      <c r="D122">
        <v>94926.978956052189</v>
      </c>
      <c r="E122">
        <v>95804.733880514192</v>
      </c>
      <c r="F122">
        <v>101696.91130745917</v>
      </c>
      <c r="G122">
        <v>111759.01435487904</v>
      </c>
    </row>
    <row r="123" spans="1:7" x14ac:dyDescent="0.3">
      <c r="A123">
        <v>100000</v>
      </c>
      <c r="B123" t="s">
        <v>133</v>
      </c>
      <c r="C123">
        <v>94017.02809811967</v>
      </c>
      <c r="D123">
        <v>94753.557397536861</v>
      </c>
      <c r="E123">
        <v>95631.312321998863</v>
      </c>
      <c r="F123">
        <v>101523.48974894384</v>
      </c>
      <c r="G123">
        <v>111585.59279636371</v>
      </c>
    </row>
    <row r="124" spans="1:7" x14ac:dyDescent="0.3">
      <c r="A124">
        <v>100000</v>
      </c>
      <c r="B124" t="s">
        <v>134</v>
      </c>
      <c r="C124">
        <v>95513.357232520459</v>
      </c>
      <c r="D124">
        <v>96249.886531937649</v>
      </c>
      <c r="E124">
        <v>94122.983187598074</v>
      </c>
      <c r="F124">
        <v>103019.81888334463</v>
      </c>
      <c r="G124">
        <v>113081.9219307645</v>
      </c>
    </row>
    <row r="125" spans="1:7" x14ac:dyDescent="0.3">
      <c r="A125">
        <v>100000</v>
      </c>
      <c r="B125" t="s">
        <v>135</v>
      </c>
      <c r="C125">
        <v>94760.661661509104</v>
      </c>
      <c r="D125">
        <v>95497.190960926295</v>
      </c>
      <c r="E125">
        <v>94863.678758609429</v>
      </c>
      <c r="F125">
        <v>102267.12331233328</v>
      </c>
      <c r="G125">
        <v>112329.22635975314</v>
      </c>
    </row>
    <row r="126" spans="1:7" x14ac:dyDescent="0.3">
      <c r="A126">
        <v>100000</v>
      </c>
      <c r="B126" t="s">
        <v>136</v>
      </c>
      <c r="C126">
        <v>94330.122077677501</v>
      </c>
      <c r="D126">
        <v>95066.651377094691</v>
      </c>
      <c r="E126">
        <v>95282.218342441032</v>
      </c>
      <c r="F126">
        <v>101836.58372850168</v>
      </c>
      <c r="G126">
        <v>111898.68677592154</v>
      </c>
    </row>
    <row r="127" spans="1:7" x14ac:dyDescent="0.3">
      <c r="A127">
        <v>100000</v>
      </c>
      <c r="B127" t="s">
        <v>137</v>
      </c>
      <c r="C127">
        <v>94401.782700754644</v>
      </c>
      <c r="D127">
        <v>95138.312000171834</v>
      </c>
      <c r="E127">
        <v>95353.878965518175</v>
      </c>
      <c r="F127">
        <v>101752.92310542453</v>
      </c>
      <c r="G127">
        <v>111815.0261528444</v>
      </c>
    </row>
    <row r="128" spans="1:7" x14ac:dyDescent="0.3">
      <c r="A128">
        <v>100000</v>
      </c>
      <c r="B128" t="s">
        <v>138</v>
      </c>
      <c r="C128">
        <v>93666.00696246732</v>
      </c>
      <c r="D128">
        <v>95862.087738459159</v>
      </c>
      <c r="E128">
        <v>96077.6547038055</v>
      </c>
      <c r="F128">
        <v>101017.14736713721</v>
      </c>
      <c r="G128">
        <v>111079.25041455707</v>
      </c>
    </row>
    <row r="129" spans="1:7" x14ac:dyDescent="0.3">
      <c r="A129">
        <v>100000</v>
      </c>
      <c r="B129" t="s">
        <v>139</v>
      </c>
      <c r="C129">
        <v>93888.563224171608</v>
      </c>
      <c r="D129">
        <v>96084.644000163447</v>
      </c>
      <c r="E129">
        <v>96300.210965509788</v>
      </c>
      <c r="F129">
        <v>101239.7036288415</v>
      </c>
      <c r="G129">
        <v>111301.80667626136</v>
      </c>
    </row>
    <row r="130" spans="1:7" x14ac:dyDescent="0.3">
      <c r="A130">
        <v>100000</v>
      </c>
      <c r="B130" t="s">
        <v>140</v>
      </c>
      <c r="C130">
        <v>94795.614486330713</v>
      </c>
      <c r="D130">
        <v>96991.695262322552</v>
      </c>
      <c r="E130">
        <v>97207.262227668893</v>
      </c>
      <c r="F130">
        <v>100320.65236668239</v>
      </c>
      <c r="G130">
        <v>110382.75541410226</v>
      </c>
    </row>
    <row r="131" spans="1:7" x14ac:dyDescent="0.3">
      <c r="A131">
        <v>100000</v>
      </c>
      <c r="B131" t="s">
        <v>141</v>
      </c>
      <c r="C131">
        <v>93656.079635690607</v>
      </c>
      <c r="D131">
        <v>95852.160411682446</v>
      </c>
      <c r="E131">
        <v>96067.727377028787</v>
      </c>
      <c r="F131">
        <v>99181.117516042286</v>
      </c>
      <c r="G131">
        <v>109243.22056346215</v>
      </c>
    </row>
    <row r="132" spans="1:7" x14ac:dyDescent="0.3">
      <c r="A132">
        <v>100000</v>
      </c>
      <c r="B132" t="s">
        <v>142</v>
      </c>
      <c r="C132">
        <v>94496.989004625502</v>
      </c>
      <c r="D132">
        <v>96693.069780617341</v>
      </c>
      <c r="E132">
        <v>96908.636745963682</v>
      </c>
      <c r="F132">
        <v>100022.02688497718</v>
      </c>
      <c r="G132">
        <v>110084.12993239705</v>
      </c>
    </row>
    <row r="133" spans="1:7" x14ac:dyDescent="0.3">
      <c r="A133">
        <v>100000</v>
      </c>
      <c r="B133" t="s">
        <v>143</v>
      </c>
      <c r="C133">
        <v>93648.380503841167</v>
      </c>
      <c r="D133">
        <v>95844.461279833005</v>
      </c>
      <c r="E133">
        <v>97745.245246748018</v>
      </c>
      <c r="F133">
        <v>100858.63538576152</v>
      </c>
      <c r="G133">
        <v>110920.73843318138</v>
      </c>
    </row>
    <row r="134" spans="1:7" x14ac:dyDescent="0.3">
      <c r="A134">
        <v>100000</v>
      </c>
      <c r="B134" t="s">
        <v>144</v>
      </c>
      <c r="C134">
        <v>93234.63022823217</v>
      </c>
      <c r="D134">
        <v>95430.711004224009</v>
      </c>
      <c r="E134">
        <v>97331.494971139022</v>
      </c>
      <c r="F134">
        <v>100444.88511015252</v>
      </c>
      <c r="G134">
        <v>110506.98815757238</v>
      </c>
    </row>
    <row r="135" spans="1:7" x14ac:dyDescent="0.3">
      <c r="A135">
        <v>100000</v>
      </c>
      <c r="B135" t="s">
        <v>145</v>
      </c>
      <c r="C135">
        <v>93466.283403130059</v>
      </c>
      <c r="D135">
        <v>95662.364179121898</v>
      </c>
      <c r="E135">
        <v>97087.841796241133</v>
      </c>
      <c r="F135">
        <v>100201.23193525463</v>
      </c>
      <c r="G135">
        <v>110263.3349826745</v>
      </c>
    </row>
    <row r="136" spans="1:7" x14ac:dyDescent="0.3">
      <c r="A136">
        <v>100000</v>
      </c>
      <c r="B136" t="s">
        <v>146</v>
      </c>
      <c r="C136">
        <v>92541.460791847974</v>
      </c>
      <c r="D136">
        <v>94737.541567839813</v>
      </c>
      <c r="E136">
        <v>96163.019184959048</v>
      </c>
      <c r="F136">
        <v>99276.409323972548</v>
      </c>
      <c r="G136">
        <v>109338.51237139241</v>
      </c>
    </row>
    <row r="137" spans="1:7" x14ac:dyDescent="0.3">
      <c r="A137">
        <v>100000</v>
      </c>
      <c r="B137" t="s">
        <v>147</v>
      </c>
      <c r="C137">
        <v>93188.463308928156</v>
      </c>
      <c r="D137">
        <v>95384.544084919995</v>
      </c>
      <c r="E137">
        <v>96810.02170203923</v>
      </c>
      <c r="F137">
        <v>99923.41184105273</v>
      </c>
      <c r="G137">
        <v>109985.51488847259</v>
      </c>
    </row>
    <row r="138" spans="1:7" x14ac:dyDescent="0.3">
      <c r="A138">
        <v>100000</v>
      </c>
      <c r="B138" t="s">
        <v>148</v>
      </c>
      <c r="C138">
        <v>93198.371446663703</v>
      </c>
      <c r="D138">
        <v>95394.452222655542</v>
      </c>
      <c r="E138">
        <v>96819.929839774777</v>
      </c>
      <c r="F138">
        <v>99933.319978788277</v>
      </c>
      <c r="G138">
        <v>109995.42302620814</v>
      </c>
    </row>
    <row r="139" spans="1:7" x14ac:dyDescent="0.3">
      <c r="A139">
        <v>100000</v>
      </c>
      <c r="B139" t="s">
        <v>149</v>
      </c>
      <c r="C139">
        <v>89199.59949147758</v>
      </c>
      <c r="D139">
        <v>91395.680267469419</v>
      </c>
      <c r="E139">
        <v>92821.157884588654</v>
      </c>
      <c r="F139">
        <v>95934.548023602154</v>
      </c>
      <c r="G139">
        <v>105996.65107102202</v>
      </c>
    </row>
    <row r="140" spans="1:7" x14ac:dyDescent="0.3">
      <c r="A140">
        <v>100000</v>
      </c>
      <c r="B140" t="s">
        <v>150</v>
      </c>
      <c r="C140">
        <v>91007.658448393675</v>
      </c>
      <c r="D140">
        <v>93203.739224385514</v>
      </c>
      <c r="E140">
        <v>94629.216841504749</v>
      </c>
      <c r="F140">
        <v>97742.606980518249</v>
      </c>
      <c r="G140">
        <v>107804.71002793811</v>
      </c>
    </row>
    <row r="141" spans="1:7" x14ac:dyDescent="0.3">
      <c r="A141">
        <v>100000</v>
      </c>
      <c r="B141" t="s">
        <v>151</v>
      </c>
      <c r="C141">
        <v>92916.007583826096</v>
      </c>
      <c r="D141">
        <v>95112.088359817935</v>
      </c>
      <c r="E141">
        <v>96537.56597693717</v>
      </c>
      <c r="F141">
        <v>99650.95611595067</v>
      </c>
      <c r="G141">
        <v>109713.05916337053</v>
      </c>
    </row>
    <row r="142" spans="1:7" x14ac:dyDescent="0.3">
      <c r="A142">
        <v>100000</v>
      </c>
      <c r="B142" t="s">
        <v>152</v>
      </c>
      <c r="C142">
        <v>94495.036435073926</v>
      </c>
      <c r="D142">
        <v>96691.117211065764</v>
      </c>
      <c r="E142">
        <v>98116.594828185</v>
      </c>
      <c r="F142">
        <v>101229.9849671985</v>
      </c>
      <c r="G142">
        <v>111292.08801461836</v>
      </c>
    </row>
    <row r="143" spans="1:7" x14ac:dyDescent="0.3">
      <c r="A143">
        <v>100000</v>
      </c>
      <c r="B143" t="s">
        <v>153</v>
      </c>
      <c r="C143">
        <v>94687.087726021389</v>
      </c>
      <c r="D143">
        <v>96883.168502013228</v>
      </c>
      <c r="E143">
        <v>98308.646119132463</v>
      </c>
      <c r="F143">
        <v>101422.03625814596</v>
      </c>
      <c r="G143">
        <v>111484.13930556583</v>
      </c>
    </row>
    <row r="144" spans="1:7" x14ac:dyDescent="0.3">
      <c r="A144">
        <v>100000</v>
      </c>
      <c r="B144" t="s">
        <v>154</v>
      </c>
      <c r="C144">
        <v>93640.036019013365</v>
      </c>
      <c r="D144">
        <v>95836.116795005204</v>
      </c>
      <c r="E144">
        <v>97261.594412124439</v>
      </c>
      <c r="F144">
        <v>100374.98455113794</v>
      </c>
      <c r="G144">
        <v>110437.0875985578</v>
      </c>
    </row>
    <row r="145" spans="1:7" x14ac:dyDescent="0.3">
      <c r="A145">
        <v>100000</v>
      </c>
      <c r="B145" t="s">
        <v>155</v>
      </c>
      <c r="C145">
        <v>94672.19456881276</v>
      </c>
      <c r="D145">
        <v>96868.275344804599</v>
      </c>
      <c r="E145">
        <v>98293.752961923834</v>
      </c>
      <c r="F145">
        <v>101407.14310093733</v>
      </c>
      <c r="G145">
        <v>111469.2461483572</v>
      </c>
    </row>
    <row r="146" spans="1:7" x14ac:dyDescent="0.3">
      <c r="A146">
        <v>100000</v>
      </c>
      <c r="B146" t="s">
        <v>156</v>
      </c>
      <c r="C146">
        <v>97511.711080741312</v>
      </c>
      <c r="D146">
        <v>99707.791856733151</v>
      </c>
      <c r="E146">
        <v>101133.26947385239</v>
      </c>
      <c r="F146">
        <v>104246.65961286589</v>
      </c>
      <c r="G146">
        <v>114308.76266028575</v>
      </c>
    </row>
    <row r="147" spans="1:7" x14ac:dyDescent="0.3">
      <c r="A147">
        <v>100000</v>
      </c>
      <c r="B147" t="s">
        <v>157</v>
      </c>
      <c r="C147">
        <v>96104.605181111459</v>
      </c>
      <c r="D147">
        <v>98300.685957103298</v>
      </c>
      <c r="E147">
        <v>99726.163574222533</v>
      </c>
      <c r="F147">
        <v>102839.55371323603</v>
      </c>
      <c r="G147">
        <v>115703.8685599156</v>
      </c>
    </row>
    <row r="148" spans="1:7" x14ac:dyDescent="0.3">
      <c r="A148">
        <v>100000</v>
      </c>
      <c r="B148" t="s">
        <v>306</v>
      </c>
      <c r="C148">
        <v>95785.558090520673</v>
      </c>
      <c r="D148">
        <v>98607.733047694084</v>
      </c>
      <c r="E148">
        <v>100033.21066481332</v>
      </c>
      <c r="F148">
        <v>103146.60080382682</v>
      </c>
      <c r="G148">
        <v>116010.91565050639</v>
      </c>
    </row>
    <row r="149" spans="1:7" x14ac:dyDescent="0.3">
      <c r="A149">
        <v>100000</v>
      </c>
      <c r="B149" t="s">
        <v>307</v>
      </c>
      <c r="C149">
        <v>96163.01426908889</v>
      </c>
      <c r="D149">
        <v>98985.189226262301</v>
      </c>
      <c r="E149">
        <v>99643.754486245103</v>
      </c>
      <c r="F149">
        <v>102757.1446252586</v>
      </c>
      <c r="G149">
        <v>115621.45947193817</v>
      </c>
    </row>
    <row r="150" spans="1:7" x14ac:dyDescent="0.3">
      <c r="A150">
        <v>100000</v>
      </c>
      <c r="B150" t="s">
        <v>308</v>
      </c>
      <c r="C150">
        <v>97894.083751868238</v>
      </c>
      <c r="D150">
        <v>100716.25870904165</v>
      </c>
      <c r="E150">
        <v>101374.82396902445</v>
      </c>
      <c r="F150">
        <v>104488.21410803795</v>
      </c>
      <c r="G150">
        <v>117352.52895471752</v>
      </c>
    </row>
    <row r="151" spans="1:7" x14ac:dyDescent="0.3">
      <c r="A151">
        <v>100000</v>
      </c>
      <c r="B151" t="s">
        <v>309</v>
      </c>
      <c r="C151">
        <v>97687.188156235803</v>
      </c>
      <c r="D151">
        <v>100509.36311340921</v>
      </c>
      <c r="E151">
        <v>101167.92837339202</v>
      </c>
      <c r="F151">
        <v>104281.31851240552</v>
      </c>
      <c r="G151">
        <v>117145.63335908508</v>
      </c>
    </row>
    <row r="152" spans="1:7" x14ac:dyDescent="0.3">
      <c r="A152">
        <v>100000</v>
      </c>
      <c r="B152" t="s">
        <v>310</v>
      </c>
      <c r="C152">
        <v>98929.832571225561</v>
      </c>
      <c r="D152">
        <v>101752.00752839897</v>
      </c>
      <c r="E152">
        <v>102410.57278838177</v>
      </c>
      <c r="F152">
        <v>105523.96292739527</v>
      </c>
      <c r="G152">
        <v>118388.27777407484</v>
      </c>
    </row>
    <row r="153" spans="1:7" x14ac:dyDescent="0.3">
      <c r="A153">
        <v>100000</v>
      </c>
      <c r="B153" t="s">
        <v>311</v>
      </c>
      <c r="C153">
        <v>98552.910434470832</v>
      </c>
      <c r="D153">
        <v>101375.08539164424</v>
      </c>
      <c r="E153">
        <v>102033.65065162705</v>
      </c>
      <c r="F153">
        <v>105147.04079064055</v>
      </c>
      <c r="G153">
        <v>118011.35563732011</v>
      </c>
    </row>
    <row r="154" spans="1:7" x14ac:dyDescent="0.3">
      <c r="A154">
        <v>100000</v>
      </c>
      <c r="B154" t="s">
        <v>312</v>
      </c>
      <c r="C154">
        <v>98852.603976694751</v>
      </c>
      <c r="D154">
        <v>101674.77893386816</v>
      </c>
      <c r="E154">
        <v>102333.34419385096</v>
      </c>
      <c r="F154">
        <v>105446.73433286446</v>
      </c>
      <c r="G154">
        <v>118311.04917954403</v>
      </c>
    </row>
    <row r="155" spans="1:7" x14ac:dyDescent="0.3">
      <c r="A155">
        <v>100000</v>
      </c>
      <c r="B155" t="s">
        <v>313</v>
      </c>
      <c r="C155">
        <v>100146.6376642579</v>
      </c>
      <c r="D155">
        <v>102968.81262143131</v>
      </c>
      <c r="E155">
        <v>103627.37788141411</v>
      </c>
      <c r="F155">
        <v>106740.76802042761</v>
      </c>
      <c r="G155">
        <v>119605.08286710718</v>
      </c>
    </row>
    <row r="156" spans="1:7" x14ac:dyDescent="0.3">
      <c r="A156">
        <v>100000</v>
      </c>
      <c r="B156" t="s">
        <v>314</v>
      </c>
      <c r="C156">
        <v>101097.42873420789</v>
      </c>
      <c r="D156">
        <v>103919.6036913813</v>
      </c>
      <c r="E156">
        <v>104578.1689513641</v>
      </c>
      <c r="F156">
        <v>107691.5590903776</v>
      </c>
      <c r="G156">
        <v>120555.87393705717</v>
      </c>
    </row>
    <row r="157" spans="1:7" x14ac:dyDescent="0.3">
      <c r="A157">
        <v>100000</v>
      </c>
      <c r="B157" t="s">
        <v>315</v>
      </c>
      <c r="C157">
        <v>101370.9415387051</v>
      </c>
      <c r="D157">
        <v>104193.11649587851</v>
      </c>
      <c r="E157">
        <v>104292.6561468669</v>
      </c>
      <c r="F157">
        <v>107406.04628588039</v>
      </c>
      <c r="G157">
        <v>120270.36113255996</v>
      </c>
    </row>
    <row r="158" spans="1:7" x14ac:dyDescent="0.3">
      <c r="A158">
        <v>100000</v>
      </c>
      <c r="B158" t="s">
        <v>316</v>
      </c>
      <c r="C158">
        <v>102173.87716609689</v>
      </c>
      <c r="D158">
        <v>103378.18086848671</v>
      </c>
      <c r="E158">
        <v>103477.7205194751</v>
      </c>
      <c r="F158">
        <v>106591.1106584886</v>
      </c>
      <c r="G158">
        <v>119455.42550516817</v>
      </c>
    </row>
    <row r="159" spans="1:7" x14ac:dyDescent="0.3">
      <c r="A159">
        <v>100000</v>
      </c>
      <c r="B159" t="s">
        <v>317</v>
      </c>
      <c r="C159">
        <v>102492.98476122957</v>
      </c>
      <c r="D159">
        <v>103697.28846361939</v>
      </c>
      <c r="E159">
        <v>103796.82811460778</v>
      </c>
      <c r="F159">
        <v>106910.21825362128</v>
      </c>
      <c r="G159">
        <v>119774.53310030085</v>
      </c>
    </row>
    <row r="160" spans="1:7" x14ac:dyDescent="0.3">
      <c r="A160">
        <v>100000</v>
      </c>
      <c r="B160" t="s">
        <v>318</v>
      </c>
      <c r="C160">
        <v>102328.05674627164</v>
      </c>
      <c r="D160">
        <v>103850.21647857732</v>
      </c>
      <c r="E160">
        <v>103949.75612956571</v>
      </c>
      <c r="F160">
        <v>107063.14626857921</v>
      </c>
      <c r="G160">
        <v>119927.46111525877</v>
      </c>
    </row>
    <row r="161" spans="1:7" x14ac:dyDescent="0.3">
      <c r="A161">
        <v>100000</v>
      </c>
      <c r="B161" t="s">
        <v>319</v>
      </c>
      <c r="C161">
        <v>103547.27186037565</v>
      </c>
      <c r="D161">
        <v>105069.43159268133</v>
      </c>
      <c r="E161">
        <v>105168.97124366972</v>
      </c>
      <c r="F161">
        <v>108282.36138268322</v>
      </c>
      <c r="G161">
        <v>121146.67622936278</v>
      </c>
    </row>
    <row r="162" spans="1:7" x14ac:dyDescent="0.3">
      <c r="A162">
        <v>100000</v>
      </c>
      <c r="B162" t="s">
        <v>320</v>
      </c>
      <c r="C162">
        <v>104234.56787869394</v>
      </c>
      <c r="D162">
        <v>105756.72761099962</v>
      </c>
      <c r="E162">
        <v>104469.67522535143</v>
      </c>
      <c r="F162">
        <v>107583.06536436493</v>
      </c>
      <c r="G162">
        <v>120447.3802110445</v>
      </c>
    </row>
    <row r="163" spans="1:7" x14ac:dyDescent="0.3">
      <c r="A163">
        <v>100000</v>
      </c>
      <c r="B163" t="s">
        <v>321</v>
      </c>
      <c r="C163">
        <v>105496.40170752064</v>
      </c>
      <c r="D163">
        <v>107018.56143982631</v>
      </c>
      <c r="E163">
        <v>103195.84139652473</v>
      </c>
      <c r="F163">
        <v>106309.23153553823</v>
      </c>
      <c r="G163">
        <v>119173.5463822178</v>
      </c>
    </row>
    <row r="164" spans="1:7" x14ac:dyDescent="0.3">
      <c r="A164">
        <v>100000</v>
      </c>
      <c r="B164" t="s">
        <v>322</v>
      </c>
      <c r="C164">
        <v>106425.97180614724</v>
      </c>
      <c r="D164">
        <v>107948.13153845292</v>
      </c>
      <c r="E164">
        <v>104125.41149515133</v>
      </c>
      <c r="F164">
        <v>107238.80163416483</v>
      </c>
      <c r="G164">
        <v>120103.1164808444</v>
      </c>
    </row>
    <row r="165" spans="1:7" x14ac:dyDescent="0.3">
      <c r="A165">
        <v>100000</v>
      </c>
      <c r="B165" t="s">
        <v>323</v>
      </c>
      <c r="C165">
        <v>105433.35825294885</v>
      </c>
      <c r="D165">
        <v>106955.51798525453</v>
      </c>
      <c r="E165">
        <v>103132.79794195294</v>
      </c>
      <c r="F165">
        <v>106246.18808096644</v>
      </c>
      <c r="G165">
        <v>119110.50292764601</v>
      </c>
    </row>
    <row r="166" spans="1:7" x14ac:dyDescent="0.3">
      <c r="A166">
        <v>100000</v>
      </c>
      <c r="B166" t="s">
        <v>324</v>
      </c>
      <c r="C166">
        <v>109281.31362820239</v>
      </c>
      <c r="D166">
        <v>110803.47336050807</v>
      </c>
      <c r="E166">
        <v>106980.75331720649</v>
      </c>
      <c r="F166">
        <v>110094.14345621999</v>
      </c>
      <c r="G166">
        <v>122958.45830289955</v>
      </c>
    </row>
    <row r="167" spans="1:7" x14ac:dyDescent="0.3">
      <c r="A167">
        <v>100000</v>
      </c>
      <c r="B167" t="s">
        <v>325</v>
      </c>
      <c r="C167">
        <v>108811.81781210759</v>
      </c>
      <c r="D167">
        <v>110333.97754441327</v>
      </c>
      <c r="E167">
        <v>106511.25750111169</v>
      </c>
      <c r="F167">
        <v>109624.64764012519</v>
      </c>
      <c r="G167">
        <v>123415.95411899436</v>
      </c>
    </row>
    <row r="168" spans="1:7" x14ac:dyDescent="0.3">
      <c r="A168">
        <v>100000</v>
      </c>
      <c r="B168" t="s">
        <v>326</v>
      </c>
      <c r="C168">
        <v>109321.9309883541</v>
      </c>
      <c r="D168">
        <v>110844.09072065978</v>
      </c>
      <c r="E168">
        <v>107021.37067735819</v>
      </c>
      <c r="F168">
        <v>110134.76081637169</v>
      </c>
      <c r="G168">
        <v>122893.84094274785</v>
      </c>
    </row>
    <row r="169" spans="1:7" x14ac:dyDescent="0.3">
      <c r="A169">
        <v>100000</v>
      </c>
      <c r="B169" t="s">
        <v>327</v>
      </c>
      <c r="C169">
        <v>107355.0249038007</v>
      </c>
      <c r="D169">
        <v>108877.18463610638</v>
      </c>
      <c r="E169">
        <v>105054.4645928048</v>
      </c>
      <c r="F169">
        <v>108167.8547318183</v>
      </c>
      <c r="G169">
        <v>124848.74702730124</v>
      </c>
    </row>
    <row r="170" spans="1:7" x14ac:dyDescent="0.3">
      <c r="A170">
        <v>100000</v>
      </c>
      <c r="B170" t="s">
        <v>328</v>
      </c>
      <c r="C170">
        <v>107291.20560432716</v>
      </c>
      <c r="D170">
        <v>108813.36533663284</v>
      </c>
      <c r="E170">
        <v>104990.64529333125</v>
      </c>
      <c r="F170">
        <v>108104.03543234475</v>
      </c>
      <c r="G170">
        <v>124900.56632677479</v>
      </c>
    </row>
    <row r="171" spans="1:7" x14ac:dyDescent="0.3">
      <c r="G171" s="10"/>
    </row>
  </sheetData>
  <phoneticPr fontId="7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829E2-3D48-4BAB-84FF-3EFBC6EEFBA3}">
  <sheetPr codeName="Hoja7"/>
  <dimension ref="A1:G170"/>
  <sheetViews>
    <sheetView topLeftCell="H11" zoomScale="177" workbookViewId="0">
      <selection activeCell="O25" sqref="O25"/>
    </sheetView>
  </sheetViews>
  <sheetFormatPr baseColWidth="10" defaultRowHeight="14.4" x14ac:dyDescent="0.3"/>
  <sheetData>
    <row r="1" spans="1:7" x14ac:dyDescent="0.3">
      <c r="A1" t="s">
        <v>224</v>
      </c>
      <c r="C1" t="s">
        <v>220</v>
      </c>
      <c r="D1" t="s">
        <v>223</v>
      </c>
      <c r="E1" t="s">
        <v>215</v>
      </c>
      <c r="F1" t="s">
        <v>214</v>
      </c>
      <c r="G1" t="s">
        <v>213</v>
      </c>
    </row>
    <row r="2" spans="1:7" x14ac:dyDescent="0.3">
      <c r="C2" t="s">
        <v>10</v>
      </c>
      <c r="D2" t="s">
        <v>10</v>
      </c>
      <c r="E2" t="s">
        <v>10</v>
      </c>
      <c r="F2" t="s">
        <v>10</v>
      </c>
      <c r="G2" t="s">
        <v>10</v>
      </c>
    </row>
    <row r="3" spans="1:7" x14ac:dyDescent="0.3">
      <c r="C3" t="s">
        <v>12</v>
      </c>
      <c r="D3" t="s">
        <v>12</v>
      </c>
      <c r="E3" t="s">
        <v>12</v>
      </c>
      <c r="F3" t="s">
        <v>12</v>
      </c>
      <c r="G3" t="s">
        <v>12</v>
      </c>
    </row>
    <row r="4" spans="1:7" x14ac:dyDescent="0.3">
      <c r="A4">
        <v>100000</v>
      </c>
      <c r="B4" t="s">
        <v>14</v>
      </c>
      <c r="C4">
        <v>100000</v>
      </c>
      <c r="D4">
        <v>100000</v>
      </c>
      <c r="E4">
        <v>100000</v>
      </c>
      <c r="F4">
        <v>100000</v>
      </c>
      <c r="G4">
        <v>100000</v>
      </c>
    </row>
    <row r="5" spans="1:7" x14ac:dyDescent="0.3">
      <c r="A5">
        <v>100000</v>
      </c>
      <c r="B5" t="s">
        <v>15</v>
      </c>
      <c r="C5">
        <v>101401.05998518885</v>
      </c>
      <c r="D5">
        <v>101401.05998518885</v>
      </c>
      <c r="E5">
        <v>101401.05998518885</v>
      </c>
      <c r="F5">
        <v>98586.940014811145</v>
      </c>
      <c r="G5">
        <v>98586.940014811145</v>
      </c>
    </row>
    <row r="6" spans="1:7" x14ac:dyDescent="0.3">
      <c r="A6">
        <v>100000</v>
      </c>
      <c r="B6" t="s">
        <v>16</v>
      </c>
      <c r="C6">
        <v>99840.845363549073</v>
      </c>
      <c r="D6">
        <v>99840.845363549073</v>
      </c>
      <c r="E6">
        <v>99840.845363549073</v>
      </c>
      <c r="F6">
        <v>97069.858536016691</v>
      </c>
      <c r="G6">
        <v>97069.858536016691</v>
      </c>
    </row>
    <row r="7" spans="1:7" x14ac:dyDescent="0.3">
      <c r="A7">
        <v>100000</v>
      </c>
      <c r="B7" t="s">
        <v>17</v>
      </c>
      <c r="C7">
        <v>97724.881652260228</v>
      </c>
      <c r="D7">
        <v>97724.881652260228</v>
      </c>
      <c r="E7">
        <v>97724.881652260228</v>
      </c>
      <c r="F7">
        <v>95012.454842216321</v>
      </c>
      <c r="G7">
        <v>95012.454842216321</v>
      </c>
    </row>
    <row r="8" spans="1:7" x14ac:dyDescent="0.3">
      <c r="A8">
        <v>100000</v>
      </c>
      <c r="B8" t="s">
        <v>18</v>
      </c>
      <c r="C8">
        <v>98441.310212861616</v>
      </c>
      <c r="D8">
        <v>98441.310212861616</v>
      </c>
      <c r="E8">
        <v>98441.310212861616</v>
      </c>
      <c r="F8">
        <v>95708.831860539154</v>
      </c>
      <c r="G8">
        <v>95708.831860539154</v>
      </c>
    </row>
    <row r="9" spans="1:7" x14ac:dyDescent="0.3">
      <c r="A9">
        <v>100000</v>
      </c>
      <c r="B9" t="s">
        <v>19</v>
      </c>
      <c r="C9">
        <v>98532.92720183426</v>
      </c>
      <c r="D9">
        <v>98532.92720183426</v>
      </c>
      <c r="E9">
        <v>98532.92720183426</v>
      </c>
      <c r="F9">
        <v>95797.739252203421</v>
      </c>
      <c r="G9">
        <v>95797.739252203421</v>
      </c>
    </row>
    <row r="10" spans="1:7" x14ac:dyDescent="0.3">
      <c r="A10">
        <v>100000</v>
      </c>
      <c r="B10" t="s">
        <v>20</v>
      </c>
      <c r="C10">
        <v>98974.519115871866</v>
      </c>
      <c r="D10">
        <v>98974.519115871866</v>
      </c>
      <c r="E10">
        <v>98974.519115871866</v>
      </c>
      <c r="F10">
        <v>96226.90640586504</v>
      </c>
      <c r="G10">
        <v>96226.90640586504</v>
      </c>
    </row>
    <row r="11" spans="1:7" x14ac:dyDescent="0.3">
      <c r="A11">
        <v>100000</v>
      </c>
      <c r="B11" t="s">
        <v>21</v>
      </c>
      <c r="C11">
        <v>100699.2911470432</v>
      </c>
      <c r="D11">
        <v>100699.2911470432</v>
      </c>
      <c r="E11">
        <v>100699.2911470432</v>
      </c>
      <c r="F11">
        <v>97903.630805449473</v>
      </c>
      <c r="G11">
        <v>97903.630805449473</v>
      </c>
    </row>
    <row r="12" spans="1:7" x14ac:dyDescent="0.3">
      <c r="A12">
        <v>100000</v>
      </c>
      <c r="B12" t="s">
        <v>22</v>
      </c>
      <c r="C12">
        <v>101956.4136758636</v>
      </c>
      <c r="D12">
        <v>101956.4136758636</v>
      </c>
      <c r="E12">
        <v>99430.1686182228</v>
      </c>
      <c r="F12">
        <v>99125.685941836695</v>
      </c>
      <c r="G12">
        <v>99125.685941836695</v>
      </c>
    </row>
    <row r="13" spans="1:7" x14ac:dyDescent="0.3">
      <c r="A13">
        <v>100000</v>
      </c>
      <c r="B13" t="s">
        <v>23</v>
      </c>
      <c r="C13">
        <v>102866.47956973064</v>
      </c>
      <c r="D13">
        <v>102866.47956973064</v>
      </c>
      <c r="E13">
        <v>98530.800726898422</v>
      </c>
      <c r="F13">
        <v>100010.31809359301</v>
      </c>
      <c r="G13">
        <v>100010.31809359301</v>
      </c>
    </row>
    <row r="14" spans="1:7" x14ac:dyDescent="0.3">
      <c r="A14">
        <v>100000</v>
      </c>
      <c r="B14" t="s">
        <v>24</v>
      </c>
      <c r="C14">
        <v>103908.57189113817</v>
      </c>
      <c r="D14">
        <v>103908.57189113817</v>
      </c>
      <c r="E14">
        <v>97520.884037069511</v>
      </c>
      <c r="F14">
        <v>101023.30938107421</v>
      </c>
      <c r="G14">
        <v>101023.30938107421</v>
      </c>
    </row>
    <row r="15" spans="1:7" x14ac:dyDescent="0.3">
      <c r="A15">
        <v>100000</v>
      </c>
      <c r="B15" t="s">
        <v>25</v>
      </c>
      <c r="C15">
        <v>101353.64398795934</v>
      </c>
      <c r="D15">
        <v>101353.64398795934</v>
      </c>
      <c r="E15">
        <v>99907.118844465149</v>
      </c>
      <c r="F15">
        <v>98539.15837325684</v>
      </c>
      <c r="G15">
        <v>98539.15837325684</v>
      </c>
    </row>
    <row r="16" spans="1:7" x14ac:dyDescent="0.3">
      <c r="A16">
        <v>100000</v>
      </c>
      <c r="B16" t="s">
        <v>26</v>
      </c>
      <c r="C16">
        <v>100262.37609661606</v>
      </c>
      <c r="D16">
        <v>100262.37609661606</v>
      </c>
      <c r="E16">
        <v>98831.339960033569</v>
      </c>
      <c r="F16">
        <v>97478.027246099839</v>
      </c>
      <c r="G16">
        <v>97478.027246099839</v>
      </c>
    </row>
    <row r="17" spans="1:7" x14ac:dyDescent="0.3">
      <c r="A17">
        <v>100000</v>
      </c>
      <c r="B17" t="s">
        <v>27</v>
      </c>
      <c r="C17">
        <v>102466.97926415021</v>
      </c>
      <c r="D17">
        <v>102466.97926415021</v>
      </c>
      <c r="E17">
        <v>101004.39138164323</v>
      </c>
      <c r="F17">
        <v>99621.240581993246</v>
      </c>
      <c r="G17">
        <v>99621.240581993246</v>
      </c>
    </row>
    <row r="18" spans="1:7" x14ac:dyDescent="0.3">
      <c r="A18">
        <v>100000</v>
      </c>
      <c r="B18" t="s">
        <v>28</v>
      </c>
      <c r="C18">
        <v>101774.13770310012</v>
      </c>
      <c r="D18">
        <v>101774.13770310012</v>
      </c>
      <c r="E18">
        <v>100321.35362423417</v>
      </c>
      <c r="F18">
        <v>100283.00700671328</v>
      </c>
      <c r="G18">
        <v>100283.00700671328</v>
      </c>
    </row>
    <row r="19" spans="1:7" x14ac:dyDescent="0.3">
      <c r="A19">
        <v>100000</v>
      </c>
      <c r="B19" t="s">
        <v>29</v>
      </c>
      <c r="C19">
        <v>102149.27503230369</v>
      </c>
      <c r="D19">
        <v>102149.27503230369</v>
      </c>
      <c r="E19">
        <v>100691.05037436505</v>
      </c>
      <c r="F19">
        <v>99901.453862096678</v>
      </c>
      <c r="G19">
        <v>99901.453862096678</v>
      </c>
    </row>
    <row r="20" spans="1:7" x14ac:dyDescent="0.3">
      <c r="A20">
        <v>100000</v>
      </c>
      <c r="B20" t="s">
        <v>30</v>
      </c>
      <c r="C20">
        <v>105043.6806751258</v>
      </c>
      <c r="D20">
        <v>105043.6806751258</v>
      </c>
      <c r="E20">
        <v>103544.05148421274</v>
      </c>
      <c r="F20">
        <v>102732.03532991548</v>
      </c>
      <c r="G20">
        <v>102732.03532991548</v>
      </c>
    </row>
    <row r="21" spans="1:7" x14ac:dyDescent="0.3">
      <c r="A21">
        <v>100000</v>
      </c>
      <c r="B21" t="s">
        <v>31</v>
      </c>
      <c r="C21">
        <v>103263.66512151339</v>
      </c>
      <c r="D21">
        <v>103263.66512151339</v>
      </c>
      <c r="E21">
        <v>105286.74075934527</v>
      </c>
      <c r="F21">
        <v>104461.01098345507</v>
      </c>
      <c r="G21">
        <v>104461.01098345507</v>
      </c>
    </row>
    <row r="22" spans="1:7" x14ac:dyDescent="0.3">
      <c r="A22">
        <v>100000</v>
      </c>
      <c r="B22" t="s">
        <v>32</v>
      </c>
      <c r="C22">
        <v>103473.52854481417</v>
      </c>
      <c r="D22">
        <v>103473.52854481417</v>
      </c>
      <c r="E22">
        <v>105060.64827800878</v>
      </c>
      <c r="F22">
        <v>104236.64461610006</v>
      </c>
      <c r="G22">
        <v>104236.64461610006</v>
      </c>
    </row>
    <row r="23" spans="1:7" x14ac:dyDescent="0.3">
      <c r="A23">
        <v>100000</v>
      </c>
      <c r="B23" t="s">
        <v>33</v>
      </c>
      <c r="C23">
        <v>104081.71532005612</v>
      </c>
      <c r="D23">
        <v>104081.71532005612</v>
      </c>
      <c r="E23">
        <v>104431.04085224334</v>
      </c>
      <c r="F23">
        <v>103611.92822052381</v>
      </c>
      <c r="G23">
        <v>103611.92822052381</v>
      </c>
    </row>
    <row r="24" spans="1:7" x14ac:dyDescent="0.3">
      <c r="A24">
        <v>100000</v>
      </c>
      <c r="B24" t="s">
        <v>34</v>
      </c>
      <c r="C24">
        <v>102257.55414636846</v>
      </c>
      <c r="D24">
        <v>102257.55414636846</v>
      </c>
      <c r="E24">
        <v>106249.30425164517</v>
      </c>
      <c r="F24">
        <v>105415.88287434731</v>
      </c>
      <c r="G24">
        <v>105415.88287434731</v>
      </c>
    </row>
    <row r="25" spans="1:7" x14ac:dyDescent="0.3">
      <c r="A25">
        <v>100000</v>
      </c>
      <c r="B25" t="s">
        <v>35</v>
      </c>
      <c r="C25">
        <v>104252.3575255309</v>
      </c>
      <c r="D25">
        <v>104252.3575255309</v>
      </c>
      <c r="E25">
        <v>108322.21146544437</v>
      </c>
      <c r="F25">
        <v>107472.48310406222</v>
      </c>
      <c r="G25">
        <v>107472.48310406222</v>
      </c>
    </row>
    <row r="26" spans="1:7" x14ac:dyDescent="0.3">
      <c r="A26">
        <v>100000</v>
      </c>
      <c r="B26" t="s">
        <v>36</v>
      </c>
      <c r="C26">
        <v>102050.08908880129</v>
      </c>
      <c r="D26">
        <v>102050.08908880129</v>
      </c>
      <c r="E26">
        <v>106034.20403956871</v>
      </c>
      <c r="F26">
        <v>109730.5894327906</v>
      </c>
      <c r="G26">
        <v>105202.37677533385</v>
      </c>
    </row>
    <row r="27" spans="1:7" x14ac:dyDescent="0.3">
      <c r="A27">
        <v>100000</v>
      </c>
      <c r="B27" t="s">
        <v>37</v>
      </c>
      <c r="C27">
        <v>102519.78293192267</v>
      </c>
      <c r="D27">
        <v>102519.78293192267</v>
      </c>
      <c r="E27">
        <v>106522.46934077787</v>
      </c>
      <c r="F27">
        <v>109213.09388916753</v>
      </c>
      <c r="G27">
        <v>104705.98893382776</v>
      </c>
    </row>
    <row r="28" spans="1:7" x14ac:dyDescent="0.3">
      <c r="A28">
        <v>100000</v>
      </c>
      <c r="B28" t="s">
        <v>38</v>
      </c>
      <c r="C28">
        <v>102563.68838927607</v>
      </c>
      <c r="D28">
        <v>102563.68838927607</v>
      </c>
      <c r="E28">
        <v>106464.6154214773</v>
      </c>
      <c r="F28">
        <v>109260.25757371353</v>
      </c>
      <c r="G28">
        <v>104750.95861124944</v>
      </c>
    </row>
    <row r="29" spans="1:7" x14ac:dyDescent="0.3">
      <c r="A29">
        <v>100000</v>
      </c>
      <c r="B29" t="s">
        <v>39</v>
      </c>
      <c r="C29">
        <v>99754.196906891069</v>
      </c>
      <c r="D29">
        <v>99754.196906891069</v>
      </c>
      <c r="E29">
        <v>103548.49540534969</v>
      </c>
      <c r="F29">
        <v>112240.79409830214</v>
      </c>
      <c r="G29">
        <v>107608.23727107783</v>
      </c>
    </row>
    <row r="30" spans="1:7" x14ac:dyDescent="0.3">
      <c r="A30">
        <v>100000</v>
      </c>
      <c r="B30" t="s">
        <v>40</v>
      </c>
      <c r="C30">
        <v>97504.682066473091</v>
      </c>
      <c r="D30">
        <v>97504.682066473091</v>
      </c>
      <c r="E30">
        <v>105871.3456527402</v>
      </c>
      <c r="F30">
        <v>114759.13788601142</v>
      </c>
      <c r="G30">
        <v>110022.39286106489</v>
      </c>
    </row>
    <row r="31" spans="1:7" x14ac:dyDescent="0.3">
      <c r="A31">
        <v>100000</v>
      </c>
      <c r="B31" t="s">
        <v>41</v>
      </c>
      <c r="C31">
        <v>93847.774681517345</v>
      </c>
      <c r="D31">
        <v>93847.774681517345</v>
      </c>
      <c r="E31">
        <v>109829.52941814422</v>
      </c>
      <c r="F31">
        <v>119050.11086330457</v>
      </c>
      <c r="G31">
        <v>105896.77975024913</v>
      </c>
    </row>
    <row r="32" spans="1:7" x14ac:dyDescent="0.3">
      <c r="A32">
        <v>100000</v>
      </c>
      <c r="B32" t="s">
        <v>42</v>
      </c>
      <c r="C32">
        <v>93408.173523150705</v>
      </c>
      <c r="D32">
        <v>93408.173523150705</v>
      </c>
      <c r="E32">
        <v>109316.08839101084</v>
      </c>
      <c r="F32">
        <v>119594.15337788932</v>
      </c>
      <c r="G32">
        <v>106380.05044977109</v>
      </c>
    </row>
    <row r="33" spans="1:7" x14ac:dyDescent="0.3">
      <c r="A33">
        <v>100000</v>
      </c>
      <c r="B33" t="s">
        <v>43</v>
      </c>
      <c r="C33">
        <v>92064.8529818963</v>
      </c>
      <c r="D33">
        <v>92064.8529818963</v>
      </c>
      <c r="E33">
        <v>107745.01496134305</v>
      </c>
      <c r="F33">
        <v>117875.92936264786</v>
      </c>
      <c r="G33">
        <v>104851.01214080663</v>
      </c>
    </row>
    <row r="34" spans="1:7" x14ac:dyDescent="0.3">
      <c r="A34">
        <v>100000</v>
      </c>
      <c r="B34" t="s">
        <v>44</v>
      </c>
      <c r="C34">
        <v>91970.991941757951</v>
      </c>
      <c r="D34">
        <v>91970.991941757951</v>
      </c>
      <c r="E34">
        <v>107841.84018484161</v>
      </c>
      <c r="F34">
        <v>117982.42290850855</v>
      </c>
      <c r="G34">
        <v>104945.07550579199</v>
      </c>
    </row>
    <row r="35" spans="1:7" x14ac:dyDescent="0.3">
      <c r="A35">
        <v>100000</v>
      </c>
      <c r="B35" t="s">
        <v>45</v>
      </c>
      <c r="C35">
        <v>92175.447962163453</v>
      </c>
      <c r="D35">
        <v>92175.447962163453</v>
      </c>
      <c r="E35">
        <v>107589.0671095563</v>
      </c>
      <c r="F35">
        <v>117706.44527013702</v>
      </c>
      <c r="G35">
        <v>104698.93105931162</v>
      </c>
    </row>
    <row r="36" spans="1:7" x14ac:dyDescent="0.3">
      <c r="A36">
        <v>100000</v>
      </c>
      <c r="B36" t="s">
        <v>46</v>
      </c>
      <c r="C36">
        <v>92810.040095971111</v>
      </c>
      <c r="D36">
        <v>91528.855828355794</v>
      </c>
      <c r="E36">
        <v>108330.7793431044</v>
      </c>
      <c r="F36">
        <v>118518.47029312863</v>
      </c>
      <c r="G36">
        <v>105420.557701085</v>
      </c>
    </row>
    <row r="37" spans="1:7" x14ac:dyDescent="0.3">
      <c r="A37">
        <v>100000</v>
      </c>
      <c r="B37" t="s">
        <v>47</v>
      </c>
      <c r="C37">
        <v>93317.326439431694</v>
      </c>
      <c r="D37">
        <v>92029.056576471921</v>
      </c>
      <c r="E37">
        <v>107725.65548155064</v>
      </c>
      <c r="F37">
        <v>117857.00336103383</v>
      </c>
      <c r="G37">
        <v>104831.52883338909</v>
      </c>
    </row>
    <row r="38" spans="1:7" x14ac:dyDescent="0.3">
      <c r="A38">
        <v>100000</v>
      </c>
      <c r="B38" t="s">
        <v>48</v>
      </c>
      <c r="C38">
        <v>93932.965175955644</v>
      </c>
      <c r="D38">
        <v>92636.11342921856</v>
      </c>
      <c r="E38">
        <v>107002.0348325254</v>
      </c>
      <c r="F38">
        <v>117065.89215548076</v>
      </c>
      <c r="G38">
        <v>104127.18757546462</v>
      </c>
    </row>
    <row r="39" spans="1:7" x14ac:dyDescent="0.3">
      <c r="A39">
        <v>100000</v>
      </c>
      <c r="B39" t="s">
        <v>49</v>
      </c>
      <c r="C39">
        <v>94795.978691549186</v>
      </c>
      <c r="D39">
        <v>93487.129221823969</v>
      </c>
      <c r="E39">
        <v>106006.11383629906</v>
      </c>
      <c r="F39">
        <v>115976.86616660065</v>
      </c>
      <c r="G39">
        <v>103157.86300485917</v>
      </c>
    </row>
    <row r="40" spans="1:7" x14ac:dyDescent="0.3">
      <c r="A40">
        <v>100000</v>
      </c>
      <c r="B40" t="s">
        <v>50</v>
      </c>
      <c r="C40">
        <v>94506.163949952665</v>
      </c>
      <c r="D40">
        <v>93201.23311453205</v>
      </c>
      <c r="E40">
        <v>106317.491199995</v>
      </c>
      <c r="F40">
        <v>115623.63683518195</v>
      </c>
      <c r="G40">
        <v>103460.71283832772</v>
      </c>
    </row>
    <row r="41" spans="1:7" x14ac:dyDescent="0.3">
      <c r="A41">
        <v>100000</v>
      </c>
      <c r="B41" t="s">
        <v>51</v>
      </c>
      <c r="C41">
        <v>94689.361691639424</v>
      </c>
      <c r="D41">
        <v>93381.818434374552</v>
      </c>
      <c r="E41">
        <v>106098.64763089729</v>
      </c>
      <c r="F41">
        <v>115386.16271687565</v>
      </c>
      <c r="G41">
        <v>103247.58843073162</v>
      </c>
    </row>
    <row r="42" spans="1:7" x14ac:dyDescent="0.3">
      <c r="A42">
        <v>100000</v>
      </c>
      <c r="B42" t="s">
        <v>52</v>
      </c>
      <c r="C42">
        <v>93712.918913089088</v>
      </c>
      <c r="D42">
        <v>92418.776273264084</v>
      </c>
      <c r="E42">
        <v>107180.02074829841</v>
      </c>
      <c r="F42">
        <v>114197.60465171645</v>
      </c>
      <c r="G42">
        <v>102183.43496126762</v>
      </c>
    </row>
    <row r="43" spans="1:7" x14ac:dyDescent="0.3">
      <c r="A43">
        <v>100000</v>
      </c>
      <c r="B43" t="s">
        <v>53</v>
      </c>
      <c r="C43">
        <v>93503.584001133015</v>
      </c>
      <c r="D43">
        <v>92212.249345338176</v>
      </c>
      <c r="E43">
        <v>106941.4654044347</v>
      </c>
      <c r="F43">
        <v>114439.38649606371</v>
      </c>
      <c r="G43">
        <v>102399.14889347891</v>
      </c>
    </row>
    <row r="44" spans="1:7" x14ac:dyDescent="0.3">
      <c r="A44">
        <v>100000</v>
      </c>
      <c r="B44" t="s">
        <v>54</v>
      </c>
      <c r="C44">
        <v>91776.041905388251</v>
      </c>
      <c r="D44">
        <v>90508.482669470555</v>
      </c>
      <c r="E44">
        <v>108904.41917707444</v>
      </c>
      <c r="F44">
        <v>112326.38468037083</v>
      </c>
      <c r="G44">
        <v>104278.47176395224</v>
      </c>
    </row>
    <row r="45" spans="1:7" x14ac:dyDescent="0.3">
      <c r="A45">
        <v>100000</v>
      </c>
      <c r="B45" t="s">
        <v>55</v>
      </c>
      <c r="C45">
        <v>93469.874060612405</v>
      </c>
      <c r="D45">
        <v>92178.837695989539</v>
      </c>
      <c r="E45">
        <v>106881.34337254104</v>
      </c>
      <c r="F45">
        <v>114400.84050081913</v>
      </c>
      <c r="G45">
        <v>106203.86797283139</v>
      </c>
    </row>
    <row r="46" spans="1:7" x14ac:dyDescent="0.3">
      <c r="A46">
        <v>100000</v>
      </c>
      <c r="B46" t="s">
        <v>56</v>
      </c>
      <c r="C46">
        <v>94621.757066338178</v>
      </c>
      <c r="D46">
        <v>93314.727644258091</v>
      </c>
      <c r="E46">
        <v>105551.32221209789</v>
      </c>
      <c r="F46">
        <v>115812.01143838503</v>
      </c>
      <c r="G46">
        <v>107513.49672598818</v>
      </c>
    </row>
    <row r="47" spans="1:7" x14ac:dyDescent="0.3">
      <c r="A47">
        <v>100000</v>
      </c>
      <c r="B47" t="s">
        <v>57</v>
      </c>
      <c r="C47">
        <v>94789.185393059612</v>
      </c>
      <c r="D47">
        <v>93479.760370510077</v>
      </c>
      <c r="E47">
        <v>105351.86153495527</v>
      </c>
      <c r="F47">
        <v>116018.278510787</v>
      </c>
      <c r="G47">
        <v>107310.43965988354</v>
      </c>
    </row>
    <row r="48" spans="1:7" x14ac:dyDescent="0.3">
      <c r="A48">
        <v>100000</v>
      </c>
      <c r="B48" t="s">
        <v>58</v>
      </c>
      <c r="C48">
        <v>94059.82978112514</v>
      </c>
      <c r="D48">
        <v>92760.397248062043</v>
      </c>
      <c r="E48">
        <v>106149.82308344889</v>
      </c>
      <c r="F48">
        <v>115126.91935826601</v>
      </c>
      <c r="G48">
        <v>108123.34751762336</v>
      </c>
    </row>
    <row r="49" spans="1:7" x14ac:dyDescent="0.3">
      <c r="A49">
        <v>100000</v>
      </c>
      <c r="B49" t="s">
        <v>59</v>
      </c>
      <c r="C49">
        <v>94172.288380558253</v>
      </c>
      <c r="D49">
        <v>92871.219347000922</v>
      </c>
      <c r="E49">
        <v>106277.50777543482</v>
      </c>
      <c r="F49">
        <v>114975.92894465412</v>
      </c>
      <c r="G49">
        <v>108253.51765893407</v>
      </c>
    </row>
    <row r="50" spans="1:7" x14ac:dyDescent="0.3">
      <c r="A50">
        <v>100000</v>
      </c>
      <c r="B50" t="s">
        <v>60</v>
      </c>
      <c r="C50">
        <v>92832.429335586887</v>
      </c>
      <c r="D50">
        <v>91549.788681846869</v>
      </c>
      <c r="E50">
        <v>107776.82550171134</v>
      </c>
      <c r="F50">
        <v>113341.40652671027</v>
      </c>
      <c r="G50">
        <v>109780.82364695281</v>
      </c>
    </row>
    <row r="51" spans="1:7" x14ac:dyDescent="0.3">
      <c r="A51">
        <v>100000</v>
      </c>
      <c r="B51" t="s">
        <v>61</v>
      </c>
      <c r="C51">
        <v>91939.00071133209</v>
      </c>
      <c r="D51">
        <v>90668.621419692674</v>
      </c>
      <c r="E51">
        <v>108801.11460074785</v>
      </c>
      <c r="F51">
        <v>112251.92299423156</v>
      </c>
      <c r="G51">
        <v>108725.37739206279</v>
      </c>
    </row>
    <row r="52" spans="1:7" x14ac:dyDescent="0.3">
      <c r="A52">
        <v>100000</v>
      </c>
      <c r="B52" t="s">
        <v>62</v>
      </c>
      <c r="C52">
        <v>89521.81482800901</v>
      </c>
      <c r="D52">
        <v>88284.752415939394</v>
      </c>
      <c r="E52">
        <v>105941.70408306312</v>
      </c>
      <c r="F52">
        <v>115189.83417453004</v>
      </c>
      <c r="G52">
        <v>111570.80163094298</v>
      </c>
    </row>
    <row r="53" spans="1:7" x14ac:dyDescent="0.3">
      <c r="A53">
        <v>100000</v>
      </c>
      <c r="B53" t="s">
        <v>63</v>
      </c>
      <c r="C53">
        <v>90757.866860940907</v>
      </c>
      <c r="D53">
        <v>89503.641080515474</v>
      </c>
      <c r="E53">
        <v>104465.83766914555</v>
      </c>
      <c r="F53">
        <v>116782.01186992681</v>
      </c>
      <c r="G53">
        <v>113112.76780262739</v>
      </c>
    </row>
    <row r="54" spans="1:7" x14ac:dyDescent="0.3">
      <c r="A54">
        <v>100000</v>
      </c>
      <c r="B54" t="s">
        <v>64</v>
      </c>
      <c r="C54">
        <v>92626.495165048662</v>
      </c>
      <c r="D54">
        <v>91346.36301166573</v>
      </c>
      <c r="E54">
        <v>102302.06751785977</v>
      </c>
      <c r="F54">
        <v>119188.17593276718</v>
      </c>
      <c r="G54">
        <v>110770.39296909733</v>
      </c>
    </row>
    <row r="55" spans="1:7" x14ac:dyDescent="0.3">
      <c r="A55">
        <v>100000</v>
      </c>
      <c r="B55" t="s">
        <v>65</v>
      </c>
      <c r="C55">
        <v>88766.592571665547</v>
      </c>
      <c r="D55">
        <v>87539.722766350562</v>
      </c>
      <c r="E55">
        <v>98039.594220311279</v>
      </c>
      <c r="F55">
        <v>114223.12377917538</v>
      </c>
      <c r="G55">
        <v>115373.20715312743</v>
      </c>
    </row>
    <row r="56" spans="1:7" x14ac:dyDescent="0.3">
      <c r="A56">
        <v>100000</v>
      </c>
      <c r="B56" t="s">
        <v>66</v>
      </c>
      <c r="C56">
        <v>89132.294601915506</v>
      </c>
      <c r="D56">
        <v>87167.158141787542</v>
      </c>
      <c r="E56">
        <v>97623.062339331955</v>
      </c>
      <c r="F56">
        <v>113738.82484057487</v>
      </c>
      <c r="G56">
        <v>114884.09234503514</v>
      </c>
    </row>
    <row r="57" spans="1:7" x14ac:dyDescent="0.3">
      <c r="A57">
        <v>100000</v>
      </c>
      <c r="B57" t="s">
        <v>67</v>
      </c>
      <c r="C57">
        <v>87492.639354760438</v>
      </c>
      <c r="D57">
        <v>85563.520765638736</v>
      </c>
      <c r="E57">
        <v>99406.340050023457</v>
      </c>
      <c r="F57">
        <v>115817.47921681331</v>
      </c>
      <c r="G57">
        <v>112772.4470106214</v>
      </c>
    </row>
    <row r="58" spans="1:7" x14ac:dyDescent="0.3">
      <c r="A58">
        <v>100000</v>
      </c>
      <c r="B58" t="s">
        <v>68</v>
      </c>
      <c r="C58">
        <v>87104.512852146436</v>
      </c>
      <c r="D58">
        <v>85183.819741385247</v>
      </c>
      <c r="E58">
        <v>99834.499967258904</v>
      </c>
      <c r="F58">
        <v>116317.31523457523</v>
      </c>
      <c r="G58">
        <v>112273.91025455602</v>
      </c>
    </row>
    <row r="59" spans="1:7" x14ac:dyDescent="0.3">
      <c r="A59">
        <v>100000</v>
      </c>
      <c r="B59" t="s">
        <v>69</v>
      </c>
      <c r="C59">
        <v>86670.242230932636</v>
      </c>
      <c r="D59">
        <v>84758.992677167204</v>
      </c>
      <c r="E59">
        <v>100319.36068066559</v>
      </c>
      <c r="F59">
        <v>116883.21773677957</v>
      </c>
      <c r="G59">
        <v>111715.88814093213</v>
      </c>
    </row>
    <row r="60" spans="1:7" x14ac:dyDescent="0.3">
      <c r="A60">
        <v>100000</v>
      </c>
      <c r="B60" t="s">
        <v>70</v>
      </c>
      <c r="C60">
        <v>86714.159398575226</v>
      </c>
      <c r="D60">
        <v>84801.809072942473</v>
      </c>
      <c r="E60">
        <v>100371.13897014529</v>
      </c>
      <c r="F60">
        <v>116944.53587301861</v>
      </c>
      <c r="G60">
        <v>111645.54609488345</v>
      </c>
    </row>
    <row r="61" spans="1:7" x14ac:dyDescent="0.3">
      <c r="A61">
        <v>100000</v>
      </c>
      <c r="B61" t="s">
        <v>71</v>
      </c>
      <c r="C61">
        <v>87680.333283685424</v>
      </c>
      <c r="D61">
        <v>85746.543125634809</v>
      </c>
      <c r="E61">
        <v>99239.853309737373</v>
      </c>
      <c r="F61">
        <v>115627.44176139247</v>
      </c>
      <c r="G61">
        <v>112891.23192168622</v>
      </c>
    </row>
    <row r="62" spans="1:7" x14ac:dyDescent="0.3">
      <c r="A62">
        <v>100000</v>
      </c>
      <c r="B62" t="s">
        <v>72</v>
      </c>
      <c r="C62">
        <v>88990.038313355777</v>
      </c>
      <c r="D62">
        <v>87027.23027476127</v>
      </c>
      <c r="E62">
        <v>100723.01706235354</v>
      </c>
      <c r="F62">
        <v>117356.51279723315</v>
      </c>
      <c r="G62">
        <v>111191.21963771738</v>
      </c>
    </row>
    <row r="63" spans="1:7" x14ac:dyDescent="0.3">
      <c r="A63">
        <v>100000</v>
      </c>
      <c r="B63" t="s">
        <v>73</v>
      </c>
      <c r="C63">
        <v>88827.547491811289</v>
      </c>
      <c r="D63">
        <v>86868.191091718298</v>
      </c>
      <c r="E63">
        <v>100894.14056951537</v>
      </c>
      <c r="F63">
        <v>117556.88665041172</v>
      </c>
      <c r="G63">
        <v>110989.68757997887</v>
      </c>
    </row>
    <row r="64" spans="1:7" x14ac:dyDescent="0.3">
      <c r="A64">
        <v>100000</v>
      </c>
      <c r="B64" t="s">
        <v>74</v>
      </c>
      <c r="C64">
        <v>88404.785602143034</v>
      </c>
      <c r="D64">
        <v>87269.760055330451</v>
      </c>
      <c r="E64">
        <v>100414.76452945209</v>
      </c>
      <c r="F64">
        <v>116999.33218777772</v>
      </c>
      <c r="G64">
        <v>111504.42999869515</v>
      </c>
    </row>
    <row r="65" spans="1:7" x14ac:dyDescent="0.3">
      <c r="A65">
        <v>100000</v>
      </c>
      <c r="B65" t="s">
        <v>75</v>
      </c>
      <c r="C65">
        <v>88386.337073024391</v>
      </c>
      <c r="D65">
        <v>87251.47135238495</v>
      </c>
      <c r="E65">
        <v>100394.62484106676</v>
      </c>
      <c r="F65">
        <v>116976.8571792849</v>
      </c>
      <c r="G65">
        <v>111514.13125439349</v>
      </c>
    </row>
    <row r="66" spans="1:7" x14ac:dyDescent="0.3">
      <c r="A66">
        <v>100000</v>
      </c>
      <c r="B66" t="s">
        <v>76</v>
      </c>
      <c r="C66">
        <v>86956.384310351088</v>
      </c>
      <c r="D66">
        <v>85839.801903984902</v>
      </c>
      <c r="E66">
        <v>98771.211922576025</v>
      </c>
      <c r="F66">
        <v>115086.29532882984</v>
      </c>
      <c r="G66">
        <v>113304.68556963357</v>
      </c>
    </row>
    <row r="67" spans="1:7" x14ac:dyDescent="0.3">
      <c r="A67">
        <v>100000</v>
      </c>
      <c r="B67" t="s">
        <v>77</v>
      </c>
      <c r="C67">
        <v>87188.733280928369</v>
      </c>
      <c r="D67">
        <v>86069.090302653261</v>
      </c>
      <c r="E67">
        <v>98494.478302829433</v>
      </c>
      <c r="F67">
        <v>114764.84178005673</v>
      </c>
      <c r="G67">
        <v>113609.25569488991</v>
      </c>
    </row>
    <row r="68" spans="1:7" x14ac:dyDescent="0.3">
      <c r="A68">
        <v>100000</v>
      </c>
      <c r="B68" t="s">
        <v>78</v>
      </c>
      <c r="C68">
        <v>87299.708042007813</v>
      </c>
      <c r="D68">
        <v>86178.562920451688</v>
      </c>
      <c r="E68">
        <v>98356.33544866048</v>
      </c>
      <c r="F68">
        <v>114604.87016649645</v>
      </c>
      <c r="G68">
        <v>113755.67694292552</v>
      </c>
    </row>
    <row r="69" spans="1:7" x14ac:dyDescent="0.3">
      <c r="A69">
        <v>100000</v>
      </c>
      <c r="B69" t="s">
        <v>79</v>
      </c>
      <c r="C69">
        <v>86831.077761707551</v>
      </c>
      <c r="D69">
        <v>85715.873962218539</v>
      </c>
      <c r="E69">
        <v>98871.558486611815</v>
      </c>
      <c r="F69">
        <v>115206.19961121106</v>
      </c>
      <c r="G69">
        <v>113146.84765643434</v>
      </c>
    </row>
    <row r="70" spans="1:7" x14ac:dyDescent="0.3">
      <c r="A70">
        <v>100000</v>
      </c>
      <c r="B70" t="s">
        <v>80</v>
      </c>
      <c r="C70">
        <v>89562.987707232867</v>
      </c>
      <c r="D70">
        <v>88412.61991286304</v>
      </c>
      <c r="E70">
        <v>95747.994703135875</v>
      </c>
      <c r="F70">
        <v>111567.58087800433</v>
      </c>
      <c r="G70">
        <v>116708.53203268431</v>
      </c>
    </row>
    <row r="71" spans="1:7" x14ac:dyDescent="0.3">
      <c r="A71">
        <v>100000</v>
      </c>
      <c r="B71" t="s">
        <v>81</v>
      </c>
      <c r="C71">
        <v>89626.691352047463</v>
      </c>
      <c r="D71">
        <v>88475.428267891111</v>
      </c>
      <c r="E71">
        <v>95667.477490330144</v>
      </c>
      <c r="F71">
        <v>111474.75185153454</v>
      </c>
      <c r="G71">
        <v>116611.70198924905</v>
      </c>
    </row>
    <row r="72" spans="1:7" x14ac:dyDescent="0.3">
      <c r="A72">
        <v>100000</v>
      </c>
      <c r="B72" t="s">
        <v>82</v>
      </c>
      <c r="C72">
        <v>88740.798907547622</v>
      </c>
      <c r="D72">
        <v>87600.838122673988</v>
      </c>
      <c r="E72">
        <v>96600.674166657933</v>
      </c>
      <c r="F72">
        <v>112563.13334020722</v>
      </c>
      <c r="G72">
        <v>115460.88950121935</v>
      </c>
    </row>
    <row r="73" spans="1:7" x14ac:dyDescent="0.3">
      <c r="A73">
        <v>100000</v>
      </c>
      <c r="B73" t="s">
        <v>83</v>
      </c>
      <c r="C73">
        <v>88382.603407528193</v>
      </c>
      <c r="D73">
        <v>87247.166912085944</v>
      </c>
      <c r="E73">
        <v>96978.064029710498</v>
      </c>
      <c r="F73">
        <v>113003.87519421973</v>
      </c>
      <c r="G73">
        <v>114996.64699933545</v>
      </c>
    </row>
    <row r="74" spans="1:7" x14ac:dyDescent="0.3">
      <c r="A74">
        <v>100000</v>
      </c>
      <c r="B74" t="s">
        <v>84</v>
      </c>
      <c r="C74">
        <v>90337.647467825387</v>
      </c>
      <c r="D74">
        <v>89177.017767958445</v>
      </c>
      <c r="E74">
        <v>94820.30283336193</v>
      </c>
      <c r="F74">
        <v>110490.53133132879</v>
      </c>
      <c r="G74">
        <v>112439.0872708637</v>
      </c>
    </row>
    <row r="75" spans="1:7" x14ac:dyDescent="0.3">
      <c r="A75">
        <v>100000</v>
      </c>
      <c r="B75" t="s">
        <v>85</v>
      </c>
      <c r="C75">
        <v>90081.387237014569</v>
      </c>
      <c r="D75">
        <v>88923.972801931654</v>
      </c>
      <c r="E75">
        <v>95076.981257449515</v>
      </c>
      <c r="F75">
        <v>110790.62061579058</v>
      </c>
      <c r="G75">
        <v>112744.57459338431</v>
      </c>
    </row>
    <row r="76" spans="1:7" x14ac:dyDescent="0.3">
      <c r="A76">
        <v>100000</v>
      </c>
      <c r="B76" t="s">
        <v>86</v>
      </c>
      <c r="C76">
        <v>89688.651854990458</v>
      </c>
      <c r="D76">
        <v>88536.206405482037</v>
      </c>
      <c r="E76">
        <v>95479.163611164317</v>
      </c>
      <c r="F76">
        <v>111260.26441194797</v>
      </c>
      <c r="G76">
        <v>113222.60706073293</v>
      </c>
    </row>
    <row r="77" spans="1:7" x14ac:dyDescent="0.3">
      <c r="A77">
        <v>100000</v>
      </c>
      <c r="B77" t="s">
        <v>87</v>
      </c>
      <c r="C77">
        <v>88724.015622114181</v>
      </c>
      <c r="D77">
        <v>87583.888073939568</v>
      </c>
      <c r="E77">
        <v>96493.691669389227</v>
      </c>
      <c r="F77">
        <v>112443.4686037685</v>
      </c>
      <c r="G77">
        <v>114426.7857317717</v>
      </c>
    </row>
    <row r="78" spans="1:7" x14ac:dyDescent="0.3">
      <c r="A78">
        <v>100000</v>
      </c>
      <c r="B78" t="s">
        <v>88</v>
      </c>
      <c r="C78">
        <v>89512.647070301464</v>
      </c>
      <c r="D78">
        <v>88362.308293539289</v>
      </c>
      <c r="E78">
        <v>95623.473324282313</v>
      </c>
      <c r="F78">
        <v>111430.40061130555</v>
      </c>
      <c r="G78">
        <v>113395.95472271636</v>
      </c>
    </row>
    <row r="79" spans="1:7" x14ac:dyDescent="0.3">
      <c r="A79">
        <v>100000</v>
      </c>
      <c r="B79" t="s">
        <v>89</v>
      </c>
      <c r="C79">
        <v>89800.095143688552</v>
      </c>
      <c r="D79">
        <v>88645.98522721784</v>
      </c>
      <c r="E79">
        <v>95303.99221366836</v>
      </c>
      <c r="F79">
        <v>111059.09986949575</v>
      </c>
      <c r="G79">
        <v>113018.21033203672</v>
      </c>
    </row>
    <row r="80" spans="1:7" x14ac:dyDescent="0.3">
      <c r="A80">
        <v>100000</v>
      </c>
      <c r="B80" t="s">
        <v>90</v>
      </c>
      <c r="C80">
        <v>90084.128801867206</v>
      </c>
      <c r="D80">
        <v>88926.291375748769</v>
      </c>
      <c r="E80">
        <v>94990.182233550498</v>
      </c>
      <c r="F80">
        <v>110694.40451446702</v>
      </c>
      <c r="G80">
        <v>112647.18750070278</v>
      </c>
    </row>
    <row r="81" spans="1:7" x14ac:dyDescent="0.3">
      <c r="A81">
        <v>100000</v>
      </c>
      <c r="B81" t="s">
        <v>91</v>
      </c>
      <c r="C81">
        <v>90132.438688725553</v>
      </c>
      <c r="D81">
        <v>88973.903226000126</v>
      </c>
      <c r="E81">
        <v>95041.449880120126</v>
      </c>
      <c r="F81">
        <v>110755.13991686245</v>
      </c>
      <c r="G81">
        <v>112709.10019619581</v>
      </c>
    </row>
    <row r="82" spans="1:7" x14ac:dyDescent="0.3">
      <c r="A82">
        <v>100000</v>
      </c>
      <c r="B82" t="s">
        <v>92</v>
      </c>
      <c r="C82">
        <v>91228.645514343239</v>
      </c>
      <c r="D82">
        <v>90055.942614085739</v>
      </c>
      <c r="E82">
        <v>96197.687763600057</v>
      </c>
      <c r="F82">
        <v>112103.53654658415</v>
      </c>
      <c r="G82">
        <v>114081.39131261063</v>
      </c>
    </row>
    <row r="83" spans="1:7" x14ac:dyDescent="0.3">
      <c r="A83">
        <v>100000</v>
      </c>
      <c r="B83" t="s">
        <v>93</v>
      </c>
      <c r="C83">
        <v>91577.985903406952</v>
      </c>
      <c r="D83">
        <v>90400.715263461068</v>
      </c>
      <c r="E83">
        <v>96566.382834476375</v>
      </c>
      <c r="F83">
        <v>112534.18573793511</v>
      </c>
      <c r="G83">
        <v>114519.74435266075</v>
      </c>
    </row>
    <row r="84" spans="1:7" x14ac:dyDescent="0.3">
      <c r="A84">
        <v>100000</v>
      </c>
      <c r="B84" t="s">
        <v>94</v>
      </c>
      <c r="C84">
        <v>88927.368821385404</v>
      </c>
      <c r="D84">
        <v>87784.095762996367</v>
      </c>
      <c r="E84">
        <v>93771.709300397401</v>
      </c>
      <c r="F84">
        <v>109278.38910855917</v>
      </c>
      <c r="G84">
        <v>111206.60815441291</v>
      </c>
    </row>
    <row r="85" spans="1:7" x14ac:dyDescent="0.3">
      <c r="A85">
        <v>100000</v>
      </c>
      <c r="B85" t="s">
        <v>95</v>
      </c>
      <c r="C85">
        <v>87902.814881687475</v>
      </c>
      <c r="D85">
        <v>86772.636613948445</v>
      </c>
      <c r="E85">
        <v>92691.669382135922</v>
      </c>
      <c r="F85">
        <v>108020.73919216584</v>
      </c>
      <c r="G85">
        <v>109926.87285382587</v>
      </c>
    </row>
    <row r="86" spans="1:7" x14ac:dyDescent="0.3">
      <c r="A86">
        <v>100000</v>
      </c>
      <c r="B86" t="s">
        <v>96</v>
      </c>
      <c r="C86">
        <v>88229.302377653177</v>
      </c>
      <c r="D86">
        <v>87094.849273633401</v>
      </c>
      <c r="E86">
        <v>93036.270453230478</v>
      </c>
      <c r="F86">
        <v>108423.32161509174</v>
      </c>
      <c r="G86">
        <v>110336.66512104396</v>
      </c>
    </row>
    <row r="87" spans="1:7" x14ac:dyDescent="0.3">
      <c r="A87">
        <v>100000</v>
      </c>
      <c r="B87" t="s">
        <v>97</v>
      </c>
      <c r="C87">
        <v>88921.010715174561</v>
      </c>
      <c r="D87">
        <v>87777.586471546165</v>
      </c>
      <c r="E87">
        <v>93765.991804729623</v>
      </c>
      <c r="F87">
        <v>109274.72220009028</v>
      </c>
      <c r="G87">
        <v>109458.13401046413</v>
      </c>
    </row>
    <row r="88" spans="1:7" x14ac:dyDescent="0.3">
      <c r="A88">
        <v>100000</v>
      </c>
      <c r="B88" t="s">
        <v>98</v>
      </c>
      <c r="C88">
        <v>89659.64087984708</v>
      </c>
      <c r="D88">
        <v>88506.641529323533</v>
      </c>
      <c r="E88">
        <v>94545.194147310773</v>
      </c>
      <c r="F88">
        <v>110183.79563135204</v>
      </c>
      <c r="G88">
        <v>108535.52467710833</v>
      </c>
    </row>
    <row r="89" spans="1:7" x14ac:dyDescent="0.3">
      <c r="A89">
        <v>100000</v>
      </c>
      <c r="B89" t="s">
        <v>99</v>
      </c>
      <c r="C89">
        <v>89890.692465741929</v>
      </c>
      <c r="D89">
        <v>88734.644694302406</v>
      </c>
      <c r="E89">
        <v>94789.162672629667</v>
      </c>
      <c r="F89">
        <v>110469.11113560807</v>
      </c>
      <c r="G89">
        <v>108242.56704490994</v>
      </c>
    </row>
    <row r="90" spans="1:7" x14ac:dyDescent="0.3">
      <c r="A90">
        <v>100000</v>
      </c>
      <c r="B90" t="s">
        <v>100</v>
      </c>
      <c r="C90">
        <v>88349.89795558808</v>
      </c>
      <c r="D90">
        <v>87213.588554433751</v>
      </c>
      <c r="E90">
        <v>93164.731637097517</v>
      </c>
      <c r="F90">
        <v>108576.96051576361</v>
      </c>
      <c r="G90">
        <v>110084.70163046563</v>
      </c>
    </row>
    <row r="91" spans="1:7" x14ac:dyDescent="0.3">
      <c r="A91">
        <v>100000</v>
      </c>
      <c r="B91" t="s">
        <v>101</v>
      </c>
      <c r="C91">
        <v>87932.133203549427</v>
      </c>
      <c r="D91">
        <v>86801.11970165059</v>
      </c>
      <c r="E91">
        <v>93592.936469349632</v>
      </c>
      <c r="F91">
        <v>109076.99579433697</v>
      </c>
      <c r="G91">
        <v>110591.76390805766</v>
      </c>
    </row>
    <row r="92" spans="1:7" x14ac:dyDescent="0.3">
      <c r="A92">
        <v>100000</v>
      </c>
      <c r="B92" t="s">
        <v>102</v>
      </c>
      <c r="C92">
        <v>88171.781612830251</v>
      </c>
      <c r="D92">
        <v>87037.608496152432</v>
      </c>
      <c r="E92">
        <v>93848.398976012541</v>
      </c>
      <c r="F92">
        <v>109375.71478078511</v>
      </c>
      <c r="G92">
        <v>110276.81324470133</v>
      </c>
    </row>
    <row r="93" spans="1:7" x14ac:dyDescent="0.3">
      <c r="A93">
        <v>100000</v>
      </c>
      <c r="B93" t="s">
        <v>103</v>
      </c>
      <c r="C93">
        <v>87222.546609090452</v>
      </c>
      <c r="D93">
        <v>86100.506532761618</v>
      </c>
      <c r="E93">
        <v>92838.437239730323</v>
      </c>
      <c r="F93">
        <v>108199.6465247833</v>
      </c>
      <c r="G93">
        <v>111450.52117903827</v>
      </c>
    </row>
    <row r="94" spans="1:7" x14ac:dyDescent="0.3">
      <c r="A94">
        <v>100000</v>
      </c>
      <c r="B94" t="s">
        <v>104</v>
      </c>
      <c r="C94">
        <v>87181.391536860174</v>
      </c>
      <c r="D94">
        <v>86059.803699103388</v>
      </c>
      <c r="E94">
        <v>92869.855798277305</v>
      </c>
      <c r="F94">
        <v>108237.2564231037</v>
      </c>
      <c r="G94">
        <v>111399.60101476342</v>
      </c>
    </row>
    <row r="95" spans="1:7" x14ac:dyDescent="0.3">
      <c r="A95">
        <v>100000</v>
      </c>
      <c r="B95" t="s">
        <v>105</v>
      </c>
      <c r="C95">
        <v>86811.532819744505</v>
      </c>
      <c r="D95">
        <v>85694.626021193268</v>
      </c>
      <c r="E95">
        <v>93251.455789442756</v>
      </c>
      <c r="F95">
        <v>108682.99352630856</v>
      </c>
      <c r="G95">
        <v>110928.66560598079</v>
      </c>
    </row>
    <row r="96" spans="1:7" x14ac:dyDescent="0.3">
      <c r="A96">
        <v>100000</v>
      </c>
      <c r="B96" t="s">
        <v>106</v>
      </c>
      <c r="C96">
        <v>86681.941690382286</v>
      </c>
      <c r="D96">
        <v>85810.627041866683</v>
      </c>
      <c r="E96">
        <v>93112.696323490018</v>
      </c>
      <c r="F96">
        <v>108522.26461557415</v>
      </c>
      <c r="G96">
        <v>111080.59161667978</v>
      </c>
    </row>
    <row r="97" spans="1:7" x14ac:dyDescent="0.3">
      <c r="A97">
        <v>100000</v>
      </c>
      <c r="B97" t="s">
        <v>107</v>
      </c>
      <c r="C97">
        <v>87169.493401218366</v>
      </c>
      <c r="D97">
        <v>86293.217640537245</v>
      </c>
      <c r="E97">
        <v>92576.529028262958</v>
      </c>
      <c r="F97">
        <v>107898.35795219855</v>
      </c>
      <c r="G97">
        <v>111707.06494346475</v>
      </c>
    </row>
    <row r="98" spans="1:7" x14ac:dyDescent="0.3">
      <c r="A98">
        <v>100000</v>
      </c>
      <c r="B98" t="s">
        <v>108</v>
      </c>
      <c r="C98">
        <v>87703.869417529495</v>
      </c>
      <c r="D98">
        <v>86822.16149949297</v>
      </c>
      <c r="E98">
        <v>91996.634033485971</v>
      </c>
      <c r="F98">
        <v>107223.48077324839</v>
      </c>
      <c r="G98">
        <v>112393.55283564648</v>
      </c>
    </row>
    <row r="99" spans="1:7" x14ac:dyDescent="0.3">
      <c r="A99">
        <v>100000</v>
      </c>
      <c r="B99" t="s">
        <v>109</v>
      </c>
      <c r="C99">
        <v>88799.081421087292</v>
      </c>
      <c r="D99">
        <v>87906.302756122241</v>
      </c>
      <c r="E99">
        <v>90835.521968791378</v>
      </c>
      <c r="F99">
        <v>105871.18003560786</v>
      </c>
      <c r="G99">
        <v>113798.76912891965</v>
      </c>
    </row>
    <row r="100" spans="1:7" x14ac:dyDescent="0.3">
      <c r="A100">
        <v>100000</v>
      </c>
      <c r="B100" t="s">
        <v>110</v>
      </c>
      <c r="C100">
        <v>89178.311700165999</v>
      </c>
      <c r="D100">
        <v>88281.659961642566</v>
      </c>
      <c r="E100">
        <v>90435.457155076001</v>
      </c>
      <c r="F100">
        <v>105405.88717380328</v>
      </c>
      <c r="G100">
        <v>114286.4536455698</v>
      </c>
    </row>
    <row r="101" spans="1:7" x14ac:dyDescent="0.3">
      <c r="A101">
        <v>100000</v>
      </c>
      <c r="B101" t="s">
        <v>111</v>
      </c>
      <c r="C101">
        <v>90005.950277724507</v>
      </c>
      <c r="D101">
        <v>89100.916641566801</v>
      </c>
      <c r="E101">
        <v>89584.066785755174</v>
      </c>
      <c r="F101">
        <v>104414.55327170723</v>
      </c>
      <c r="G101">
        <v>115348.80305513955</v>
      </c>
    </row>
    <row r="102" spans="1:7" x14ac:dyDescent="0.3">
      <c r="A102">
        <v>100000</v>
      </c>
      <c r="B102" t="s">
        <v>112</v>
      </c>
      <c r="C102">
        <v>88679.518016518006</v>
      </c>
      <c r="D102">
        <v>87787.761675994334</v>
      </c>
      <c r="E102">
        <v>90892.309805344339</v>
      </c>
      <c r="F102">
        <v>105940.36693795935</v>
      </c>
      <c r="G102">
        <v>113650.57848136872</v>
      </c>
    </row>
    <row r="103" spans="1:7" x14ac:dyDescent="0.3">
      <c r="A103">
        <v>100000</v>
      </c>
      <c r="B103" t="s">
        <v>113</v>
      </c>
      <c r="C103">
        <v>88504.314585843487</v>
      </c>
      <c r="D103">
        <v>87614.259745683346</v>
      </c>
      <c r="E103">
        <v>91059.735315371698</v>
      </c>
      <c r="F103">
        <v>106136.50463484535</v>
      </c>
      <c r="G103">
        <v>113427.7294478229</v>
      </c>
    </row>
    <row r="104" spans="1:7" x14ac:dyDescent="0.3">
      <c r="A104">
        <v>100000</v>
      </c>
      <c r="B104" t="s">
        <v>114</v>
      </c>
      <c r="C104">
        <v>89179.527374884623</v>
      </c>
      <c r="D104">
        <v>88282.621832101649</v>
      </c>
      <c r="E104">
        <v>90352.853595041946</v>
      </c>
      <c r="F104">
        <v>105313.57785924445</v>
      </c>
      <c r="G104">
        <v>112548.6825201863</v>
      </c>
    </row>
    <row r="105" spans="1:7" x14ac:dyDescent="0.3">
      <c r="A105">
        <v>100000</v>
      </c>
      <c r="B105" t="s">
        <v>115</v>
      </c>
      <c r="C105">
        <v>91615.293693710468</v>
      </c>
      <c r="D105">
        <v>90693.830566804754</v>
      </c>
      <c r="E105">
        <v>87872.961198295408</v>
      </c>
      <c r="F105">
        <v>102424.05565519915</v>
      </c>
      <c r="G105">
        <v>109461.06064691978</v>
      </c>
    </row>
    <row r="106" spans="1:7" x14ac:dyDescent="0.3">
      <c r="A106">
        <v>100000</v>
      </c>
      <c r="B106" t="s">
        <v>116</v>
      </c>
      <c r="C106">
        <v>90435.298691675198</v>
      </c>
      <c r="D106">
        <v>89525.64356168716</v>
      </c>
      <c r="E106">
        <v>88993.000455515197</v>
      </c>
      <c r="F106">
        <v>103730.55845445221</v>
      </c>
      <c r="G106">
        <v>110857.73844159661</v>
      </c>
    </row>
    <row r="107" spans="1:7" x14ac:dyDescent="0.3">
      <c r="A107">
        <v>100000</v>
      </c>
      <c r="B107" t="s">
        <v>117</v>
      </c>
      <c r="C107">
        <v>89476.646224681885</v>
      </c>
      <c r="D107">
        <v>88576.573472551085</v>
      </c>
      <c r="E107">
        <v>89924.459640762376</v>
      </c>
      <c r="F107">
        <v>104817.26422137997</v>
      </c>
      <c r="G107">
        <v>112019.52247658657</v>
      </c>
    </row>
    <row r="108" spans="1:7" x14ac:dyDescent="0.3">
      <c r="A108">
        <v>100000</v>
      </c>
      <c r="B108" t="s">
        <v>118</v>
      </c>
      <c r="C108">
        <v>91256.667463789869</v>
      </c>
      <c r="D108">
        <v>90338.628581726007</v>
      </c>
      <c r="E108">
        <v>88123.499708643154</v>
      </c>
      <c r="F108">
        <v>102719.03269479267</v>
      </c>
      <c r="G108">
        <v>109777.52845155874</v>
      </c>
    </row>
    <row r="109" spans="1:7" x14ac:dyDescent="0.3">
      <c r="A109">
        <v>100000</v>
      </c>
      <c r="B109" t="s">
        <v>119</v>
      </c>
      <c r="C109">
        <v>91576.959574016015</v>
      </c>
      <c r="D109">
        <v>90655.638204738643</v>
      </c>
      <c r="E109">
        <v>87802.410373479157</v>
      </c>
      <c r="F109">
        <v>102345.75640835943</v>
      </c>
      <c r="G109">
        <v>109379.01421222293</v>
      </c>
    </row>
    <row r="110" spans="1:7" x14ac:dyDescent="0.3">
      <c r="A110">
        <v>100000</v>
      </c>
      <c r="B110" t="s">
        <v>120</v>
      </c>
      <c r="C110">
        <v>91782.687154660292</v>
      </c>
      <c r="D110">
        <v>90859.235673776027</v>
      </c>
      <c r="E110">
        <v>87593.409618599457</v>
      </c>
      <c r="F110">
        <v>102103.13117539309</v>
      </c>
      <c r="G110">
        <v>109120.12796048302</v>
      </c>
    </row>
    <row r="111" spans="1:7" x14ac:dyDescent="0.3">
      <c r="A111">
        <v>100000</v>
      </c>
      <c r="B111" t="s">
        <v>121</v>
      </c>
      <c r="C111">
        <v>91308.680430339882</v>
      </c>
      <c r="D111">
        <v>90389.937696998706</v>
      </c>
      <c r="E111">
        <v>88034.054906273144</v>
      </c>
      <c r="F111">
        <v>102617.76260867999</v>
      </c>
      <c r="G111">
        <v>109670.53958044524</v>
      </c>
    </row>
    <row r="112" spans="1:7" x14ac:dyDescent="0.3">
      <c r="A112">
        <v>100000</v>
      </c>
      <c r="B112" t="s">
        <v>122</v>
      </c>
      <c r="C112">
        <v>89054.417057611106</v>
      </c>
      <c r="D112">
        <v>88158.296222063174</v>
      </c>
      <c r="E112">
        <v>90195.688260142124</v>
      </c>
      <c r="F112">
        <v>105138.4857633365</v>
      </c>
      <c r="G112">
        <v>112364.92092473841</v>
      </c>
    </row>
    <row r="113" spans="1:7" x14ac:dyDescent="0.3">
      <c r="A113">
        <v>100000</v>
      </c>
      <c r="B113" t="s">
        <v>123</v>
      </c>
      <c r="C113">
        <v>89387.884023878534</v>
      </c>
      <c r="D113">
        <v>88488.347260951545</v>
      </c>
      <c r="E113">
        <v>90533.505643666911</v>
      </c>
      <c r="F113">
        <v>104731.70785720591</v>
      </c>
      <c r="G113">
        <v>111930.59653520786</v>
      </c>
    </row>
    <row r="114" spans="1:7" x14ac:dyDescent="0.3">
      <c r="A114">
        <v>100000</v>
      </c>
      <c r="B114" t="s">
        <v>124</v>
      </c>
      <c r="C114">
        <v>89962.664425080642</v>
      </c>
      <c r="D114">
        <v>89057.283096888757</v>
      </c>
      <c r="E114">
        <v>91115.729498657325</v>
      </c>
      <c r="F114">
        <v>104045.23394318372</v>
      </c>
      <c r="G114">
        <v>111197.34924132244</v>
      </c>
    </row>
    <row r="115" spans="1:7" x14ac:dyDescent="0.3">
      <c r="A115">
        <v>100000</v>
      </c>
      <c r="B115" t="s">
        <v>125</v>
      </c>
      <c r="C115">
        <v>90908.527101684944</v>
      </c>
      <c r="D115">
        <v>89993.566258480831</v>
      </c>
      <c r="E115">
        <v>92073.792343122914</v>
      </c>
      <c r="F115">
        <v>102938.36865087619</v>
      </c>
      <c r="G115">
        <v>110014.80998299162</v>
      </c>
    </row>
    <row r="116" spans="1:7" x14ac:dyDescent="0.3">
      <c r="A116">
        <v>100000</v>
      </c>
      <c r="B116" t="s">
        <v>126</v>
      </c>
      <c r="C116">
        <v>90921.557565805037</v>
      </c>
      <c r="D116">
        <v>89968.727328973095</v>
      </c>
      <c r="E116">
        <v>92087.066739677888</v>
      </c>
      <c r="F116">
        <v>102953.91739876207</v>
      </c>
      <c r="G116">
        <v>110031.84008765625</v>
      </c>
    </row>
    <row r="117" spans="1:7" x14ac:dyDescent="0.3">
      <c r="A117">
        <v>100000</v>
      </c>
      <c r="B117" t="s">
        <v>127</v>
      </c>
      <c r="C117">
        <v>90105.117743042108</v>
      </c>
      <c r="D117">
        <v>90764.673989179908</v>
      </c>
      <c r="E117">
        <v>92901.895463308669</v>
      </c>
      <c r="F117">
        <v>102030.22574451371</v>
      </c>
      <c r="G117">
        <v>109045.05855062223</v>
      </c>
    </row>
    <row r="118" spans="1:7" x14ac:dyDescent="0.3">
      <c r="A118">
        <v>100000</v>
      </c>
      <c r="B118" t="s">
        <v>128</v>
      </c>
      <c r="C118">
        <v>92968.647945024888</v>
      </c>
      <c r="D118">
        <v>93649.208731366452</v>
      </c>
      <c r="E118">
        <v>89937.297755089196</v>
      </c>
      <c r="F118">
        <v>98774.922912193608</v>
      </c>
      <c r="G118">
        <v>105566.35803453912</v>
      </c>
    </row>
    <row r="119" spans="1:7" x14ac:dyDescent="0.3">
      <c r="A119">
        <v>100000</v>
      </c>
      <c r="B119" t="s">
        <v>129</v>
      </c>
      <c r="C119">
        <v>95309.519257077176</v>
      </c>
      <c r="D119">
        <v>96007.259905887186</v>
      </c>
      <c r="E119">
        <v>92201.646616242215</v>
      </c>
      <c r="F119">
        <v>101262.36600356652</v>
      </c>
      <c r="G119">
        <v>108225.24197837793</v>
      </c>
    </row>
    <row r="120" spans="1:7" x14ac:dyDescent="0.3">
      <c r="A120">
        <v>100000</v>
      </c>
      <c r="B120" t="s">
        <v>130</v>
      </c>
      <c r="C120">
        <v>95634.976891722559</v>
      </c>
      <c r="D120">
        <v>96335.144071133633</v>
      </c>
      <c r="E120">
        <v>92516.29601135035</v>
      </c>
      <c r="F120">
        <v>101608.52583582426</v>
      </c>
      <c r="G120">
        <v>108595.61658392305</v>
      </c>
    </row>
    <row r="121" spans="1:7" x14ac:dyDescent="0.3">
      <c r="A121">
        <v>100000</v>
      </c>
      <c r="B121" t="s">
        <v>131</v>
      </c>
      <c r="C121">
        <v>94882.139816870505</v>
      </c>
      <c r="D121">
        <v>95576.83921843319</v>
      </c>
      <c r="E121">
        <v>93232.778539552281</v>
      </c>
      <c r="F121">
        <v>102396.01182475458</v>
      </c>
      <c r="G121">
        <v>109437.66648435977</v>
      </c>
    </row>
    <row r="122" spans="1:7" x14ac:dyDescent="0.3">
      <c r="A122">
        <v>100000</v>
      </c>
      <c r="B122" t="s">
        <v>132</v>
      </c>
      <c r="C122">
        <v>93257.853818586314</v>
      </c>
      <c r="D122">
        <v>93940.704601254707</v>
      </c>
      <c r="E122">
        <v>94816.9334452373</v>
      </c>
      <c r="F122">
        <v>100643.57110855691</v>
      </c>
      <c r="G122">
        <v>111298.20789772115</v>
      </c>
    </row>
    <row r="123" spans="1:7" x14ac:dyDescent="0.3">
      <c r="A123">
        <v>100000</v>
      </c>
      <c r="B123" t="s">
        <v>133</v>
      </c>
      <c r="C123">
        <v>93095.720066285285</v>
      </c>
      <c r="D123">
        <v>93777.427609531005</v>
      </c>
      <c r="E123">
        <v>94652.189457526838</v>
      </c>
      <c r="F123">
        <v>100469.07207326147</v>
      </c>
      <c r="G123">
        <v>111105.87070345915</v>
      </c>
    </row>
    <row r="124" spans="1:7" x14ac:dyDescent="0.3">
      <c r="A124">
        <v>100000</v>
      </c>
      <c r="B124" t="s">
        <v>134</v>
      </c>
      <c r="C124">
        <v>94488.324191721287</v>
      </c>
      <c r="D124">
        <v>95180.273226000601</v>
      </c>
      <c r="E124">
        <v>93224.202038958188</v>
      </c>
      <c r="F124">
        <v>101972.4482140802</v>
      </c>
      <c r="G124">
        <v>112769.04656906688</v>
      </c>
    </row>
    <row r="125" spans="1:7" x14ac:dyDescent="0.3">
      <c r="A125">
        <v>100000</v>
      </c>
      <c r="B125" t="s">
        <v>135</v>
      </c>
      <c r="C125">
        <v>93776.784059858852</v>
      </c>
      <c r="D125">
        <v>94463.566341345548</v>
      </c>
      <c r="E125">
        <v>93914.303026693771</v>
      </c>
      <c r="F125">
        <v>101205.02445961381</v>
      </c>
      <c r="G125">
        <v>111921.00509286392</v>
      </c>
    </row>
    <row r="126" spans="1:7" x14ac:dyDescent="0.3">
      <c r="A126">
        <v>100000</v>
      </c>
      <c r="B126" t="s">
        <v>136</v>
      </c>
      <c r="C126">
        <v>93372.664491080461</v>
      </c>
      <c r="D126">
        <v>94056.531109927499</v>
      </c>
      <c r="E126">
        <v>94307.006417921657</v>
      </c>
      <c r="F126">
        <v>100769.36906995629</v>
      </c>
      <c r="G126">
        <v>111439.85612362252</v>
      </c>
    </row>
    <row r="127" spans="1:7" x14ac:dyDescent="0.3">
      <c r="A127">
        <v>100000</v>
      </c>
      <c r="B127" t="s">
        <v>137</v>
      </c>
      <c r="C127">
        <v>93439.178284107969</v>
      </c>
      <c r="D127">
        <v>94123.575998032218</v>
      </c>
      <c r="E127">
        <v>94374.245826711223</v>
      </c>
      <c r="F127">
        <v>100685.11095006565</v>
      </c>
      <c r="G127">
        <v>111347.31123700064</v>
      </c>
    </row>
    <row r="128" spans="1:7" x14ac:dyDescent="0.3">
      <c r="A128">
        <v>100000</v>
      </c>
      <c r="B128" t="s">
        <v>138</v>
      </c>
      <c r="C128">
        <v>92751.281830935506</v>
      </c>
      <c r="D128">
        <v>94804.467019674295</v>
      </c>
      <c r="E128">
        <v>95056.966175946203</v>
      </c>
      <c r="F128">
        <v>99944.335438284383</v>
      </c>
      <c r="G128">
        <v>110528.72557435773</v>
      </c>
    </row>
    <row r="129" spans="1:7" x14ac:dyDescent="0.3">
      <c r="A129">
        <v>100000</v>
      </c>
      <c r="B129" t="s">
        <v>139</v>
      </c>
      <c r="C129">
        <v>92957.270693371102</v>
      </c>
      <c r="D129">
        <v>95015.148565423136</v>
      </c>
      <c r="E129">
        <v>95268.224824327452</v>
      </c>
      <c r="F129">
        <v>100166.76447514731</v>
      </c>
      <c r="G129">
        <v>110775.34589763987</v>
      </c>
    </row>
    <row r="130" spans="1:7" x14ac:dyDescent="0.3">
      <c r="A130">
        <v>100000</v>
      </c>
      <c r="B130" t="s">
        <v>140</v>
      </c>
      <c r="C130">
        <v>93800.018226705579</v>
      </c>
      <c r="D130">
        <v>95876.685578642078</v>
      </c>
      <c r="E130">
        <v>96132.072553522536</v>
      </c>
      <c r="F130">
        <v>99246.190567843048</v>
      </c>
      <c r="G130">
        <v>109757.91020376036</v>
      </c>
    </row>
    <row r="131" spans="1:7" x14ac:dyDescent="0.3">
      <c r="A131">
        <v>100000</v>
      </c>
      <c r="B131" t="s">
        <v>141</v>
      </c>
      <c r="C131">
        <v>92730.762330199097</v>
      </c>
      <c r="D131">
        <v>94783.889933969534</v>
      </c>
      <c r="E131">
        <v>95036.382008485714</v>
      </c>
      <c r="F131">
        <v>98115.200409823854</v>
      </c>
      <c r="G131">
        <v>108507.76604026646</v>
      </c>
    </row>
    <row r="132" spans="1:7" x14ac:dyDescent="0.3">
      <c r="A132">
        <v>100000</v>
      </c>
      <c r="B132" t="s">
        <v>142</v>
      </c>
      <c r="C132">
        <v>93510.107844258295</v>
      </c>
      <c r="D132">
        <v>95580.623578061262</v>
      </c>
      <c r="E132">
        <v>95835.254031612334</v>
      </c>
      <c r="F132">
        <v>98940.147234443895</v>
      </c>
      <c r="G132">
        <v>109420.72847688344</v>
      </c>
    </row>
    <row r="133" spans="1:7" x14ac:dyDescent="0.3">
      <c r="A133">
        <v>100000</v>
      </c>
      <c r="B133" t="s">
        <v>143</v>
      </c>
      <c r="C133">
        <v>92716.183726469972</v>
      </c>
      <c r="D133">
        <v>94769.253118689841</v>
      </c>
      <c r="E133">
        <v>96636.770028830972</v>
      </c>
      <c r="F133">
        <v>99767.825325729864</v>
      </c>
      <c r="G133">
        <v>110336.71683664981</v>
      </c>
    </row>
    <row r="134" spans="1:7" x14ac:dyDescent="0.3">
      <c r="A134">
        <v>100000</v>
      </c>
      <c r="B134" t="s">
        <v>144</v>
      </c>
      <c r="C134">
        <v>92332.133231791158</v>
      </c>
      <c r="D134">
        <v>94376.831227905801</v>
      </c>
      <c r="E134">
        <v>96236.733332698786</v>
      </c>
      <c r="F134">
        <v>99355.021742995101</v>
      </c>
      <c r="G134">
        <v>109880.81856965045</v>
      </c>
    </row>
    <row r="135" spans="1:7" x14ac:dyDescent="0.3">
      <c r="A135">
        <v>100000</v>
      </c>
      <c r="B135" t="s">
        <v>145</v>
      </c>
      <c r="C135">
        <v>92545.563477867458</v>
      </c>
      <c r="D135">
        <v>94595.120763686937</v>
      </c>
      <c r="E135">
        <v>96002.023680515616</v>
      </c>
      <c r="F135">
        <v>99112.901379402392</v>
      </c>
      <c r="G135">
        <v>109613.68331571588</v>
      </c>
    </row>
    <row r="136" spans="1:7" x14ac:dyDescent="0.3">
      <c r="A136">
        <v>100000</v>
      </c>
      <c r="B136" t="s">
        <v>146</v>
      </c>
      <c r="C136">
        <v>91689.233914894401</v>
      </c>
      <c r="D136">
        <v>93719.959404940586</v>
      </c>
      <c r="E136">
        <v>95113.935379650662</v>
      </c>
      <c r="F136">
        <v>98196.229630830727</v>
      </c>
      <c r="G136">
        <v>108600.52800835195</v>
      </c>
    </row>
    <row r="137" spans="1:7" x14ac:dyDescent="0.3">
      <c r="A137">
        <v>100000</v>
      </c>
      <c r="B137" t="s">
        <v>147</v>
      </c>
      <c r="C137">
        <v>92281.966920250197</v>
      </c>
      <c r="D137">
        <v>94325.95309886137</v>
      </c>
      <c r="E137">
        <v>95729.031771773793</v>
      </c>
      <c r="F137">
        <v>98831.453481997887</v>
      </c>
      <c r="G137">
        <v>109303.69218980885</v>
      </c>
    </row>
    <row r="138" spans="1:7" x14ac:dyDescent="0.3">
      <c r="A138">
        <v>100000</v>
      </c>
      <c r="B138" t="s">
        <v>148</v>
      </c>
      <c r="C138">
        <v>92290.647262652943</v>
      </c>
      <c r="D138">
        <v>94334.958601400707</v>
      </c>
      <c r="E138">
        <v>95738.260478000957</v>
      </c>
      <c r="F138">
        <v>98841.175725743844</v>
      </c>
      <c r="G138">
        <v>109315.08037171245</v>
      </c>
    </row>
    <row r="139" spans="1:7" x14ac:dyDescent="0.3">
      <c r="A139">
        <v>100000</v>
      </c>
      <c r="B139" t="s">
        <v>149</v>
      </c>
      <c r="C139">
        <v>88599.692181489983</v>
      </c>
      <c r="D139">
        <v>90562.378830427537</v>
      </c>
      <c r="E139">
        <v>91909.650063252295</v>
      </c>
      <c r="F139">
        <v>94888.672981190117</v>
      </c>
      <c r="G139">
        <v>104944.37849984155</v>
      </c>
    </row>
    <row r="140" spans="1:7" x14ac:dyDescent="0.3">
      <c r="A140">
        <v>100000</v>
      </c>
      <c r="B140" t="s">
        <v>150</v>
      </c>
      <c r="C140">
        <v>90200.942833308392</v>
      </c>
      <c r="D140">
        <v>92199.233775197194</v>
      </c>
      <c r="E140">
        <v>93570.945302494962</v>
      </c>
      <c r="F140">
        <v>96604.009452504222</v>
      </c>
      <c r="G140">
        <v>106842.13139779786</v>
      </c>
    </row>
    <row r="141" spans="1:7" x14ac:dyDescent="0.3">
      <c r="A141">
        <v>100000</v>
      </c>
      <c r="B141" t="s">
        <v>151</v>
      </c>
      <c r="C141">
        <v>91921.70380258972</v>
      </c>
      <c r="D141">
        <v>93958.24900984799</v>
      </c>
      <c r="E141">
        <v>95356.219884909224</v>
      </c>
      <c r="F141">
        <v>98447.347472251291</v>
      </c>
      <c r="G141">
        <v>108881.46281648918</v>
      </c>
    </row>
    <row r="142" spans="1:7" x14ac:dyDescent="0.3">
      <c r="A142">
        <v>100000</v>
      </c>
      <c r="B142" t="s">
        <v>152</v>
      </c>
      <c r="C142">
        <v>93372.689328419336</v>
      </c>
      <c r="D142">
        <v>95441.514364781353</v>
      </c>
      <c r="E142">
        <v>96861.64348154435</v>
      </c>
      <c r="F142">
        <v>100001.76633297467</v>
      </c>
      <c r="G142">
        <v>110601.2654157912</v>
      </c>
    </row>
    <row r="143" spans="1:7" x14ac:dyDescent="0.3">
      <c r="A143">
        <v>100000</v>
      </c>
      <c r="B143" t="s">
        <v>153</v>
      </c>
      <c r="C143">
        <v>93551.615145026633</v>
      </c>
      <c r="D143">
        <v>95624.537516080614</v>
      </c>
      <c r="E143">
        <v>97047.479216892476</v>
      </c>
      <c r="F143">
        <v>100193.8211221674</v>
      </c>
      <c r="G143">
        <v>110814.31264975142</v>
      </c>
    </row>
    <row r="144" spans="1:7" x14ac:dyDescent="0.3">
      <c r="A144">
        <v>100000</v>
      </c>
      <c r="B144" t="s">
        <v>154</v>
      </c>
      <c r="C144">
        <v>92571.69445862576</v>
      </c>
      <c r="D144">
        <v>94623.036635950935</v>
      </c>
      <c r="E144">
        <v>96031.16477789676</v>
      </c>
      <c r="F144">
        <v>99144.751637058507</v>
      </c>
      <c r="G144">
        <v>109654.67835630197</v>
      </c>
    </row>
    <row r="145" spans="1:7" x14ac:dyDescent="0.3">
      <c r="A145">
        <v>100000</v>
      </c>
      <c r="B145" t="s">
        <v>155</v>
      </c>
      <c r="C145">
        <v>93526.735419342163</v>
      </c>
      <c r="D145">
        <v>95599.373780866881</v>
      </c>
      <c r="E145">
        <v>97022.120525510443</v>
      </c>
      <c r="F145">
        <v>100168.03135285601</v>
      </c>
      <c r="G145">
        <v>110787.06777491295</v>
      </c>
    </row>
    <row r="146" spans="1:7" x14ac:dyDescent="0.3">
      <c r="A146">
        <v>100000</v>
      </c>
      <c r="B146" t="s">
        <v>156</v>
      </c>
      <c r="C146">
        <v>96182.054118767264</v>
      </c>
      <c r="D146">
        <v>98313.66974710174</v>
      </c>
      <c r="E146">
        <v>99776.900985287066</v>
      </c>
      <c r="F146">
        <v>103012.32922467528</v>
      </c>
      <c r="G146">
        <v>113933.53208152957</v>
      </c>
    </row>
    <row r="147" spans="1:7" x14ac:dyDescent="0.3">
      <c r="A147">
        <v>100000</v>
      </c>
      <c r="B147" t="s">
        <v>157</v>
      </c>
      <c r="C147">
        <v>94828.441684124031</v>
      </c>
      <c r="D147">
        <v>96930.191120132484</v>
      </c>
      <c r="E147">
        <v>98372.920939114367</v>
      </c>
      <c r="F147">
        <v>101563.01740256223</v>
      </c>
      <c r="G147">
        <v>115523.86152118056</v>
      </c>
    </row>
    <row r="148" spans="1:7" x14ac:dyDescent="0.3">
      <c r="A148">
        <v>100000</v>
      </c>
      <c r="B148" t="s">
        <v>306</v>
      </c>
      <c r="C148">
        <v>94525.5840063793</v>
      </c>
      <c r="D148">
        <v>97227.628263338149</v>
      </c>
      <c r="E148">
        <v>98674.874506043445</v>
      </c>
      <c r="F148">
        <v>101874.95747365717</v>
      </c>
      <c r="G148">
        <v>115879.50560861074</v>
      </c>
    </row>
    <row r="149" spans="1:7" x14ac:dyDescent="0.3">
      <c r="A149">
        <v>100000</v>
      </c>
      <c r="B149" t="s">
        <v>307</v>
      </c>
      <c r="C149">
        <v>94882.048198579461</v>
      </c>
      <c r="D149">
        <v>97594.453611189267</v>
      </c>
      <c r="E149">
        <v>98290.499603055578</v>
      </c>
      <c r="F149">
        <v>101478.31165481068</v>
      </c>
      <c r="G149">
        <v>115429.15848466021</v>
      </c>
    </row>
    <row r="150" spans="1:7" x14ac:dyDescent="0.3">
      <c r="A150">
        <v>100000</v>
      </c>
      <c r="B150" t="s">
        <v>308</v>
      </c>
      <c r="C150">
        <v>96524.215302472978</v>
      </c>
      <c r="D150">
        <v>99283.737081754487</v>
      </c>
      <c r="E150">
        <v>99991.87387613162</v>
      </c>
      <c r="F150">
        <v>103235.06043820611</v>
      </c>
      <c r="G150">
        <v>117428.24317092625</v>
      </c>
    </row>
    <row r="151" spans="1:7" x14ac:dyDescent="0.3">
      <c r="A151">
        <v>100000</v>
      </c>
      <c r="B151" t="s">
        <v>309</v>
      </c>
      <c r="C151">
        <v>96324.302405211551</v>
      </c>
      <c r="D151">
        <v>99078.280426777957</v>
      </c>
      <c r="E151">
        <v>99784.994605524131</v>
      </c>
      <c r="F151">
        <v>103021.66574863729</v>
      </c>
      <c r="G151">
        <v>117186.33500236731</v>
      </c>
    </row>
    <row r="152" spans="1:7" x14ac:dyDescent="0.3">
      <c r="A152">
        <v>100000</v>
      </c>
      <c r="B152" t="s">
        <v>310</v>
      </c>
      <c r="C152">
        <v>97521.050427472059</v>
      </c>
      <c r="D152">
        <v>100309.41584179481</v>
      </c>
      <c r="E152">
        <v>101024.95436766383</v>
      </c>
      <c r="F152">
        <v>104302.04002423705</v>
      </c>
      <c r="G152">
        <v>118643.57562950555</v>
      </c>
    </row>
    <row r="153" spans="1:7" x14ac:dyDescent="0.3">
      <c r="A153">
        <v>100000</v>
      </c>
      <c r="B153" t="s">
        <v>311</v>
      </c>
      <c r="C153">
        <v>97153.32326344082</v>
      </c>
      <c r="D153">
        <v>99931.346013188231</v>
      </c>
      <c r="E153">
        <v>100644.2304482678</v>
      </c>
      <c r="F153">
        <v>103909.16066870038</v>
      </c>
      <c r="G153">
        <v>118197.50034365838</v>
      </c>
    </row>
    <row r="154" spans="1:7" x14ac:dyDescent="0.3">
      <c r="A154">
        <v>100000</v>
      </c>
      <c r="B154" t="s">
        <v>312</v>
      </c>
      <c r="C154">
        <v>97444.314698713089</v>
      </c>
      <c r="D154">
        <v>100230.82968460799</v>
      </c>
      <c r="E154">
        <v>100945.89336136912</v>
      </c>
      <c r="F154">
        <v>104220.80426264368</v>
      </c>
      <c r="G154">
        <v>118552.82246927904</v>
      </c>
    </row>
    <row r="155" spans="1:7" x14ac:dyDescent="0.3">
      <c r="A155">
        <v>100000</v>
      </c>
      <c r="B155" t="s">
        <v>313</v>
      </c>
      <c r="C155">
        <v>98705.123616411409</v>
      </c>
      <c r="D155">
        <v>101527.86423583193</v>
      </c>
      <c r="E155">
        <v>102252.22398127848</v>
      </c>
      <c r="F155">
        <v>105569.70982750729</v>
      </c>
      <c r="G155">
        <v>120088.04909893659</v>
      </c>
    </row>
    <row r="156" spans="1:7" x14ac:dyDescent="0.3">
      <c r="A156">
        <v>100000</v>
      </c>
      <c r="B156" t="s">
        <v>314</v>
      </c>
      <c r="C156">
        <v>99643.525424756343</v>
      </c>
      <c r="D156">
        <v>102493.27377435133</v>
      </c>
      <c r="E156">
        <v>103224.56412915663</v>
      </c>
      <c r="F156">
        <v>106573.791383709</v>
      </c>
      <c r="G156">
        <v>121231.04082879239</v>
      </c>
    </row>
    <row r="157" spans="1:7" x14ac:dyDescent="0.3">
      <c r="A157">
        <v>100000</v>
      </c>
      <c r="B157" t="s">
        <v>315</v>
      </c>
      <c r="C157">
        <v>99916.041837170967</v>
      </c>
      <c r="D157">
        <v>102773.75559829902</v>
      </c>
      <c r="E157">
        <v>102930.03825502921</v>
      </c>
      <c r="F157">
        <v>106269.9039905534</v>
      </c>
      <c r="G157">
        <v>120886.18454665069</v>
      </c>
    </row>
    <row r="158" spans="1:7" x14ac:dyDescent="0.3">
      <c r="A158">
        <v>100000</v>
      </c>
      <c r="B158" t="s">
        <v>316</v>
      </c>
      <c r="C158">
        <v>100718.29829707154</v>
      </c>
      <c r="D158">
        <v>101936.38207365581</v>
      </c>
      <c r="E158">
        <v>102091.40050429628</v>
      </c>
      <c r="F158">
        <v>105404.24887597877</v>
      </c>
      <c r="G158">
        <v>119902.29313125824</v>
      </c>
    </row>
    <row r="159" spans="1:7" x14ac:dyDescent="0.3">
      <c r="A159">
        <v>100000</v>
      </c>
      <c r="B159" t="s">
        <v>317</v>
      </c>
      <c r="C159">
        <v>101039.74113452371</v>
      </c>
      <c r="D159">
        <v>102261.78499398073</v>
      </c>
      <c r="E159">
        <v>102417.30740131307</v>
      </c>
      <c r="F159">
        <v>105740.92609466713</v>
      </c>
      <c r="G159">
        <v>120286.10459296621</v>
      </c>
    </row>
    <row r="160" spans="1:7" x14ac:dyDescent="0.3">
      <c r="A160">
        <v>100000</v>
      </c>
      <c r="B160" t="s">
        <v>318</v>
      </c>
      <c r="C160">
        <v>100873.16067961998</v>
      </c>
      <c r="D160">
        <v>102418.30761893222</v>
      </c>
      <c r="E160">
        <v>102574.07719493934</v>
      </c>
      <c r="F160">
        <v>105902.97804950751</v>
      </c>
      <c r="G160">
        <v>120471.27291126603</v>
      </c>
    </row>
    <row r="161" spans="1:7" x14ac:dyDescent="0.3">
      <c r="A161">
        <v>100000</v>
      </c>
      <c r="B161" t="s">
        <v>319</v>
      </c>
      <c r="C161">
        <v>102103.0738903411</v>
      </c>
      <c r="D161">
        <v>103667.15220348891</v>
      </c>
      <c r="E161">
        <v>103824.83029188444</v>
      </c>
      <c r="F161">
        <v>107194.51734285633</v>
      </c>
      <c r="G161">
        <v>121941.30515512834</v>
      </c>
    </row>
    <row r="162" spans="1:7" x14ac:dyDescent="0.3">
      <c r="A162">
        <v>100000</v>
      </c>
      <c r="B162" t="s">
        <v>320</v>
      </c>
      <c r="C162">
        <v>102804.95043620341</v>
      </c>
      <c r="D162">
        <v>104379.87244201965</v>
      </c>
      <c r="E162">
        <v>103099.01687744509</v>
      </c>
      <c r="F162">
        <v>106445.3420222628</v>
      </c>
      <c r="G162">
        <v>121089.89094180249</v>
      </c>
    </row>
    <row r="163" spans="1:7" x14ac:dyDescent="0.3">
      <c r="A163">
        <v>100000</v>
      </c>
      <c r="B163" t="s">
        <v>321</v>
      </c>
      <c r="C163">
        <v>104102.34637554211</v>
      </c>
      <c r="D163">
        <v>105697.23577532572</v>
      </c>
      <c r="E163">
        <v>101785.8926642851</v>
      </c>
      <c r="F163">
        <v>105089.79196689428</v>
      </c>
      <c r="G163">
        <v>119548.67234115297</v>
      </c>
    </row>
    <row r="164" spans="1:7" x14ac:dyDescent="0.3">
      <c r="A164">
        <v>100000</v>
      </c>
      <c r="B164" t="s">
        <v>322</v>
      </c>
      <c r="C164">
        <v>105070.29680020038</v>
      </c>
      <c r="D164">
        <v>106680.10750831454</v>
      </c>
      <c r="E164">
        <v>102732.17104067233</v>
      </c>
      <c r="F164">
        <v>106066.98063724545</v>
      </c>
      <c r="G164">
        <v>120661.13397288189</v>
      </c>
    </row>
    <row r="165" spans="1:7" x14ac:dyDescent="0.3">
      <c r="A165">
        <v>100000</v>
      </c>
      <c r="B165" t="s">
        <v>323</v>
      </c>
      <c r="C165">
        <v>104027.65901158383</v>
      </c>
      <c r="D165">
        <v>105621.5871090709</v>
      </c>
      <c r="E165">
        <v>101712.60151769011</v>
      </c>
      <c r="F165">
        <v>105014.50943081008</v>
      </c>
      <c r="G165">
        <v>119464.67487166257</v>
      </c>
    </row>
    <row r="166" spans="1:7" x14ac:dyDescent="0.3">
      <c r="A166">
        <v>100000</v>
      </c>
      <c r="B166" t="s">
        <v>324</v>
      </c>
      <c r="C166">
        <v>108030.8385678112</v>
      </c>
      <c r="D166">
        <v>109686.19594288904</v>
      </c>
      <c r="E166">
        <v>105626.55979119135</v>
      </c>
      <c r="F166">
        <v>109055.72176181493</v>
      </c>
      <c r="G166">
        <v>124062.79013040819</v>
      </c>
    </row>
    <row r="167" spans="1:7" x14ac:dyDescent="0.3">
      <c r="A167">
        <v>100000</v>
      </c>
      <c r="B167" t="s">
        <v>325</v>
      </c>
      <c r="C167">
        <v>107524.12015095726</v>
      </c>
      <c r="D167">
        <v>109171.80501386021</v>
      </c>
      <c r="E167">
        <v>105130.98510587431</v>
      </c>
      <c r="F167">
        <v>108544.25305423693</v>
      </c>
      <c r="G167">
        <v>124631.8159719931</v>
      </c>
    </row>
    <row r="168" spans="1:7" x14ac:dyDescent="0.3">
      <c r="A168">
        <v>100000</v>
      </c>
      <c r="B168" t="s">
        <v>326</v>
      </c>
      <c r="C168">
        <v>108073.06630269947</v>
      </c>
      <c r="D168">
        <v>109729.25508428289</v>
      </c>
      <c r="E168">
        <v>105667.57997232348</v>
      </c>
      <c r="F168">
        <v>109098.4642463082</v>
      </c>
      <c r="G168">
        <v>123982.57474796634</v>
      </c>
    </row>
    <row r="169" spans="1:7" x14ac:dyDescent="0.3">
      <c r="A169">
        <v>100000</v>
      </c>
      <c r="B169" t="s">
        <v>327</v>
      </c>
      <c r="C169">
        <v>105947.85496980642</v>
      </c>
      <c r="D169">
        <v>107571.56744480006</v>
      </c>
      <c r="E169">
        <v>103589.53796724587</v>
      </c>
      <c r="F169">
        <v>106953.14582274802</v>
      </c>
      <c r="G169">
        <v>126407.75659998518</v>
      </c>
    </row>
    <row r="170" spans="1:7" x14ac:dyDescent="0.3">
      <c r="A170">
        <v>100000</v>
      </c>
      <c r="B170" t="s">
        <v>328</v>
      </c>
      <c r="C170">
        <v>105880.59666225563</v>
      </c>
      <c r="D170">
        <v>107503.37031807078</v>
      </c>
      <c r="E170">
        <v>103523.64322206532</v>
      </c>
      <c r="F170">
        <v>106885.30626306839</v>
      </c>
      <c r="G170">
        <v>126474.84467933151</v>
      </c>
    </row>
  </sheetData>
  <phoneticPr fontId="7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345B-BE68-42BE-8478-9DA7759C53C3}">
  <sheetPr codeName="Hoja8"/>
  <dimension ref="A1:G170"/>
  <sheetViews>
    <sheetView topLeftCell="I18" zoomScale="189" workbookViewId="0">
      <selection activeCell="P30" sqref="P30"/>
    </sheetView>
  </sheetViews>
  <sheetFormatPr baseColWidth="10" defaultRowHeight="14.4" x14ac:dyDescent="0.3"/>
  <sheetData>
    <row r="1" spans="1:7" x14ac:dyDescent="0.3">
      <c r="A1" t="s">
        <v>224</v>
      </c>
      <c r="C1" t="s">
        <v>220</v>
      </c>
      <c r="D1" t="s">
        <v>223</v>
      </c>
      <c r="E1" t="s">
        <v>215</v>
      </c>
      <c r="F1" t="s">
        <v>214</v>
      </c>
      <c r="G1" t="s">
        <v>213</v>
      </c>
    </row>
    <row r="2" spans="1:7" x14ac:dyDescent="0.3">
      <c r="C2" t="s">
        <v>9</v>
      </c>
      <c r="D2" t="s">
        <v>9</v>
      </c>
      <c r="E2" t="s">
        <v>9</v>
      </c>
      <c r="F2" t="s">
        <v>9</v>
      </c>
      <c r="G2" t="s">
        <v>9</v>
      </c>
    </row>
    <row r="3" spans="1:7" x14ac:dyDescent="0.3">
      <c r="C3" t="s">
        <v>12</v>
      </c>
      <c r="D3" t="s">
        <v>12</v>
      </c>
      <c r="E3" t="s">
        <v>12</v>
      </c>
      <c r="F3" t="s">
        <v>12</v>
      </c>
      <c r="G3" t="s">
        <v>12</v>
      </c>
    </row>
    <row r="4" spans="1:7" x14ac:dyDescent="0.3">
      <c r="A4">
        <v>100000</v>
      </c>
      <c r="B4" t="s">
        <v>14</v>
      </c>
      <c r="C4">
        <v>100000</v>
      </c>
      <c r="D4">
        <v>100000</v>
      </c>
      <c r="E4">
        <v>100000</v>
      </c>
      <c r="F4">
        <v>100000</v>
      </c>
      <c r="G4">
        <v>100000</v>
      </c>
    </row>
    <row r="5" spans="1:7" x14ac:dyDescent="0.3">
      <c r="A5">
        <v>100000</v>
      </c>
      <c r="B5" t="s">
        <v>15</v>
      </c>
      <c r="C5">
        <v>101202.05998518885</v>
      </c>
      <c r="D5">
        <v>101202.05998518885</v>
      </c>
      <c r="E5">
        <v>101202.05998518885</v>
      </c>
      <c r="F5">
        <v>98387.940014811145</v>
      </c>
      <c r="G5">
        <v>98387.940014811145</v>
      </c>
    </row>
    <row r="6" spans="1:7" x14ac:dyDescent="0.3">
      <c r="A6">
        <v>100000</v>
      </c>
      <c r="B6" t="s">
        <v>16</v>
      </c>
      <c r="C6">
        <v>99464.319970570854</v>
      </c>
      <c r="D6">
        <v>99464.319970570854</v>
      </c>
      <c r="E6">
        <v>99464.319970570854</v>
      </c>
      <c r="F6">
        <v>96650.200000193145</v>
      </c>
      <c r="G6">
        <v>96650.200000193145</v>
      </c>
    </row>
    <row r="7" spans="1:7" x14ac:dyDescent="0.3">
      <c r="A7">
        <v>100000</v>
      </c>
      <c r="B7" t="s">
        <v>17</v>
      </c>
      <c r="C7">
        <v>97145.992801108441</v>
      </c>
      <c r="D7">
        <v>97145.992801108441</v>
      </c>
      <c r="E7">
        <v>97145.992801108441</v>
      </c>
      <c r="F7">
        <v>94331.872830730732</v>
      </c>
      <c r="G7">
        <v>94331.872830730732</v>
      </c>
    </row>
    <row r="8" spans="1:7" x14ac:dyDescent="0.3">
      <c r="A8">
        <v>100000</v>
      </c>
      <c r="B8" t="s">
        <v>18</v>
      </c>
      <c r="C8">
        <v>97680.240112936401</v>
      </c>
      <c r="D8">
        <v>97680.240112936401</v>
      </c>
      <c r="E8">
        <v>97680.240112936401</v>
      </c>
      <c r="F8">
        <v>94866.120142558691</v>
      </c>
      <c r="G8">
        <v>94866.120142558691</v>
      </c>
    </row>
    <row r="9" spans="1:7" x14ac:dyDescent="0.3">
      <c r="A9">
        <v>100000</v>
      </c>
      <c r="B9" t="s">
        <v>19</v>
      </c>
      <c r="C9">
        <v>97574.402739644196</v>
      </c>
      <c r="D9">
        <v>97574.402739644196</v>
      </c>
      <c r="E9">
        <v>97574.402739644196</v>
      </c>
      <c r="F9">
        <v>94760.282769266487</v>
      </c>
      <c r="G9">
        <v>94760.282769266487</v>
      </c>
    </row>
    <row r="10" spans="1:7" x14ac:dyDescent="0.3">
      <c r="A10">
        <v>100000</v>
      </c>
      <c r="B10" t="s">
        <v>20</v>
      </c>
      <c r="C10">
        <v>97823.658922575574</v>
      </c>
      <c r="D10">
        <v>97823.658922575574</v>
      </c>
      <c r="E10">
        <v>97823.658922575574</v>
      </c>
      <c r="F10">
        <v>95009.538952197865</v>
      </c>
      <c r="G10">
        <v>95009.538952197865</v>
      </c>
    </row>
    <row r="11" spans="1:7" x14ac:dyDescent="0.3">
      <c r="A11">
        <v>100000</v>
      </c>
      <c r="B11" t="s">
        <v>21</v>
      </c>
      <c r="C11">
        <v>99367.363585788014</v>
      </c>
      <c r="D11">
        <v>99367.363585788014</v>
      </c>
      <c r="E11">
        <v>99367.363585788014</v>
      </c>
      <c r="F11">
        <v>96553.243615410305</v>
      </c>
      <c r="G11">
        <v>96553.243615410305</v>
      </c>
    </row>
    <row r="12" spans="1:7" x14ac:dyDescent="0.3">
      <c r="A12">
        <v>100000</v>
      </c>
      <c r="B12" t="s">
        <v>22</v>
      </c>
      <c r="C12">
        <v>100416.71454936726</v>
      </c>
      <c r="D12">
        <v>100416.71454936726</v>
      </c>
      <c r="E12">
        <v>97908.012622208771</v>
      </c>
      <c r="F12">
        <v>97602.594578989549</v>
      </c>
      <c r="G12">
        <v>97602.594578989549</v>
      </c>
    </row>
    <row r="13" spans="1:7" x14ac:dyDescent="0.3">
      <c r="A13">
        <v>100000</v>
      </c>
      <c r="B13" t="s">
        <v>23</v>
      </c>
      <c r="C13">
        <v>101110.20230588973</v>
      </c>
      <c r="D13">
        <v>101110.20230588973</v>
      </c>
      <c r="E13">
        <v>96804.524865686297</v>
      </c>
      <c r="F13">
        <v>98296.082335512023</v>
      </c>
      <c r="G13">
        <v>98296.082335512023</v>
      </c>
    </row>
    <row r="14" spans="1:7" x14ac:dyDescent="0.3">
      <c r="A14">
        <v>100000</v>
      </c>
      <c r="B14" t="s">
        <v>24</v>
      </c>
      <c r="C14">
        <v>101924.08846374357</v>
      </c>
      <c r="D14">
        <v>101924.08846374357</v>
      </c>
      <c r="E14">
        <v>95580.638707832462</v>
      </c>
      <c r="F14">
        <v>99109.968493365857</v>
      </c>
      <c r="G14">
        <v>99109.968493365857</v>
      </c>
    </row>
    <row r="15" spans="1:7" x14ac:dyDescent="0.3">
      <c r="A15">
        <v>100000</v>
      </c>
      <c r="B15" t="s">
        <v>25</v>
      </c>
      <c r="C15">
        <v>99266.03973370303</v>
      </c>
      <c r="D15">
        <v>99266.03973370303</v>
      </c>
      <c r="E15">
        <v>97828.687437872999</v>
      </c>
      <c r="F15">
        <v>96451.919763325321</v>
      </c>
      <c r="G15">
        <v>96451.919763325321</v>
      </c>
    </row>
    <row r="16" spans="1:7" x14ac:dyDescent="0.3">
      <c r="A16">
        <v>100000</v>
      </c>
      <c r="B16" t="s">
        <v>26</v>
      </c>
      <c r="C16">
        <v>97990.266302535427</v>
      </c>
      <c r="D16">
        <v>97990.266302535427</v>
      </c>
      <c r="E16">
        <v>96552.914006705396</v>
      </c>
      <c r="F16">
        <v>95176.146332157718</v>
      </c>
      <c r="G16">
        <v>95176.146332157718</v>
      </c>
    </row>
    <row r="17" spans="1:7" x14ac:dyDescent="0.3">
      <c r="A17">
        <v>100000</v>
      </c>
      <c r="B17" t="s">
        <v>27</v>
      </c>
      <c r="C17">
        <v>99990.084554003886</v>
      </c>
      <c r="D17">
        <v>99990.084554003886</v>
      </c>
      <c r="E17">
        <v>98552.732258173855</v>
      </c>
      <c r="F17">
        <v>97175.964583626177</v>
      </c>
      <c r="G17">
        <v>97175.964583626177</v>
      </c>
    </row>
    <row r="18" spans="1:7" x14ac:dyDescent="0.3">
      <c r="A18">
        <v>100000</v>
      </c>
      <c r="B18" t="s">
        <v>28</v>
      </c>
      <c r="C18">
        <v>99114.779284947916</v>
      </c>
      <c r="D18">
        <v>99114.779284947916</v>
      </c>
      <c r="E18">
        <v>97677.426989117885</v>
      </c>
      <c r="F18">
        <v>97641.269852682148</v>
      </c>
      <c r="G18">
        <v>97641.269852682148</v>
      </c>
    </row>
    <row r="19" spans="1:7" x14ac:dyDescent="0.3">
      <c r="A19">
        <v>100000</v>
      </c>
      <c r="B19" t="s">
        <v>29</v>
      </c>
      <c r="C19">
        <v>99284.272587279236</v>
      </c>
      <c r="D19">
        <v>99284.272587279236</v>
      </c>
      <c r="E19">
        <v>97846.920291449205</v>
      </c>
      <c r="F19">
        <v>97061.776550350827</v>
      </c>
      <c r="G19">
        <v>97061.776550350827</v>
      </c>
    </row>
    <row r="20" spans="1:7" x14ac:dyDescent="0.3">
      <c r="A20">
        <v>100000</v>
      </c>
      <c r="B20" t="s">
        <v>30</v>
      </c>
      <c r="C20">
        <v>101918.65215400145</v>
      </c>
      <c r="D20">
        <v>101918.65215400145</v>
      </c>
      <c r="E20">
        <v>100481.29985817142</v>
      </c>
      <c r="F20">
        <v>99696.156117073042</v>
      </c>
      <c r="G20">
        <v>99696.156117073042</v>
      </c>
    </row>
    <row r="21" spans="1:7" x14ac:dyDescent="0.3">
      <c r="A21">
        <v>100000</v>
      </c>
      <c r="B21" t="s">
        <v>31</v>
      </c>
      <c r="C21">
        <v>100024.81609817149</v>
      </c>
      <c r="D21">
        <v>100024.81609817149</v>
      </c>
      <c r="E21">
        <v>101965.13591400138</v>
      </c>
      <c r="F21">
        <v>101179.992172903</v>
      </c>
      <c r="G21">
        <v>101179.992172903</v>
      </c>
    </row>
    <row r="22" spans="1:7" x14ac:dyDescent="0.3">
      <c r="A22">
        <v>100000</v>
      </c>
      <c r="B22" t="s">
        <v>32</v>
      </c>
      <c r="C22">
        <v>100028.8571224725</v>
      </c>
      <c r="D22">
        <v>100028.8571224725</v>
      </c>
      <c r="E22">
        <v>101551.09488970037</v>
      </c>
      <c r="F22">
        <v>100765.95114860199</v>
      </c>
      <c r="G22">
        <v>100765.95114860199</v>
      </c>
    </row>
    <row r="23" spans="1:7" x14ac:dyDescent="0.3">
      <c r="A23">
        <v>100000</v>
      </c>
      <c r="B23" t="s">
        <v>33</v>
      </c>
      <c r="C23">
        <v>100417.42610951632</v>
      </c>
      <c r="D23">
        <v>100417.42610951632</v>
      </c>
      <c r="E23">
        <v>100752.52590265655</v>
      </c>
      <c r="F23">
        <v>99967.382161558169</v>
      </c>
      <c r="G23">
        <v>99967.382161558169</v>
      </c>
    </row>
    <row r="24" spans="1:7" x14ac:dyDescent="0.3">
      <c r="A24">
        <v>100000</v>
      </c>
      <c r="B24" t="s">
        <v>34</v>
      </c>
      <c r="C24">
        <v>98465.566761458191</v>
      </c>
      <c r="D24">
        <v>98465.566761458191</v>
      </c>
      <c r="E24">
        <v>102294.38525071468</v>
      </c>
      <c r="F24">
        <v>101509.2415096163</v>
      </c>
      <c r="G24">
        <v>101509.2415096163</v>
      </c>
    </row>
    <row r="25" spans="1:7" x14ac:dyDescent="0.3">
      <c r="A25">
        <v>100000</v>
      </c>
      <c r="B25" t="s">
        <v>35</v>
      </c>
      <c r="C25">
        <v>100217.19812807442</v>
      </c>
      <c r="D25">
        <v>100217.19812807442</v>
      </c>
      <c r="E25">
        <v>104046.01661733091</v>
      </c>
      <c r="F25">
        <v>103260.87287623253</v>
      </c>
      <c r="G25">
        <v>103260.87287623253</v>
      </c>
    </row>
    <row r="26" spans="1:7" x14ac:dyDescent="0.3">
      <c r="A26">
        <v>100000</v>
      </c>
      <c r="B26" t="s">
        <v>36</v>
      </c>
      <c r="C26">
        <v>97905.513455555862</v>
      </c>
      <c r="D26">
        <v>97905.513455555862</v>
      </c>
      <c r="E26">
        <v>101734.33194481235</v>
      </c>
      <c r="F26">
        <v>105162.55754875109</v>
      </c>
      <c r="G26">
        <v>100949.18820371397</v>
      </c>
    </row>
    <row r="27" spans="1:7" x14ac:dyDescent="0.3">
      <c r="A27">
        <v>100000</v>
      </c>
      <c r="B27" t="s">
        <v>37</v>
      </c>
      <c r="C27">
        <v>98166.651062459307</v>
      </c>
      <c r="D27">
        <v>98166.651062459307</v>
      </c>
      <c r="E27">
        <v>101995.4695517158</v>
      </c>
      <c r="F27">
        <v>104491.41994184765</v>
      </c>
      <c r="G27">
        <v>100278.05059681053</v>
      </c>
    </row>
    <row r="28" spans="1:7" x14ac:dyDescent="0.3">
      <c r="A28">
        <v>100000</v>
      </c>
      <c r="B28" t="s">
        <v>38</v>
      </c>
      <c r="C28">
        <v>98010.329918311472</v>
      </c>
      <c r="D28">
        <v>98010.329918311472</v>
      </c>
      <c r="E28">
        <v>101741.79069586363</v>
      </c>
      <c r="F28">
        <v>104335.09879769981</v>
      </c>
      <c r="G28">
        <v>100121.72945266269</v>
      </c>
    </row>
    <row r="29" spans="1:7" x14ac:dyDescent="0.3">
      <c r="A29">
        <v>100000</v>
      </c>
      <c r="B29" t="s">
        <v>39</v>
      </c>
      <c r="C29">
        <v>95071.914684896241</v>
      </c>
      <c r="D29">
        <v>95071.914684896241</v>
      </c>
      <c r="E29">
        <v>98803.375462448399</v>
      </c>
      <c r="F29">
        <v>106863.51403111505</v>
      </c>
      <c r="G29">
        <v>102650.14468607793</v>
      </c>
    </row>
    <row r="30" spans="1:7" x14ac:dyDescent="0.3">
      <c r="A30">
        <v>100000</v>
      </c>
      <c r="B30" t="s">
        <v>40</v>
      </c>
      <c r="C30">
        <v>92617.871627076791</v>
      </c>
      <c r="D30">
        <v>92617.871627076791</v>
      </c>
      <c r="E30">
        <v>100847.41852026785</v>
      </c>
      <c r="F30">
        <v>108907.5570889345</v>
      </c>
      <c r="G30">
        <v>104694.18774389738</v>
      </c>
    </row>
    <row r="31" spans="1:7" x14ac:dyDescent="0.3">
      <c r="A31">
        <v>100000</v>
      </c>
      <c r="B31" t="s">
        <v>41</v>
      </c>
      <c r="C31">
        <v>88668.53103995834</v>
      </c>
      <c r="D31">
        <v>88668.53103995834</v>
      </c>
      <c r="E31">
        <v>104386.75910738629</v>
      </c>
      <c r="F31">
        <v>112446.89767605293</v>
      </c>
      <c r="G31">
        <v>100744.84715677892</v>
      </c>
    </row>
    <row r="32" spans="1:7" x14ac:dyDescent="0.3">
      <c r="A32">
        <v>100000</v>
      </c>
      <c r="B32" t="s">
        <v>42</v>
      </c>
      <c r="C32">
        <v>88001.504998490534</v>
      </c>
      <c r="D32">
        <v>88001.504998490534</v>
      </c>
      <c r="E32">
        <v>103719.73306591848</v>
      </c>
      <c r="F32">
        <v>112703.92371752074</v>
      </c>
      <c r="G32">
        <v>101001.87319824673</v>
      </c>
    </row>
    <row r="33" spans="1:7" x14ac:dyDescent="0.3">
      <c r="A33">
        <v>100000</v>
      </c>
      <c r="B33" t="s">
        <v>43</v>
      </c>
      <c r="C33">
        <v>86364.809579542052</v>
      </c>
      <c r="D33">
        <v>86364.809579542052</v>
      </c>
      <c r="E33">
        <v>102083.03764697</v>
      </c>
      <c r="F33">
        <v>111067.22829857226</v>
      </c>
      <c r="G33">
        <v>99365.177779298247</v>
      </c>
    </row>
    <row r="34" spans="1:7" x14ac:dyDescent="0.3">
      <c r="A34">
        <v>100000</v>
      </c>
      <c r="B34" t="s">
        <v>44</v>
      </c>
      <c r="C34">
        <v>86064.375722546014</v>
      </c>
      <c r="D34">
        <v>86064.375722546014</v>
      </c>
      <c r="E34">
        <v>101973.47150396604</v>
      </c>
      <c r="F34">
        <v>110957.66215556829</v>
      </c>
      <c r="G34">
        <v>99255.611636294285</v>
      </c>
    </row>
    <row r="35" spans="1:7" x14ac:dyDescent="0.3">
      <c r="A35">
        <v>100000</v>
      </c>
      <c r="B35" t="s">
        <v>45</v>
      </c>
      <c r="C35">
        <v>86088.204417292261</v>
      </c>
      <c r="D35">
        <v>86088.204417292261</v>
      </c>
      <c r="E35">
        <v>101539.64280921979</v>
      </c>
      <c r="F35">
        <v>110523.83346082205</v>
      </c>
      <c r="G35">
        <v>98821.782941548037</v>
      </c>
    </row>
    <row r="36" spans="1:7" x14ac:dyDescent="0.3">
      <c r="A36">
        <v>100000</v>
      </c>
      <c r="B36" t="s">
        <v>46</v>
      </c>
      <c r="C36">
        <v>86578.174876313642</v>
      </c>
      <c r="D36">
        <v>85188.233958270881</v>
      </c>
      <c r="E36">
        <v>102029.61326824117</v>
      </c>
      <c r="F36">
        <v>111013.80391984343</v>
      </c>
      <c r="G36">
        <v>99311.753400569418</v>
      </c>
    </row>
    <row r="37" spans="1:7" x14ac:dyDescent="0.3">
      <c r="A37">
        <v>100000</v>
      </c>
      <c r="B37" t="s">
        <v>47</v>
      </c>
      <c r="C37">
        <v>86926.225325305815</v>
      </c>
      <c r="D37">
        <v>85536.284407263054</v>
      </c>
      <c r="E37">
        <v>101271.562819249</v>
      </c>
      <c r="F37">
        <v>110255.75347085125</v>
      </c>
      <c r="G37">
        <v>98553.702951577245</v>
      </c>
    </row>
    <row r="38" spans="1:7" x14ac:dyDescent="0.3">
      <c r="A38">
        <v>100000</v>
      </c>
      <c r="B38" t="s">
        <v>48</v>
      </c>
      <c r="C38">
        <v>87387.381076057442</v>
      </c>
      <c r="D38">
        <v>85997.44015801468</v>
      </c>
      <c r="E38">
        <v>100400.40706849737</v>
      </c>
      <c r="F38">
        <v>109384.59772009963</v>
      </c>
      <c r="G38">
        <v>97682.547200825618</v>
      </c>
    </row>
    <row r="39" spans="1:7" x14ac:dyDescent="0.3">
      <c r="A39">
        <v>100000</v>
      </c>
      <c r="B39" t="s">
        <v>49</v>
      </c>
      <c r="C39">
        <v>88107.523292068305</v>
      </c>
      <c r="D39">
        <v>86717.582374025544</v>
      </c>
      <c r="E39">
        <v>99270.264852486507</v>
      </c>
      <c r="F39">
        <v>108254.45550408876</v>
      </c>
      <c r="G39">
        <v>96552.404984814755</v>
      </c>
    </row>
    <row r="40" spans="1:7" x14ac:dyDescent="0.3">
      <c r="A40">
        <v>100000</v>
      </c>
      <c r="B40" t="s">
        <v>50</v>
      </c>
      <c r="C40">
        <v>87603.127953242802</v>
      </c>
      <c r="D40">
        <v>86213.187035200041</v>
      </c>
      <c r="E40">
        <v>99364.66019131201</v>
      </c>
      <c r="F40">
        <v>107750.06016526326</v>
      </c>
      <c r="G40">
        <v>96646.800323640258</v>
      </c>
    </row>
    <row r="41" spans="1:7" x14ac:dyDescent="0.3">
      <c r="A41">
        <v>100000</v>
      </c>
      <c r="B41" t="s">
        <v>51</v>
      </c>
      <c r="C41">
        <v>87598.324145511229</v>
      </c>
      <c r="D41">
        <v>86208.383227468468</v>
      </c>
      <c r="E41">
        <v>98959.463999043583</v>
      </c>
      <c r="F41">
        <v>107344.86397299483</v>
      </c>
      <c r="G41">
        <v>96241.604131371831</v>
      </c>
    </row>
    <row r="42" spans="1:7" x14ac:dyDescent="0.3">
      <c r="A42">
        <v>100000</v>
      </c>
      <c r="B42" t="s">
        <v>52</v>
      </c>
      <c r="C42">
        <v>86368.454232763674</v>
      </c>
      <c r="D42">
        <v>84978.513314720913</v>
      </c>
      <c r="E42">
        <v>99779.333911791153</v>
      </c>
      <c r="F42">
        <v>106114.99406024726</v>
      </c>
      <c r="G42">
        <v>95011.734218624275</v>
      </c>
    </row>
    <row r="43" spans="1:7" x14ac:dyDescent="0.3">
      <c r="A43">
        <v>100000</v>
      </c>
      <c r="B43" t="s">
        <v>53</v>
      </c>
      <c r="C43">
        <v>85946.477838991705</v>
      </c>
      <c r="D43">
        <v>84556.536920948944</v>
      </c>
      <c r="E43">
        <v>99357.357518019184</v>
      </c>
      <c r="F43">
        <v>106126.97045401923</v>
      </c>
      <c r="G43">
        <v>95023.710612396244</v>
      </c>
    </row>
    <row r="44" spans="1:7" x14ac:dyDescent="0.3">
      <c r="A44">
        <v>100000</v>
      </c>
      <c r="B44" t="s">
        <v>54</v>
      </c>
      <c r="C44">
        <v>83900.326920408828</v>
      </c>
      <c r="D44">
        <v>82510.386002366067</v>
      </c>
      <c r="E44">
        <v>100993.50843660206</v>
      </c>
      <c r="F44">
        <v>104080.81953543636</v>
      </c>
      <c r="G44">
        <v>96659.86153097912</v>
      </c>
    </row>
    <row r="45" spans="1:7" x14ac:dyDescent="0.3">
      <c r="A45">
        <v>100000</v>
      </c>
      <c r="B45" t="s">
        <v>55</v>
      </c>
      <c r="C45">
        <v>85547.479312180643</v>
      </c>
      <c r="D45">
        <v>84157.538394137882</v>
      </c>
      <c r="E45">
        <v>98936.356044830245</v>
      </c>
      <c r="F45">
        <v>105727.97192720817</v>
      </c>
      <c r="G45">
        <v>98307.013922750935</v>
      </c>
    </row>
    <row r="46" spans="1:7" x14ac:dyDescent="0.3">
      <c r="A46">
        <v>100000</v>
      </c>
      <c r="B46" t="s">
        <v>56</v>
      </c>
      <c r="C46">
        <v>86581.255995430402</v>
      </c>
      <c r="D46">
        <v>85191.31507738764</v>
      </c>
      <c r="E46">
        <v>97492.579361580487</v>
      </c>
      <c r="F46">
        <v>106761.74861045793</v>
      </c>
      <c r="G46">
        <v>99340.790606000694</v>
      </c>
    </row>
    <row r="47" spans="1:7" x14ac:dyDescent="0.3">
      <c r="A47">
        <v>100000</v>
      </c>
      <c r="B47" t="s">
        <v>57</v>
      </c>
      <c r="C47">
        <v>86559.541882417092</v>
      </c>
      <c r="D47">
        <v>85169.600964374331</v>
      </c>
      <c r="E47">
        <v>97104.293474593796</v>
      </c>
      <c r="F47">
        <v>106740.03449744462</v>
      </c>
      <c r="G47">
        <v>98952.504719014003</v>
      </c>
    </row>
    <row r="48" spans="1:7" x14ac:dyDescent="0.3">
      <c r="A48">
        <v>100000</v>
      </c>
      <c r="B48" t="s">
        <v>58</v>
      </c>
      <c r="C48">
        <v>85591.421481144571</v>
      </c>
      <c r="D48">
        <v>84201.48056310181</v>
      </c>
      <c r="E48">
        <v>97662.413875866318</v>
      </c>
      <c r="F48">
        <v>105771.9140961721</v>
      </c>
      <c r="G48">
        <v>99510.625120286524</v>
      </c>
    </row>
    <row r="49" spans="1:7" x14ac:dyDescent="0.3">
      <c r="A49">
        <v>100000</v>
      </c>
      <c r="B49" t="s">
        <v>59</v>
      </c>
      <c r="C49">
        <v>85512.361108835539</v>
      </c>
      <c r="D49">
        <v>84122.420190792778</v>
      </c>
      <c r="E49">
        <v>97583.353503557286</v>
      </c>
      <c r="F49">
        <v>105440.97446848113</v>
      </c>
      <c r="G49">
        <v>99431.564747977493</v>
      </c>
    </row>
    <row r="50" spans="1:7" x14ac:dyDescent="0.3">
      <c r="A50">
        <v>100000</v>
      </c>
      <c r="B50" t="s">
        <v>60</v>
      </c>
      <c r="C50">
        <v>83890.95818616137</v>
      </c>
      <c r="D50">
        <v>82501.017268118609</v>
      </c>
      <c r="E50">
        <v>98794.756426231455</v>
      </c>
      <c r="F50">
        <v>103819.57154580696</v>
      </c>
      <c r="G50">
        <v>100642.96767065166</v>
      </c>
    </row>
    <row r="51" spans="1:7" x14ac:dyDescent="0.3">
      <c r="A51">
        <v>100000</v>
      </c>
      <c r="B51" t="s">
        <v>61</v>
      </c>
      <c r="C51">
        <v>82730.011400532429</v>
      </c>
      <c r="D51">
        <v>81340.070482489667</v>
      </c>
      <c r="E51">
        <v>99545.703211860397</v>
      </c>
      <c r="F51">
        <v>102658.62476017802</v>
      </c>
      <c r="G51">
        <v>99482.020885022721</v>
      </c>
    </row>
    <row r="52" spans="1:7" x14ac:dyDescent="0.3">
      <c r="A52">
        <v>100000</v>
      </c>
      <c r="B52" t="s">
        <v>62</v>
      </c>
      <c r="C52">
        <v>79902.418306559543</v>
      </c>
      <c r="D52">
        <v>78512.477388516782</v>
      </c>
      <c r="E52">
        <v>96718.110117887511</v>
      </c>
      <c r="F52">
        <v>105076.21785415091</v>
      </c>
      <c r="G52">
        <v>101899.61397899561</v>
      </c>
    </row>
    <row r="53" spans="1:7" x14ac:dyDescent="0.3">
      <c r="A53">
        <v>100000</v>
      </c>
      <c r="B53" t="s">
        <v>63</v>
      </c>
      <c r="C53">
        <v>81084.847767544168</v>
      </c>
      <c r="D53">
        <v>79694.906849501407</v>
      </c>
      <c r="E53">
        <v>95125.680656902885</v>
      </c>
      <c r="F53">
        <v>106258.64731513553</v>
      </c>
      <c r="G53">
        <v>103082.04343998023</v>
      </c>
    </row>
    <row r="54" spans="1:7" x14ac:dyDescent="0.3">
      <c r="A54">
        <v>100000</v>
      </c>
      <c r="B54" t="s">
        <v>64</v>
      </c>
      <c r="C54">
        <v>82945.374833071241</v>
      </c>
      <c r="D54">
        <v>81555.43391502848</v>
      </c>
      <c r="E54">
        <v>92855.153591375813</v>
      </c>
      <c r="F54">
        <v>108119.1743806626</v>
      </c>
      <c r="G54">
        <v>100811.51637445316</v>
      </c>
    </row>
    <row r="55" spans="1:7" x14ac:dyDescent="0.3">
      <c r="A55">
        <v>100000</v>
      </c>
      <c r="B55" t="s">
        <v>65</v>
      </c>
      <c r="C55">
        <v>78579.683460137443</v>
      </c>
      <c r="D55">
        <v>77189.742542094682</v>
      </c>
      <c r="E55">
        <v>88489.462218442015</v>
      </c>
      <c r="F55">
        <v>103753.48300772881</v>
      </c>
      <c r="G55">
        <v>104767.20774738696</v>
      </c>
    </row>
    <row r="56" spans="1:7" x14ac:dyDescent="0.3">
      <c r="A56">
        <v>100000</v>
      </c>
      <c r="B56" t="s">
        <v>66</v>
      </c>
      <c r="C56">
        <v>78793.424361957979</v>
      </c>
      <c r="D56">
        <v>76566.001640274146</v>
      </c>
      <c r="E56">
        <v>87865.721316621479</v>
      </c>
      <c r="F56">
        <v>103129.74210590827</v>
      </c>
      <c r="G56">
        <v>104143.46684556642</v>
      </c>
    </row>
    <row r="57" spans="1:7" x14ac:dyDescent="0.3">
      <c r="A57">
        <v>100000</v>
      </c>
      <c r="B57" t="s">
        <v>67</v>
      </c>
      <c r="C57">
        <v>76755.58110974358</v>
      </c>
      <c r="D57">
        <v>74528.158388059746</v>
      </c>
      <c r="E57">
        <v>89493.564568835878</v>
      </c>
      <c r="F57">
        <v>104757.58535812267</v>
      </c>
      <c r="G57">
        <v>102105.62359335202</v>
      </c>
    </row>
    <row r="58" spans="1:7" x14ac:dyDescent="0.3">
      <c r="A58">
        <v>100000</v>
      </c>
      <c r="B58" t="s">
        <v>68</v>
      </c>
      <c r="C58">
        <v>76113.828366390415</v>
      </c>
      <c r="D58">
        <v>73886.405644706581</v>
      </c>
      <c r="E58">
        <v>89725.317312189043</v>
      </c>
      <c r="F58">
        <v>104989.33810147583</v>
      </c>
      <c r="G58">
        <v>101463.87084999886</v>
      </c>
    </row>
    <row r="59" spans="1:7" x14ac:dyDescent="0.3">
      <c r="A59">
        <v>100000</v>
      </c>
      <c r="B59" t="s">
        <v>69</v>
      </c>
      <c r="C59">
        <v>75417.15393163322</v>
      </c>
      <c r="D59">
        <v>73189.731209949387</v>
      </c>
      <c r="E59">
        <v>90011.991746946238</v>
      </c>
      <c r="F59">
        <v>105276.01253623303</v>
      </c>
      <c r="G59">
        <v>100767.19641524166</v>
      </c>
    </row>
    <row r="60" spans="1:7" x14ac:dyDescent="0.3">
      <c r="A60">
        <v>100000</v>
      </c>
      <c r="B60" t="s">
        <v>70</v>
      </c>
      <c r="C60">
        <v>75269.748287386363</v>
      </c>
      <c r="D60">
        <v>73042.325565702529</v>
      </c>
      <c r="E60">
        <v>89864.586102699381</v>
      </c>
      <c r="F60">
        <v>105128.60689198617</v>
      </c>
      <c r="G60">
        <v>100504.60205948852</v>
      </c>
    </row>
    <row r="61" spans="1:7" x14ac:dyDescent="0.3">
      <c r="A61">
        <v>100000</v>
      </c>
      <c r="B61" t="s">
        <v>71</v>
      </c>
      <c r="C61">
        <v>76185.873017018661</v>
      </c>
      <c r="D61">
        <v>73958.450295334827</v>
      </c>
      <c r="E61">
        <v>88538.461373067083</v>
      </c>
      <c r="F61">
        <v>103802.48216235387</v>
      </c>
      <c r="G61">
        <v>101420.72678912082</v>
      </c>
    </row>
    <row r="62" spans="1:7" x14ac:dyDescent="0.3">
      <c r="A62">
        <v>100000</v>
      </c>
      <c r="B62" t="s">
        <v>72</v>
      </c>
      <c r="C62">
        <v>77481.443305014094</v>
      </c>
      <c r="D62">
        <v>75254.020583330261</v>
      </c>
      <c r="E62">
        <v>89834.031661062516</v>
      </c>
      <c r="F62">
        <v>105098.05245034931</v>
      </c>
      <c r="G62">
        <v>99715.156501125384</v>
      </c>
    </row>
    <row r="63" spans="1:7" x14ac:dyDescent="0.3">
      <c r="A63">
        <v>100000</v>
      </c>
      <c r="B63" t="s">
        <v>73</v>
      </c>
      <c r="C63">
        <v>77100.591238299123</v>
      </c>
      <c r="D63">
        <v>74873.168516615289</v>
      </c>
      <c r="E63">
        <v>89804.883727777487</v>
      </c>
      <c r="F63">
        <v>105068.90451706428</v>
      </c>
      <c r="G63">
        <v>99334.304434410413</v>
      </c>
    </row>
    <row r="64" spans="1:7" x14ac:dyDescent="0.3">
      <c r="A64">
        <v>100000</v>
      </c>
      <c r="B64" t="s">
        <v>74</v>
      </c>
      <c r="C64">
        <v>76426.410335036344</v>
      </c>
      <c r="D64">
        <v>75137.349419878068</v>
      </c>
      <c r="E64">
        <v>89130.702824514708</v>
      </c>
      <c r="F64">
        <v>104394.7236138015</v>
      </c>
      <c r="G64">
        <v>99598.485337673192</v>
      </c>
    </row>
    <row r="65" spans="1:7" x14ac:dyDescent="0.3">
      <c r="A65">
        <v>100000</v>
      </c>
      <c r="B65" t="s">
        <v>75</v>
      </c>
      <c r="C65">
        <v>76207.329050823217</v>
      </c>
      <c r="D65">
        <v>74918.268135664941</v>
      </c>
      <c r="E65">
        <v>88911.621540301581</v>
      </c>
      <c r="F65">
        <v>104175.64232958837</v>
      </c>
      <c r="G65">
        <v>99407.566621886319</v>
      </c>
    </row>
    <row r="66" spans="1:7" x14ac:dyDescent="0.3">
      <c r="A66">
        <v>100000</v>
      </c>
      <c r="B66" t="s">
        <v>76</v>
      </c>
      <c r="C66">
        <v>74391.27375672631</v>
      </c>
      <c r="D66">
        <v>73102.212841568034</v>
      </c>
      <c r="E66">
        <v>87095.566246204675</v>
      </c>
      <c r="F66">
        <v>102359.58703549147</v>
      </c>
      <c r="G66">
        <v>100813.62191598323</v>
      </c>
    </row>
    <row r="67" spans="1:7" x14ac:dyDescent="0.3">
      <c r="A67">
        <v>100000</v>
      </c>
      <c r="B67" t="s">
        <v>77</v>
      </c>
      <c r="C67">
        <v>74460.375506089069</v>
      </c>
      <c r="D67">
        <v>73171.314590930793</v>
      </c>
      <c r="E67">
        <v>86616.464496841916</v>
      </c>
      <c r="F67">
        <v>101880.48528612871</v>
      </c>
      <c r="G67">
        <v>100882.72366534598</v>
      </c>
    </row>
    <row r="68" spans="1:7" x14ac:dyDescent="0.3">
      <c r="A68">
        <v>100000</v>
      </c>
      <c r="B68" t="s">
        <v>78</v>
      </c>
      <c r="C68">
        <v>74389.538208857717</v>
      </c>
      <c r="D68">
        <v>73100.477293699441</v>
      </c>
      <c r="E68">
        <v>86277.301794073268</v>
      </c>
      <c r="F68">
        <v>101541.32258336006</v>
      </c>
      <c r="G68">
        <v>100811.88636811463</v>
      </c>
    </row>
    <row r="69" spans="1:7" x14ac:dyDescent="0.3">
      <c r="A69">
        <v>100000</v>
      </c>
      <c r="B69" t="s">
        <v>79</v>
      </c>
      <c r="C69">
        <v>73654.604844043191</v>
      </c>
      <c r="D69">
        <v>72365.543928884916</v>
      </c>
      <c r="E69">
        <v>86602.235158887794</v>
      </c>
      <c r="F69">
        <v>101866.25594817458</v>
      </c>
      <c r="G69">
        <v>100076.95300330011</v>
      </c>
    </row>
    <row r="70" spans="1:7" x14ac:dyDescent="0.3">
      <c r="A70">
        <v>100000</v>
      </c>
      <c r="B70" t="s">
        <v>80</v>
      </c>
      <c r="C70">
        <v>76602.750026738053</v>
      </c>
      <c r="D70">
        <v>75313.689111579777</v>
      </c>
      <c r="E70">
        <v>83244.089976192918</v>
      </c>
      <c r="F70">
        <v>98508.110765479709</v>
      </c>
      <c r="G70">
        <v>103025.09818599497</v>
      </c>
    </row>
    <row r="71" spans="1:7" x14ac:dyDescent="0.3">
      <c r="A71">
        <v>100000</v>
      </c>
      <c r="B71" t="s">
        <v>81</v>
      </c>
      <c r="C71">
        <v>76475.576421992359</v>
      </c>
      <c r="D71">
        <v>75186.515506834083</v>
      </c>
      <c r="E71">
        <v>82961.263580938612</v>
      </c>
      <c r="F71">
        <v>98225.284370225403</v>
      </c>
      <c r="G71">
        <v>102742.27179074066</v>
      </c>
    </row>
    <row r="72" spans="1:7" x14ac:dyDescent="0.3">
      <c r="A72">
        <v>100000</v>
      </c>
      <c r="B72" t="s">
        <v>82</v>
      </c>
      <c r="C72">
        <v>75288.846056599665</v>
      </c>
      <c r="D72">
        <v>73999.785141441389</v>
      </c>
      <c r="E72">
        <v>83737.993946331306</v>
      </c>
      <c r="F72">
        <v>99002.014735618097</v>
      </c>
      <c r="G72">
        <v>101555.54142534797</v>
      </c>
    </row>
    <row r="73" spans="1:7" x14ac:dyDescent="0.3">
      <c r="A73">
        <v>100000</v>
      </c>
      <c r="B73" t="s">
        <v>83</v>
      </c>
      <c r="C73">
        <v>74686.964910210212</v>
      </c>
      <c r="D73">
        <v>73397.903995051936</v>
      </c>
      <c r="E73">
        <v>83929.875092720758</v>
      </c>
      <c r="F73">
        <v>99193.89588200755</v>
      </c>
      <c r="G73">
        <v>100953.66027895852</v>
      </c>
    </row>
    <row r="74" spans="1:7" x14ac:dyDescent="0.3">
      <c r="A74">
        <v>100000</v>
      </c>
      <c r="B74" t="s">
        <v>84</v>
      </c>
      <c r="C74">
        <v>76700.777193047034</v>
      </c>
      <c r="D74">
        <v>75411.716277888758</v>
      </c>
      <c r="E74">
        <v>81506.062809883937</v>
      </c>
      <c r="F74">
        <v>96770.083599170728</v>
      </c>
      <c r="G74">
        <v>98529.847996121694</v>
      </c>
    </row>
    <row r="75" spans="1:7" x14ac:dyDescent="0.3">
      <c r="A75">
        <v>100000</v>
      </c>
      <c r="B75" t="s">
        <v>85</v>
      </c>
      <c r="C75">
        <v>76218.749577401031</v>
      </c>
      <c r="D75">
        <v>74929.688662242756</v>
      </c>
      <c r="E75">
        <v>81578.090425529939</v>
      </c>
      <c r="F75">
        <v>96842.11121481673</v>
      </c>
      <c r="G75">
        <v>98601.875611767697</v>
      </c>
    </row>
    <row r="76" spans="1:7" x14ac:dyDescent="0.3">
      <c r="A76">
        <v>100000</v>
      </c>
      <c r="B76" t="s">
        <v>86</v>
      </c>
      <c r="C76">
        <v>75584.431830543326</v>
      </c>
      <c r="D76">
        <v>74295.37091538505</v>
      </c>
      <c r="E76">
        <v>81802.408172387644</v>
      </c>
      <c r="F76">
        <v>97066.428961674435</v>
      </c>
      <c r="G76">
        <v>98826.193358625402</v>
      </c>
    </row>
    <row r="77" spans="1:7" x14ac:dyDescent="0.3">
      <c r="A77">
        <v>100000</v>
      </c>
      <c r="B77" t="s">
        <v>87</v>
      </c>
      <c r="C77">
        <v>74310.582859074551</v>
      </c>
      <c r="D77">
        <v>73021.521943916276</v>
      </c>
      <c r="E77">
        <v>82666.257143856419</v>
      </c>
      <c r="F77">
        <v>97930.27793314321</v>
      </c>
      <c r="G77">
        <v>99690.042330094177</v>
      </c>
    </row>
    <row r="78" spans="1:7" x14ac:dyDescent="0.3">
      <c r="A78">
        <v>100000</v>
      </c>
      <c r="B78" t="s">
        <v>88</v>
      </c>
      <c r="C78">
        <v>75001.204458948603</v>
      </c>
      <c r="D78">
        <v>73712.143543790327</v>
      </c>
      <c r="E78">
        <v>81565.635543982367</v>
      </c>
      <c r="F78">
        <v>96829.656333269158</v>
      </c>
      <c r="G78">
        <v>98589.420730220125</v>
      </c>
    </row>
    <row r="79" spans="1:7" x14ac:dyDescent="0.3">
      <c r="A79">
        <v>100000</v>
      </c>
      <c r="B79" t="s">
        <v>89</v>
      </c>
      <c r="C79">
        <v>75124.033076458509</v>
      </c>
      <c r="D79">
        <v>73834.972161300233</v>
      </c>
      <c r="E79">
        <v>81032.806926472462</v>
      </c>
      <c r="F79">
        <v>96296.827715759253</v>
      </c>
      <c r="G79">
        <v>98056.592112710219</v>
      </c>
    </row>
    <row r="80" spans="1:7" x14ac:dyDescent="0.3">
      <c r="A80">
        <v>100000</v>
      </c>
      <c r="B80" t="s">
        <v>90</v>
      </c>
      <c r="C80">
        <v>75242.010081899949</v>
      </c>
      <c r="D80">
        <v>73952.949166741673</v>
      </c>
      <c r="E80">
        <v>80504.829921031022</v>
      </c>
      <c r="F80">
        <v>95768.850710317813</v>
      </c>
      <c r="G80">
        <v>97528.615107268779</v>
      </c>
    </row>
    <row r="81" spans="1:7" x14ac:dyDescent="0.3">
      <c r="A81">
        <v>100000</v>
      </c>
      <c r="B81" t="s">
        <v>91</v>
      </c>
      <c r="C81">
        <v>75097.298045585325</v>
      </c>
      <c r="D81">
        <v>73808.237130427049</v>
      </c>
      <c r="E81">
        <v>80360.117884716397</v>
      </c>
      <c r="F81">
        <v>95624.138674003188</v>
      </c>
      <c r="G81">
        <v>97383.903070954155</v>
      </c>
    </row>
    <row r="82" spans="1:7" x14ac:dyDescent="0.3">
      <c r="A82">
        <v>100000</v>
      </c>
      <c r="B82" t="s">
        <v>92</v>
      </c>
      <c r="C82">
        <v>76115.172785970615</v>
      </c>
      <c r="D82">
        <v>74826.111870812339</v>
      </c>
      <c r="E82">
        <v>81377.992625101688</v>
      </c>
      <c r="F82">
        <v>96642.013414388479</v>
      </c>
      <c r="G82">
        <v>98401.777811339445</v>
      </c>
    </row>
    <row r="83" spans="1:7" x14ac:dyDescent="0.3">
      <c r="A83">
        <v>100000</v>
      </c>
      <c r="B83" t="s">
        <v>93</v>
      </c>
      <c r="C83">
        <v>76299.678063682804</v>
      </c>
      <c r="D83">
        <v>75010.617148524529</v>
      </c>
      <c r="E83">
        <v>81562.497902813877</v>
      </c>
      <c r="F83">
        <v>96826.518692100668</v>
      </c>
      <c r="G83">
        <v>98586.283089051634</v>
      </c>
    </row>
    <row r="84" spans="1:7" x14ac:dyDescent="0.3">
      <c r="A84">
        <v>100000</v>
      </c>
      <c r="B84" t="s">
        <v>94</v>
      </c>
      <c r="C84">
        <v>73206.847483076897</v>
      </c>
      <c r="D84">
        <v>71917.786567918622</v>
      </c>
      <c r="E84">
        <v>78469.66732220797</v>
      </c>
      <c r="F84">
        <v>93733.688111494761</v>
      </c>
      <c r="G84">
        <v>95493.452508445727</v>
      </c>
    </row>
    <row r="85" spans="1:7" x14ac:dyDescent="0.3">
      <c r="A85">
        <v>100000</v>
      </c>
      <c r="B85" t="s">
        <v>95</v>
      </c>
      <c r="C85">
        <v>71856.47013390137</v>
      </c>
      <c r="D85">
        <v>70567.409218743094</v>
      </c>
      <c r="E85">
        <v>77119.289973032443</v>
      </c>
      <c r="F85">
        <v>92383.310762319234</v>
      </c>
      <c r="G85">
        <v>94143.0751592702</v>
      </c>
    </row>
    <row r="86" spans="1:7" x14ac:dyDescent="0.3">
      <c r="A86">
        <v>100000</v>
      </c>
      <c r="B86" t="s">
        <v>96</v>
      </c>
      <c r="C86">
        <v>72029.714558056847</v>
      </c>
      <c r="D86">
        <v>70740.653642898571</v>
      </c>
      <c r="E86">
        <v>77292.534397187919</v>
      </c>
      <c r="F86">
        <v>92556.55518647471</v>
      </c>
      <c r="G86">
        <v>94316.319583425677</v>
      </c>
    </row>
    <row r="87" spans="1:7" x14ac:dyDescent="0.3">
      <c r="A87">
        <v>100000</v>
      </c>
      <c r="B87" t="s">
        <v>97</v>
      </c>
      <c r="C87">
        <v>72615.504373593343</v>
      </c>
      <c r="D87">
        <v>71326.443458435067</v>
      </c>
      <c r="E87">
        <v>77878.324212724416</v>
      </c>
      <c r="F87">
        <v>93142.345002011207</v>
      </c>
      <c r="G87">
        <v>93320.52976788918</v>
      </c>
    </row>
    <row r="88" spans="1:7" x14ac:dyDescent="0.3">
      <c r="A88">
        <v>100000</v>
      </c>
      <c r="B88" t="s">
        <v>98</v>
      </c>
      <c r="C88">
        <v>73247.910694870632</v>
      </c>
      <c r="D88">
        <v>71958.849779712356</v>
      </c>
      <c r="E88">
        <v>78510.730534001705</v>
      </c>
      <c r="F88">
        <v>93774.751323288496</v>
      </c>
      <c r="G88">
        <v>92278.123446611891</v>
      </c>
    </row>
    <row r="89" spans="1:7" x14ac:dyDescent="0.3">
      <c r="A89">
        <v>100000</v>
      </c>
      <c r="B89" t="s">
        <v>99</v>
      </c>
      <c r="C89">
        <v>73307.301209452911</v>
      </c>
      <c r="D89">
        <v>72018.240294294636</v>
      </c>
      <c r="E89">
        <v>78570.121048583984</v>
      </c>
      <c r="F89">
        <v>93834.141837870775</v>
      </c>
      <c r="G89">
        <v>91808.732932029612</v>
      </c>
    </row>
    <row r="90" spans="1:7" x14ac:dyDescent="0.3">
      <c r="A90">
        <v>100000</v>
      </c>
      <c r="B90" t="s">
        <v>100</v>
      </c>
      <c r="C90">
        <v>71394.900289453581</v>
      </c>
      <c r="D90">
        <v>70105.839374295305</v>
      </c>
      <c r="E90">
        <v>76657.720128584653</v>
      </c>
      <c r="F90">
        <v>91921.740917871444</v>
      </c>
      <c r="G90">
        <v>93311.133852028943</v>
      </c>
    </row>
    <row r="91" spans="1:7" x14ac:dyDescent="0.3">
      <c r="A91">
        <v>100000</v>
      </c>
      <c r="B91" t="s">
        <v>101</v>
      </c>
      <c r="C91">
        <v>70723.838911266546</v>
      </c>
      <c r="D91">
        <v>69434.777996108271</v>
      </c>
      <c r="E91">
        <v>76918.781506771687</v>
      </c>
      <c r="F91">
        <v>92182.802296058479</v>
      </c>
      <c r="G91">
        <v>93572.195230215977</v>
      </c>
    </row>
    <row r="92" spans="1:7" x14ac:dyDescent="0.3">
      <c r="A92">
        <v>100000</v>
      </c>
      <c r="B92" t="s">
        <v>102</v>
      </c>
      <c r="C92">
        <v>70798.200278188218</v>
      </c>
      <c r="D92">
        <v>69509.139363029943</v>
      </c>
      <c r="E92">
        <v>76993.142873693359</v>
      </c>
      <c r="F92">
        <v>92257.163662980151</v>
      </c>
      <c r="G92">
        <v>93087.833863294305</v>
      </c>
    </row>
    <row r="93" spans="1:7" x14ac:dyDescent="0.3">
      <c r="A93">
        <v>100000</v>
      </c>
      <c r="B93" t="s">
        <v>103</v>
      </c>
      <c r="C93">
        <v>69523.430578079817</v>
      </c>
      <c r="D93">
        <v>68234.369662921541</v>
      </c>
      <c r="E93">
        <v>75718.373173584958</v>
      </c>
      <c r="F93">
        <v>90982.393962871749</v>
      </c>
      <c r="G93">
        <v>93952.603563402707</v>
      </c>
    </row>
    <row r="94" spans="1:7" x14ac:dyDescent="0.3">
      <c r="A94">
        <v>100000</v>
      </c>
      <c r="B94" t="s">
        <v>104</v>
      </c>
      <c r="C94">
        <v>69278.12554962447</v>
      </c>
      <c r="D94">
        <v>67989.064634466195</v>
      </c>
      <c r="E94">
        <v>75553.678202040304</v>
      </c>
      <c r="F94">
        <v>90817.698991327095</v>
      </c>
      <c r="G94">
        <v>93707.29853494736</v>
      </c>
    </row>
    <row r="95" spans="1:7" x14ac:dyDescent="0.3">
      <c r="A95">
        <v>100000</v>
      </c>
      <c r="B95" t="s">
        <v>105</v>
      </c>
      <c r="C95">
        <v>68655.76731445358</v>
      </c>
      <c r="D95">
        <v>67366.706399295304</v>
      </c>
      <c r="E95">
        <v>75766.036437211194</v>
      </c>
      <c r="F95">
        <v>91030.057226497986</v>
      </c>
      <c r="G95">
        <v>93084.94029977647</v>
      </c>
    </row>
    <row r="96" spans="1:7" x14ac:dyDescent="0.3">
      <c r="A96">
        <v>100000</v>
      </c>
      <c r="B96" t="s">
        <v>106</v>
      </c>
      <c r="C96">
        <v>68308.400136559314</v>
      </c>
      <c r="D96">
        <v>67304.073577189571</v>
      </c>
      <c r="E96">
        <v>75418.669259316928</v>
      </c>
      <c r="F96">
        <v>90682.690048603719</v>
      </c>
      <c r="G96">
        <v>93022.307477670736</v>
      </c>
    </row>
    <row r="97" spans="1:7" x14ac:dyDescent="0.3">
      <c r="A97">
        <v>100000</v>
      </c>
      <c r="B97" t="s">
        <v>107</v>
      </c>
      <c r="C97">
        <v>68672.782526029769</v>
      </c>
      <c r="D97">
        <v>67668.455966660025</v>
      </c>
      <c r="E97">
        <v>74644.286869846474</v>
      </c>
      <c r="F97">
        <v>89908.307659133265</v>
      </c>
      <c r="G97">
        <v>93386.689867141191</v>
      </c>
    </row>
    <row r="98" spans="1:7" x14ac:dyDescent="0.3">
      <c r="A98">
        <v>100000</v>
      </c>
      <c r="B98" t="s">
        <v>108</v>
      </c>
      <c r="C98">
        <v>69087.696667120312</v>
      </c>
      <c r="D98">
        <v>68083.370107750568</v>
      </c>
      <c r="E98">
        <v>73819.37272875593</v>
      </c>
      <c r="F98">
        <v>89083.393518042722</v>
      </c>
      <c r="G98">
        <v>93801.604008231734</v>
      </c>
    </row>
    <row r="99" spans="1:7" x14ac:dyDescent="0.3">
      <c r="A99">
        <v>100000</v>
      </c>
      <c r="B99" t="s">
        <v>109</v>
      </c>
      <c r="C99">
        <v>70138.299197397835</v>
      </c>
      <c r="D99">
        <v>69133.972638028092</v>
      </c>
      <c r="E99">
        <v>72358.770198478407</v>
      </c>
      <c r="F99">
        <v>87622.790987765198</v>
      </c>
      <c r="G99">
        <v>94852.206538509257</v>
      </c>
    </row>
    <row r="100" spans="1:7" x14ac:dyDescent="0.3">
      <c r="A100">
        <v>100000</v>
      </c>
      <c r="B100" t="s">
        <v>110</v>
      </c>
      <c r="C100">
        <v>70367.121566856746</v>
      </c>
      <c r="D100">
        <v>69362.795007487002</v>
      </c>
      <c r="E100">
        <v>71719.947829019497</v>
      </c>
      <c r="F100">
        <v>86983.968618306288</v>
      </c>
      <c r="G100">
        <v>95081.028907968168</v>
      </c>
    </row>
    <row r="101" spans="1:7" x14ac:dyDescent="0.3">
      <c r="A101">
        <v>100000</v>
      </c>
      <c r="B101" t="s">
        <v>111</v>
      </c>
      <c r="C101">
        <v>71096.921252638378</v>
      </c>
      <c r="D101">
        <v>70092.594693268635</v>
      </c>
      <c r="E101">
        <v>70580.148143237864</v>
      </c>
      <c r="F101">
        <v>85844.168932524655</v>
      </c>
      <c r="G101">
        <v>95810.8285937498</v>
      </c>
    </row>
    <row r="102" spans="1:7" x14ac:dyDescent="0.3">
      <c r="A102">
        <v>100000</v>
      </c>
      <c r="B102" t="s">
        <v>112</v>
      </c>
      <c r="C102">
        <v>69424.871288572511</v>
      </c>
      <c r="D102">
        <v>68420.544729202767</v>
      </c>
      <c r="E102">
        <v>71842.198107303731</v>
      </c>
      <c r="F102">
        <v>87106.218896590522</v>
      </c>
      <c r="G102">
        <v>94138.778629683933</v>
      </c>
    </row>
    <row r="103" spans="1:7" x14ac:dyDescent="0.3">
      <c r="A103">
        <v>100000</v>
      </c>
      <c r="B103" t="s">
        <v>113</v>
      </c>
      <c r="C103">
        <v>69029.068006756075</v>
      </c>
      <c r="D103">
        <v>68024.741447386332</v>
      </c>
      <c r="E103">
        <v>71828.001389120167</v>
      </c>
      <c r="F103">
        <v>87092.022178406958</v>
      </c>
      <c r="G103">
        <v>93742.975347867497</v>
      </c>
    </row>
    <row r="104" spans="1:7" x14ac:dyDescent="0.3">
      <c r="A104">
        <v>100000</v>
      </c>
      <c r="B104" t="s">
        <v>114</v>
      </c>
      <c r="C104">
        <v>69593.762447336601</v>
      </c>
      <c r="D104">
        <v>68589.435887966858</v>
      </c>
      <c r="E104">
        <v>70853.306948539641</v>
      </c>
      <c r="F104">
        <v>86117.327737826432</v>
      </c>
      <c r="G104">
        <v>92768.280907286971</v>
      </c>
    </row>
    <row r="105" spans="1:7" x14ac:dyDescent="0.3">
      <c r="A105">
        <v>100000</v>
      </c>
      <c r="B105" t="s">
        <v>115</v>
      </c>
      <c r="C105">
        <v>72126.797050908091</v>
      </c>
      <c r="D105">
        <v>71122.470491538348</v>
      </c>
      <c r="E105">
        <v>67910.272344968151</v>
      </c>
      <c r="F105">
        <v>83174.293134254942</v>
      </c>
      <c r="G105">
        <v>89825.246303715481</v>
      </c>
    </row>
    <row r="106" spans="1:7" x14ac:dyDescent="0.3">
      <c r="A106">
        <v>100000</v>
      </c>
      <c r="B106" t="s">
        <v>116</v>
      </c>
      <c r="C106">
        <v>70640.357069980688</v>
      </c>
      <c r="D106">
        <v>69636.030510610944</v>
      </c>
      <c r="E106">
        <v>68986.712325895554</v>
      </c>
      <c r="F106">
        <v>84250.733115182346</v>
      </c>
      <c r="G106">
        <v>90901.686284642885</v>
      </c>
    </row>
    <row r="107" spans="1:7" x14ac:dyDescent="0.3">
      <c r="A107">
        <v>100000</v>
      </c>
      <c r="B107" t="s">
        <v>117</v>
      </c>
      <c r="C107">
        <v>69381.94929583132</v>
      </c>
      <c r="D107">
        <v>68377.622736461577</v>
      </c>
      <c r="E107">
        <v>69835.120100044922</v>
      </c>
      <c r="F107">
        <v>85099.140889331713</v>
      </c>
      <c r="G107">
        <v>91750.094058792252</v>
      </c>
    </row>
    <row r="108" spans="1:7" x14ac:dyDescent="0.3">
      <c r="A108">
        <v>100000</v>
      </c>
      <c r="B108" t="s">
        <v>118</v>
      </c>
      <c r="C108">
        <v>71173.024600915029</v>
      </c>
      <c r="D108">
        <v>70168.698041545285</v>
      </c>
      <c r="E108">
        <v>67634.044794961213</v>
      </c>
      <c r="F108">
        <v>82898.065584248005</v>
      </c>
      <c r="G108">
        <v>89549.018753708544</v>
      </c>
    </row>
    <row r="109" spans="1:7" x14ac:dyDescent="0.3">
      <c r="A109">
        <v>100000</v>
      </c>
      <c r="B109" t="s">
        <v>119</v>
      </c>
      <c r="C109">
        <v>71325.578869873643</v>
      </c>
      <c r="D109">
        <v>70321.2523105039</v>
      </c>
      <c r="E109">
        <v>67071.490526002599</v>
      </c>
      <c r="F109">
        <v>82335.51131528939</v>
      </c>
      <c r="G109">
        <v>88986.464484749929</v>
      </c>
    </row>
    <row r="110" spans="1:7" x14ac:dyDescent="0.3">
      <c r="A110">
        <v>100000</v>
      </c>
      <c r="B110" t="s">
        <v>120</v>
      </c>
      <c r="C110">
        <v>71351.780671756089</v>
      </c>
      <c r="D110">
        <v>70347.454112386346</v>
      </c>
      <c r="E110">
        <v>66635.288724120153</v>
      </c>
      <c r="F110">
        <v>81899.309513406944</v>
      </c>
      <c r="G110">
        <v>88550.262682867484</v>
      </c>
    </row>
    <row r="111" spans="1:7" x14ac:dyDescent="0.3">
      <c r="A111">
        <v>100000</v>
      </c>
      <c r="B111" t="s">
        <v>121</v>
      </c>
      <c r="C111">
        <v>70636.873260207125</v>
      </c>
      <c r="D111">
        <v>69632.546700837382</v>
      </c>
      <c r="E111">
        <v>66940.196135669117</v>
      </c>
      <c r="F111">
        <v>82204.216924955908</v>
      </c>
      <c r="G111">
        <v>88855.170094416448</v>
      </c>
    </row>
    <row r="112" spans="1:7" x14ac:dyDescent="0.3">
      <c r="A112">
        <v>100000</v>
      </c>
      <c r="B112" t="s">
        <v>122</v>
      </c>
      <c r="C112">
        <v>67969.606406571009</v>
      </c>
      <c r="D112">
        <v>66965.279847201266</v>
      </c>
      <c r="E112">
        <v>69197.462989305233</v>
      </c>
      <c r="F112">
        <v>84461.483778592024</v>
      </c>
      <c r="G112">
        <v>91112.436948052549</v>
      </c>
    </row>
    <row r="113" spans="1:7" x14ac:dyDescent="0.3">
      <c r="A113">
        <v>100000</v>
      </c>
      <c r="B113" t="s">
        <v>123</v>
      </c>
      <c r="C113">
        <v>68145.796893784922</v>
      </c>
      <c r="D113">
        <v>67141.470334415179</v>
      </c>
      <c r="E113">
        <v>69373.653476519146</v>
      </c>
      <c r="F113">
        <v>83875.293291378111</v>
      </c>
      <c r="G113">
        <v>90526.246460838636</v>
      </c>
    </row>
    <row r="114" spans="1:7" x14ac:dyDescent="0.3">
      <c r="A114">
        <v>100000</v>
      </c>
      <c r="B114" t="s">
        <v>124</v>
      </c>
      <c r="C114">
        <v>68590.52745575567</v>
      </c>
      <c r="D114">
        <v>67586.200896385926</v>
      </c>
      <c r="E114">
        <v>69818.384038489894</v>
      </c>
      <c r="F114">
        <v>83020.562729407364</v>
      </c>
      <c r="G114">
        <v>89671.515898867889</v>
      </c>
    </row>
    <row r="115" spans="1:7" x14ac:dyDescent="0.3">
      <c r="A115">
        <v>100000</v>
      </c>
      <c r="B115" t="s">
        <v>125</v>
      </c>
      <c r="C115">
        <v>69443.591579008717</v>
      </c>
      <c r="D115">
        <v>68439.265019638973</v>
      </c>
      <c r="E115">
        <v>70671.448161742941</v>
      </c>
      <c r="F115">
        <v>81757.498606154317</v>
      </c>
      <c r="G115">
        <v>88408.451775614842</v>
      </c>
    </row>
    <row r="116" spans="1:7" x14ac:dyDescent="0.3">
      <c r="A116">
        <v>100000</v>
      </c>
      <c r="B116" t="s">
        <v>126</v>
      </c>
      <c r="C116">
        <v>69259.525219368777</v>
      </c>
      <c r="D116">
        <v>68213.331379278912</v>
      </c>
      <c r="E116">
        <v>70487.381802103002</v>
      </c>
      <c r="F116">
        <v>81573.432246514378</v>
      </c>
      <c r="G116">
        <v>88224.385415974903</v>
      </c>
    </row>
    <row r="117" spans="1:7" x14ac:dyDescent="0.3">
      <c r="A117">
        <v>100000</v>
      </c>
      <c r="B117" t="s">
        <v>127</v>
      </c>
      <c r="C117">
        <v>68163.16364961525</v>
      </c>
      <c r="D117">
        <v>68899.69294903244</v>
      </c>
      <c r="E117">
        <v>71173.74337185653</v>
      </c>
      <c r="F117">
        <v>80477.07067676085</v>
      </c>
      <c r="G117">
        <v>87128.023846221375</v>
      </c>
    </row>
    <row r="118" spans="1:7" x14ac:dyDescent="0.3">
      <c r="A118">
        <v>100000</v>
      </c>
      <c r="B118" t="s">
        <v>128</v>
      </c>
      <c r="C118">
        <v>71142.810952519809</v>
      </c>
      <c r="D118">
        <v>71879.340251936999</v>
      </c>
      <c r="E118">
        <v>67784.096068951971</v>
      </c>
      <c r="F118">
        <v>77087.423373856291</v>
      </c>
      <c r="G118">
        <v>83738.376543316816</v>
      </c>
    </row>
    <row r="119" spans="1:7" x14ac:dyDescent="0.3">
      <c r="A119">
        <v>100000</v>
      </c>
      <c r="B119" t="s">
        <v>129</v>
      </c>
      <c r="C119">
        <v>73462.1795046365</v>
      </c>
      <c r="D119">
        <v>74198.708804053691</v>
      </c>
      <c r="E119">
        <v>70103.464621068662</v>
      </c>
      <c r="F119">
        <v>79406.791925972982</v>
      </c>
      <c r="G119">
        <v>86057.745095433507</v>
      </c>
    </row>
    <row r="120" spans="1:7" x14ac:dyDescent="0.3">
      <c r="A120">
        <v>100000</v>
      </c>
      <c r="B120" t="s">
        <v>130</v>
      </c>
      <c r="C120">
        <v>73604.949210358493</v>
      </c>
      <c r="D120">
        <v>74341.478509775683</v>
      </c>
      <c r="E120">
        <v>70246.234326790654</v>
      </c>
      <c r="F120">
        <v>79549.561631694974</v>
      </c>
      <c r="G120">
        <v>86200.514801155499</v>
      </c>
    </row>
    <row r="121" spans="1:7" x14ac:dyDescent="0.3">
      <c r="A121">
        <v>100000</v>
      </c>
      <c r="B121" t="s">
        <v>131</v>
      </c>
      <c r="C121">
        <v>72619.024595614639</v>
      </c>
      <c r="D121">
        <v>73355.55389503183</v>
      </c>
      <c r="E121">
        <v>70822.158941534508</v>
      </c>
      <c r="F121">
        <v>80125.486246438828</v>
      </c>
      <c r="G121">
        <v>86776.439415899353</v>
      </c>
    </row>
    <row r="122" spans="1:7" x14ac:dyDescent="0.3">
      <c r="A122">
        <v>100000</v>
      </c>
      <c r="B122" t="s">
        <v>132</v>
      </c>
      <c r="C122">
        <v>70708.44965663497</v>
      </c>
      <c r="D122">
        <v>71444.97895605216</v>
      </c>
      <c r="E122">
        <v>72322.733880514177</v>
      </c>
      <c r="F122">
        <v>78214.911307459159</v>
      </c>
      <c r="G122">
        <v>88277.014354879022</v>
      </c>
    </row>
    <row r="123" spans="1:7" x14ac:dyDescent="0.3">
      <c r="A123">
        <v>100000</v>
      </c>
      <c r="B123" t="s">
        <v>133</v>
      </c>
      <c r="C123">
        <v>70336.028098119641</v>
      </c>
      <c r="D123">
        <v>71072.557397536832</v>
      </c>
      <c r="E123">
        <v>71950.312321998848</v>
      </c>
      <c r="F123">
        <v>77842.48974894383</v>
      </c>
      <c r="G123">
        <v>87904.592796363693</v>
      </c>
    </row>
    <row r="124" spans="1:7" x14ac:dyDescent="0.3">
      <c r="A124">
        <v>100000</v>
      </c>
      <c r="B124" t="s">
        <v>134</v>
      </c>
      <c r="C124">
        <v>71633.35723252043</v>
      </c>
      <c r="D124">
        <v>72369.88653193762</v>
      </c>
      <c r="E124">
        <v>70242.98318759806</v>
      </c>
      <c r="F124">
        <v>79139.818883344618</v>
      </c>
      <c r="G124">
        <v>89201.921930764482</v>
      </c>
    </row>
    <row r="125" spans="1:7" x14ac:dyDescent="0.3">
      <c r="A125">
        <v>100000</v>
      </c>
      <c r="B125" t="s">
        <v>135</v>
      </c>
      <c r="C125">
        <v>70681.661661509075</v>
      </c>
      <c r="D125">
        <v>71418.190960926266</v>
      </c>
      <c r="E125">
        <v>70784.678758609414</v>
      </c>
      <c r="F125">
        <v>78188.123312333264</v>
      </c>
      <c r="G125">
        <v>88250.226359753127</v>
      </c>
    </row>
    <row r="126" spans="1:7" x14ac:dyDescent="0.3">
      <c r="A126">
        <v>100000</v>
      </c>
      <c r="B126" t="s">
        <v>136</v>
      </c>
      <c r="C126">
        <v>70052.122077677472</v>
      </c>
      <c r="D126">
        <v>70788.651377094662</v>
      </c>
      <c r="E126">
        <v>71004.218342441018</v>
      </c>
      <c r="F126">
        <v>77558.583728501661</v>
      </c>
      <c r="G126">
        <v>87620.686775921524</v>
      </c>
    </row>
    <row r="127" spans="1:7" x14ac:dyDescent="0.3">
      <c r="A127">
        <v>100000</v>
      </c>
      <c r="B127" t="s">
        <v>137</v>
      </c>
      <c r="C127">
        <v>69924.782700754615</v>
      </c>
      <c r="D127">
        <v>70661.312000171805</v>
      </c>
      <c r="E127">
        <v>70876.878965518161</v>
      </c>
      <c r="F127">
        <v>77275.923105424517</v>
      </c>
      <c r="G127">
        <v>87338.026152844381</v>
      </c>
    </row>
    <row r="128" spans="1:7" x14ac:dyDescent="0.3">
      <c r="A128">
        <v>100000</v>
      </c>
      <c r="B128" t="s">
        <v>138</v>
      </c>
      <c r="C128">
        <v>68990.006962467291</v>
      </c>
      <c r="D128">
        <v>71186.087738459129</v>
      </c>
      <c r="E128">
        <v>71401.654703805485</v>
      </c>
      <c r="F128">
        <v>76341.147367137193</v>
      </c>
      <c r="G128">
        <v>86403.250414557057</v>
      </c>
    </row>
    <row r="129" spans="1:7" x14ac:dyDescent="0.3">
      <c r="A129">
        <v>100000</v>
      </c>
      <c r="B129" t="s">
        <v>139</v>
      </c>
      <c r="C129">
        <v>69013.563224171579</v>
      </c>
      <c r="D129">
        <v>71209.644000163418</v>
      </c>
      <c r="E129">
        <v>71425.210965509774</v>
      </c>
      <c r="F129">
        <v>76364.703628841482</v>
      </c>
      <c r="G129">
        <v>86426.806676261345</v>
      </c>
    </row>
    <row r="130" spans="1:7" x14ac:dyDescent="0.3">
      <c r="A130">
        <v>100000</v>
      </c>
      <c r="B130" t="s">
        <v>140</v>
      </c>
      <c r="C130">
        <v>69721.614486330684</v>
      </c>
      <c r="D130">
        <v>71917.695262322522</v>
      </c>
      <c r="E130">
        <v>72133.262227668878</v>
      </c>
      <c r="F130">
        <v>75246.652366682378</v>
      </c>
      <c r="G130">
        <v>85308.755414102241</v>
      </c>
    </row>
    <row r="131" spans="1:7" x14ac:dyDescent="0.3">
      <c r="A131">
        <v>100000</v>
      </c>
      <c r="B131" t="s">
        <v>141</v>
      </c>
      <c r="C131">
        <v>68383.079635690578</v>
      </c>
      <c r="D131">
        <v>70579.160411682416</v>
      </c>
      <c r="E131">
        <v>70794.727377028772</v>
      </c>
      <c r="F131">
        <v>73908.117516042272</v>
      </c>
      <c r="G131">
        <v>83970.220563462135</v>
      </c>
    </row>
    <row r="132" spans="1:7" x14ac:dyDescent="0.3">
      <c r="A132">
        <v>100000</v>
      </c>
      <c r="B132" t="s">
        <v>142</v>
      </c>
      <c r="C132">
        <v>69024.989004625473</v>
      </c>
      <c r="D132">
        <v>71221.069780617312</v>
      </c>
      <c r="E132">
        <v>71436.636745963668</v>
      </c>
      <c r="F132">
        <v>74550.026884977167</v>
      </c>
      <c r="G132">
        <v>84612.129932397031</v>
      </c>
    </row>
    <row r="133" spans="1:7" x14ac:dyDescent="0.3">
      <c r="A133">
        <v>100000</v>
      </c>
      <c r="B133" t="s">
        <v>143</v>
      </c>
      <c r="C133">
        <v>67977.380503841137</v>
      </c>
      <c r="D133">
        <v>70173.461279832976</v>
      </c>
      <c r="E133">
        <v>72074.245246748003</v>
      </c>
      <c r="F133">
        <v>75187.635385761503</v>
      </c>
      <c r="G133">
        <v>85249.738433181366</v>
      </c>
    </row>
    <row r="134" spans="1:7" x14ac:dyDescent="0.3">
      <c r="A134">
        <v>100000</v>
      </c>
      <c r="B134" t="s">
        <v>144</v>
      </c>
      <c r="C134">
        <v>67364.630228232141</v>
      </c>
      <c r="D134">
        <v>69560.71100422398</v>
      </c>
      <c r="E134">
        <v>71461.494971139007</v>
      </c>
      <c r="F134">
        <v>74574.885110152507</v>
      </c>
      <c r="G134">
        <v>84636.98815757237</v>
      </c>
    </row>
    <row r="135" spans="1:7" x14ac:dyDescent="0.3">
      <c r="A135">
        <v>100000</v>
      </c>
      <c r="B135" t="s">
        <v>145</v>
      </c>
      <c r="C135">
        <v>67397.28340313003</v>
      </c>
      <c r="D135">
        <v>69593.364179121869</v>
      </c>
      <c r="E135">
        <v>71018.841796241119</v>
      </c>
      <c r="F135">
        <v>74132.231935254618</v>
      </c>
      <c r="G135">
        <v>84194.334982674482</v>
      </c>
    </row>
    <row r="136" spans="1:7" x14ac:dyDescent="0.3">
      <c r="A136">
        <v>100000</v>
      </c>
      <c r="B136" t="s">
        <v>146</v>
      </c>
      <c r="C136">
        <v>66273.460791847945</v>
      </c>
      <c r="D136">
        <v>68469.541567839784</v>
      </c>
      <c r="E136">
        <v>69895.019184959034</v>
      </c>
      <c r="F136">
        <v>73008.409323972533</v>
      </c>
      <c r="G136">
        <v>83070.512371392397</v>
      </c>
    </row>
    <row r="137" spans="1:7" x14ac:dyDescent="0.3">
      <c r="A137">
        <v>100000</v>
      </c>
      <c r="B137" t="s">
        <v>147</v>
      </c>
      <c r="C137">
        <v>66721.463308928127</v>
      </c>
      <c r="D137">
        <v>68917.544084919966</v>
      </c>
      <c r="E137">
        <v>70343.021702039216</v>
      </c>
      <c r="F137">
        <v>73456.411841052715</v>
      </c>
      <c r="G137">
        <v>83518.514888472579</v>
      </c>
    </row>
    <row r="138" spans="1:7" x14ac:dyDescent="0.3">
      <c r="A138">
        <v>100000</v>
      </c>
      <c r="B138" t="s">
        <v>148</v>
      </c>
      <c r="C138">
        <v>66532.371446663674</v>
      </c>
      <c r="D138">
        <v>68728.452222655513</v>
      </c>
      <c r="E138">
        <v>70153.929839774763</v>
      </c>
      <c r="F138">
        <v>73267.319978788262</v>
      </c>
      <c r="G138">
        <v>83329.423026208126</v>
      </c>
    </row>
    <row r="139" spans="1:7" x14ac:dyDescent="0.3">
      <c r="A139">
        <v>100000</v>
      </c>
      <c r="B139" t="s">
        <v>149</v>
      </c>
      <c r="C139">
        <v>62334.599491477551</v>
      </c>
      <c r="D139">
        <v>64530.68026746939</v>
      </c>
      <c r="E139">
        <v>65956.15788458864</v>
      </c>
      <c r="F139">
        <v>69069.548023602139</v>
      </c>
      <c r="G139">
        <v>79131.651071022003</v>
      </c>
    </row>
    <row r="140" spans="1:7" x14ac:dyDescent="0.3">
      <c r="A140">
        <v>100000</v>
      </c>
      <c r="B140" t="s">
        <v>150</v>
      </c>
      <c r="C140">
        <v>63943.658448393653</v>
      </c>
      <c r="D140">
        <v>66139.739224385485</v>
      </c>
      <c r="E140">
        <v>67565.216841504734</v>
      </c>
      <c r="F140">
        <v>70678.606980518234</v>
      </c>
      <c r="G140">
        <v>80740.710027938097</v>
      </c>
    </row>
    <row r="141" spans="1:7" x14ac:dyDescent="0.3">
      <c r="A141">
        <v>100000</v>
      </c>
      <c r="B141" t="s">
        <v>151</v>
      </c>
      <c r="C141">
        <v>65653.007583826067</v>
      </c>
      <c r="D141">
        <v>67849.088359817906</v>
      </c>
      <c r="E141">
        <v>69274.565976937156</v>
      </c>
      <c r="F141">
        <v>72387.956115950656</v>
      </c>
      <c r="G141">
        <v>82450.059163370519</v>
      </c>
    </row>
    <row r="142" spans="1:7" x14ac:dyDescent="0.3">
      <c r="A142">
        <v>100000</v>
      </c>
      <c r="B142" t="s">
        <v>152</v>
      </c>
      <c r="C142">
        <v>67033.036435073896</v>
      </c>
      <c r="D142">
        <v>69229.117211065735</v>
      </c>
      <c r="E142">
        <v>70654.594828184985</v>
      </c>
      <c r="F142">
        <v>73767.984967198485</v>
      </c>
      <c r="G142">
        <v>83830.088014618348</v>
      </c>
    </row>
    <row r="143" spans="1:7" x14ac:dyDescent="0.3">
      <c r="A143">
        <v>100000</v>
      </c>
      <c r="B143" t="s">
        <v>153</v>
      </c>
      <c r="C143">
        <v>67026.08772602136</v>
      </c>
      <c r="D143">
        <v>69222.168502013199</v>
      </c>
      <c r="E143">
        <v>70647.646119132449</v>
      </c>
      <c r="F143">
        <v>73761.036258145949</v>
      </c>
      <c r="G143">
        <v>83823.139305565812</v>
      </c>
    </row>
    <row r="144" spans="1:7" x14ac:dyDescent="0.3">
      <c r="A144">
        <v>100000</v>
      </c>
      <c r="B144" t="s">
        <v>154</v>
      </c>
      <c r="C144">
        <v>65780.036019013336</v>
      </c>
      <c r="D144">
        <v>67976.116795005175</v>
      </c>
      <c r="E144">
        <v>69401.594412124425</v>
      </c>
      <c r="F144">
        <v>72514.984551137924</v>
      </c>
      <c r="G144">
        <v>82577.087598557788</v>
      </c>
    </row>
    <row r="145" spans="1:7" x14ac:dyDescent="0.3">
      <c r="A145">
        <v>100000</v>
      </c>
      <c r="B145" t="s">
        <v>155</v>
      </c>
      <c r="C145">
        <v>66613.194568812731</v>
      </c>
      <c r="D145">
        <v>68809.27534480457</v>
      </c>
      <c r="E145">
        <v>70234.752961923819</v>
      </c>
      <c r="F145">
        <v>73348.143100937319</v>
      </c>
      <c r="G145">
        <v>83410.246148357182</v>
      </c>
    </row>
    <row r="146" spans="1:7" x14ac:dyDescent="0.3">
      <c r="A146">
        <v>100000</v>
      </c>
      <c r="B146" t="s">
        <v>156</v>
      </c>
      <c r="C146">
        <v>69253.711080741283</v>
      </c>
      <c r="D146">
        <v>71449.791856733122</v>
      </c>
      <c r="E146">
        <v>72875.269473852371</v>
      </c>
      <c r="F146">
        <v>75988.659612865871</v>
      </c>
      <c r="G146">
        <v>86050.762660285734</v>
      </c>
    </row>
    <row r="147" spans="1:7" x14ac:dyDescent="0.3">
      <c r="A147">
        <v>100000</v>
      </c>
      <c r="B147" t="s">
        <v>157</v>
      </c>
      <c r="C147">
        <v>67647.60518111143</v>
      </c>
      <c r="D147">
        <v>69843.685957103269</v>
      </c>
      <c r="E147">
        <v>71269.163574222519</v>
      </c>
      <c r="F147">
        <v>74382.553713236019</v>
      </c>
      <c r="G147">
        <v>87246.868559915587</v>
      </c>
    </row>
    <row r="148" spans="1:7" x14ac:dyDescent="0.3">
      <c r="A148">
        <v>100000</v>
      </c>
      <c r="B148" t="s">
        <v>306</v>
      </c>
      <c r="C148">
        <v>67129.558090520644</v>
      </c>
      <c r="D148">
        <v>69951.733047694055</v>
      </c>
      <c r="E148">
        <v>71377.210664813305</v>
      </c>
      <c r="F148">
        <v>74490.600803826805</v>
      </c>
      <c r="G148">
        <v>87354.915650506373</v>
      </c>
    </row>
    <row r="149" spans="1:7" x14ac:dyDescent="0.3">
      <c r="A149">
        <v>100000</v>
      </c>
      <c r="B149" t="s">
        <v>307</v>
      </c>
      <c r="C149">
        <v>67308.014269088861</v>
      </c>
      <c r="D149">
        <v>70130.189226262271</v>
      </c>
      <c r="E149">
        <v>70788.754486245089</v>
      </c>
      <c r="F149">
        <v>73902.144625258588</v>
      </c>
      <c r="G149">
        <v>86766.459471938157</v>
      </c>
    </row>
    <row r="150" spans="1:7" x14ac:dyDescent="0.3">
      <c r="A150">
        <v>100000</v>
      </c>
      <c r="B150" t="s">
        <v>308</v>
      </c>
      <c r="C150">
        <v>68840.083751868209</v>
      </c>
      <c r="D150">
        <v>71662.25870904162</v>
      </c>
      <c r="E150">
        <v>72320.823969024437</v>
      </c>
      <c r="F150">
        <v>75434.214108037937</v>
      </c>
      <c r="G150">
        <v>88298.528954717505</v>
      </c>
    </row>
    <row r="151" spans="1:7" x14ac:dyDescent="0.3">
      <c r="A151">
        <v>100000</v>
      </c>
      <c r="B151" t="s">
        <v>309</v>
      </c>
      <c r="C151">
        <v>68434.188156235774</v>
      </c>
      <c r="D151">
        <v>71256.363113409185</v>
      </c>
      <c r="E151">
        <v>71914.928373392002</v>
      </c>
      <c r="F151">
        <v>75028.318512405502</v>
      </c>
      <c r="G151">
        <v>87892.63335908507</v>
      </c>
    </row>
    <row r="152" spans="1:7" x14ac:dyDescent="0.3">
      <c r="A152">
        <v>100000</v>
      </c>
      <c r="B152" t="s">
        <v>310</v>
      </c>
      <c r="C152">
        <v>69477.832571225532</v>
      </c>
      <c r="D152">
        <v>72300.007528398943</v>
      </c>
      <c r="E152">
        <v>72958.57278838176</v>
      </c>
      <c r="F152">
        <v>76071.96292739526</v>
      </c>
      <c r="G152">
        <v>88936.277774074828</v>
      </c>
    </row>
    <row r="153" spans="1:7" x14ac:dyDescent="0.3">
      <c r="A153">
        <v>100000</v>
      </c>
      <c r="B153" t="s">
        <v>311</v>
      </c>
      <c r="C153">
        <v>68901.910434470803</v>
      </c>
      <c r="D153">
        <v>71724.085391644214</v>
      </c>
      <c r="E153">
        <v>72382.650651627031</v>
      </c>
      <c r="F153">
        <v>75496.040790640531</v>
      </c>
      <c r="G153">
        <v>88360.355637320099</v>
      </c>
    </row>
    <row r="154" spans="1:7" x14ac:dyDescent="0.3">
      <c r="A154">
        <v>100000</v>
      </c>
      <c r="B154" t="s">
        <v>312</v>
      </c>
      <c r="C154">
        <v>69002.603976694721</v>
      </c>
      <c r="D154">
        <v>71824.778933868132</v>
      </c>
      <c r="E154">
        <v>72483.34419385095</v>
      </c>
      <c r="F154">
        <v>75596.734332864449</v>
      </c>
      <c r="G154">
        <v>88461.049179544018</v>
      </c>
    </row>
    <row r="155" spans="1:7" x14ac:dyDescent="0.3">
      <c r="A155">
        <v>100000</v>
      </c>
      <c r="B155" t="s">
        <v>313</v>
      </c>
      <c r="C155">
        <v>70097.637664257869</v>
      </c>
      <c r="D155">
        <v>72919.81262143128</v>
      </c>
      <c r="E155">
        <v>73578.377881414097</v>
      </c>
      <c r="F155">
        <v>76691.768020427597</v>
      </c>
      <c r="G155">
        <v>89556.082867107165</v>
      </c>
    </row>
    <row r="156" spans="1:7" x14ac:dyDescent="0.3">
      <c r="A156">
        <v>100000</v>
      </c>
      <c r="B156" t="s">
        <v>314</v>
      </c>
      <c r="C156">
        <v>70849.428734207861</v>
      </c>
      <c r="D156">
        <v>73671.603691381271</v>
      </c>
      <c r="E156">
        <v>74330.168951364089</v>
      </c>
      <c r="F156">
        <v>77443.559090377588</v>
      </c>
      <c r="G156">
        <v>90307.873937057157</v>
      </c>
    </row>
    <row r="157" spans="1:7" x14ac:dyDescent="0.3">
      <c r="A157">
        <v>100000</v>
      </c>
      <c r="B157" t="s">
        <v>315</v>
      </c>
      <c r="C157">
        <v>70923.941538705069</v>
      </c>
      <c r="D157">
        <v>73746.116495878479</v>
      </c>
      <c r="E157">
        <v>73845.656146866881</v>
      </c>
      <c r="F157">
        <v>76959.04628588038</v>
      </c>
      <c r="G157">
        <v>89823.361132559949</v>
      </c>
    </row>
    <row r="158" spans="1:7" x14ac:dyDescent="0.3">
      <c r="A158">
        <v>100000</v>
      </c>
      <c r="B158" t="s">
        <v>316</v>
      </c>
      <c r="C158">
        <v>71527.877166096863</v>
      </c>
      <c r="D158">
        <v>72732.180868486685</v>
      </c>
      <c r="E158">
        <v>72831.720519475086</v>
      </c>
      <c r="F158">
        <v>75945.110658488586</v>
      </c>
      <c r="G158">
        <v>88809.425505168154</v>
      </c>
    </row>
    <row r="159" spans="1:7" x14ac:dyDescent="0.3">
      <c r="A159">
        <v>100000</v>
      </c>
      <c r="B159" t="s">
        <v>317</v>
      </c>
      <c r="C159">
        <v>71647.984761229542</v>
      </c>
      <c r="D159">
        <v>72852.288463619363</v>
      </c>
      <c r="E159">
        <v>72951.828114607764</v>
      </c>
      <c r="F159">
        <v>76065.218253621264</v>
      </c>
      <c r="G159">
        <v>88929.533100300832</v>
      </c>
    </row>
    <row r="160" spans="1:7" x14ac:dyDescent="0.3">
      <c r="A160">
        <v>100000</v>
      </c>
      <c r="B160" t="s">
        <v>318</v>
      </c>
      <c r="C160">
        <v>71284.056746271614</v>
      </c>
      <c r="D160">
        <v>72806.216478577291</v>
      </c>
      <c r="E160">
        <v>72905.756129565692</v>
      </c>
      <c r="F160">
        <v>76019.146268579192</v>
      </c>
      <c r="G160">
        <v>88883.46111525876</v>
      </c>
    </row>
    <row r="161" spans="1:7" x14ac:dyDescent="0.3">
      <c r="A161">
        <v>100000</v>
      </c>
      <c r="B161" t="s">
        <v>319</v>
      </c>
      <c r="C161">
        <v>72304.271860375622</v>
      </c>
      <c r="D161">
        <v>73826.4315926813</v>
      </c>
      <c r="E161">
        <v>73925.971243669701</v>
      </c>
      <c r="F161">
        <v>77039.361382683201</v>
      </c>
      <c r="G161">
        <v>89903.676229362769</v>
      </c>
    </row>
    <row r="162" spans="1:7" x14ac:dyDescent="0.3">
      <c r="A162">
        <v>100000</v>
      </c>
      <c r="B162" t="s">
        <v>320</v>
      </c>
      <c r="C162">
        <v>72792.56787869391</v>
      </c>
      <c r="D162">
        <v>74314.727610999587</v>
      </c>
      <c r="E162">
        <v>73027.675225351413</v>
      </c>
      <c r="F162">
        <v>76141.065364364913</v>
      </c>
      <c r="G162">
        <v>89005.380211044481</v>
      </c>
    </row>
    <row r="163" spans="1:7" x14ac:dyDescent="0.3">
      <c r="A163">
        <v>100000</v>
      </c>
      <c r="B163" t="s">
        <v>321</v>
      </c>
      <c r="C163">
        <v>73855.401707520607</v>
      </c>
      <c r="D163">
        <v>75377.561439826284</v>
      </c>
      <c r="E163">
        <v>71554.841396524716</v>
      </c>
      <c r="F163">
        <v>74668.231535538216</v>
      </c>
      <c r="G163">
        <v>87532.546382217784</v>
      </c>
    </row>
    <row r="164" spans="1:7" x14ac:dyDescent="0.3">
      <c r="A164">
        <v>100000</v>
      </c>
      <c r="B164" t="s">
        <v>322</v>
      </c>
      <c r="C164">
        <v>74585.971806147209</v>
      </c>
      <c r="D164">
        <v>76108.131538452886</v>
      </c>
      <c r="E164">
        <v>72285.411495151318</v>
      </c>
      <c r="F164">
        <v>75398.801634164818</v>
      </c>
      <c r="G164">
        <v>88263.116480844386</v>
      </c>
    </row>
    <row r="165" spans="1:7" x14ac:dyDescent="0.3">
      <c r="A165">
        <v>100000</v>
      </c>
      <c r="B165" t="s">
        <v>323</v>
      </c>
      <c r="C165">
        <v>73394.358252948819</v>
      </c>
      <c r="D165">
        <v>74916.517985254497</v>
      </c>
      <c r="E165">
        <v>71093.797941952929</v>
      </c>
      <c r="F165">
        <v>74207.188080966429</v>
      </c>
      <c r="G165">
        <v>87071.502927645997</v>
      </c>
    </row>
    <row r="166" spans="1:7" x14ac:dyDescent="0.3">
      <c r="A166">
        <v>100000</v>
      </c>
      <c r="B166" t="s">
        <v>324</v>
      </c>
      <c r="C166">
        <v>77043.313628202362</v>
      </c>
      <c r="D166">
        <v>78565.47336050804</v>
      </c>
      <c r="E166">
        <v>74742.753317206472</v>
      </c>
      <c r="F166">
        <v>77856.143456219972</v>
      </c>
      <c r="G166">
        <v>90720.45830289954</v>
      </c>
    </row>
    <row r="167" spans="1:7" x14ac:dyDescent="0.3">
      <c r="A167">
        <v>100000</v>
      </c>
      <c r="B167" t="s">
        <v>325</v>
      </c>
      <c r="C167">
        <v>76374.817812107562</v>
      </c>
      <c r="D167">
        <v>77896.977544413239</v>
      </c>
      <c r="E167">
        <v>74074.257501111671</v>
      </c>
      <c r="F167">
        <v>77187.647640125171</v>
      </c>
      <c r="G167">
        <v>90978.954118994341</v>
      </c>
    </row>
    <row r="168" spans="1:7" x14ac:dyDescent="0.3">
      <c r="A168">
        <v>100000</v>
      </c>
      <c r="B168" t="s">
        <v>326</v>
      </c>
      <c r="C168">
        <v>76685.93098835407</v>
      </c>
      <c r="D168">
        <v>78208.090720659748</v>
      </c>
      <c r="E168">
        <v>74385.37067735818</v>
      </c>
      <c r="F168">
        <v>77498.76081637168</v>
      </c>
      <c r="G168">
        <v>90257.840942747833</v>
      </c>
    </row>
    <row r="169" spans="1:7" x14ac:dyDescent="0.3">
      <c r="A169">
        <v>100000</v>
      </c>
      <c r="B169" t="s">
        <v>327</v>
      </c>
      <c r="C169">
        <v>74520.024903800673</v>
      </c>
      <c r="D169">
        <v>76042.184636106351</v>
      </c>
      <c r="E169">
        <v>72219.464592804783</v>
      </c>
      <c r="F169">
        <v>75332.854731818283</v>
      </c>
      <c r="G169">
        <v>92013.74702730123</v>
      </c>
    </row>
    <row r="170" spans="1:7" x14ac:dyDescent="0.3">
      <c r="A170">
        <v>100000</v>
      </c>
      <c r="B170" t="s">
        <v>328</v>
      </c>
      <c r="C170">
        <v>74257.20560432713</v>
      </c>
      <c r="D170">
        <v>75779.365336632807</v>
      </c>
      <c r="E170">
        <v>71956.645293331239</v>
      </c>
      <c r="F170">
        <v>75070.035432344739</v>
      </c>
      <c r="G170">
        <v>91866.566326774773</v>
      </c>
    </row>
  </sheetData>
  <phoneticPr fontId="7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FAACD-6847-4C04-AA09-0E4DB1889568}">
  <sheetPr codeName="Hoja9"/>
  <dimension ref="A1:G170"/>
  <sheetViews>
    <sheetView topLeftCell="G2" zoomScale="113" workbookViewId="0">
      <selection activeCell="D171" sqref="D171:E171"/>
    </sheetView>
  </sheetViews>
  <sheetFormatPr baseColWidth="10" defaultRowHeight="14.4" x14ac:dyDescent="0.3"/>
  <sheetData>
    <row r="1" spans="1:7" x14ac:dyDescent="0.3">
      <c r="A1" t="s">
        <v>224</v>
      </c>
      <c r="C1" t="s">
        <v>220</v>
      </c>
      <c r="D1" t="s">
        <v>221</v>
      </c>
      <c r="E1" t="s">
        <v>215</v>
      </c>
      <c r="F1" t="s">
        <v>214</v>
      </c>
      <c r="G1" t="s">
        <v>213</v>
      </c>
    </row>
    <row r="2" spans="1:7" x14ac:dyDescent="0.3">
      <c r="C2" t="s">
        <v>10</v>
      </c>
      <c r="D2" t="s">
        <v>10</v>
      </c>
      <c r="E2" t="s">
        <v>10</v>
      </c>
      <c r="F2" t="s">
        <v>10</v>
      </c>
      <c r="G2" t="s">
        <v>10</v>
      </c>
    </row>
    <row r="3" spans="1:7" x14ac:dyDescent="0.3">
      <c r="C3" t="s">
        <v>12</v>
      </c>
      <c r="D3" t="s">
        <v>12</v>
      </c>
      <c r="E3" t="s">
        <v>12</v>
      </c>
      <c r="F3" t="s">
        <v>12</v>
      </c>
      <c r="G3" t="s">
        <v>12</v>
      </c>
    </row>
    <row r="4" spans="1:7" x14ac:dyDescent="0.3">
      <c r="A4">
        <v>100000</v>
      </c>
      <c r="B4" t="s">
        <v>14</v>
      </c>
      <c r="C4">
        <v>100000</v>
      </c>
      <c r="D4">
        <v>100000</v>
      </c>
      <c r="E4">
        <v>100000</v>
      </c>
      <c r="F4">
        <v>100000</v>
      </c>
      <c r="G4">
        <v>100000</v>
      </c>
    </row>
    <row r="5" spans="1:7" x14ac:dyDescent="0.3">
      <c r="A5">
        <v>100000</v>
      </c>
      <c r="B5" t="s">
        <v>15</v>
      </c>
      <c r="C5">
        <v>101202.05998518885</v>
      </c>
      <c r="D5">
        <v>101202.05998518885</v>
      </c>
      <c r="E5">
        <v>101202.05998518885</v>
      </c>
      <c r="F5">
        <v>98387.940014811145</v>
      </c>
      <c r="G5">
        <v>98387.940014811145</v>
      </c>
    </row>
    <row r="6" spans="1:7" x14ac:dyDescent="0.3">
      <c r="A6">
        <v>100000</v>
      </c>
      <c r="B6" t="s">
        <v>16</v>
      </c>
      <c r="C6">
        <v>99443.575540406746</v>
      </c>
      <c r="D6">
        <v>99443.575540406746</v>
      </c>
      <c r="E6">
        <v>99443.575540406746</v>
      </c>
      <c r="F6">
        <v>96678.019964417195</v>
      </c>
      <c r="G6">
        <v>96678.019964417195</v>
      </c>
    </row>
    <row r="7" spans="1:7" x14ac:dyDescent="0.3">
      <c r="A7">
        <v>100000</v>
      </c>
      <c r="B7" t="s">
        <v>17</v>
      </c>
      <c r="C7">
        <v>97138.081339433469</v>
      </c>
      <c r="D7">
        <v>97138.081339433469</v>
      </c>
      <c r="E7">
        <v>97138.081339433469</v>
      </c>
      <c r="F7">
        <v>94436.30852307954</v>
      </c>
      <c r="G7">
        <v>94436.30852307954</v>
      </c>
    </row>
    <row r="8" spans="1:7" x14ac:dyDescent="0.3">
      <c r="A8">
        <v>100000</v>
      </c>
      <c r="B8" t="s">
        <v>18</v>
      </c>
      <c r="C8">
        <v>97656.695497511377</v>
      </c>
      <c r="D8">
        <v>97656.695497511377</v>
      </c>
      <c r="E8">
        <v>97656.695497511377</v>
      </c>
      <c r="F8">
        <v>94940.164319776421</v>
      </c>
      <c r="G8">
        <v>94940.164319776421</v>
      </c>
    </row>
    <row r="9" spans="1:7" x14ac:dyDescent="0.3">
      <c r="A9">
        <v>100000</v>
      </c>
      <c r="B9" t="s">
        <v>19</v>
      </c>
      <c r="C9">
        <v>97553.057019612548</v>
      </c>
      <c r="D9">
        <v>97553.057019612548</v>
      </c>
      <c r="E9">
        <v>97553.057019612548</v>
      </c>
      <c r="F9">
        <v>94839.074963379448</v>
      </c>
      <c r="G9">
        <v>94839.074963379448</v>
      </c>
    </row>
    <row r="10" spans="1:7" x14ac:dyDescent="0.3">
      <c r="A10">
        <v>100000</v>
      </c>
      <c r="B10" t="s">
        <v>20</v>
      </c>
      <c r="C10">
        <v>97795.920412714855</v>
      </c>
      <c r="D10">
        <v>97795.920412714855</v>
      </c>
      <c r="E10">
        <v>97795.920412714855</v>
      </c>
      <c r="F10">
        <v>95074.8479105562</v>
      </c>
      <c r="G10">
        <v>95074.8479105562</v>
      </c>
    </row>
    <row r="11" spans="1:7" x14ac:dyDescent="0.3">
      <c r="A11">
        <v>100000</v>
      </c>
      <c r="B11" t="s">
        <v>21</v>
      </c>
      <c r="C11">
        <v>99305.33610700698</v>
      </c>
      <c r="D11">
        <v>99305.33610700698</v>
      </c>
      <c r="E11">
        <v>99305.33610700698</v>
      </c>
      <c r="F11">
        <v>96541.931753042853</v>
      </c>
      <c r="G11">
        <v>96541.931753042853</v>
      </c>
    </row>
    <row r="12" spans="1:7" x14ac:dyDescent="0.3">
      <c r="A12">
        <v>100000</v>
      </c>
      <c r="B12" t="s">
        <v>22</v>
      </c>
      <c r="C12">
        <v>100347.3142486643</v>
      </c>
      <c r="D12">
        <v>100347.3142486643</v>
      </c>
      <c r="E12">
        <v>97856.039367976613</v>
      </c>
      <c r="F12">
        <v>97554.580475961789</v>
      </c>
      <c r="G12">
        <v>97554.580475961789</v>
      </c>
    </row>
    <row r="13" spans="1:7" x14ac:dyDescent="0.3">
      <c r="A13">
        <v>100000</v>
      </c>
      <c r="B13" t="s">
        <v>23</v>
      </c>
      <c r="C13">
        <v>101043.25226468776</v>
      </c>
      <c r="D13">
        <v>101043.25226468776</v>
      </c>
      <c r="E13">
        <v>96775.952679257345</v>
      </c>
      <c r="F13">
        <v>98230.816097146555</v>
      </c>
      <c r="G13">
        <v>98230.816097146555</v>
      </c>
    </row>
    <row r="14" spans="1:7" x14ac:dyDescent="0.3">
      <c r="A14">
        <v>100000</v>
      </c>
      <c r="B14" t="s">
        <v>24</v>
      </c>
      <c r="C14">
        <v>101865.75449858715</v>
      </c>
      <c r="D14">
        <v>101865.75449858715</v>
      </c>
      <c r="E14">
        <v>95591.138304606255</v>
      </c>
      <c r="F14">
        <v>99030.090810039736</v>
      </c>
      <c r="G14">
        <v>99030.090810039736</v>
      </c>
    </row>
    <row r="15" spans="1:7" x14ac:dyDescent="0.3">
      <c r="A15">
        <v>100000</v>
      </c>
      <c r="B15" t="s">
        <v>25</v>
      </c>
      <c r="C15">
        <v>99158.336995331061</v>
      </c>
      <c r="D15">
        <v>99158.336995331061</v>
      </c>
      <c r="E15">
        <v>97739.5446118908</v>
      </c>
      <c r="F15">
        <v>96397.706349802684</v>
      </c>
      <c r="G15">
        <v>96397.706349802684</v>
      </c>
    </row>
    <row r="16" spans="1:7" x14ac:dyDescent="0.3">
      <c r="A16">
        <v>100000</v>
      </c>
      <c r="B16" t="s">
        <v>26</v>
      </c>
      <c r="C16">
        <v>97893.200277596421</v>
      </c>
      <c r="D16">
        <v>97893.200277596421</v>
      </c>
      <c r="E16">
        <v>96492.338215341515</v>
      </c>
      <c r="F16">
        <v>95167.4577486989</v>
      </c>
      <c r="G16">
        <v>95167.4577486989</v>
      </c>
    </row>
    <row r="17" spans="1:7" x14ac:dyDescent="0.3">
      <c r="A17">
        <v>100000</v>
      </c>
      <c r="B17" t="s">
        <v>27</v>
      </c>
      <c r="C17">
        <v>99850.633547727688</v>
      </c>
      <c r="D17">
        <v>99850.633547727688</v>
      </c>
      <c r="E17">
        <v>98421.588686826435</v>
      </c>
      <c r="F17">
        <v>97070.05403314576</v>
      </c>
      <c r="G17">
        <v>97070.05403314576</v>
      </c>
    </row>
    <row r="18" spans="1:7" x14ac:dyDescent="0.3">
      <c r="A18">
        <v>100000</v>
      </c>
      <c r="B18" t="s">
        <v>28</v>
      </c>
      <c r="C18">
        <v>98976.617767124379</v>
      </c>
      <c r="D18">
        <v>98976.617767124379</v>
      </c>
      <c r="E18">
        <v>97559.909925804459</v>
      </c>
      <c r="F18">
        <v>97521.374515721443</v>
      </c>
      <c r="G18">
        <v>97521.374515721443</v>
      </c>
    </row>
    <row r="19" spans="1:7" x14ac:dyDescent="0.3">
      <c r="A19">
        <v>100000</v>
      </c>
      <c r="B19" t="s">
        <v>29</v>
      </c>
      <c r="C19">
        <v>99144.25369924579</v>
      </c>
      <c r="D19">
        <v>99144.25369924579</v>
      </c>
      <c r="E19">
        <v>97724.974628080265</v>
      </c>
      <c r="F19">
        <v>96955.947247003278</v>
      </c>
      <c r="G19">
        <v>96955.947247003278</v>
      </c>
    </row>
    <row r="20" spans="1:7" x14ac:dyDescent="0.3">
      <c r="A20">
        <v>100000</v>
      </c>
      <c r="B20" t="s">
        <v>30</v>
      </c>
      <c r="C20">
        <v>101755.98697072187</v>
      </c>
      <c r="D20">
        <v>101755.98697072187</v>
      </c>
      <c r="E20">
        <v>100299.14838822225</v>
      </c>
      <c r="F20">
        <v>99509.769623669941</v>
      </c>
      <c r="G20">
        <v>99509.769623669941</v>
      </c>
    </row>
    <row r="21" spans="1:7" x14ac:dyDescent="0.3">
      <c r="A21">
        <v>100000</v>
      </c>
      <c r="B21" t="s">
        <v>31</v>
      </c>
      <c r="C21">
        <v>99829.106118941199</v>
      </c>
      <c r="D21">
        <v>99829.106118941199</v>
      </c>
      <c r="E21">
        <v>101787.45921350368</v>
      </c>
      <c r="F21">
        <v>100986.27263677413</v>
      </c>
      <c r="G21">
        <v>100986.27263677413</v>
      </c>
    </row>
    <row r="22" spans="1:7" x14ac:dyDescent="0.3">
      <c r="A22">
        <v>100000</v>
      </c>
      <c r="B22" t="s">
        <v>32</v>
      </c>
      <c r="C22">
        <v>99833.11973011322</v>
      </c>
      <c r="D22">
        <v>99833.11973011322</v>
      </c>
      <c r="E22">
        <v>101366.23186987173</v>
      </c>
      <c r="F22">
        <v>100568.26639186183</v>
      </c>
      <c r="G22">
        <v>100568.26639186183</v>
      </c>
    </row>
    <row r="23" spans="1:7" x14ac:dyDescent="0.3">
      <c r="A23">
        <v>100000</v>
      </c>
      <c r="B23" t="s">
        <v>33</v>
      </c>
      <c r="C23">
        <v>100221.02024655038</v>
      </c>
      <c r="D23">
        <v>100221.02024655038</v>
      </c>
      <c r="E23">
        <v>100556.91652664839</v>
      </c>
      <c r="F23">
        <v>99765.227597615842</v>
      </c>
      <c r="G23">
        <v>99765.227597615842</v>
      </c>
    </row>
    <row r="24" spans="1:7" x14ac:dyDescent="0.3">
      <c r="A24">
        <v>100000</v>
      </c>
      <c r="B24" t="s">
        <v>34</v>
      </c>
      <c r="C24">
        <v>98264.873416578441</v>
      </c>
      <c r="D24">
        <v>98264.873416578441</v>
      </c>
      <c r="E24">
        <v>102107.42957421673</v>
      </c>
      <c r="F24">
        <v>101303.43891275287</v>
      </c>
      <c r="G24">
        <v>101303.43891275287</v>
      </c>
    </row>
    <row r="25" spans="1:7" x14ac:dyDescent="0.3">
      <c r="A25">
        <v>100000</v>
      </c>
      <c r="B25" t="s">
        <v>35</v>
      </c>
      <c r="C25">
        <v>99985.903546518952</v>
      </c>
      <c r="D25">
        <v>99985.903546518952</v>
      </c>
      <c r="E25">
        <v>103896.2282298332</v>
      </c>
      <c r="F25">
        <v>103078.0581368791</v>
      </c>
      <c r="G25">
        <v>103078.0581368791</v>
      </c>
    </row>
    <row r="26" spans="1:7" x14ac:dyDescent="0.3">
      <c r="A26">
        <v>100000</v>
      </c>
      <c r="B26" t="s">
        <v>36</v>
      </c>
      <c r="C26">
        <v>97674.543047980464</v>
      </c>
      <c r="D26">
        <v>97674.543047980464</v>
      </c>
      <c r="E26">
        <v>101494.94259390682</v>
      </c>
      <c r="F26">
        <v>105038.64713617433</v>
      </c>
      <c r="G26">
        <v>100695.58783317552</v>
      </c>
    </row>
    <row r="27" spans="1:7" x14ac:dyDescent="0.3">
      <c r="A27">
        <v>100000</v>
      </c>
      <c r="B27" t="s">
        <v>37</v>
      </c>
      <c r="C27">
        <v>97929.328957415593</v>
      </c>
      <c r="D27">
        <v>97929.328957415593</v>
      </c>
      <c r="E27">
        <v>101760.16345123584</v>
      </c>
      <c r="F27">
        <v>104334.29791111719</v>
      </c>
      <c r="G27">
        <v>100019.86534527456</v>
      </c>
    </row>
    <row r="28" spans="1:7" x14ac:dyDescent="0.3">
      <c r="A28">
        <v>100000</v>
      </c>
      <c r="B28" t="s">
        <v>38</v>
      </c>
      <c r="C28">
        <v>97775.99622940796</v>
      </c>
      <c r="D28">
        <v>97775.99622940796</v>
      </c>
      <c r="E28">
        <v>101502.2306524936</v>
      </c>
      <c r="F28">
        <v>104171.72145863326</v>
      </c>
      <c r="G28">
        <v>99863.515531233148</v>
      </c>
    </row>
    <row r="29" spans="1:7" x14ac:dyDescent="0.3">
      <c r="A29">
        <v>100000</v>
      </c>
      <c r="B29" t="s">
        <v>39</v>
      </c>
      <c r="C29">
        <v>94902.664581127057</v>
      </c>
      <c r="D29">
        <v>94902.664581127057</v>
      </c>
      <c r="E29">
        <v>98519.853912422754</v>
      </c>
      <c r="F29">
        <v>106806.11573947927</v>
      </c>
      <c r="G29">
        <v>102388.46349241259</v>
      </c>
    </row>
    <row r="30" spans="1:7" x14ac:dyDescent="0.3">
      <c r="A30">
        <v>100000</v>
      </c>
      <c r="B30" t="s">
        <v>40</v>
      </c>
      <c r="C30">
        <v>92573.100649037966</v>
      </c>
      <c r="D30">
        <v>92573.100649037966</v>
      </c>
      <c r="E30">
        <v>100533.46452936299</v>
      </c>
      <c r="F30">
        <v>108990.09546746744</v>
      </c>
      <c r="G30">
        <v>104481.61438805633</v>
      </c>
    </row>
    <row r="31" spans="1:7" x14ac:dyDescent="0.3">
      <c r="A31">
        <v>100000</v>
      </c>
      <c r="B31" t="s">
        <v>41</v>
      </c>
      <c r="C31">
        <v>88916.182384429383</v>
      </c>
      <c r="D31">
        <v>88916.182384429383</v>
      </c>
      <c r="E31">
        <v>104091.75025883058</v>
      </c>
      <c r="F31">
        <v>112848.70496374276</v>
      </c>
      <c r="G31">
        <v>100355.81737867881</v>
      </c>
    </row>
    <row r="32" spans="1:7" x14ac:dyDescent="0.3">
      <c r="A32">
        <v>100000</v>
      </c>
      <c r="B32" t="s">
        <v>42</v>
      </c>
      <c r="C32">
        <v>88321.758234732362</v>
      </c>
      <c r="D32">
        <v>88321.758234732362</v>
      </c>
      <c r="E32">
        <v>103397.92218761561</v>
      </c>
      <c r="F32">
        <v>113140.29736755439</v>
      </c>
      <c r="G32">
        <v>100613.80066155533</v>
      </c>
    </row>
    <row r="33" spans="1:7" x14ac:dyDescent="0.3">
      <c r="A33">
        <v>100000</v>
      </c>
      <c r="B33" t="s">
        <v>43</v>
      </c>
      <c r="C33">
        <v>86874.798674757913</v>
      </c>
      <c r="D33">
        <v>86874.798674757913</v>
      </c>
      <c r="E33">
        <v>101706.0208825455</v>
      </c>
      <c r="F33">
        <v>111290.11213923903</v>
      </c>
      <c r="G33">
        <v>98967.132851377086</v>
      </c>
    </row>
    <row r="34" spans="1:7" x14ac:dyDescent="0.3">
      <c r="A34">
        <v>100000</v>
      </c>
      <c r="B34" t="s">
        <v>44</v>
      </c>
      <c r="C34">
        <v>86612.222342182766</v>
      </c>
      <c r="D34">
        <v>86612.222342182766</v>
      </c>
      <c r="E34">
        <v>101594.7902407676</v>
      </c>
      <c r="F34">
        <v>111169.53066927999</v>
      </c>
      <c r="G34">
        <v>98858.574437012387</v>
      </c>
    </row>
    <row r="35" spans="1:7" x14ac:dyDescent="0.3">
      <c r="A35">
        <v>100000</v>
      </c>
      <c r="B35" t="s">
        <v>45</v>
      </c>
      <c r="C35">
        <v>86631.254370938681</v>
      </c>
      <c r="D35">
        <v>86631.254370938681</v>
      </c>
      <c r="E35">
        <v>101154.23426316479</v>
      </c>
      <c r="F35">
        <v>110688.58568910224</v>
      </c>
      <c r="G35">
        <v>98429.560602819998</v>
      </c>
    </row>
    <row r="36" spans="1:7" x14ac:dyDescent="0.3">
      <c r="A36">
        <v>100000</v>
      </c>
      <c r="B36" t="s">
        <v>46</v>
      </c>
      <c r="C36">
        <v>87054.117676160458</v>
      </c>
      <c r="D36">
        <v>85849.994423845084</v>
      </c>
      <c r="E36">
        <v>101649.99863721516</v>
      </c>
      <c r="F36">
        <v>111232.20969077009</v>
      </c>
      <c r="G36">
        <v>98911.64791999069</v>
      </c>
    </row>
    <row r="37" spans="1:7" x14ac:dyDescent="0.3">
      <c r="A37">
        <v>100000</v>
      </c>
      <c r="B37" t="s">
        <v>47</v>
      </c>
      <c r="C37">
        <v>87355.55641771965</v>
      </c>
      <c r="D37">
        <v>86147.097714227901</v>
      </c>
      <c r="E37">
        <v>100879.63836598168</v>
      </c>
      <c r="F37">
        <v>110390.36129094817</v>
      </c>
      <c r="G37">
        <v>98161.717126578034</v>
      </c>
    </row>
    <row r="38" spans="1:7" x14ac:dyDescent="0.3">
      <c r="A38">
        <v>100000</v>
      </c>
      <c r="B38" t="s">
        <v>48</v>
      </c>
      <c r="C38">
        <v>87756.884256511185</v>
      </c>
      <c r="D38">
        <v>86542.707661168402</v>
      </c>
      <c r="E38">
        <v>100000.9251516229</v>
      </c>
      <c r="F38">
        <v>109429.93615364149</v>
      </c>
      <c r="G38">
        <v>97306.35508884849</v>
      </c>
    </row>
    <row r="39" spans="1:7" x14ac:dyDescent="0.3">
      <c r="A39">
        <v>100000</v>
      </c>
      <c r="B39" t="s">
        <v>49</v>
      </c>
      <c r="C39">
        <v>88387.389453608892</v>
      </c>
      <c r="D39">
        <v>87164.323358834677</v>
      </c>
      <c r="E39">
        <v>98870.77259110118</v>
      </c>
      <c r="F39">
        <v>108194.3538405539</v>
      </c>
      <c r="G39">
        <v>96206.331653738642</v>
      </c>
    </row>
    <row r="40" spans="1:7" x14ac:dyDescent="0.3">
      <c r="A40">
        <v>100000</v>
      </c>
      <c r="B40" t="s">
        <v>50</v>
      </c>
      <c r="C40">
        <v>87940.174067829779</v>
      </c>
      <c r="D40">
        <v>86723.130293496986</v>
      </c>
      <c r="E40">
        <v>98963.966484598874</v>
      </c>
      <c r="F40">
        <v>107649.60988537064</v>
      </c>
      <c r="G40">
        <v>96296.690706273221</v>
      </c>
    </row>
    <row r="41" spans="1:7" x14ac:dyDescent="0.3">
      <c r="A41">
        <v>100000</v>
      </c>
      <c r="B41" t="s">
        <v>51</v>
      </c>
      <c r="C41">
        <v>87934.502411836889</v>
      </c>
      <c r="D41">
        <v>86717.371056694101</v>
      </c>
      <c r="E41">
        <v>98562.84393666363</v>
      </c>
      <c r="F41">
        <v>107214.33571830955</v>
      </c>
      <c r="G41">
        <v>95906.055785135657</v>
      </c>
    </row>
    <row r="42" spans="1:7" x14ac:dyDescent="0.3">
      <c r="A42">
        <v>100000</v>
      </c>
      <c r="B42" t="s">
        <v>52</v>
      </c>
      <c r="C42">
        <v>86851.574564038849</v>
      </c>
      <c r="D42">
        <v>85649.266285468955</v>
      </c>
      <c r="E42">
        <v>99370.758580521069</v>
      </c>
      <c r="F42">
        <v>105896.60458144409</v>
      </c>
      <c r="G42">
        <v>94726.04478722559</v>
      </c>
    </row>
    <row r="43" spans="1:7" x14ac:dyDescent="0.3">
      <c r="A43">
        <v>100000</v>
      </c>
      <c r="B43" t="s">
        <v>53</v>
      </c>
      <c r="C43">
        <v>86483.503610707034</v>
      </c>
      <c r="D43">
        <v>85286.12451225963</v>
      </c>
      <c r="E43">
        <v>98951.361928028797</v>
      </c>
      <c r="F43">
        <v>105909.99476834969</v>
      </c>
      <c r="G43">
        <v>94736.756676728386</v>
      </c>
    </row>
    <row r="44" spans="1:7" x14ac:dyDescent="0.3">
      <c r="A44">
        <v>100000</v>
      </c>
      <c r="B44" t="s">
        <v>54</v>
      </c>
      <c r="C44">
        <v>84712.298627587181</v>
      </c>
      <c r="D44">
        <v>83539.276027069762</v>
      </c>
      <c r="E44">
        <v>100570.22970859587</v>
      </c>
      <c r="F44">
        <v>103743.62563689823</v>
      </c>
      <c r="G44">
        <v>96286.161402131504</v>
      </c>
    </row>
    <row r="45" spans="1:7" x14ac:dyDescent="0.3">
      <c r="A45">
        <v>100000</v>
      </c>
      <c r="B45" t="s">
        <v>55</v>
      </c>
      <c r="C45">
        <v>86105.804756391677</v>
      </c>
      <c r="D45">
        <v>84913.319923341754</v>
      </c>
      <c r="E45">
        <v>98501.41525030011</v>
      </c>
      <c r="F45">
        <v>105452.89048296363</v>
      </c>
      <c r="G45">
        <v>97871.695551980243</v>
      </c>
    </row>
    <row r="46" spans="1:7" x14ac:dyDescent="0.3">
      <c r="A46">
        <v>100000</v>
      </c>
      <c r="B46" t="s">
        <v>56</v>
      </c>
      <c r="C46">
        <v>86994.279185458581</v>
      </c>
      <c r="D46">
        <v>85789.323624073339</v>
      </c>
      <c r="E46">
        <v>97079.094954075292</v>
      </c>
      <c r="F46">
        <v>106543.69222344736</v>
      </c>
      <c r="G46">
        <v>98883.214923564039</v>
      </c>
    </row>
    <row r="47" spans="1:7" x14ac:dyDescent="0.3">
      <c r="A47">
        <v>100000</v>
      </c>
      <c r="B47" t="s">
        <v>57</v>
      </c>
      <c r="C47">
        <v>86973.828462863385</v>
      </c>
      <c r="D47">
        <v>85768.989952223143</v>
      </c>
      <c r="E47">
        <v>96701.800020548704</v>
      </c>
      <c r="F47">
        <v>106521.34244877622</v>
      </c>
      <c r="G47">
        <v>98499.131341207947</v>
      </c>
    </row>
    <row r="48" spans="1:7" x14ac:dyDescent="0.3">
      <c r="A48">
        <v>100000</v>
      </c>
      <c r="B48" t="s">
        <v>58</v>
      </c>
      <c r="C48">
        <v>86130.253945162185</v>
      </c>
      <c r="D48">
        <v>84936.93514132456</v>
      </c>
      <c r="E48">
        <v>97241.116710863615</v>
      </c>
      <c r="F48">
        <v>105490.87016191411</v>
      </c>
      <c r="G48">
        <v>99048.694984060392</v>
      </c>
    </row>
    <row r="49" spans="1:7" x14ac:dyDescent="0.3">
      <c r="A49">
        <v>100000</v>
      </c>
      <c r="B49" t="s">
        <v>59</v>
      </c>
      <c r="C49">
        <v>86060.494676195842</v>
      </c>
      <c r="D49">
        <v>84867.976116390913</v>
      </c>
      <c r="E49">
        <v>97163.906455959848</v>
      </c>
      <c r="F49">
        <v>105142.41797337173</v>
      </c>
      <c r="G49">
        <v>98970.272560436846</v>
      </c>
    </row>
    <row r="50" spans="1:7" x14ac:dyDescent="0.3">
      <c r="A50">
        <v>100000</v>
      </c>
      <c r="B50" t="s">
        <v>60</v>
      </c>
      <c r="C50">
        <v>84663.434559609304</v>
      </c>
      <c r="D50">
        <v>83490.108428359308</v>
      </c>
      <c r="E50">
        <v>98340.612527326462</v>
      </c>
      <c r="F50">
        <v>103438.252825538</v>
      </c>
      <c r="G50">
        <v>100169.07776751982</v>
      </c>
    </row>
    <row r="51" spans="1:7" x14ac:dyDescent="0.3">
      <c r="A51">
        <v>100000</v>
      </c>
      <c r="B51" t="s">
        <v>61</v>
      </c>
      <c r="C51">
        <v>83678.696749633615</v>
      </c>
      <c r="D51">
        <v>82518.851511253568</v>
      </c>
      <c r="E51">
        <v>99078.899069571504</v>
      </c>
      <c r="F51">
        <v>102237.80234458826</v>
      </c>
      <c r="G51">
        <v>99006.18836831575</v>
      </c>
    </row>
    <row r="52" spans="1:7" x14ac:dyDescent="0.3">
      <c r="A52">
        <v>100000</v>
      </c>
      <c r="B52" t="s">
        <v>62</v>
      </c>
      <c r="C52">
        <v>81310.645142824418</v>
      </c>
      <c r="D52">
        <v>80183.456426876975</v>
      </c>
      <c r="E52">
        <v>96277.240429784273</v>
      </c>
      <c r="F52">
        <v>104709.76492978203</v>
      </c>
      <c r="G52">
        <v>101399.63588351815</v>
      </c>
    </row>
    <row r="53" spans="1:7" x14ac:dyDescent="0.3">
      <c r="A53">
        <v>100000</v>
      </c>
      <c r="B53" t="s">
        <v>63</v>
      </c>
      <c r="C53">
        <v>82269.843443326972</v>
      </c>
      <c r="D53">
        <v>81129.191253275363</v>
      </c>
      <c r="E53">
        <v>94743.646557808956</v>
      </c>
      <c r="F53">
        <v>105948.44921063109</v>
      </c>
      <c r="G53">
        <v>102598.78300784202</v>
      </c>
    </row>
    <row r="54" spans="1:7" x14ac:dyDescent="0.3">
      <c r="A54">
        <v>100000</v>
      </c>
      <c r="B54" t="s">
        <v>64</v>
      </c>
      <c r="C54">
        <v>83798.368528570019</v>
      </c>
      <c r="D54">
        <v>82636.357317536167</v>
      </c>
      <c r="E54">
        <v>92591.835657433534</v>
      </c>
      <c r="F54">
        <v>107920.36259760636</v>
      </c>
      <c r="G54">
        <v>100269.56172470852</v>
      </c>
    </row>
    <row r="55" spans="1:7" x14ac:dyDescent="0.3">
      <c r="A55">
        <v>100000</v>
      </c>
      <c r="B55" t="s">
        <v>65</v>
      </c>
      <c r="C55">
        <v>80138.046187282394</v>
      </c>
      <c r="D55">
        <v>79026.625358095844</v>
      </c>
      <c r="E55">
        <v>88548.672896374817</v>
      </c>
      <c r="F55">
        <v>103209.8430815555</v>
      </c>
      <c r="G55">
        <v>104235.94847493831</v>
      </c>
    </row>
    <row r="56" spans="1:7" x14ac:dyDescent="0.3">
      <c r="A56">
        <v>100000</v>
      </c>
      <c r="B56" t="s">
        <v>66</v>
      </c>
      <c r="C56">
        <v>80306.950535446929</v>
      </c>
      <c r="D56">
        <v>78531.187167451892</v>
      </c>
      <c r="E56">
        <v>87994.984446248418</v>
      </c>
      <c r="F56">
        <v>102566.46625672083</v>
      </c>
      <c r="G56">
        <v>103586.29454371653</v>
      </c>
    </row>
    <row r="57" spans="1:7" x14ac:dyDescent="0.3">
      <c r="A57">
        <v>100000</v>
      </c>
      <c r="B57" t="s">
        <v>67</v>
      </c>
      <c r="C57">
        <v>78668.057596965416</v>
      </c>
      <c r="D57">
        <v>76928.268411336205</v>
      </c>
      <c r="E57">
        <v>89425.964260977329</v>
      </c>
      <c r="F57">
        <v>104236.39553266643</v>
      </c>
      <c r="G57">
        <v>101475.79858548372</v>
      </c>
    </row>
    <row r="58" spans="1:7" x14ac:dyDescent="0.3">
      <c r="A58">
        <v>100000</v>
      </c>
      <c r="B58" t="s">
        <v>68</v>
      </c>
      <c r="C58">
        <v>78160.643346105877</v>
      </c>
      <c r="D58">
        <v>76431.810530601724</v>
      </c>
      <c r="E58">
        <v>89631.942502133476</v>
      </c>
      <c r="F58">
        <v>104478.47460634976</v>
      </c>
      <c r="G58">
        <v>100824.7519600521</v>
      </c>
    </row>
    <row r="59" spans="1:7" x14ac:dyDescent="0.3">
      <c r="A59">
        <v>100000</v>
      </c>
      <c r="B59" t="s">
        <v>69</v>
      </c>
      <c r="C59">
        <v>77613.497403073343</v>
      </c>
      <c r="D59">
        <v>75896.501463876644</v>
      </c>
      <c r="E59">
        <v>89887.650199763608</v>
      </c>
      <c r="F59">
        <v>104778.52509982321</v>
      </c>
      <c r="G59">
        <v>100122.43065947428</v>
      </c>
    </row>
    <row r="60" spans="1:7" x14ac:dyDescent="0.3">
      <c r="A60">
        <v>100000</v>
      </c>
      <c r="B60" t="s">
        <v>70</v>
      </c>
      <c r="C60">
        <v>77496.404346892203</v>
      </c>
      <c r="D60">
        <v>75781.733317108665</v>
      </c>
      <c r="E60">
        <v>89753.937247912254</v>
      </c>
      <c r="F60">
        <v>104624.64906287944</v>
      </c>
      <c r="G60">
        <v>99859.529499398777</v>
      </c>
    </row>
    <row r="61" spans="1:7" x14ac:dyDescent="0.3">
      <c r="A61">
        <v>100000</v>
      </c>
      <c r="B61" t="s">
        <v>71</v>
      </c>
      <c r="C61">
        <v>78203.667640211555</v>
      </c>
      <c r="D61">
        <v>76473.08232456875</v>
      </c>
      <c r="E61">
        <v>88562.458562718777</v>
      </c>
      <c r="F61">
        <v>103237.75067625313</v>
      </c>
      <c r="G61">
        <v>100774.35048757716</v>
      </c>
    </row>
    <row r="62" spans="1:7" x14ac:dyDescent="0.3">
      <c r="A62">
        <v>100000</v>
      </c>
      <c r="B62" t="s">
        <v>72</v>
      </c>
      <c r="C62">
        <v>79214.235562397662</v>
      </c>
      <c r="D62">
        <v>77461.021627359092</v>
      </c>
      <c r="E62">
        <v>89708.474957203158</v>
      </c>
      <c r="F62">
        <v>104575.65683009061</v>
      </c>
      <c r="G62">
        <v>99055.666029799177</v>
      </c>
    </row>
    <row r="63" spans="1:7" x14ac:dyDescent="0.3">
      <c r="A63">
        <v>100000</v>
      </c>
      <c r="B63" t="s">
        <v>73</v>
      </c>
      <c r="C63">
        <v>78910.052217393284</v>
      </c>
      <c r="D63">
        <v>77163.305048188049</v>
      </c>
      <c r="E63">
        <v>89681.091807766483</v>
      </c>
      <c r="F63">
        <v>104545.72426622501</v>
      </c>
      <c r="G63">
        <v>98678.297158449976</v>
      </c>
    </row>
    <row r="64" spans="1:7" x14ac:dyDescent="0.3">
      <c r="A64">
        <v>100000</v>
      </c>
      <c r="B64" t="s">
        <v>74</v>
      </c>
      <c r="C64">
        <v>78375.524920855023</v>
      </c>
      <c r="D64">
        <v>77364.415361057545</v>
      </c>
      <c r="E64">
        <v>89075.240743977891</v>
      </c>
      <c r="F64">
        <v>103841.44244495631</v>
      </c>
      <c r="G64">
        <v>98938.827770866512</v>
      </c>
    </row>
    <row r="65" spans="1:7" x14ac:dyDescent="0.3">
      <c r="A65">
        <v>100000</v>
      </c>
      <c r="B65" t="s">
        <v>75</v>
      </c>
      <c r="C65">
        <v>78201.223877340133</v>
      </c>
      <c r="D65">
        <v>77192.208136203888</v>
      </c>
      <c r="E65">
        <v>88878.782591529322</v>
      </c>
      <c r="F65">
        <v>103614.40625239586</v>
      </c>
      <c r="G65">
        <v>98749.807690804286</v>
      </c>
    </row>
    <row r="66" spans="1:7" x14ac:dyDescent="0.3">
      <c r="A66">
        <v>100000</v>
      </c>
      <c r="B66" t="s">
        <v>76</v>
      </c>
      <c r="C66">
        <v>76778.430557932399</v>
      </c>
      <c r="D66">
        <v>75787.618018692403</v>
      </c>
      <c r="E66">
        <v>87263.36020885795</v>
      </c>
      <c r="F66">
        <v>101733.14507095244</v>
      </c>
      <c r="G66">
        <v>100138.13456667426</v>
      </c>
    </row>
    <row r="67" spans="1:7" x14ac:dyDescent="0.3">
      <c r="A67">
        <v>100000</v>
      </c>
      <c r="B67" t="s">
        <v>77</v>
      </c>
      <c r="C67">
        <v>76828.699208248159</v>
      </c>
      <c r="D67">
        <v>75837.083102705932</v>
      </c>
      <c r="E67">
        <v>86843.751526769644</v>
      </c>
      <c r="F67">
        <v>101245.94777064426</v>
      </c>
      <c r="G67">
        <v>100207.34834558707</v>
      </c>
    </row>
    <row r="68" spans="1:7" x14ac:dyDescent="0.3">
      <c r="A68">
        <v>100000</v>
      </c>
      <c r="B68" t="s">
        <v>78</v>
      </c>
      <c r="C68">
        <v>76771.495278136019</v>
      </c>
      <c r="D68">
        <v>75780.462612709205</v>
      </c>
      <c r="E68">
        <v>86547.631162088976</v>
      </c>
      <c r="F68">
        <v>100902.70879147408</v>
      </c>
      <c r="G68">
        <v>100136.38905019332</v>
      </c>
    </row>
    <row r="69" spans="1:7" x14ac:dyDescent="0.3">
      <c r="A69">
        <v>100000</v>
      </c>
      <c r="B69" t="s">
        <v>79</v>
      </c>
      <c r="C69">
        <v>76204.488524103377</v>
      </c>
      <c r="D69">
        <v>75220.620364471135</v>
      </c>
      <c r="E69">
        <v>86827.239007930664</v>
      </c>
      <c r="F69">
        <v>101230.68368339419</v>
      </c>
      <c r="G69">
        <v>99400.469683428993</v>
      </c>
    </row>
    <row r="70" spans="1:7" x14ac:dyDescent="0.3">
      <c r="A70">
        <v>100000</v>
      </c>
      <c r="B70" t="s">
        <v>80</v>
      </c>
      <c r="C70">
        <v>78448.252020146887</v>
      </c>
      <c r="D70">
        <v>77435.259934583228</v>
      </c>
      <c r="E70">
        <v>83909.873532599828</v>
      </c>
      <c r="F70">
        <v>97831.358037913218</v>
      </c>
      <c r="G70">
        <v>102330.86789833909</v>
      </c>
    </row>
    <row r="71" spans="1:7" x14ac:dyDescent="0.3">
      <c r="A71">
        <v>100000</v>
      </c>
      <c r="B71" t="s">
        <v>81</v>
      </c>
      <c r="C71">
        <v>78345.900340435299</v>
      </c>
      <c r="D71">
        <v>77334.074954372365</v>
      </c>
      <c r="E71">
        <v>83670.623446849044</v>
      </c>
      <c r="F71">
        <v>97554.404897510802</v>
      </c>
      <c r="G71">
        <v>102041.72889757756</v>
      </c>
    </row>
    <row r="72" spans="1:7" x14ac:dyDescent="0.3">
      <c r="A72">
        <v>100000</v>
      </c>
      <c r="B72" t="s">
        <v>82</v>
      </c>
      <c r="C72">
        <v>77413.547259095911</v>
      </c>
      <c r="D72">
        <v>76413.608093087809</v>
      </c>
      <c r="E72">
        <v>84318.559060887725</v>
      </c>
      <c r="F72">
        <v>98311.846111715611</v>
      </c>
      <c r="G72">
        <v>100831.01372284602</v>
      </c>
    </row>
    <row r="73" spans="1:7" x14ac:dyDescent="0.3">
      <c r="A73">
        <v>100000</v>
      </c>
      <c r="B73" t="s">
        <v>83</v>
      </c>
      <c r="C73">
        <v>76944.899339063209</v>
      </c>
      <c r="D73">
        <v>75950.858625670764</v>
      </c>
      <c r="E73">
        <v>84478.468705720137</v>
      </c>
      <c r="F73">
        <v>98500.28543060481</v>
      </c>
      <c r="G73">
        <v>100224.23058318159</v>
      </c>
    </row>
    <row r="74" spans="1:7" x14ac:dyDescent="0.3">
      <c r="A74">
        <v>100000</v>
      </c>
      <c r="B74" t="s">
        <v>84</v>
      </c>
      <c r="C74">
        <v>78491.658560890384</v>
      </c>
      <c r="D74">
        <v>77477.480448629634</v>
      </c>
      <c r="E74">
        <v>82429.006621123117</v>
      </c>
      <c r="F74">
        <v>96112.643447960159</v>
      </c>
      <c r="G74">
        <v>97795.010279597715</v>
      </c>
    </row>
    <row r="75" spans="1:7" x14ac:dyDescent="0.3">
      <c r="A75">
        <v>100000</v>
      </c>
      <c r="B75" t="s">
        <v>85</v>
      </c>
      <c r="C75">
        <v>78110.72608967562</v>
      </c>
      <c r="D75">
        <v>77101.314894614334</v>
      </c>
      <c r="E75">
        <v>82486.269749987536</v>
      </c>
      <c r="F75">
        <v>96181.404610583835</v>
      </c>
      <c r="G75">
        <v>97865.185094956425</v>
      </c>
    </row>
    <row r="76" spans="1:7" x14ac:dyDescent="0.3">
      <c r="A76">
        <v>100000</v>
      </c>
      <c r="B76" t="s">
        <v>86</v>
      </c>
      <c r="C76">
        <v>77612.62917902015</v>
      </c>
      <c r="D76">
        <v>76609.499728964511</v>
      </c>
      <c r="E76">
        <v>82669.199444127677</v>
      </c>
      <c r="F76">
        <v>96396.698338855655</v>
      </c>
      <c r="G76">
        <v>98084.457895330954</v>
      </c>
    </row>
    <row r="77" spans="1:7" x14ac:dyDescent="0.3">
      <c r="A77">
        <v>100000</v>
      </c>
      <c r="B77" t="s">
        <v>87</v>
      </c>
      <c r="C77">
        <v>76621.275015994819</v>
      </c>
      <c r="D77">
        <v>75630.803544587208</v>
      </c>
      <c r="E77">
        <v>83381.256777180533</v>
      </c>
      <c r="F77">
        <v>97228.987829786376</v>
      </c>
      <c r="G77">
        <v>98931.52961097793</v>
      </c>
    </row>
    <row r="78" spans="1:7" x14ac:dyDescent="0.3">
      <c r="A78">
        <v>100000</v>
      </c>
      <c r="B78" t="s">
        <v>88</v>
      </c>
      <c r="C78">
        <v>77147.632644356097</v>
      </c>
      <c r="D78">
        <v>76150.201906449787</v>
      </c>
      <c r="E78">
        <v>82461.550405657705</v>
      </c>
      <c r="F78">
        <v>96158.532066932414</v>
      </c>
      <c r="G78">
        <v>97842.539610547028</v>
      </c>
    </row>
    <row r="79" spans="1:7" x14ac:dyDescent="0.3">
      <c r="A79">
        <v>100000</v>
      </c>
      <c r="B79" t="s">
        <v>89</v>
      </c>
      <c r="C79">
        <v>77239.64973089211</v>
      </c>
      <c r="D79">
        <v>76240.874170911251</v>
      </c>
      <c r="E79">
        <v>82020.067052702681</v>
      </c>
      <c r="F79">
        <v>95645.710913750387</v>
      </c>
      <c r="G79">
        <v>97320.947664156833</v>
      </c>
    </row>
    <row r="80" spans="1:7" x14ac:dyDescent="0.3">
      <c r="A80">
        <v>100000</v>
      </c>
      <c r="B80" t="s">
        <v>90</v>
      </c>
      <c r="C80">
        <v>77328.043514625781</v>
      </c>
      <c r="D80">
        <v>76327.969776080979</v>
      </c>
      <c r="E80">
        <v>81584.862366863075</v>
      </c>
      <c r="F80">
        <v>95140.201038744432</v>
      </c>
      <c r="G80">
        <v>96806.793952732085</v>
      </c>
    </row>
    <row r="81" spans="1:7" x14ac:dyDescent="0.3">
      <c r="A81">
        <v>100000</v>
      </c>
      <c r="B81" t="s">
        <v>91</v>
      </c>
      <c r="C81">
        <v>77213.419893435261</v>
      </c>
      <c r="D81">
        <v>76214.673373113532</v>
      </c>
      <c r="E81">
        <v>81464.58943469153</v>
      </c>
      <c r="F81">
        <v>95001.938540592091</v>
      </c>
      <c r="G81">
        <v>96666.319685186507</v>
      </c>
    </row>
    <row r="82" spans="1:7" x14ac:dyDescent="0.3">
      <c r="A82">
        <v>100000</v>
      </c>
      <c r="B82" t="s">
        <v>92</v>
      </c>
      <c r="C82">
        <v>77996.621401105382</v>
      </c>
      <c r="D82">
        <v>76987.589042650376</v>
      </c>
      <c r="E82">
        <v>82291.572663637999</v>
      </c>
      <c r="F82">
        <v>95968.339508498015</v>
      </c>
      <c r="G82">
        <v>97649.861694084335</v>
      </c>
    </row>
    <row r="83" spans="1:7" x14ac:dyDescent="0.3">
      <c r="A83">
        <v>100000</v>
      </c>
      <c r="B83" t="s">
        <v>93</v>
      </c>
      <c r="C83">
        <v>78137.888878595753</v>
      </c>
      <c r="D83">
        <v>77126.873718302566</v>
      </c>
      <c r="E83">
        <v>82441.279947034418</v>
      </c>
      <c r="F83">
        <v>96144.922360564975</v>
      </c>
      <c r="G83">
        <v>97829.748825991875</v>
      </c>
    </row>
    <row r="84" spans="1:7" x14ac:dyDescent="0.3">
      <c r="A84">
        <v>100000</v>
      </c>
      <c r="B84" t="s">
        <v>94</v>
      </c>
      <c r="C84">
        <v>75718.592902984121</v>
      </c>
      <c r="D84">
        <v>74738.725406923797</v>
      </c>
      <c r="E84">
        <v>79889.403783383255</v>
      </c>
      <c r="F84">
        <v>93170.860190780892</v>
      </c>
      <c r="G84">
        <v>94803.780007230773</v>
      </c>
    </row>
    <row r="85" spans="1:7" x14ac:dyDescent="0.3">
      <c r="A85">
        <v>100000</v>
      </c>
      <c r="B85" t="s">
        <v>95</v>
      </c>
      <c r="C85">
        <v>74693.192406456146</v>
      </c>
      <c r="D85">
        <v>73726.43923501503</v>
      </c>
      <c r="E85">
        <v>78808.182098755075</v>
      </c>
      <c r="F85">
        <v>91911.882501955479</v>
      </c>
      <c r="G85">
        <v>93522.947689451801</v>
      </c>
    </row>
    <row r="86" spans="1:7" x14ac:dyDescent="0.3">
      <c r="A86">
        <v>100000</v>
      </c>
      <c r="B86" t="s">
        <v>96</v>
      </c>
      <c r="C86">
        <v>74819.557380612823</v>
      </c>
      <c r="D86">
        <v>73851.013352826267</v>
      </c>
      <c r="E86">
        <v>78942.169861871313</v>
      </c>
      <c r="F86">
        <v>92070.144139426688</v>
      </c>
      <c r="G86">
        <v>93684.193735352354</v>
      </c>
    </row>
    <row r="87" spans="1:7" x14ac:dyDescent="0.3">
      <c r="A87">
        <v>100000</v>
      </c>
      <c r="B87" t="s">
        <v>97</v>
      </c>
      <c r="C87">
        <v>75254.821074663618</v>
      </c>
      <c r="D87">
        <v>74280.48718931996</v>
      </c>
      <c r="E87">
        <v>79402.078113469106</v>
      </c>
      <c r="F87">
        <v>92608.530084241953</v>
      </c>
      <c r="G87">
        <v>92750.538178616465</v>
      </c>
    </row>
    <row r="88" spans="1:7" x14ac:dyDescent="0.3">
      <c r="A88">
        <v>100000</v>
      </c>
      <c r="B88" t="s">
        <v>98</v>
      </c>
      <c r="C88">
        <v>75727.767898734659</v>
      </c>
      <c r="D88">
        <v>74747.155344243496</v>
      </c>
      <c r="E88">
        <v>79901.750124057828</v>
      </c>
      <c r="F88">
        <v>93193.30530614678</v>
      </c>
      <c r="G88">
        <v>91782.830770205299</v>
      </c>
    </row>
    <row r="89" spans="1:7" x14ac:dyDescent="0.3">
      <c r="A89">
        <v>100000</v>
      </c>
      <c r="B89" t="s">
        <v>99</v>
      </c>
      <c r="C89">
        <v>75769.830341919238</v>
      </c>
      <c r="D89">
        <v>74788.517723079363</v>
      </c>
      <c r="E89">
        <v>79946.792394631644</v>
      </c>
      <c r="F89">
        <v>93247.836486361077</v>
      </c>
      <c r="G89">
        <v>91351.024808247268</v>
      </c>
    </row>
    <row r="90" spans="1:7" x14ac:dyDescent="0.3">
      <c r="A90">
        <v>100000</v>
      </c>
      <c r="B90" t="s">
        <v>100</v>
      </c>
      <c r="C90">
        <v>74317.899789019473</v>
      </c>
      <c r="D90">
        <v>73355.236044216101</v>
      </c>
      <c r="E90">
        <v>78415.48281645411</v>
      </c>
      <c r="F90">
        <v>91463.753743894791</v>
      </c>
      <c r="G90">
        <v>92722.44556837219</v>
      </c>
    </row>
    <row r="91" spans="1:7" x14ac:dyDescent="0.3">
      <c r="A91">
        <v>100000</v>
      </c>
      <c r="B91" t="s">
        <v>101</v>
      </c>
      <c r="C91">
        <v>73816.099214430302</v>
      </c>
      <c r="D91">
        <v>72859.780014570744</v>
      </c>
      <c r="E91">
        <v>78617.605214544732</v>
      </c>
      <c r="F91">
        <v>91701.505930409461</v>
      </c>
      <c r="G91">
        <v>92963.634756129904</v>
      </c>
    </row>
    <row r="92" spans="1:7" x14ac:dyDescent="0.3">
      <c r="A92">
        <v>100000</v>
      </c>
      <c r="B92" t="s">
        <v>102</v>
      </c>
      <c r="C92">
        <v>73867.847806720136</v>
      </c>
      <c r="D92">
        <v>72910.702716527449</v>
      </c>
      <c r="E92">
        <v>78673.500453049099</v>
      </c>
      <c r="F92">
        <v>91768.700604418715</v>
      </c>
      <c r="G92">
        <v>92512.510460255784</v>
      </c>
    </row>
    <row r="93" spans="1:7" x14ac:dyDescent="0.3">
      <c r="A93">
        <v>100000</v>
      </c>
      <c r="B93" t="s">
        <v>103</v>
      </c>
      <c r="C93">
        <v>72923.06700649469</v>
      </c>
      <c r="D93">
        <v>71978.008454487033</v>
      </c>
      <c r="E93">
        <v>77668.035327313351</v>
      </c>
      <c r="F93">
        <v>90597.873259002925</v>
      </c>
      <c r="G93">
        <v>93311.632120780923</v>
      </c>
    </row>
    <row r="94" spans="1:7" x14ac:dyDescent="0.3">
      <c r="A94">
        <v>100000</v>
      </c>
      <c r="B94" t="s">
        <v>104</v>
      </c>
      <c r="C94">
        <v>72740.933824264677</v>
      </c>
      <c r="D94">
        <v>71798.080141380691</v>
      </c>
      <c r="E94">
        <v>77537.440142871026</v>
      </c>
      <c r="F94">
        <v>90447.534862210028</v>
      </c>
      <c r="G94">
        <v>93081.931390909391</v>
      </c>
    </row>
    <row r="95" spans="1:7" x14ac:dyDescent="0.3">
      <c r="A95">
        <v>100000</v>
      </c>
      <c r="B95" t="s">
        <v>105</v>
      </c>
      <c r="C95">
        <v>72284.953544328062</v>
      </c>
      <c r="D95">
        <v>71347.854646543172</v>
      </c>
      <c r="E95">
        <v>77699.401775172257</v>
      </c>
      <c r="F95">
        <v>90638.461355182459</v>
      </c>
      <c r="G95">
        <v>92501.798157208847</v>
      </c>
    </row>
    <row r="96" spans="1:7" x14ac:dyDescent="0.3">
      <c r="A96">
        <v>100000</v>
      </c>
      <c r="B96" t="s">
        <v>106</v>
      </c>
      <c r="C96">
        <v>72030.533535584269</v>
      </c>
      <c r="D96">
        <v>71299.729214223727</v>
      </c>
      <c r="E96">
        <v>77426.823484198147</v>
      </c>
      <c r="F96">
        <v>90322.489705248809</v>
      </c>
      <c r="G96">
        <v>92442.961886303296</v>
      </c>
    </row>
    <row r="97" spans="1:7" x14ac:dyDescent="0.3">
      <c r="A97">
        <v>100000</v>
      </c>
      <c r="B97" t="s">
        <v>107</v>
      </c>
      <c r="C97">
        <v>72289.643778853817</v>
      </c>
      <c r="D97">
        <v>71556.08883872618</v>
      </c>
      <c r="E97">
        <v>76824.535017228249</v>
      </c>
      <c r="F97">
        <v>89621.886950004729</v>
      </c>
      <c r="G97">
        <v>92778.900915148231</v>
      </c>
    </row>
    <row r="98" spans="1:7" x14ac:dyDescent="0.3">
      <c r="A98">
        <v>100000</v>
      </c>
      <c r="B98" t="s">
        <v>108</v>
      </c>
      <c r="C98">
        <v>72586.258490689725</v>
      </c>
      <c r="D98">
        <v>71849.571900790004</v>
      </c>
      <c r="E98">
        <v>76188.01750824615</v>
      </c>
      <c r="F98">
        <v>88881.33795747596</v>
      </c>
      <c r="G98">
        <v>93162.987163103375</v>
      </c>
    </row>
    <row r="99" spans="1:7" x14ac:dyDescent="0.3">
      <c r="A99">
        <v>100000</v>
      </c>
      <c r="B99" t="s">
        <v>109</v>
      </c>
      <c r="C99">
        <v>73345.561910045581</v>
      </c>
      <c r="D99">
        <v>72601.047269801362</v>
      </c>
      <c r="E99">
        <v>75072.355958853412</v>
      </c>
      <c r="F99">
        <v>87581.800646879448</v>
      </c>
      <c r="G99">
        <v>94140.939421980627</v>
      </c>
    </row>
    <row r="100" spans="1:7" x14ac:dyDescent="0.3">
      <c r="A100">
        <v>100000</v>
      </c>
      <c r="B100" t="s">
        <v>110</v>
      </c>
      <c r="C100">
        <v>73510.194430130301</v>
      </c>
      <c r="D100">
        <v>72763.886832088479</v>
      </c>
      <c r="E100">
        <v>74589.785638423506</v>
      </c>
      <c r="F100">
        <v>87020.818328849899</v>
      </c>
      <c r="G100">
        <v>94355.651862927509</v>
      </c>
    </row>
    <row r="101" spans="1:7" x14ac:dyDescent="0.3">
      <c r="A101">
        <v>100000</v>
      </c>
      <c r="B101" t="s">
        <v>111</v>
      </c>
      <c r="C101">
        <v>74043.492821430467</v>
      </c>
      <c r="D101">
        <v>73291.649115971406</v>
      </c>
      <c r="E101">
        <v>73736.562270368173</v>
      </c>
      <c r="F101">
        <v>86027.397813172531</v>
      </c>
      <c r="G101">
        <v>95043.581791963908</v>
      </c>
    </row>
    <row r="102" spans="1:7" x14ac:dyDescent="0.3">
      <c r="A102">
        <v>100000</v>
      </c>
      <c r="B102" t="s">
        <v>112</v>
      </c>
      <c r="C102">
        <v>72802.333845455199</v>
      </c>
      <c r="D102">
        <v>72062.971121158436</v>
      </c>
      <c r="E102">
        <v>74664.002915477206</v>
      </c>
      <c r="F102">
        <v>87111.429844098049</v>
      </c>
      <c r="G102">
        <v>93453.810846579494</v>
      </c>
    </row>
    <row r="103" spans="1:7" x14ac:dyDescent="0.3">
      <c r="A103">
        <v>100000</v>
      </c>
      <c r="B103" t="s">
        <v>113</v>
      </c>
      <c r="C103">
        <v>72510.916098917383</v>
      </c>
      <c r="D103">
        <v>71774.391073021005</v>
      </c>
      <c r="E103">
        <v>74650.36275774859</v>
      </c>
      <c r="F103">
        <v>87097.516251478708</v>
      </c>
      <c r="G103">
        <v>93083.132053567795</v>
      </c>
    </row>
    <row r="104" spans="1:7" x14ac:dyDescent="0.3">
      <c r="A104">
        <v>100000</v>
      </c>
      <c r="B104" t="s">
        <v>114</v>
      </c>
      <c r="C104">
        <v>72917.082520873839</v>
      </c>
      <c r="D104">
        <v>72176.309996099633</v>
      </c>
      <c r="E104">
        <v>73919.707865606557</v>
      </c>
      <c r="F104">
        <v>86247.033304642013</v>
      </c>
      <c r="G104">
        <v>92175.025916169878</v>
      </c>
    </row>
    <row r="105" spans="1:7" x14ac:dyDescent="0.3">
      <c r="A105">
        <v>100000</v>
      </c>
      <c r="B105" t="s">
        <v>115</v>
      </c>
      <c r="C105">
        <v>74760.84750294486</v>
      </c>
      <c r="D105">
        <v>74001.222061081397</v>
      </c>
      <c r="E105">
        <v>71741.095649206676</v>
      </c>
      <c r="F105">
        <v>83707.102913929135</v>
      </c>
      <c r="G105">
        <v>89461.344010715955</v>
      </c>
    </row>
    <row r="106" spans="1:7" x14ac:dyDescent="0.3">
      <c r="A106">
        <v>100000</v>
      </c>
      <c r="B106" t="s">
        <v>116</v>
      </c>
      <c r="C106">
        <v>73646.543677281268</v>
      </c>
      <c r="D106">
        <v>72898.118456637938</v>
      </c>
      <c r="E106">
        <v>72509.954417008019</v>
      </c>
      <c r="F106">
        <v>84606.204488920397</v>
      </c>
      <c r="G106">
        <v>90423.077046403589</v>
      </c>
    </row>
    <row r="107" spans="1:7" x14ac:dyDescent="0.3">
      <c r="A107">
        <v>100000</v>
      </c>
      <c r="B107" t="s">
        <v>117</v>
      </c>
      <c r="C107">
        <v>72716.607431495315</v>
      </c>
      <c r="D107">
        <v>71977.510640985784</v>
      </c>
      <c r="E107">
        <v>73121.835701844117</v>
      </c>
      <c r="F107">
        <v>85322.162849755783</v>
      </c>
      <c r="G107">
        <v>91189.084230935929</v>
      </c>
    </row>
    <row r="108" spans="1:7" x14ac:dyDescent="0.3">
      <c r="A108">
        <v>100000</v>
      </c>
      <c r="B108" t="s">
        <v>118</v>
      </c>
      <c r="C108">
        <v>74015.742622787264</v>
      </c>
      <c r="D108">
        <v>73263.319360567388</v>
      </c>
      <c r="E108">
        <v>71509.143653871171</v>
      </c>
      <c r="F108">
        <v>83442.396453048481</v>
      </c>
      <c r="G108">
        <v>89180.886507104529</v>
      </c>
    </row>
    <row r="109" spans="1:7" x14ac:dyDescent="0.3">
      <c r="A109">
        <v>100000</v>
      </c>
      <c r="B109" t="s">
        <v>119</v>
      </c>
      <c r="C109">
        <v>74125.538686974483</v>
      </c>
      <c r="D109">
        <v>73371.877280155983</v>
      </c>
      <c r="E109">
        <v>71103.447010789037</v>
      </c>
      <c r="F109">
        <v>82971.000777254842</v>
      </c>
      <c r="G109">
        <v>88677.897329344531</v>
      </c>
    </row>
    <row r="110" spans="1:7" x14ac:dyDescent="0.3">
      <c r="A110">
        <v>100000</v>
      </c>
      <c r="B110" t="s">
        <v>120</v>
      </c>
      <c r="C110">
        <v>74141.85597840797</v>
      </c>
      <c r="D110">
        <v>73387.906659351982</v>
      </c>
      <c r="E110">
        <v>70789.824907368748</v>
      </c>
      <c r="F110">
        <v>82607.036296917839</v>
      </c>
      <c r="G110">
        <v>88289.72409100199</v>
      </c>
    </row>
    <row r="111" spans="1:7" x14ac:dyDescent="0.3">
      <c r="A111">
        <v>100000</v>
      </c>
      <c r="B111" t="s">
        <v>121</v>
      </c>
      <c r="C111">
        <v>73608.707377675775</v>
      </c>
      <c r="D111">
        <v>72860.057624262758</v>
      </c>
      <c r="E111">
        <v>71002.163109122732</v>
      </c>
      <c r="F111">
        <v>82856.82411740371</v>
      </c>
      <c r="G111">
        <v>88557.520770282514</v>
      </c>
    </row>
    <row r="112" spans="1:7" x14ac:dyDescent="0.3">
      <c r="A112">
        <v>100000</v>
      </c>
      <c r="B112" t="s">
        <v>122</v>
      </c>
      <c r="C112">
        <v>71642.199769286352</v>
      </c>
      <c r="D112">
        <v>70913.428664625535</v>
      </c>
      <c r="E112">
        <v>72601.391661922695</v>
      </c>
      <c r="F112">
        <v>84725.066563075525</v>
      </c>
      <c r="G112">
        <v>90555.127235524444</v>
      </c>
    </row>
    <row r="113" spans="1:7" x14ac:dyDescent="0.3">
      <c r="A113">
        <v>100000</v>
      </c>
      <c r="B113" t="s">
        <v>123</v>
      </c>
      <c r="C113">
        <v>71765.023574082938</v>
      </c>
      <c r="D113">
        <v>71034.880991529586</v>
      </c>
      <c r="E113">
        <v>72726.020574615352</v>
      </c>
      <c r="F113">
        <v>84226.583290584691</v>
      </c>
      <c r="G113">
        <v>90023.168309253597</v>
      </c>
    </row>
    <row r="114" spans="1:7" x14ac:dyDescent="0.3">
      <c r="A114">
        <v>100000</v>
      </c>
      <c r="B114" t="s">
        <v>124</v>
      </c>
      <c r="C114">
        <v>72080.796369551288</v>
      </c>
      <c r="D114">
        <v>71347.319002677454</v>
      </c>
      <c r="E114">
        <v>73046.182537084751</v>
      </c>
      <c r="F114">
        <v>83504.780131891181</v>
      </c>
      <c r="G114">
        <v>89252.515557057151</v>
      </c>
    </row>
    <row r="115" spans="1:7" x14ac:dyDescent="0.3">
      <c r="A115">
        <v>100000</v>
      </c>
      <c r="B115" t="s">
        <v>125</v>
      </c>
      <c r="C115">
        <v>72692.341478699353</v>
      </c>
      <c r="D115">
        <v>71952.51906227252</v>
      </c>
      <c r="E115">
        <v>73666.078855618995</v>
      </c>
      <c r="F115">
        <v>82448.081786459763</v>
      </c>
      <c r="G115">
        <v>88123.909355821976</v>
      </c>
    </row>
    <row r="116" spans="1:7" x14ac:dyDescent="0.3">
      <c r="A116">
        <v>100000</v>
      </c>
      <c r="B116" t="s">
        <v>126</v>
      </c>
      <c r="C116">
        <v>72555.262412979922</v>
      </c>
      <c r="D116">
        <v>71786.588418911837</v>
      </c>
      <c r="E116">
        <v>73527.324315442645</v>
      </c>
      <c r="F116">
        <v>82294.216373536838</v>
      </c>
      <c r="G116">
        <v>87960.277753021015</v>
      </c>
    </row>
    <row r="117" spans="1:7" x14ac:dyDescent="0.3">
      <c r="A117">
        <v>100000</v>
      </c>
      <c r="B117" t="s">
        <v>127</v>
      </c>
      <c r="C117">
        <v>71756.50103053973</v>
      </c>
      <c r="D117">
        <v>72275.918364666664</v>
      </c>
      <c r="E117">
        <v>74028.81089172975</v>
      </c>
      <c r="F117">
        <v>81389.849517052382</v>
      </c>
      <c r="G117">
        <v>86994.470304418792</v>
      </c>
    </row>
    <row r="118" spans="1:7" x14ac:dyDescent="0.3">
      <c r="A118">
        <v>100000</v>
      </c>
      <c r="B118" t="s">
        <v>128</v>
      </c>
      <c r="C118">
        <v>73891.202458278553</v>
      </c>
      <c r="D118">
        <v>74426.158927072727</v>
      </c>
      <c r="E118">
        <v>71516.37875727292</v>
      </c>
      <c r="F118">
        <v>78628.787460001578</v>
      </c>
      <c r="G118">
        <v>84044.103924505471</v>
      </c>
    </row>
    <row r="119" spans="1:7" x14ac:dyDescent="0.3">
      <c r="A119">
        <v>100000</v>
      </c>
      <c r="B119" t="s">
        <v>129</v>
      </c>
      <c r="C119">
        <v>75601.878715171726</v>
      </c>
      <c r="D119">
        <v>76149.30699084689</v>
      </c>
      <c r="E119">
        <v>73171.689121232645</v>
      </c>
      <c r="F119">
        <v>80449.914283754726</v>
      </c>
      <c r="G119">
        <v>85991.481733309658</v>
      </c>
    </row>
    <row r="120" spans="1:7" x14ac:dyDescent="0.3">
      <c r="A120">
        <v>100000</v>
      </c>
      <c r="B120" t="s">
        <v>130</v>
      </c>
      <c r="C120">
        <v>75706.887520379489</v>
      </c>
      <c r="D120">
        <v>76255.163049185954</v>
      </c>
      <c r="E120">
        <v>73272.936729157387</v>
      </c>
      <c r="F120">
        <v>80562.426379345285</v>
      </c>
      <c r="G120">
        <v>86112.570496534288</v>
      </c>
    </row>
    <row r="121" spans="1:7" x14ac:dyDescent="0.3">
      <c r="A121">
        <v>100000</v>
      </c>
      <c r="B121" t="s">
        <v>131</v>
      </c>
      <c r="C121">
        <v>74957.559507762067</v>
      </c>
      <c r="D121">
        <v>75500.495246236867</v>
      </c>
      <c r="E121">
        <v>73691.726360133791</v>
      </c>
      <c r="F121">
        <v>81024.072714264359</v>
      </c>
      <c r="G121">
        <v>86606.847494872069</v>
      </c>
    </row>
    <row r="122" spans="1:7" x14ac:dyDescent="0.3">
      <c r="A122">
        <v>100000</v>
      </c>
      <c r="B122" t="s">
        <v>132</v>
      </c>
      <c r="C122">
        <v>73522.434068076924</v>
      </c>
      <c r="D122">
        <v>74055.061764686281</v>
      </c>
      <c r="E122">
        <v>74794.36894515864</v>
      </c>
      <c r="F122">
        <v>79473.769975170668</v>
      </c>
      <c r="G122">
        <v>87904.840965519848</v>
      </c>
    </row>
    <row r="123" spans="1:7" x14ac:dyDescent="0.3">
      <c r="A123">
        <v>100000</v>
      </c>
      <c r="B123" t="s">
        <v>133</v>
      </c>
      <c r="C123">
        <v>73245.443365350351</v>
      </c>
      <c r="D123">
        <v>73776.151356914503</v>
      </c>
      <c r="E123">
        <v>74512.793914924798</v>
      </c>
      <c r="F123">
        <v>79175.329374815265</v>
      </c>
      <c r="G123">
        <v>87576.012967701507</v>
      </c>
    </row>
    <row r="124" spans="1:7" x14ac:dyDescent="0.3">
      <c r="A124">
        <v>100000</v>
      </c>
      <c r="B124" t="s">
        <v>134</v>
      </c>
      <c r="C124">
        <v>74192.467294953909</v>
      </c>
      <c r="D124">
        <v>74730.124000870201</v>
      </c>
      <c r="E124">
        <v>73237.556810829061</v>
      </c>
      <c r="F124">
        <v>80199.995029577505</v>
      </c>
      <c r="G124">
        <v>88710.671220234231</v>
      </c>
    </row>
    <row r="125" spans="1:7" x14ac:dyDescent="0.3">
      <c r="A125">
        <v>100000</v>
      </c>
      <c r="B125" t="s">
        <v>135</v>
      </c>
      <c r="C125">
        <v>73483.283965759183</v>
      </c>
      <c r="D125">
        <v>74015.888335422729</v>
      </c>
      <c r="E125">
        <v>73631.069919207541</v>
      </c>
      <c r="F125">
        <v>79434.35922833324</v>
      </c>
      <c r="G125">
        <v>87865.060971763247</v>
      </c>
    </row>
    <row r="126" spans="1:7" x14ac:dyDescent="0.3">
      <c r="A126">
        <v>100000</v>
      </c>
      <c r="B126" t="s">
        <v>136</v>
      </c>
      <c r="C126">
        <v>73017.495599771239</v>
      </c>
      <c r="D126">
        <v>73546.810926626888</v>
      </c>
      <c r="E126">
        <v>73789.554992069228</v>
      </c>
      <c r="F126">
        <v>78931.820616935292</v>
      </c>
      <c r="G126">
        <v>87310.459439904836</v>
      </c>
    </row>
    <row r="127" spans="1:7" x14ac:dyDescent="0.3">
      <c r="A127">
        <v>100000</v>
      </c>
      <c r="B127" t="s">
        <v>137</v>
      </c>
      <c r="C127">
        <v>72921.277675301797</v>
      </c>
      <c r="D127">
        <v>73449.982493157484</v>
      </c>
      <c r="E127">
        <v>73692.446579107229</v>
      </c>
      <c r="F127">
        <v>78706.183259447353</v>
      </c>
      <c r="G127">
        <v>87062.144406373263</v>
      </c>
    </row>
    <row r="128" spans="1:7" x14ac:dyDescent="0.3">
      <c r="A128">
        <v>100000</v>
      </c>
      <c r="B128" t="s">
        <v>138</v>
      </c>
      <c r="C128">
        <v>72236.377816864973</v>
      </c>
      <c r="D128">
        <v>73832.244178957044</v>
      </c>
      <c r="E128">
        <v>74076.009753294231</v>
      </c>
      <c r="F128">
        <v>77967.901695797205</v>
      </c>
      <c r="G128">
        <v>86246.756060558575</v>
      </c>
    </row>
    <row r="129" spans="1:7" x14ac:dyDescent="0.3">
      <c r="A129">
        <v>100000</v>
      </c>
      <c r="B129" t="s">
        <v>139</v>
      </c>
      <c r="C129">
        <v>72250.062372407236</v>
      </c>
      <c r="D129">
        <v>73846.496164919459</v>
      </c>
      <c r="E129">
        <v>74090.348413182204</v>
      </c>
      <c r="F129">
        <v>77983.624166969501</v>
      </c>
      <c r="G129">
        <v>86265.42218285492</v>
      </c>
    </row>
    <row r="130" spans="1:7" x14ac:dyDescent="0.3">
      <c r="A130">
        <v>100000</v>
      </c>
      <c r="B130" t="s">
        <v>140</v>
      </c>
      <c r="C130">
        <v>72758.299858430488</v>
      </c>
      <c r="D130">
        <v>74366.228792615235</v>
      </c>
      <c r="E130">
        <v>74611.836902069394</v>
      </c>
      <c r="F130">
        <v>77109.085307593326</v>
      </c>
      <c r="G130">
        <v>85299.28239199458</v>
      </c>
    </row>
    <row r="131" spans="1:7" x14ac:dyDescent="0.3">
      <c r="A131">
        <v>100000</v>
      </c>
      <c r="B131" t="s">
        <v>141</v>
      </c>
      <c r="C131">
        <v>71781.135654075173</v>
      </c>
      <c r="D131">
        <v>73367.73485057443</v>
      </c>
      <c r="E131">
        <v>73610.084882860683</v>
      </c>
      <c r="F131">
        <v>76074.20641797829</v>
      </c>
      <c r="G131">
        <v>84155.757683718854</v>
      </c>
    </row>
    <row r="132" spans="1:7" x14ac:dyDescent="0.3">
      <c r="A132">
        <v>100000</v>
      </c>
      <c r="B132" t="s">
        <v>142</v>
      </c>
      <c r="C132">
        <v>72238.519225245036</v>
      </c>
      <c r="D132">
        <v>73835.493342537651</v>
      </c>
      <c r="E132">
        <v>74079.42812439063</v>
      </c>
      <c r="F132">
        <v>76559.662781088322</v>
      </c>
      <c r="G132">
        <v>84694.06006771083</v>
      </c>
    </row>
    <row r="133" spans="1:7" x14ac:dyDescent="0.3">
      <c r="A133">
        <v>100000</v>
      </c>
      <c r="B133" t="s">
        <v>143</v>
      </c>
      <c r="C133">
        <v>71478.410979307664</v>
      </c>
      <c r="D133">
        <v>73058.846696886278</v>
      </c>
      <c r="E133">
        <v>74548.654386819093</v>
      </c>
      <c r="F133">
        <v>77045.000858686093</v>
      </c>
      <c r="G133">
        <v>85232.239881570073</v>
      </c>
    </row>
    <row r="134" spans="1:7" x14ac:dyDescent="0.3">
      <c r="A134">
        <v>100000</v>
      </c>
      <c r="B134" t="s">
        <v>144</v>
      </c>
      <c r="C134">
        <v>71037.004228348553</v>
      </c>
      <c r="D134">
        <v>72607.945473997985</v>
      </c>
      <c r="E134">
        <v>74088.803140127478</v>
      </c>
      <c r="F134">
        <v>76570.152803684585</v>
      </c>
      <c r="G134">
        <v>84708.206965573831</v>
      </c>
    </row>
    <row r="135" spans="1:7" x14ac:dyDescent="0.3">
      <c r="A135">
        <v>100000</v>
      </c>
      <c r="B135" t="s">
        <v>145</v>
      </c>
      <c r="C135">
        <v>71056.724506088853</v>
      </c>
      <c r="D135">
        <v>72628.367226880247</v>
      </c>
      <c r="E135">
        <v>73757.737357160673</v>
      </c>
      <c r="F135">
        <v>76228.401009611349</v>
      </c>
      <c r="G135">
        <v>84331.408382877518</v>
      </c>
    </row>
    <row r="136" spans="1:7" x14ac:dyDescent="0.3">
      <c r="A136">
        <v>100000</v>
      </c>
      <c r="B136" t="s">
        <v>146</v>
      </c>
      <c r="C136">
        <v>70254.699776193738</v>
      </c>
      <c r="D136">
        <v>71808.868617846805</v>
      </c>
      <c r="E136">
        <v>72925.682155653703</v>
      </c>
      <c r="F136">
        <v>75368.876410967714</v>
      </c>
      <c r="G136">
        <v>83381.792716064054</v>
      </c>
    </row>
    <row r="137" spans="1:7" x14ac:dyDescent="0.3">
      <c r="A137">
        <v>100000</v>
      </c>
      <c r="B137" t="s">
        <v>147</v>
      </c>
      <c r="C137">
        <v>70565.87316353136</v>
      </c>
      <c r="D137">
        <v>72127.191220975699</v>
      </c>
      <c r="E137">
        <v>73249.142129167609</v>
      </c>
      <c r="F137">
        <v>75703.575139553213</v>
      </c>
      <c r="G137">
        <v>83753.351061344525</v>
      </c>
    </row>
    <row r="138" spans="1:7" x14ac:dyDescent="0.3">
      <c r="A138">
        <v>100000</v>
      </c>
      <c r="B138" t="s">
        <v>148</v>
      </c>
      <c r="C138">
        <v>70428.906744622887</v>
      </c>
      <c r="D138">
        <v>71987.459834843437</v>
      </c>
      <c r="E138">
        <v>73107.423859278337</v>
      </c>
      <c r="F138">
        <v>75557.510268537808</v>
      </c>
      <c r="G138">
        <v>83593.030692241111</v>
      </c>
    </row>
    <row r="139" spans="1:7" x14ac:dyDescent="0.3">
      <c r="A139">
        <v>100000</v>
      </c>
      <c r="B139" t="s">
        <v>149</v>
      </c>
      <c r="C139">
        <v>67468.913317762272</v>
      </c>
      <c r="D139">
        <v>68962.22892982568</v>
      </c>
      <c r="E139">
        <v>70035.313814217618</v>
      </c>
      <c r="F139">
        <v>72382.845193680478</v>
      </c>
      <c r="G139">
        <v>80082.017057035147</v>
      </c>
    </row>
    <row r="140" spans="1:7" x14ac:dyDescent="0.3">
      <c r="A140">
        <v>100000</v>
      </c>
      <c r="B140" t="s">
        <v>150</v>
      </c>
      <c r="C140">
        <v>68550.624180233819</v>
      </c>
      <c r="D140">
        <v>70068.147318781601</v>
      </c>
      <c r="E140">
        <v>71158.627541807291</v>
      </c>
      <c r="F140">
        <v>73544.213788963345</v>
      </c>
      <c r="G140">
        <v>81368.193767417295</v>
      </c>
    </row>
    <row r="141" spans="1:7" x14ac:dyDescent="0.3">
      <c r="A141">
        <v>100000</v>
      </c>
      <c r="B141" t="s">
        <v>151</v>
      </c>
      <c r="C141">
        <v>69718.619756893808</v>
      </c>
      <c r="D141">
        <v>71262.264766866967</v>
      </c>
      <c r="E141">
        <v>72371.515961783763</v>
      </c>
      <c r="F141">
        <v>74798.166477180232</v>
      </c>
      <c r="G141">
        <v>82756.82446734971</v>
      </c>
    </row>
    <row r="142" spans="1:7" x14ac:dyDescent="0.3">
      <c r="A142">
        <v>100000</v>
      </c>
      <c r="B142" t="s">
        <v>152</v>
      </c>
      <c r="C142">
        <v>70677.12305860153</v>
      </c>
      <c r="D142">
        <v>72242.256052474375</v>
      </c>
      <c r="E142">
        <v>73366.948344057222</v>
      </c>
      <c r="F142">
        <v>75827.378534746953</v>
      </c>
      <c r="G142">
        <v>83896.823340311734</v>
      </c>
    </row>
    <row r="143" spans="1:7" x14ac:dyDescent="0.3">
      <c r="A143">
        <v>100000</v>
      </c>
      <c r="B143" t="s">
        <v>153</v>
      </c>
      <c r="C143">
        <v>70668.693165720513</v>
      </c>
      <c r="D143">
        <v>72233.905219014603</v>
      </c>
      <c r="E143">
        <v>73358.65432207736</v>
      </c>
      <c r="F143">
        <v>75819.208796254577</v>
      </c>
      <c r="G143">
        <v>83889.06121295433</v>
      </c>
    </row>
    <row r="144" spans="1:7" x14ac:dyDescent="0.3">
      <c r="A144">
        <v>100000</v>
      </c>
      <c r="B144" t="s">
        <v>154</v>
      </c>
      <c r="C144">
        <v>69784.604951388683</v>
      </c>
      <c r="D144">
        <v>71330.50147862079</v>
      </c>
      <c r="E144">
        <v>72441.370596177643</v>
      </c>
      <c r="F144">
        <v>74871.560555864417</v>
      </c>
      <c r="G144">
        <v>82841.826821062859</v>
      </c>
    </row>
    <row r="145" spans="1:7" x14ac:dyDescent="0.3">
      <c r="A145">
        <v>100000</v>
      </c>
      <c r="B145" t="s">
        <v>155</v>
      </c>
      <c r="C145">
        <v>70362.39550657908</v>
      </c>
      <c r="D145">
        <v>71921.357310482141</v>
      </c>
      <c r="E145">
        <v>73041.615033363109</v>
      </c>
      <c r="F145">
        <v>75492.343951270537</v>
      </c>
      <c r="G145">
        <v>83529.971603251091</v>
      </c>
    </row>
    <row r="146" spans="1:7" x14ac:dyDescent="0.3">
      <c r="A146">
        <v>100000</v>
      </c>
      <c r="B146" t="s">
        <v>156</v>
      </c>
      <c r="C146">
        <v>72216.769665579559</v>
      </c>
      <c r="D146">
        <v>73817.083188745804</v>
      </c>
      <c r="E146">
        <v>74967.055932702351</v>
      </c>
      <c r="F146">
        <v>77482.790839819878</v>
      </c>
      <c r="G146">
        <v>85733.617892436552</v>
      </c>
    </row>
    <row r="147" spans="1:7" x14ac:dyDescent="0.3">
      <c r="A147">
        <v>100000</v>
      </c>
      <c r="B147" t="s">
        <v>157</v>
      </c>
      <c r="C147">
        <v>71053.557879818458</v>
      </c>
      <c r="D147">
        <v>72628.36071069933</v>
      </c>
      <c r="E147">
        <v>73760.001671300328</v>
      </c>
      <c r="F147">
        <v>76235.633099844446</v>
      </c>
      <c r="G147">
        <v>86757.370788161192</v>
      </c>
    </row>
    <row r="148" spans="1:7" x14ac:dyDescent="0.3">
      <c r="A148">
        <v>100000</v>
      </c>
      <c r="B148" t="s">
        <v>306</v>
      </c>
      <c r="C148">
        <v>70681.993417406396</v>
      </c>
      <c r="D148">
        <v>72703.548944676309</v>
      </c>
      <c r="E148">
        <v>73836.548407326438</v>
      </c>
      <c r="F148">
        <v>76315.151759374276</v>
      </c>
      <c r="G148">
        <v>86849.520487665446</v>
      </c>
    </row>
    <row r="149" spans="1:7" x14ac:dyDescent="0.3">
      <c r="A149">
        <v>100000</v>
      </c>
      <c r="B149" t="s">
        <v>307</v>
      </c>
      <c r="C149">
        <v>70804.611641005031</v>
      </c>
      <c r="D149">
        <v>72830.017345679822</v>
      </c>
      <c r="E149">
        <v>73398.913061990883</v>
      </c>
      <c r="F149">
        <v>75863.228351873651</v>
      </c>
      <c r="G149">
        <v>86336.871060757432</v>
      </c>
    </row>
    <row r="150" spans="1:7" x14ac:dyDescent="0.3">
      <c r="A150">
        <v>100000</v>
      </c>
      <c r="B150" t="s">
        <v>308</v>
      </c>
      <c r="C150">
        <v>71885.884041754223</v>
      </c>
      <c r="D150">
        <v>73942.563417817379</v>
      </c>
      <c r="E150">
        <v>74520.243279272836</v>
      </c>
      <c r="F150">
        <v>77022.609309506151</v>
      </c>
      <c r="G150">
        <v>87657.972339193147</v>
      </c>
    </row>
    <row r="151" spans="1:7" x14ac:dyDescent="0.3">
      <c r="A151">
        <v>100000</v>
      </c>
      <c r="B151" t="s">
        <v>309</v>
      </c>
      <c r="C151">
        <v>71590.72871063232</v>
      </c>
      <c r="D151">
        <v>73639.306917216876</v>
      </c>
      <c r="E151">
        <v>74214.711323141208</v>
      </c>
      <c r="F151">
        <v>76707.220643794833</v>
      </c>
      <c r="G151">
        <v>87300.691446928366</v>
      </c>
    </row>
    <row r="152" spans="1:7" x14ac:dyDescent="0.3">
      <c r="A152">
        <v>100000</v>
      </c>
      <c r="B152" t="s">
        <v>310</v>
      </c>
      <c r="C152">
        <v>72334.472239916577</v>
      </c>
      <c r="D152">
        <v>74404.676147925638</v>
      </c>
      <c r="E152">
        <v>74986.154778324722</v>
      </c>
      <c r="F152">
        <v>77504.976134414916</v>
      </c>
      <c r="G152">
        <v>88210.276320435296</v>
      </c>
    </row>
    <row r="153" spans="1:7" x14ac:dyDescent="0.3">
      <c r="A153">
        <v>100000</v>
      </c>
      <c r="B153" t="s">
        <v>311</v>
      </c>
      <c r="C153">
        <v>71914.562138450987</v>
      </c>
      <c r="D153">
        <v>73973.091708346823</v>
      </c>
      <c r="E153">
        <v>74551.29125202859</v>
      </c>
      <c r="F153">
        <v>77055.908416906488</v>
      </c>
      <c r="G153">
        <v>87700.839045371846</v>
      </c>
    </row>
    <row r="154" spans="1:7" x14ac:dyDescent="0.3">
      <c r="A154">
        <v>100000</v>
      </c>
      <c r="B154" t="s">
        <v>312</v>
      </c>
      <c r="C154">
        <v>71983.605205899628</v>
      </c>
      <c r="D154">
        <v>74044.454605685503</v>
      </c>
      <c r="E154">
        <v>74623.305742914177</v>
      </c>
      <c r="F154">
        <v>77130.745449594324</v>
      </c>
      <c r="G154">
        <v>87787.672227452174</v>
      </c>
    </row>
    <row r="155" spans="1:7" x14ac:dyDescent="0.3">
      <c r="A155">
        <v>100000</v>
      </c>
      <c r="B155" t="s">
        <v>313</v>
      </c>
      <c r="C155">
        <v>72768.48796505139</v>
      </c>
      <c r="D155">
        <v>74852.151661942844</v>
      </c>
      <c r="E155">
        <v>75437.410876261478</v>
      </c>
      <c r="F155">
        <v>77972.608785189906</v>
      </c>
      <c r="G155">
        <v>88747.511332537586</v>
      </c>
    </row>
    <row r="156" spans="1:7" x14ac:dyDescent="0.3">
      <c r="A156">
        <v>100000</v>
      </c>
      <c r="B156" t="s">
        <v>314</v>
      </c>
      <c r="C156">
        <v>73312.287177866092</v>
      </c>
      <c r="D156">
        <v>75411.865712002196</v>
      </c>
      <c r="E156">
        <v>76001.595083935856</v>
      </c>
      <c r="F156">
        <v>78556.15660809823</v>
      </c>
      <c r="G156">
        <v>89413.356898898375</v>
      </c>
    </row>
    <row r="157" spans="1:7" x14ac:dyDescent="0.3">
      <c r="A157">
        <v>100000</v>
      </c>
      <c r="B157" t="s">
        <v>315</v>
      </c>
      <c r="C157">
        <v>73363.711693544712</v>
      </c>
      <c r="D157">
        <v>75465.106631953313</v>
      </c>
      <c r="E157">
        <v>75630.477815542137</v>
      </c>
      <c r="F157">
        <v>78172.968709404086</v>
      </c>
      <c r="G157">
        <v>88978.867338620301</v>
      </c>
    </row>
    <row r="158" spans="1:7" x14ac:dyDescent="0.3">
      <c r="A158">
        <v>100000</v>
      </c>
      <c r="B158" t="s">
        <v>316</v>
      </c>
      <c r="C158">
        <v>73803.584931442252</v>
      </c>
      <c r="D158">
        <v>74696.994842358559</v>
      </c>
      <c r="E158">
        <v>74860.70911314158</v>
      </c>
      <c r="F158">
        <v>77377.725884914733</v>
      </c>
      <c r="G158">
        <v>88075.356365904983</v>
      </c>
    </row>
    <row r="159" spans="1:7" x14ac:dyDescent="0.3">
      <c r="A159">
        <v>100000</v>
      </c>
      <c r="B159" t="s">
        <v>317</v>
      </c>
      <c r="C159">
        <v>73889.085072616886</v>
      </c>
      <c r="D159">
        <v>74783.675245881182</v>
      </c>
      <c r="E159">
        <v>74947.605795650219</v>
      </c>
      <c r="F159">
        <v>77467.947737749651</v>
      </c>
      <c r="G159">
        <v>88179.710601104511</v>
      </c>
    </row>
    <row r="160" spans="1:7" x14ac:dyDescent="0.3">
      <c r="A160">
        <v>100000</v>
      </c>
      <c r="B160" t="s">
        <v>318</v>
      </c>
      <c r="C160">
        <v>73617.048682250257</v>
      </c>
      <c r="D160">
        <v>74746.194963237489</v>
      </c>
      <c r="E160">
        <v>74910.069658614128</v>
      </c>
      <c r="F160">
        <v>77429.552870184052</v>
      </c>
      <c r="G160">
        <v>88137.666023298356</v>
      </c>
    </row>
    <row r="161" spans="1:7" x14ac:dyDescent="0.3">
      <c r="A161">
        <v>100000</v>
      </c>
      <c r="B161" t="s">
        <v>319</v>
      </c>
      <c r="C161">
        <v>74364.93498530575</v>
      </c>
      <c r="D161">
        <v>75505.736484865673</v>
      </c>
      <c r="E161">
        <v>75671.302719616186</v>
      </c>
      <c r="F161">
        <v>78216.792417693243</v>
      </c>
      <c r="G161">
        <v>89035.436333209349</v>
      </c>
    </row>
    <row r="162" spans="1:7" x14ac:dyDescent="0.3">
      <c r="A162">
        <v>100000</v>
      </c>
      <c r="B162" t="s">
        <v>320</v>
      </c>
      <c r="C162">
        <v>74724.979794062208</v>
      </c>
      <c r="D162">
        <v>75871.488678101348</v>
      </c>
      <c r="E162">
        <v>74988.630976602653</v>
      </c>
      <c r="F162">
        <v>77511.560100838949</v>
      </c>
      <c r="G162">
        <v>88234.318806095805</v>
      </c>
    </row>
    <row r="163" spans="1:7" x14ac:dyDescent="0.3">
      <c r="A163">
        <v>100000</v>
      </c>
      <c r="B163" t="s">
        <v>321</v>
      </c>
      <c r="C163">
        <v>75516.149155472696</v>
      </c>
      <c r="D163">
        <v>76674.981104848004</v>
      </c>
      <c r="E163">
        <v>73881.171687522423</v>
      </c>
      <c r="F163">
        <v>76367.245009634556</v>
      </c>
      <c r="G163">
        <v>86933.362028341566</v>
      </c>
    </row>
    <row r="164" spans="1:7" x14ac:dyDescent="0.3">
      <c r="A164">
        <v>100000</v>
      </c>
      <c r="B164" t="s">
        <v>322</v>
      </c>
      <c r="C164">
        <v>76064.909498735506</v>
      </c>
      <c r="D164">
        <v>77232.346587660199</v>
      </c>
      <c r="E164">
        <v>74417.791176988947</v>
      </c>
      <c r="F164">
        <v>76922.325336221023</v>
      </c>
      <c r="G164">
        <v>87566.903180494846</v>
      </c>
    </row>
    <row r="165" spans="1:7" x14ac:dyDescent="0.3">
      <c r="A165">
        <v>100000</v>
      </c>
      <c r="B165" t="s">
        <v>323</v>
      </c>
      <c r="C165">
        <v>75155.637517060342</v>
      </c>
      <c r="D165">
        <v>76309.303359859012</v>
      </c>
      <c r="E165">
        <v>73527.948826274311</v>
      </c>
      <c r="F165">
        <v>76002.939161119604</v>
      </c>
      <c r="G165">
        <v>86521.952122461618</v>
      </c>
    </row>
    <row r="166" spans="1:7" x14ac:dyDescent="0.3">
      <c r="A166">
        <v>100000</v>
      </c>
      <c r="B166" t="s">
        <v>324</v>
      </c>
      <c r="C166">
        <v>77895.051868547234</v>
      </c>
      <c r="D166">
        <v>79090.952903030309</v>
      </c>
      <c r="E166">
        <v>76207.774221143482</v>
      </c>
      <c r="F166">
        <v>78773.372847689301</v>
      </c>
      <c r="G166">
        <v>89677.482179463172</v>
      </c>
    </row>
    <row r="167" spans="1:7" x14ac:dyDescent="0.3">
      <c r="A167">
        <v>100000</v>
      </c>
      <c r="B167" t="s">
        <v>325</v>
      </c>
      <c r="C167">
        <v>77371.674112085355</v>
      </c>
      <c r="D167">
        <v>78559.724106312409</v>
      </c>
      <c r="E167">
        <v>75695.473371842701</v>
      </c>
      <c r="F167">
        <v>78244.228950747463</v>
      </c>
      <c r="G167">
        <v>89908.056016737784</v>
      </c>
    </row>
    <row r="168" spans="1:7" x14ac:dyDescent="0.3">
      <c r="A168">
        <v>100000</v>
      </c>
      <c r="B168" t="s">
        <v>326</v>
      </c>
      <c r="C168">
        <v>77609.672185824005</v>
      </c>
      <c r="D168">
        <v>78801.560926122809</v>
      </c>
      <c r="E168">
        <v>75928.055420129298</v>
      </c>
      <c r="F168">
        <v>78485.046364139809</v>
      </c>
      <c r="G168">
        <v>89258.506145015999</v>
      </c>
    </row>
    <row r="169" spans="1:7" x14ac:dyDescent="0.3">
      <c r="A169">
        <v>100000</v>
      </c>
      <c r="B169" t="s">
        <v>327</v>
      </c>
      <c r="C169">
        <v>75926.032734411594</v>
      </c>
      <c r="D169">
        <v>77092.249310611995</v>
      </c>
      <c r="E169">
        <v>74280.636414552049</v>
      </c>
      <c r="F169">
        <v>76782.552175038043</v>
      </c>
      <c r="G169">
        <v>90824.51270613521</v>
      </c>
    </row>
    <row r="170" spans="1:7" x14ac:dyDescent="0.3">
      <c r="A170">
        <v>100000</v>
      </c>
      <c r="B170" t="s">
        <v>328</v>
      </c>
      <c r="C170">
        <v>75723.595590989091</v>
      </c>
      <c r="D170">
        <v>76886.887070942728</v>
      </c>
      <c r="E170">
        <v>74082.326242652576</v>
      </c>
      <c r="F170">
        <v>76577.966715554707</v>
      </c>
      <c r="G170">
        <v>90689.735493609318</v>
      </c>
    </row>
  </sheetData>
  <phoneticPr fontId="7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BB334-F68D-42AA-8740-1CA2037D997E}">
  <sheetPr codeName="Hoja10"/>
  <dimension ref="A1:K18"/>
  <sheetViews>
    <sheetView workbookViewId="0">
      <selection activeCell="G7" sqref="G7"/>
    </sheetView>
  </sheetViews>
  <sheetFormatPr baseColWidth="10" defaultRowHeight="14.4" x14ac:dyDescent="0.3"/>
  <cols>
    <col min="1" max="1" width="24.21875" customWidth="1"/>
    <col min="2" max="2" width="35.21875" customWidth="1"/>
    <col min="3" max="3" width="25.44140625" customWidth="1"/>
    <col min="6" max="6" width="12.6640625" bestFit="1" customWidth="1"/>
    <col min="7" max="7" width="8.77734375" bestFit="1" customWidth="1"/>
    <col min="8" max="8" width="9.88671875" bestFit="1" customWidth="1"/>
    <col min="9" max="9" width="11.88671875" bestFit="1" customWidth="1"/>
    <col min="11" max="11" width="14.44140625" bestFit="1" customWidth="1"/>
  </cols>
  <sheetData>
    <row r="1" spans="1:11" ht="15.6" thickBot="1" x14ac:dyDescent="0.35">
      <c r="A1" s="11" t="s">
        <v>158</v>
      </c>
      <c r="B1" s="11" t="s">
        <v>159</v>
      </c>
      <c r="C1" s="11" t="s">
        <v>160</v>
      </c>
      <c r="F1" s="92" t="s">
        <v>200</v>
      </c>
      <c r="G1" s="93"/>
      <c r="H1" s="93"/>
      <c r="I1" s="93"/>
      <c r="J1" s="93"/>
      <c r="K1" s="94"/>
    </row>
    <row r="2" spans="1:11" ht="15.6" thickBot="1" x14ac:dyDescent="0.35">
      <c r="A2" s="12" t="s">
        <v>161</v>
      </c>
      <c r="B2" s="13" t="s">
        <v>162</v>
      </c>
      <c r="C2" s="13" t="s">
        <v>163</v>
      </c>
      <c r="F2" s="23" t="s">
        <v>201</v>
      </c>
      <c r="G2" s="24" t="s">
        <v>202</v>
      </c>
      <c r="H2" s="24" t="s">
        <v>203</v>
      </c>
      <c r="I2" s="24" t="s">
        <v>204</v>
      </c>
      <c r="J2" s="24" t="s">
        <v>205</v>
      </c>
      <c r="K2" s="24" t="s">
        <v>206</v>
      </c>
    </row>
    <row r="3" spans="1:11" ht="15.6" thickBot="1" x14ac:dyDescent="0.35">
      <c r="A3" s="14" t="s">
        <v>164</v>
      </c>
      <c r="B3" s="15" t="s">
        <v>162</v>
      </c>
      <c r="C3" s="15" t="s">
        <v>163</v>
      </c>
      <c r="F3" s="25" t="s">
        <v>207</v>
      </c>
      <c r="G3" s="28">
        <v>6</v>
      </c>
      <c r="H3" s="29">
        <v>1.3799999999999999E-4</v>
      </c>
      <c r="I3" s="26">
        <v>8.1300000000000003E-4</v>
      </c>
      <c r="J3" s="27">
        <v>34312</v>
      </c>
      <c r="K3" s="26">
        <f>+J3*G3/100000</f>
        <v>2.0587200000000001</v>
      </c>
    </row>
    <row r="4" spans="1:11" ht="15.6" thickBot="1" x14ac:dyDescent="0.35">
      <c r="A4" s="16" t="s">
        <v>165</v>
      </c>
      <c r="B4" s="17" t="s">
        <v>166</v>
      </c>
      <c r="C4" s="17" t="s">
        <v>167</v>
      </c>
      <c r="F4" s="25" t="s">
        <v>208</v>
      </c>
      <c r="G4" s="28">
        <v>6</v>
      </c>
      <c r="H4" s="29">
        <v>1.3799999999999999E-4</v>
      </c>
      <c r="I4" s="26">
        <v>1.4250000000000001E-3</v>
      </c>
      <c r="J4" s="27">
        <v>11555</v>
      </c>
      <c r="K4" s="26">
        <f>+J4*G4/100000</f>
        <v>0.69330000000000003</v>
      </c>
    </row>
    <row r="5" spans="1:11" ht="15.6" thickBot="1" x14ac:dyDescent="0.35">
      <c r="A5" s="14" t="s">
        <v>168</v>
      </c>
      <c r="B5" s="15" t="s">
        <v>162</v>
      </c>
      <c r="C5" s="15" t="s">
        <v>163</v>
      </c>
      <c r="F5" s="25" t="s">
        <v>209</v>
      </c>
      <c r="G5" s="28">
        <v>6</v>
      </c>
      <c r="H5" s="29">
        <v>1.54E-4</v>
      </c>
      <c r="I5" s="26">
        <v>2.0140000000000002E-3</v>
      </c>
      <c r="J5" s="27">
        <v>5887</v>
      </c>
      <c r="K5" s="26">
        <f>+J5*G5/100000</f>
        <v>0.35321999999999998</v>
      </c>
    </row>
    <row r="6" spans="1:11" ht="15.6" thickBot="1" x14ac:dyDescent="0.35">
      <c r="A6" s="16" t="s">
        <v>169</v>
      </c>
      <c r="B6" s="17" t="s">
        <v>162</v>
      </c>
      <c r="C6" s="17" t="s">
        <v>163</v>
      </c>
      <c r="F6" s="25" t="s">
        <v>210</v>
      </c>
      <c r="G6" s="28">
        <v>6</v>
      </c>
      <c r="H6" s="29">
        <v>1.47E-4</v>
      </c>
      <c r="I6" s="26">
        <v>9.8829999999999994E-3</v>
      </c>
      <c r="J6" s="27">
        <v>311</v>
      </c>
      <c r="K6" s="26">
        <f>+J6*G6/100000</f>
        <v>1.866E-2</v>
      </c>
    </row>
    <row r="7" spans="1:11" ht="15" x14ac:dyDescent="0.3">
      <c r="A7" s="14" t="s">
        <v>170</v>
      </c>
      <c r="B7" s="15" t="s">
        <v>162</v>
      </c>
      <c r="C7" s="15" t="s">
        <v>163</v>
      </c>
    </row>
    <row r="8" spans="1:11" ht="15" x14ac:dyDescent="0.3">
      <c r="A8" s="16" t="s">
        <v>171</v>
      </c>
      <c r="B8" s="17" t="s">
        <v>172</v>
      </c>
      <c r="C8" s="17" t="s">
        <v>173</v>
      </c>
    </row>
    <row r="9" spans="1:11" ht="15" x14ac:dyDescent="0.3">
      <c r="A9" s="14" t="s">
        <v>174</v>
      </c>
      <c r="B9" s="15" t="s">
        <v>175</v>
      </c>
      <c r="C9" s="15" t="s">
        <v>176</v>
      </c>
    </row>
    <row r="10" spans="1:11" ht="15" x14ac:dyDescent="0.3">
      <c r="A10" s="16" t="s">
        <v>177</v>
      </c>
      <c r="B10" s="17" t="s">
        <v>178</v>
      </c>
      <c r="C10" s="17" t="s">
        <v>179</v>
      </c>
    </row>
    <row r="11" spans="1:11" ht="15" x14ac:dyDescent="0.3">
      <c r="A11" s="14" t="s">
        <v>180</v>
      </c>
      <c r="B11" s="15" t="s">
        <v>162</v>
      </c>
      <c r="C11" s="15" t="s">
        <v>163</v>
      </c>
    </row>
    <row r="12" spans="1:11" ht="15" x14ac:dyDescent="0.3">
      <c r="A12" s="16" t="s">
        <v>181</v>
      </c>
      <c r="B12" s="17" t="s">
        <v>182</v>
      </c>
      <c r="C12" s="17" t="s">
        <v>183</v>
      </c>
    </row>
    <row r="13" spans="1:11" ht="15" x14ac:dyDescent="0.3">
      <c r="A13" s="14" t="s">
        <v>184</v>
      </c>
      <c r="B13" s="15" t="s">
        <v>162</v>
      </c>
      <c r="C13" s="15" t="s">
        <v>163</v>
      </c>
    </row>
    <row r="14" spans="1:11" ht="15" x14ac:dyDescent="0.3">
      <c r="A14" s="20" t="s">
        <v>185</v>
      </c>
      <c r="B14" s="21" t="s">
        <v>162</v>
      </c>
      <c r="C14" s="21" t="s">
        <v>163</v>
      </c>
    </row>
    <row r="15" spans="1:11" ht="15" x14ac:dyDescent="0.3">
      <c r="A15" s="14" t="s">
        <v>186</v>
      </c>
      <c r="B15" s="15" t="s">
        <v>187</v>
      </c>
      <c r="C15" s="15" t="s">
        <v>188</v>
      </c>
    </row>
    <row r="16" spans="1:11" ht="15" x14ac:dyDescent="0.3">
      <c r="A16" s="16" t="s">
        <v>189</v>
      </c>
      <c r="B16" s="17" t="s">
        <v>190</v>
      </c>
      <c r="C16" s="17" t="s">
        <v>191</v>
      </c>
    </row>
    <row r="17" spans="1:3" ht="15" x14ac:dyDescent="0.3">
      <c r="A17" s="14" t="s">
        <v>192</v>
      </c>
      <c r="B17" s="15" t="s">
        <v>193</v>
      </c>
      <c r="C17" s="15" t="s">
        <v>194</v>
      </c>
    </row>
    <row r="18" spans="1:3" ht="15.6" thickBot="1" x14ac:dyDescent="0.35">
      <c r="A18" s="18" t="s">
        <v>195</v>
      </c>
      <c r="B18" s="19" t="s">
        <v>196</v>
      </c>
      <c r="C18" s="19" t="s">
        <v>197</v>
      </c>
    </row>
  </sheetData>
  <mergeCells count="1">
    <mergeCell ref="F1:K1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Sheet1</vt:lpstr>
      <vt:lpstr>Flujo de caja</vt:lpstr>
      <vt:lpstr>dataset</vt:lpstr>
      <vt:lpstr>results</vt:lpstr>
      <vt:lpstr>2017-23 - Analisis volatilidad</vt:lpstr>
      <vt:lpstr>RL</vt:lpstr>
      <vt:lpstr>RP</vt:lpstr>
      <vt:lpstr>SVR</vt:lpstr>
      <vt:lpstr>AD</vt:lpstr>
      <vt:lpstr>RF</vt:lpstr>
      <vt:lpstr>predicciones</vt:lpstr>
      <vt:lpstr>Ideal - Simple</vt:lpstr>
      <vt:lpstr>Ideal - Compuesta</vt:lpstr>
      <vt:lpstr>Real - Simple</vt:lpstr>
      <vt:lpstr>Real - Compuesta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Muelas</dc:creator>
  <cp:lastModifiedBy>Marcos Muelas Tenorio</cp:lastModifiedBy>
  <dcterms:created xsi:type="dcterms:W3CDTF">2023-02-13T01:57:53Z</dcterms:created>
  <dcterms:modified xsi:type="dcterms:W3CDTF">2023-10-04T17:32:00Z</dcterms:modified>
</cp:coreProperties>
</file>